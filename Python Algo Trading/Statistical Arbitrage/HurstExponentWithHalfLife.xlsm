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15" codeName="{E757BCB4-07E6-AE0B-56E0-F0EEF7A6E26C}"/>
  <workbookPr filterPrivacy="1" codeName="ThisWorkbook"/>
  <xr:revisionPtr revIDLastSave="0" documentId="13_ncr:1_{B9E5D2A8-F35C-4607-8D7A-A3BA6996695E}" xr6:coauthVersionLast="47" xr6:coauthVersionMax="47" xr10:uidLastSave="{00000000-0000-0000-0000-000000000000}"/>
  <bookViews>
    <workbookView xWindow="4680" yWindow="4680" windowWidth="38700" windowHeight="15345" xr2:uid="{00000000-000D-0000-FFFF-FFFF00000000}"/>
  </bookViews>
  <sheets>
    <sheet name="fGBM" sheetId="1" r:id="rId1"/>
  </sheets>
  <definedNames>
    <definedName name="_xleta.AVERAGE" hidden="1" xlm="1">#NAME?</definedName>
    <definedName name="alpha">fGBM!$C$12</definedName>
    <definedName name="BM">fGBM!$C$10</definedName>
    <definedName name="dt">fGBM!$C$6</definedName>
    <definedName name="H">fGBM!$C$9</definedName>
    <definedName name="mu">fGBM!$C$4</definedName>
    <definedName name="S0">fGBM!$C$3</definedName>
    <definedName name="sigma">fGBM!$C$5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4" i="1"/>
  <c r="K5" i="1"/>
  <c r="K6" i="1"/>
  <c r="C13" i="1"/>
  <c r="C12" i="1"/>
  <c r="D9" i="1"/>
  <c r="H104" i="1"/>
  <c r="L104" i="1" s="1"/>
  <c r="H103" i="1"/>
  <c r="L103" i="1" s="1"/>
  <c r="H102" i="1"/>
  <c r="L102" i="1" s="1"/>
  <c r="H101" i="1"/>
  <c r="L101" i="1" s="1"/>
  <c r="H100" i="1"/>
  <c r="L100" i="1" s="1"/>
  <c r="H99" i="1"/>
  <c r="L99" i="1" s="1"/>
  <c r="H98" i="1"/>
  <c r="I98" i="1" s="1"/>
  <c r="H5" i="1"/>
  <c r="L5" i="1" s="1"/>
  <c r="H6" i="1"/>
  <c r="L6" i="1" s="1"/>
  <c r="H7" i="1"/>
  <c r="L7" i="1" s="1"/>
  <c r="H8" i="1"/>
  <c r="L8" i="1" s="1"/>
  <c r="H9" i="1"/>
  <c r="L9" i="1" s="1"/>
  <c r="H10" i="1"/>
  <c r="L10" i="1" s="1"/>
  <c r="H11" i="1"/>
  <c r="L11" i="1" s="1"/>
  <c r="H12" i="1"/>
  <c r="L12" i="1" s="1"/>
  <c r="H13" i="1"/>
  <c r="L13" i="1" s="1"/>
  <c r="H14" i="1"/>
  <c r="L14" i="1" s="1"/>
  <c r="H15" i="1"/>
  <c r="L15" i="1" s="1"/>
  <c r="H16" i="1"/>
  <c r="L16" i="1" s="1"/>
  <c r="H17" i="1"/>
  <c r="I17" i="1" s="1"/>
  <c r="H18" i="1"/>
  <c r="L18" i="1" s="1"/>
  <c r="H19" i="1"/>
  <c r="L19" i="1" s="1"/>
  <c r="H20" i="1"/>
  <c r="L20" i="1" s="1"/>
  <c r="H21" i="1"/>
  <c r="L21" i="1" s="1"/>
  <c r="H22" i="1"/>
  <c r="L22" i="1" s="1"/>
  <c r="H23" i="1"/>
  <c r="L23" i="1" s="1"/>
  <c r="H24" i="1"/>
  <c r="L24" i="1" s="1"/>
  <c r="H25" i="1"/>
  <c r="L25" i="1" s="1"/>
  <c r="H26" i="1"/>
  <c r="L26" i="1" s="1"/>
  <c r="H27" i="1"/>
  <c r="L27" i="1" s="1"/>
  <c r="H28" i="1"/>
  <c r="L28" i="1" s="1"/>
  <c r="H29" i="1"/>
  <c r="L29" i="1" s="1"/>
  <c r="H30" i="1"/>
  <c r="L30" i="1" s="1"/>
  <c r="H31" i="1"/>
  <c r="L31" i="1" s="1"/>
  <c r="H32" i="1"/>
  <c r="L32" i="1" s="1"/>
  <c r="H33" i="1"/>
  <c r="L33" i="1" s="1"/>
  <c r="H34" i="1"/>
  <c r="L34" i="1" s="1"/>
  <c r="H35" i="1"/>
  <c r="L35" i="1" s="1"/>
  <c r="H36" i="1"/>
  <c r="I36" i="1" s="1"/>
  <c r="H37" i="1"/>
  <c r="L37" i="1" s="1"/>
  <c r="H38" i="1"/>
  <c r="L38" i="1" s="1"/>
  <c r="H39" i="1"/>
  <c r="L39" i="1" s="1"/>
  <c r="H40" i="1"/>
  <c r="L40" i="1" s="1"/>
  <c r="H41" i="1"/>
  <c r="L41" i="1" s="1"/>
  <c r="H42" i="1"/>
  <c r="L42" i="1" s="1"/>
  <c r="H43" i="1"/>
  <c r="I43" i="1" s="1"/>
  <c r="H44" i="1"/>
  <c r="L44" i="1" s="1"/>
  <c r="H45" i="1"/>
  <c r="L45" i="1" s="1"/>
  <c r="H46" i="1"/>
  <c r="L46" i="1" s="1"/>
  <c r="H47" i="1"/>
  <c r="L47" i="1" s="1"/>
  <c r="H48" i="1"/>
  <c r="L48" i="1" s="1"/>
  <c r="H49" i="1"/>
  <c r="I49" i="1" s="1"/>
  <c r="H50" i="1"/>
  <c r="L50" i="1" s="1"/>
  <c r="H51" i="1"/>
  <c r="I51" i="1" s="1"/>
  <c r="H52" i="1"/>
  <c r="I52" i="1" s="1"/>
  <c r="H53" i="1"/>
  <c r="L53" i="1" s="1"/>
  <c r="H54" i="1"/>
  <c r="L54" i="1" s="1"/>
  <c r="H55" i="1"/>
  <c r="L55" i="1" s="1"/>
  <c r="H56" i="1"/>
  <c r="L56" i="1" s="1"/>
  <c r="H57" i="1"/>
  <c r="L57" i="1" s="1"/>
  <c r="H58" i="1"/>
  <c r="L58" i="1" s="1"/>
  <c r="H59" i="1"/>
  <c r="L59" i="1" s="1"/>
  <c r="H60" i="1"/>
  <c r="L60" i="1" s="1"/>
  <c r="H61" i="1"/>
  <c r="L61" i="1" s="1"/>
  <c r="H62" i="1"/>
  <c r="L62" i="1" s="1"/>
  <c r="H63" i="1"/>
  <c r="L63" i="1" s="1"/>
  <c r="H64" i="1"/>
  <c r="L64" i="1" s="1"/>
  <c r="H65" i="1"/>
  <c r="L65" i="1" s="1"/>
  <c r="H66" i="1"/>
  <c r="L66" i="1" s="1"/>
  <c r="H67" i="1"/>
  <c r="L67" i="1" s="1"/>
  <c r="H68" i="1"/>
  <c r="L68" i="1" s="1"/>
  <c r="H69" i="1"/>
  <c r="L69" i="1" s="1"/>
  <c r="H70" i="1"/>
  <c r="L70" i="1" s="1"/>
  <c r="H71" i="1"/>
  <c r="L71" i="1" s="1"/>
  <c r="H72" i="1"/>
  <c r="L72" i="1" s="1"/>
  <c r="H73" i="1"/>
  <c r="L73" i="1" s="1"/>
  <c r="H74" i="1"/>
  <c r="L74" i="1" s="1"/>
  <c r="H75" i="1"/>
  <c r="L75" i="1" s="1"/>
  <c r="H76" i="1"/>
  <c r="L76" i="1" s="1"/>
  <c r="H77" i="1"/>
  <c r="L77" i="1" s="1"/>
  <c r="H78" i="1"/>
  <c r="L78" i="1" s="1"/>
  <c r="H79" i="1"/>
  <c r="L79" i="1" s="1"/>
  <c r="H80" i="1"/>
  <c r="L80" i="1" s="1"/>
  <c r="H81" i="1"/>
  <c r="L81" i="1" s="1"/>
  <c r="H82" i="1"/>
  <c r="L82" i="1" s="1"/>
  <c r="H83" i="1"/>
  <c r="L83" i="1" s="1"/>
  <c r="H84" i="1"/>
  <c r="L84" i="1" s="1"/>
  <c r="H85" i="1"/>
  <c r="L85" i="1" s="1"/>
  <c r="H86" i="1"/>
  <c r="L86" i="1" s="1"/>
  <c r="H87" i="1"/>
  <c r="L87" i="1" s="1"/>
  <c r="H88" i="1"/>
  <c r="L88" i="1" s="1"/>
  <c r="H89" i="1"/>
  <c r="L89" i="1" s="1"/>
  <c r="H90" i="1"/>
  <c r="L90" i="1" s="1"/>
  <c r="H91" i="1"/>
  <c r="L91" i="1" s="1"/>
  <c r="H92" i="1"/>
  <c r="L92" i="1" s="1"/>
  <c r="H93" i="1"/>
  <c r="L93" i="1" s="1"/>
  <c r="H94" i="1"/>
  <c r="L94" i="1" s="1"/>
  <c r="H95" i="1"/>
  <c r="L95" i="1" s="1"/>
  <c r="H96" i="1"/>
  <c r="L96" i="1" s="1"/>
  <c r="H97" i="1"/>
  <c r="L97" i="1" s="1"/>
  <c r="H4" i="1"/>
  <c r="L4" i="1" s="1"/>
  <c r="M4" i="1"/>
  <c r="J4" i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L52" i="1" l="1"/>
  <c r="L36" i="1"/>
  <c r="L51" i="1"/>
  <c r="L98" i="1"/>
  <c r="L43" i="1"/>
  <c r="L49" i="1"/>
  <c r="L17" i="1"/>
  <c r="I45" i="1"/>
  <c r="I35" i="1"/>
  <c r="I100" i="1"/>
  <c r="I29" i="1"/>
  <c r="I99" i="1"/>
  <c r="I28" i="1"/>
  <c r="I27" i="1"/>
  <c r="I93" i="1"/>
  <c r="I20" i="1"/>
  <c r="I84" i="1"/>
  <c r="I19" i="1"/>
  <c r="I83" i="1"/>
  <c r="I77" i="1"/>
  <c r="I13" i="1"/>
  <c r="I68" i="1"/>
  <c r="I12" i="1"/>
  <c r="I67" i="1"/>
  <c r="I11" i="1"/>
  <c r="I61" i="1"/>
  <c r="I82" i="1"/>
  <c r="I66" i="1"/>
  <c r="I50" i="1"/>
  <c r="I34" i="1"/>
  <c r="I18" i="1"/>
  <c r="I81" i="1"/>
  <c r="I33" i="1"/>
  <c r="I96" i="1"/>
  <c r="I80" i="1"/>
  <c r="I64" i="1"/>
  <c r="I48" i="1"/>
  <c r="I32" i="1"/>
  <c r="I16" i="1"/>
  <c r="I95" i="1"/>
  <c r="I79" i="1"/>
  <c r="I63" i="1"/>
  <c r="I47" i="1"/>
  <c r="I31" i="1"/>
  <c r="I15" i="1"/>
  <c r="I97" i="1"/>
  <c r="I65" i="1"/>
  <c r="I94" i="1"/>
  <c r="I78" i="1"/>
  <c r="I62" i="1"/>
  <c r="I46" i="1"/>
  <c r="I30" i="1"/>
  <c r="I14" i="1"/>
  <c r="I92" i="1"/>
  <c r="I76" i="1"/>
  <c r="I60" i="1"/>
  <c r="I44" i="1"/>
  <c r="I91" i="1"/>
  <c r="I59" i="1"/>
  <c r="I90" i="1"/>
  <c r="I74" i="1"/>
  <c r="I58" i="1"/>
  <c r="I42" i="1"/>
  <c r="I26" i="1"/>
  <c r="I10" i="1"/>
  <c r="I89" i="1"/>
  <c r="I73" i="1"/>
  <c r="I57" i="1"/>
  <c r="I41" i="1"/>
  <c r="I25" i="1"/>
  <c r="I9" i="1"/>
  <c r="I75" i="1"/>
  <c r="I104" i="1"/>
  <c r="I88" i="1"/>
  <c r="I72" i="1"/>
  <c r="I56" i="1"/>
  <c r="I40" i="1"/>
  <c r="I24" i="1"/>
  <c r="I8" i="1"/>
  <c r="I103" i="1"/>
  <c r="I87" i="1"/>
  <c r="I71" i="1"/>
  <c r="I55" i="1"/>
  <c r="I39" i="1"/>
  <c r="I23" i="1"/>
  <c r="I7" i="1"/>
  <c r="I102" i="1"/>
  <c r="I86" i="1"/>
  <c r="I70" i="1"/>
  <c r="I54" i="1"/>
  <c r="I38" i="1"/>
  <c r="I22" i="1"/>
  <c r="I6" i="1"/>
  <c r="I101" i="1"/>
  <c r="I85" i="1"/>
  <c r="I69" i="1"/>
  <c r="I53" i="1"/>
  <c r="I37" i="1"/>
  <c r="I21" i="1"/>
  <c r="I5" i="1"/>
  <c r="J5" i="1" s="1"/>
  <c r="I4" i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G66" i="1"/>
  <c r="G67" i="1" l="1"/>
  <c r="M17" i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J6" i="1"/>
  <c r="G68" i="1" l="1"/>
  <c r="J7" i="1"/>
  <c r="G69" i="1" l="1"/>
  <c r="J8" i="1"/>
  <c r="G70" i="1" l="1"/>
  <c r="J9" i="1"/>
  <c r="K9" i="1" l="1"/>
  <c r="G71" i="1"/>
  <c r="J10" i="1"/>
  <c r="K10" i="1" l="1"/>
  <c r="G72" i="1"/>
  <c r="J11" i="1"/>
  <c r="K11" i="1" l="1"/>
  <c r="G73" i="1"/>
  <c r="J12" i="1"/>
  <c r="K12" i="1" l="1"/>
  <c r="G74" i="1"/>
  <c r="J13" i="1"/>
  <c r="K13" i="1" l="1"/>
  <c r="G75" i="1"/>
  <c r="J14" i="1"/>
  <c r="K14" i="1" l="1"/>
  <c r="G76" i="1"/>
  <c r="J15" i="1"/>
  <c r="K15" i="1" l="1"/>
  <c r="G77" i="1"/>
  <c r="J16" i="1"/>
  <c r="K16" i="1" l="1"/>
  <c r="G78" i="1"/>
  <c r="J17" i="1"/>
  <c r="K17" i="1" l="1"/>
  <c r="G79" i="1"/>
  <c r="J18" i="1"/>
  <c r="K18" i="1" s="1"/>
  <c r="G80" i="1" l="1"/>
  <c r="J19" i="1"/>
  <c r="K19" i="1" l="1"/>
  <c r="G81" i="1"/>
  <c r="J20" i="1"/>
  <c r="K20" i="1" l="1"/>
  <c r="G82" i="1"/>
  <c r="J21" i="1"/>
  <c r="K21" i="1" l="1"/>
  <c r="G83" i="1"/>
  <c r="J22" i="1"/>
  <c r="K22" i="1" s="1"/>
  <c r="G84" i="1" l="1"/>
  <c r="J23" i="1"/>
  <c r="K23" i="1" l="1"/>
  <c r="G85" i="1"/>
  <c r="J24" i="1"/>
  <c r="K24" i="1" l="1"/>
  <c r="G86" i="1"/>
  <c r="J25" i="1"/>
  <c r="K25" i="1" l="1"/>
  <c r="G87" i="1"/>
  <c r="J26" i="1"/>
  <c r="K26" i="1" l="1"/>
  <c r="G88" i="1"/>
  <c r="J27" i="1"/>
  <c r="K27" i="1" l="1"/>
  <c r="G89" i="1"/>
  <c r="J28" i="1"/>
  <c r="K28" i="1" l="1"/>
  <c r="G90" i="1"/>
  <c r="J29" i="1"/>
  <c r="K29" i="1" l="1"/>
  <c r="G91" i="1"/>
  <c r="J30" i="1"/>
  <c r="K30" i="1" l="1"/>
  <c r="G92" i="1"/>
  <c r="J31" i="1"/>
  <c r="K31" i="1" l="1"/>
  <c r="G93" i="1"/>
  <c r="J32" i="1"/>
  <c r="K32" i="1" l="1"/>
  <c r="G94" i="1"/>
  <c r="J33" i="1"/>
  <c r="K33" i="1" l="1"/>
  <c r="G95" i="1"/>
  <c r="J34" i="1"/>
  <c r="K34" i="1" l="1"/>
  <c r="G96" i="1"/>
  <c r="J35" i="1"/>
  <c r="K35" i="1" l="1"/>
  <c r="G97" i="1"/>
  <c r="J36" i="1"/>
  <c r="K36" i="1" l="1"/>
  <c r="G98" i="1"/>
  <c r="J37" i="1"/>
  <c r="K37" i="1" l="1"/>
  <c r="G99" i="1"/>
  <c r="J38" i="1"/>
  <c r="K38" i="1" l="1"/>
  <c r="G100" i="1"/>
  <c r="J39" i="1"/>
  <c r="K39" i="1" l="1"/>
  <c r="G101" i="1"/>
  <c r="J40" i="1"/>
  <c r="K40" i="1" l="1"/>
  <c r="G102" i="1"/>
  <c r="J41" i="1"/>
  <c r="K41" i="1" l="1"/>
  <c r="G103" i="1"/>
  <c r="J42" i="1"/>
  <c r="K42" i="1" l="1"/>
  <c r="G104" i="1"/>
  <c r="J43" i="1"/>
  <c r="K43" i="1" l="1"/>
  <c r="J44" i="1"/>
  <c r="K44" i="1" l="1"/>
  <c r="J45" i="1"/>
  <c r="K45" i="1" l="1"/>
  <c r="J46" i="1"/>
  <c r="K46" i="1" l="1"/>
  <c r="J47" i="1"/>
  <c r="K47" i="1" l="1"/>
  <c r="J48" i="1"/>
  <c r="K48" i="1" l="1"/>
  <c r="J49" i="1"/>
  <c r="K49" i="1" l="1"/>
  <c r="J50" i="1"/>
  <c r="K50" i="1" l="1"/>
  <c r="J51" i="1"/>
  <c r="K51" i="1" l="1"/>
  <c r="J52" i="1"/>
  <c r="K52" i="1" l="1"/>
  <c r="J53" i="1"/>
  <c r="K53" i="1" l="1"/>
  <c r="J54" i="1"/>
  <c r="K54" i="1" l="1"/>
  <c r="J55" i="1"/>
  <c r="K55" i="1" l="1"/>
  <c r="J56" i="1"/>
  <c r="K56" i="1" l="1"/>
  <c r="J57" i="1"/>
  <c r="K57" i="1" l="1"/>
  <c r="J58" i="1"/>
  <c r="K58" i="1" l="1"/>
  <c r="J59" i="1"/>
  <c r="K59" i="1" l="1"/>
  <c r="J60" i="1"/>
  <c r="K60" i="1" l="1"/>
  <c r="J61" i="1"/>
  <c r="K61" i="1" l="1"/>
  <c r="J62" i="1"/>
  <c r="K62" i="1" s="1"/>
  <c r="J63" i="1" l="1"/>
  <c r="K63" i="1" l="1"/>
  <c r="J64" i="1"/>
  <c r="K64" i="1" l="1"/>
  <c r="J65" i="1"/>
  <c r="K65" i="1" l="1"/>
  <c r="J66" i="1"/>
  <c r="K66" i="1" l="1"/>
  <c r="J67" i="1"/>
  <c r="K67" i="1" l="1"/>
  <c r="J68" i="1"/>
  <c r="K68" i="1" l="1"/>
  <c r="J69" i="1"/>
  <c r="K69" i="1" l="1"/>
  <c r="J70" i="1"/>
  <c r="K70" i="1" l="1"/>
  <c r="J71" i="1"/>
  <c r="K71" i="1" l="1"/>
  <c r="J72" i="1"/>
  <c r="K72" i="1" l="1"/>
  <c r="J73" i="1"/>
  <c r="K73" i="1" l="1"/>
  <c r="J74" i="1"/>
  <c r="K74" i="1" l="1"/>
  <c r="J75" i="1"/>
  <c r="K75" i="1" l="1"/>
  <c r="J76" i="1"/>
  <c r="K76" i="1" l="1"/>
  <c r="J77" i="1"/>
  <c r="K77" i="1" l="1"/>
  <c r="J78" i="1"/>
  <c r="K78" i="1" l="1"/>
  <c r="J79" i="1"/>
  <c r="K79" i="1" l="1"/>
  <c r="J80" i="1"/>
  <c r="K80" i="1" l="1"/>
  <c r="J81" i="1"/>
  <c r="K81" i="1" l="1"/>
  <c r="J82" i="1"/>
  <c r="K82" i="1" l="1"/>
  <c r="J83" i="1"/>
  <c r="K83" i="1" l="1"/>
  <c r="J84" i="1"/>
  <c r="K84" i="1" l="1"/>
  <c r="J85" i="1"/>
  <c r="K85" i="1" l="1"/>
  <c r="J86" i="1"/>
  <c r="K86" i="1" l="1"/>
  <c r="J87" i="1"/>
  <c r="K87" i="1" l="1"/>
  <c r="J88" i="1"/>
  <c r="K88" i="1" l="1"/>
  <c r="J89" i="1"/>
  <c r="K89" i="1" l="1"/>
  <c r="J90" i="1"/>
  <c r="K90" i="1" l="1"/>
  <c r="J91" i="1"/>
  <c r="K91" i="1" l="1"/>
  <c r="J92" i="1"/>
  <c r="K92" i="1" l="1"/>
  <c r="J93" i="1"/>
  <c r="K93" i="1" l="1"/>
  <c r="J94" i="1"/>
  <c r="K94" i="1" l="1"/>
  <c r="J95" i="1"/>
  <c r="K95" i="1" l="1"/>
  <c r="J96" i="1"/>
  <c r="K96" i="1" l="1"/>
  <c r="J97" i="1"/>
  <c r="K97" i="1" l="1"/>
  <c r="J98" i="1"/>
  <c r="K98" i="1" l="1"/>
  <c r="J99" i="1"/>
  <c r="K99" i="1" l="1"/>
  <c r="J100" i="1"/>
  <c r="K100" i="1" l="1"/>
  <c r="J101" i="1"/>
  <c r="K101" i="1" l="1"/>
  <c r="J102" i="1"/>
  <c r="K102" i="1" l="1"/>
  <c r="J103" i="1"/>
  <c r="K103" i="1" s="1"/>
  <c r="J104" i="1" l="1"/>
  <c r="K104" i="1" s="1"/>
</calcChain>
</file>

<file path=xl/sharedStrings.xml><?xml version="1.0" encoding="utf-8"?>
<sst xmlns="http://schemas.openxmlformats.org/spreadsheetml/2006/main" count="32" uniqueCount="32">
  <si>
    <t>t</t>
  </si>
  <si>
    <t>z</t>
  </si>
  <si>
    <t>s</t>
  </si>
  <si>
    <t>dt</t>
  </si>
  <si>
    <t>GBM</t>
  </si>
  <si>
    <t>m</t>
  </si>
  <si>
    <t>Fractional GBM</t>
  </si>
  <si>
    <t>dB</t>
  </si>
  <si>
    <t>S(t)</t>
  </si>
  <si>
    <r>
      <t>dB</t>
    </r>
    <r>
      <rPr>
        <b/>
        <vertAlign val="subscript"/>
        <sz val="11"/>
        <color theme="1"/>
        <rFont val="Calibri"/>
        <family val="2"/>
        <scheme val="minor"/>
      </rPr>
      <t>H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</si>
  <si>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H</t>
    </r>
    <r>
      <rPr>
        <b/>
        <sz val="11"/>
        <color theme="1"/>
        <rFont val="Calibri"/>
        <family val="2"/>
        <scheme val="minor"/>
      </rPr>
      <t>(t)</t>
    </r>
  </si>
  <si>
    <r>
      <t>S</t>
    </r>
    <r>
      <rPr>
        <vertAlign val="subscript"/>
        <sz val="11"/>
        <color theme="1"/>
        <rFont val="Calibri"/>
        <family val="2"/>
        <scheme val="minor"/>
      </rPr>
      <t>0</t>
    </r>
  </si>
  <si>
    <t>Hurst, H</t>
  </si>
  <si>
    <r>
      <rPr>
        <b/>
        <sz val="11"/>
        <color theme="1"/>
        <rFont val="Calibri"/>
        <family val="2"/>
        <scheme val="minor"/>
      </rPr>
      <t>Hurst Coefft: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0 &lt; H &lt; 1</t>
    </r>
  </si>
  <si>
    <r>
      <t xml:space="preserve">dS(t) = </t>
    </r>
    <r>
      <rPr>
        <b/>
        <sz val="11"/>
        <color theme="1"/>
        <rFont val="Symbol"/>
        <family val="1"/>
        <charset val="2"/>
      </rPr>
      <t xml:space="preserve">m </t>
    </r>
    <r>
      <rPr>
        <b/>
        <sz val="11"/>
        <color theme="1"/>
        <rFont val="Calibri"/>
        <family val="2"/>
        <scheme val="minor"/>
      </rPr>
      <t xml:space="preserve">S(t) dt + </t>
    </r>
    <r>
      <rPr>
        <b/>
        <sz val="11"/>
        <color theme="1"/>
        <rFont val="Symbol"/>
        <family val="1"/>
        <charset val="2"/>
      </rPr>
      <t xml:space="preserve">s </t>
    </r>
    <r>
      <rPr>
        <b/>
        <sz val="11"/>
        <color theme="1"/>
        <rFont val="Calibri"/>
        <family val="2"/>
        <scheme val="minor"/>
      </rPr>
      <t>S(t) dB</t>
    </r>
    <r>
      <rPr>
        <b/>
        <vertAlign val="subscript"/>
        <sz val="11"/>
        <color theme="1"/>
        <rFont val="Calibri"/>
        <family val="2"/>
        <scheme val="minor"/>
      </rPr>
      <t>H</t>
    </r>
    <r>
      <rPr>
        <b/>
        <sz val="11"/>
        <color theme="1"/>
        <rFont val="Calibri"/>
        <family val="2"/>
        <scheme val="minor"/>
      </rPr>
      <t>(t)</t>
    </r>
  </si>
  <si>
    <t>Distributions</t>
  </si>
  <si>
    <t>and</t>
  </si>
  <si>
    <t>H = 0.5, Brownian Motion</t>
  </si>
  <si>
    <t>Using Central Limit Theorem,</t>
  </si>
  <si>
    <t>Random Walk Increments</t>
  </si>
  <si>
    <t>Hurst Coefficient (H)</t>
  </si>
  <si>
    <t>H controls the correlation between successive Brownian Motion (BM) increments.</t>
  </si>
  <si>
    <t>H has a range 0 &lt; H &lt; 1, where H = 0.5 indicates BM. When H &lt; 0.5 BM increments</t>
  </si>
  <si>
    <t>H &gt; 0.5, Positive Correlation (Smooth)</t>
  </si>
  <si>
    <t>H &lt; 0.5, Negative Correlation (Rough)</t>
  </si>
  <si>
    <t>are negatively correlated  giving a rough effect and when H &gt; 0.5 BM increments</t>
  </si>
  <si>
    <t>are positively correlated  giving a smooth effect.</t>
  </si>
  <si>
    <t>Covariance</t>
  </si>
  <si>
    <t>This gives or BM and fBM respectively,</t>
  </si>
  <si>
    <t>Half-Life</t>
  </si>
  <si>
    <r>
      <t>Mean(S</t>
    </r>
    <r>
      <rPr>
        <b/>
        <vertAlign val="subscript"/>
        <sz val="11"/>
        <color theme="1"/>
        <rFont val="Calibri"/>
        <family val="2"/>
        <scheme val="minor"/>
      </rPr>
      <t>H</t>
    </r>
    <r>
      <rPr>
        <b/>
        <sz val="11"/>
        <color theme="1"/>
        <rFont val="Calibri"/>
        <family val="2"/>
        <scheme val="minor"/>
      </rPr>
      <t>)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</si>
  <si>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= 2H-1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</si>
</sst>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1"/>
      <name val="Calibri"/>
      <family val="1"/>
      <charset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/>
    </xf>
    <xf numFmtId="4" fontId="0" fillId="2" borderId="0" xfId="0" applyNumberFormat="1" applyFill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7" fillId="0" borderId="0" xfId="0" applyFont="1"/>
    <xf numFmtId="4" fontId="6" fillId="3" borderId="2" xfId="0" applyNumberFormat="1" applyFont="1" applyFill="1" applyBorder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2" xfId="0" applyFill="1" applyBorder="1"/>
    <xf numFmtId="164" fontId="0" fillId="3" borderId="0" xfId="0" applyNumberFormat="1" applyFill="1" applyAlignment="1">
      <alignment horizontal="center" vertical="center"/>
    </xf>
    <xf numFmtId="4" fontId="0" fillId="3" borderId="0" xfId="0" applyNumberFormat="1" applyFill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FGBM</a:t>
            </a:r>
            <a:r>
              <a:rPr lang="en-GB" baseline="0"/>
              <a:t> vs GBM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FGBM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fGBM!$G$4:$G$97</c:f>
              <c:numCache>
                <c:formatCode>#,##0.00</c:formatCode>
                <c:ptCount val="9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</c:numCache>
            </c:numRef>
          </c:cat>
          <c:val>
            <c:numRef>
              <c:f>fGBM!$J$4:$J$97</c:f>
              <c:numCache>
                <c:formatCode>#,##0.00</c:formatCode>
                <c:ptCount val="94"/>
                <c:pt idx="0">
                  <c:v>100</c:v>
                </c:pt>
                <c:pt idx="1">
                  <c:v>100.51533420058615</c:v>
                </c:pt>
                <c:pt idx="2">
                  <c:v>96.011459525973294</c:v>
                </c:pt>
                <c:pt idx="3">
                  <c:v>95.690511056536025</c:v>
                </c:pt>
                <c:pt idx="4">
                  <c:v>95.776249245942694</c:v>
                </c:pt>
                <c:pt idx="5">
                  <c:v>91.080918645708763</c:v>
                </c:pt>
                <c:pt idx="6">
                  <c:v>92.704117451414348</c:v>
                </c:pt>
                <c:pt idx="7">
                  <c:v>92.632584561112125</c:v>
                </c:pt>
                <c:pt idx="8">
                  <c:v>89.957092174337163</c:v>
                </c:pt>
                <c:pt idx="9">
                  <c:v>86.702254609601255</c:v>
                </c:pt>
                <c:pt idx="10">
                  <c:v>89.623221903305577</c:v>
                </c:pt>
                <c:pt idx="11">
                  <c:v>94.454212739609133</c:v>
                </c:pt>
                <c:pt idx="12">
                  <c:v>97.717869654045828</c:v>
                </c:pt>
                <c:pt idx="13">
                  <c:v>99.261943625912693</c:v>
                </c:pt>
                <c:pt idx="14">
                  <c:v>102.51001893890552</c:v>
                </c:pt>
                <c:pt idx="15">
                  <c:v>105.05044060921324</c:v>
                </c:pt>
                <c:pt idx="16">
                  <c:v>108.74008428319864</c:v>
                </c:pt>
                <c:pt idx="17">
                  <c:v>103.85806451256404</c:v>
                </c:pt>
                <c:pt idx="18">
                  <c:v>102.64313454769588</c:v>
                </c:pt>
                <c:pt idx="19">
                  <c:v>100.97940665026569</c:v>
                </c:pt>
                <c:pt idx="20">
                  <c:v>103.085488020854</c:v>
                </c:pt>
                <c:pt idx="21">
                  <c:v>104.86903690098949</c:v>
                </c:pt>
                <c:pt idx="22">
                  <c:v>103.53231288175655</c:v>
                </c:pt>
                <c:pt idx="23">
                  <c:v>104.78083831803943</c:v>
                </c:pt>
                <c:pt idx="24">
                  <c:v>104.33936843470445</c:v>
                </c:pt>
                <c:pt idx="25">
                  <c:v>102.68869731172646</c:v>
                </c:pt>
                <c:pt idx="26">
                  <c:v>103.94855261861274</c:v>
                </c:pt>
                <c:pt idx="27">
                  <c:v>98.437206685206121</c:v>
                </c:pt>
                <c:pt idx="28">
                  <c:v>96.384653034888075</c:v>
                </c:pt>
                <c:pt idx="29">
                  <c:v>100.66312428878142</c:v>
                </c:pt>
                <c:pt idx="30">
                  <c:v>100.5694925999627</c:v>
                </c:pt>
                <c:pt idx="31">
                  <c:v>92.553715423416662</c:v>
                </c:pt>
                <c:pt idx="32">
                  <c:v>91.718340632211039</c:v>
                </c:pt>
                <c:pt idx="33">
                  <c:v>90.203250703722986</c:v>
                </c:pt>
                <c:pt idx="34">
                  <c:v>92.986950486474555</c:v>
                </c:pt>
                <c:pt idx="35">
                  <c:v>97.950990348946775</c:v>
                </c:pt>
                <c:pt idx="36">
                  <c:v>104.74384694170975</c:v>
                </c:pt>
                <c:pt idx="37">
                  <c:v>108.40534077747029</c:v>
                </c:pt>
                <c:pt idx="38">
                  <c:v>106.38277166537299</c:v>
                </c:pt>
                <c:pt idx="39">
                  <c:v>107.20579846033225</c:v>
                </c:pt>
                <c:pt idx="40">
                  <c:v>105.11198391081841</c:v>
                </c:pt>
                <c:pt idx="41">
                  <c:v>108.32280131355367</c:v>
                </c:pt>
                <c:pt idx="42">
                  <c:v>111.0145859773789</c:v>
                </c:pt>
                <c:pt idx="43">
                  <c:v>112.54341539285042</c:v>
                </c:pt>
                <c:pt idx="44">
                  <c:v>105.99689991147721</c:v>
                </c:pt>
                <c:pt idx="45">
                  <c:v>109.65413136308773</c:v>
                </c:pt>
                <c:pt idx="46">
                  <c:v>112.24963906507055</c:v>
                </c:pt>
                <c:pt idx="47">
                  <c:v>116.7961230416132</c:v>
                </c:pt>
                <c:pt idx="48">
                  <c:v>115.46282908100592</c:v>
                </c:pt>
                <c:pt idx="49">
                  <c:v>115.1075391703861</c:v>
                </c:pt>
                <c:pt idx="50">
                  <c:v>115.55126442536437</c:v>
                </c:pt>
                <c:pt idx="51">
                  <c:v>115.61934046132592</c:v>
                </c:pt>
                <c:pt idx="52">
                  <c:v>114.229302975747</c:v>
                </c:pt>
                <c:pt idx="53">
                  <c:v>118.23281100900235</c:v>
                </c:pt>
                <c:pt idx="54">
                  <c:v>120.18459314242257</c:v>
                </c:pt>
                <c:pt idx="55">
                  <c:v>121.96006682378999</c:v>
                </c:pt>
                <c:pt idx="56">
                  <c:v>124.43955974635847</c:v>
                </c:pt>
                <c:pt idx="57">
                  <c:v>127.39550984607052</c:v>
                </c:pt>
                <c:pt idx="58">
                  <c:v>116.67615544387154</c:v>
                </c:pt>
                <c:pt idx="59">
                  <c:v>123.76864238931978</c:v>
                </c:pt>
                <c:pt idx="60">
                  <c:v>122.19556500769487</c:v>
                </c:pt>
                <c:pt idx="61">
                  <c:v>128.23027301922443</c:v>
                </c:pt>
                <c:pt idx="62">
                  <c:v>126.01325974400719</c:v>
                </c:pt>
                <c:pt idx="63">
                  <c:v>133.3857409740601</c:v>
                </c:pt>
                <c:pt idx="64">
                  <c:v>138.70338118459063</c:v>
                </c:pt>
                <c:pt idx="65">
                  <c:v>138.84616085851357</c:v>
                </c:pt>
                <c:pt idx="66">
                  <c:v>146.97351098899753</c:v>
                </c:pt>
                <c:pt idx="67">
                  <c:v>147.09465577331386</c:v>
                </c:pt>
                <c:pt idx="68">
                  <c:v>150.79328510750221</c:v>
                </c:pt>
                <c:pt idx="69">
                  <c:v>152.23967315301394</c:v>
                </c:pt>
                <c:pt idx="70">
                  <c:v>150.37766256458559</c:v>
                </c:pt>
                <c:pt idx="71">
                  <c:v>145.57891515302481</c:v>
                </c:pt>
                <c:pt idx="72">
                  <c:v>149.66919039861833</c:v>
                </c:pt>
                <c:pt idx="73">
                  <c:v>148.09998879750609</c:v>
                </c:pt>
                <c:pt idx="74">
                  <c:v>150.14053052952644</c:v>
                </c:pt>
                <c:pt idx="75">
                  <c:v>157.73582537876771</c:v>
                </c:pt>
                <c:pt idx="76">
                  <c:v>157.06290083442812</c:v>
                </c:pt>
                <c:pt idx="77">
                  <c:v>157.0733663948248</c:v>
                </c:pt>
                <c:pt idx="78">
                  <c:v>152.31154444120523</c:v>
                </c:pt>
                <c:pt idx="79">
                  <c:v>163.76638162873175</c:v>
                </c:pt>
                <c:pt idx="80">
                  <c:v>167.1079364618524</c:v>
                </c:pt>
                <c:pt idx="81">
                  <c:v>168.09899214329579</c:v>
                </c:pt>
                <c:pt idx="82">
                  <c:v>160.31854316277699</c:v>
                </c:pt>
                <c:pt idx="83">
                  <c:v>160.99110629550674</c:v>
                </c:pt>
                <c:pt idx="84">
                  <c:v>168.17576398257515</c:v>
                </c:pt>
                <c:pt idx="85">
                  <c:v>170.99521571056877</c:v>
                </c:pt>
                <c:pt idx="86">
                  <c:v>171.20216965201959</c:v>
                </c:pt>
                <c:pt idx="87">
                  <c:v>160.26151521217767</c:v>
                </c:pt>
                <c:pt idx="88">
                  <c:v>155.55559818759795</c:v>
                </c:pt>
                <c:pt idx="89">
                  <c:v>161.82982347311179</c:v>
                </c:pt>
                <c:pt idx="90">
                  <c:v>164.97203719453557</c:v>
                </c:pt>
                <c:pt idx="91">
                  <c:v>162.87486454404242</c:v>
                </c:pt>
                <c:pt idx="92">
                  <c:v>156.56402052682847</c:v>
                </c:pt>
                <c:pt idx="93">
                  <c:v>159.75636746150877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E9-44A5-8806-ED67E33D9EAC}"/>
            </c:ext>
          </c:extLst>
        </c:ser>
        <c:ser>
          <c:idx val="1"/>
          <c:order val="1"/>
          <c:tx>
            <c:v>GBM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fGBM!$G$4:$G$97</c:f>
              <c:numCache>
                <c:formatCode>#,##0.00</c:formatCode>
                <c:ptCount val="9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</c:numCache>
            </c:numRef>
          </c:cat>
          <c:val>
            <c:numRef>
              <c:f>fGBM!$M$4:$M$97</c:f>
              <c:numCache>
                <c:formatCode>#,##0.00</c:formatCode>
                <c:ptCount val="94"/>
                <c:pt idx="0">
                  <c:v>100</c:v>
                </c:pt>
                <c:pt idx="1">
                  <c:v>100.5385177703904</c:v>
                </c:pt>
                <c:pt idx="2">
                  <c:v>88.462672619992077</c:v>
                </c:pt>
                <c:pt idx="3">
                  <c:v>87.051144366739791</c:v>
                </c:pt>
                <c:pt idx="4">
                  <c:v>86.589007663878562</c:v>
                </c:pt>
                <c:pt idx="5">
                  <c:v>75.271647607927108</c:v>
                </c:pt>
                <c:pt idx="6">
                  <c:v>78.072216405572831</c:v>
                </c:pt>
                <c:pt idx="7">
                  <c:v>77.330712369182521</c:v>
                </c:pt>
                <c:pt idx="8">
                  <c:v>71.135760343595138</c:v>
                </c:pt>
                <c:pt idx="9">
                  <c:v>64.1328155109438</c:v>
                </c:pt>
                <c:pt idx="10">
                  <c:v>69.075217631620788</c:v>
                </c:pt>
                <c:pt idx="11">
                  <c:v>77.905768003111874</c:v>
                </c:pt>
                <c:pt idx="12">
                  <c:v>84.078496066506204</c:v>
                </c:pt>
                <c:pt idx="13">
                  <c:v>86.780085880219758</c:v>
                </c:pt>
                <c:pt idx="14">
                  <c:v>93.256932641071757</c:v>
                </c:pt>
                <c:pt idx="15">
                  <c:v>98.357209102875871</c:v>
                </c:pt>
                <c:pt idx="16">
                  <c:v>106.29114694582748</c:v>
                </c:pt>
                <c:pt idx="17">
                  <c:v>93.500744032626642</c:v>
                </c:pt>
                <c:pt idx="18">
                  <c:v>90.046504984863205</c:v>
                </c:pt>
                <c:pt idx="19">
                  <c:v>85.699578364145594</c:v>
                </c:pt>
                <c:pt idx="20">
                  <c:v>89.541476411761039</c:v>
                </c:pt>
                <c:pt idx="21">
                  <c:v>92.756046215012276</c:v>
                </c:pt>
                <c:pt idx="22">
                  <c:v>89.084998228566036</c:v>
                </c:pt>
                <c:pt idx="23">
                  <c:v>91.110088794880724</c:v>
                </c:pt>
                <c:pt idx="24">
                  <c:v>89.457107062334828</c:v>
                </c:pt>
                <c:pt idx="25">
                  <c:v>85.225963676050569</c:v>
                </c:pt>
                <c:pt idx="26">
                  <c:v>87.208158673869463</c:v>
                </c:pt>
                <c:pt idx="27">
                  <c:v>74.934526211087345</c:v>
                </c:pt>
                <c:pt idx="28">
                  <c:v>70.443266715831243</c:v>
                </c:pt>
                <c:pt idx="29">
                  <c:v>77.765285889198722</c:v>
                </c:pt>
                <c:pt idx="30">
                  <c:v>76.995731474418932</c:v>
                </c:pt>
                <c:pt idx="31">
                  <c:v>60.998598826370326</c:v>
                </c:pt>
                <c:pt idx="32">
                  <c:v>59.15453122736902</c:v>
                </c:pt>
                <c:pt idx="33">
                  <c:v>56.252815851915855</c:v>
                </c:pt>
                <c:pt idx="34">
                  <c:v>60.188158666700708</c:v>
                </c:pt>
                <c:pt idx="35">
                  <c:v>67.804113961378221</c:v>
                </c:pt>
                <c:pt idx="36">
                  <c:v>79.102906651011196</c:v>
                </c:pt>
                <c:pt idx="37">
                  <c:v>85.450732877915556</c:v>
                </c:pt>
                <c:pt idx="38">
                  <c:v>80.800087731809285</c:v>
                </c:pt>
                <c:pt idx="39">
                  <c:v>81.759483261062954</c:v>
                </c:pt>
                <c:pt idx="40">
                  <c:v>77.130377996293916</c:v>
                </c:pt>
                <c:pt idx="41">
                  <c:v>82.465505195829564</c:v>
                </c:pt>
                <c:pt idx="42">
                  <c:v>86.989570139014219</c:v>
                </c:pt>
                <c:pt idx="43">
                  <c:v>89.341144559716852</c:v>
                </c:pt>
                <c:pt idx="44">
                  <c:v>75.611835988919808</c:v>
                </c:pt>
                <c:pt idx="45">
                  <c:v>81.593387706259975</c:v>
                </c:pt>
                <c:pt idx="46">
                  <c:v>85.827822750854807</c:v>
                </c:pt>
                <c:pt idx="47">
                  <c:v>93.911115291493559</c:v>
                </c:pt>
                <c:pt idx="48">
                  <c:v>90.508336197144658</c:v>
                </c:pt>
                <c:pt idx="49">
                  <c:v>89.124577655371525</c:v>
                </c:pt>
                <c:pt idx="50">
                  <c:v>89.313840629390143</c:v>
                </c:pt>
                <c:pt idx="51">
                  <c:v>88.77085036356344</c:v>
                </c:pt>
                <c:pt idx="52">
                  <c:v>85.418980859910761</c:v>
                </c:pt>
                <c:pt idx="53">
                  <c:v>92.293257063431909</c:v>
                </c:pt>
                <c:pt idx="54">
                  <c:v>95.422615040709218</c:v>
                </c:pt>
                <c:pt idx="55">
                  <c:v>98.242199479370854</c:v>
                </c:pt>
                <c:pt idx="56">
                  <c:v>102.51653494195889</c:v>
                </c:pt>
                <c:pt idx="57">
                  <c:v>107.85848463494735</c:v>
                </c:pt>
                <c:pt idx="58">
                  <c:v>84.246601670476579</c:v>
                </c:pt>
                <c:pt idx="59">
                  <c:v>96.473531777411836</c:v>
                </c:pt>
                <c:pt idx="60">
                  <c:v>92.664268497027834</c:v>
                </c:pt>
                <c:pt idx="61">
                  <c:v>103.45888892972522</c:v>
                </c:pt>
                <c:pt idx="62">
                  <c:v>98.183704144315698</c:v>
                </c:pt>
                <c:pt idx="63">
                  <c:v>111.87051131150824</c:v>
                </c:pt>
                <c:pt idx="64">
                  <c:v>122.2275972559797</c:v>
                </c:pt>
                <c:pt idx="65">
                  <c:v>121.61967079992104</c:v>
                </c:pt>
                <c:pt idx="66">
                  <c:v>138.58241154722373</c:v>
                </c:pt>
                <c:pt idx="67">
                  <c:v>137.82173576083125</c:v>
                </c:pt>
                <c:pt idx="68">
                  <c:v>145.4847384916915</c:v>
                </c:pt>
                <c:pt idx="69">
                  <c:v>147.89021665723416</c:v>
                </c:pt>
                <c:pt idx="70">
                  <c:v>142.22871695030688</c:v>
                </c:pt>
                <c:pt idx="71">
                  <c:v>129.75283980780773</c:v>
                </c:pt>
                <c:pt idx="72">
                  <c:v>137.92935549278184</c:v>
                </c:pt>
                <c:pt idx="73">
                  <c:v>133.2542094916102</c:v>
                </c:pt>
                <c:pt idx="74">
                  <c:v>136.85869318710908</c:v>
                </c:pt>
                <c:pt idx="75">
                  <c:v>153.2148999546375</c:v>
                </c:pt>
                <c:pt idx="76">
                  <c:v>150.41481888791623</c:v>
                </c:pt>
                <c:pt idx="77">
                  <c:v>149.3029438498825</c:v>
                </c:pt>
                <c:pt idx="78">
                  <c:v>136.80486104221825</c:v>
                </c:pt>
                <c:pt idx="79">
                  <c:v>161.61456875940442</c:v>
                </c:pt>
                <c:pt idx="80">
                  <c:v>168.67617261686095</c:v>
                </c:pt>
                <c:pt idx="81">
                  <c:v>169.91385798272938</c:v>
                </c:pt>
                <c:pt idx="82">
                  <c:v>148.87480068815694</c:v>
                </c:pt>
                <c:pt idx="83">
                  <c:v>149.31820225144784</c:v>
                </c:pt>
                <c:pt idx="84">
                  <c:v>164.92795731497262</c:v>
                </c:pt>
                <c:pt idx="85">
                  <c:v>170.62656796912233</c:v>
                </c:pt>
                <c:pt idx="86">
                  <c:v>169.85545207092952</c:v>
                </c:pt>
                <c:pt idx="87">
                  <c:v>141.30593740323241</c:v>
                </c:pt>
                <c:pt idx="88">
                  <c:v>129.81516010025359</c:v>
                </c:pt>
                <c:pt idx="89">
                  <c:v>141.98607579138545</c:v>
                </c:pt>
                <c:pt idx="90">
                  <c:v>147.8377917364144</c:v>
                </c:pt>
                <c:pt idx="91">
                  <c:v>141.99949031703636</c:v>
                </c:pt>
                <c:pt idx="92">
                  <c:v>127.10566908715423</c:v>
                </c:pt>
                <c:pt idx="93">
                  <c:v>132.6548531376547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E9-44A5-8806-ED67E33D9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838592"/>
        <c:axId val="247918592"/>
      </c:lineChart>
      <c:catAx>
        <c:axId val="2478385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918592"/>
        <c:crosses val="autoZero"/>
        <c:auto val="1"/>
        <c:lblAlgn val="ctr"/>
        <c:lblOffset val="100"/>
        <c:noMultiLvlLbl val="0"/>
      </c:catAx>
      <c:valAx>
        <c:axId val="24791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3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Fractional Geometric</a:t>
            </a:r>
            <a:r>
              <a:rPr lang="en-GB" baseline="0"/>
              <a:t> Brownian Motion, FGBM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FGBM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fGBM!$G$4:$G$104</c:f>
              <c:numCache>
                <c:formatCode>#,##0.00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cat>
          <c:val>
            <c:numRef>
              <c:f>fGBM!$J$4:$J$97</c:f>
              <c:numCache>
                <c:formatCode>#,##0.00</c:formatCode>
                <c:ptCount val="94"/>
                <c:pt idx="0">
                  <c:v>100</c:v>
                </c:pt>
                <c:pt idx="1">
                  <c:v>100.51533420058615</c:v>
                </c:pt>
                <c:pt idx="2">
                  <c:v>96.011459525973294</c:v>
                </c:pt>
                <c:pt idx="3">
                  <c:v>95.690511056536025</c:v>
                </c:pt>
                <c:pt idx="4">
                  <c:v>95.776249245942694</c:v>
                </c:pt>
                <c:pt idx="5">
                  <c:v>91.080918645708763</c:v>
                </c:pt>
                <c:pt idx="6">
                  <c:v>92.704117451414348</c:v>
                </c:pt>
                <c:pt idx="7">
                  <c:v>92.632584561112125</c:v>
                </c:pt>
                <c:pt idx="8">
                  <c:v>89.957092174337163</c:v>
                </c:pt>
                <c:pt idx="9">
                  <c:v>86.702254609601255</c:v>
                </c:pt>
                <c:pt idx="10">
                  <c:v>89.623221903305577</c:v>
                </c:pt>
                <c:pt idx="11">
                  <c:v>94.454212739609133</c:v>
                </c:pt>
                <c:pt idx="12">
                  <c:v>97.717869654045828</c:v>
                </c:pt>
                <c:pt idx="13">
                  <c:v>99.261943625912693</c:v>
                </c:pt>
                <c:pt idx="14">
                  <c:v>102.51001893890552</c:v>
                </c:pt>
                <c:pt idx="15">
                  <c:v>105.05044060921324</c:v>
                </c:pt>
                <c:pt idx="16">
                  <c:v>108.74008428319864</c:v>
                </c:pt>
                <c:pt idx="17">
                  <c:v>103.85806451256404</c:v>
                </c:pt>
                <c:pt idx="18">
                  <c:v>102.64313454769588</c:v>
                </c:pt>
                <c:pt idx="19">
                  <c:v>100.97940665026569</c:v>
                </c:pt>
                <c:pt idx="20">
                  <c:v>103.085488020854</c:v>
                </c:pt>
                <c:pt idx="21">
                  <c:v>104.86903690098949</c:v>
                </c:pt>
                <c:pt idx="22">
                  <c:v>103.53231288175655</c:v>
                </c:pt>
                <c:pt idx="23">
                  <c:v>104.78083831803943</c:v>
                </c:pt>
                <c:pt idx="24">
                  <c:v>104.33936843470445</c:v>
                </c:pt>
                <c:pt idx="25">
                  <c:v>102.68869731172646</c:v>
                </c:pt>
                <c:pt idx="26">
                  <c:v>103.94855261861274</c:v>
                </c:pt>
                <c:pt idx="27">
                  <c:v>98.437206685206121</c:v>
                </c:pt>
                <c:pt idx="28">
                  <c:v>96.384653034888075</c:v>
                </c:pt>
                <c:pt idx="29">
                  <c:v>100.66312428878142</c:v>
                </c:pt>
                <c:pt idx="30">
                  <c:v>100.5694925999627</c:v>
                </c:pt>
                <c:pt idx="31">
                  <c:v>92.553715423416662</c:v>
                </c:pt>
                <c:pt idx="32">
                  <c:v>91.718340632211039</c:v>
                </c:pt>
                <c:pt idx="33">
                  <c:v>90.203250703722986</c:v>
                </c:pt>
                <c:pt idx="34">
                  <c:v>92.986950486474555</c:v>
                </c:pt>
                <c:pt idx="35">
                  <c:v>97.950990348946775</c:v>
                </c:pt>
                <c:pt idx="36">
                  <c:v>104.74384694170975</c:v>
                </c:pt>
                <c:pt idx="37">
                  <c:v>108.40534077747029</c:v>
                </c:pt>
                <c:pt idx="38">
                  <c:v>106.38277166537299</c:v>
                </c:pt>
                <c:pt idx="39">
                  <c:v>107.20579846033225</c:v>
                </c:pt>
                <c:pt idx="40">
                  <c:v>105.11198391081841</c:v>
                </c:pt>
                <c:pt idx="41">
                  <c:v>108.32280131355367</c:v>
                </c:pt>
                <c:pt idx="42">
                  <c:v>111.0145859773789</c:v>
                </c:pt>
                <c:pt idx="43">
                  <c:v>112.54341539285042</c:v>
                </c:pt>
                <c:pt idx="44">
                  <c:v>105.99689991147721</c:v>
                </c:pt>
                <c:pt idx="45">
                  <c:v>109.65413136308773</c:v>
                </c:pt>
                <c:pt idx="46">
                  <c:v>112.24963906507055</c:v>
                </c:pt>
                <c:pt idx="47">
                  <c:v>116.7961230416132</c:v>
                </c:pt>
                <c:pt idx="48">
                  <c:v>115.46282908100592</c:v>
                </c:pt>
                <c:pt idx="49">
                  <c:v>115.1075391703861</c:v>
                </c:pt>
                <c:pt idx="50">
                  <c:v>115.55126442536437</c:v>
                </c:pt>
                <c:pt idx="51">
                  <c:v>115.61934046132592</c:v>
                </c:pt>
                <c:pt idx="52">
                  <c:v>114.229302975747</c:v>
                </c:pt>
                <c:pt idx="53">
                  <c:v>118.23281100900235</c:v>
                </c:pt>
                <c:pt idx="54">
                  <c:v>120.18459314242257</c:v>
                </c:pt>
                <c:pt idx="55">
                  <c:v>121.96006682378999</c:v>
                </c:pt>
                <c:pt idx="56">
                  <c:v>124.43955974635847</c:v>
                </c:pt>
                <c:pt idx="57">
                  <c:v>127.39550984607052</c:v>
                </c:pt>
                <c:pt idx="58">
                  <c:v>116.67615544387154</c:v>
                </c:pt>
                <c:pt idx="59">
                  <c:v>123.76864238931978</c:v>
                </c:pt>
                <c:pt idx="60">
                  <c:v>122.19556500769487</c:v>
                </c:pt>
                <c:pt idx="61">
                  <c:v>128.23027301922443</c:v>
                </c:pt>
                <c:pt idx="62">
                  <c:v>126.01325974400719</c:v>
                </c:pt>
                <c:pt idx="63">
                  <c:v>133.3857409740601</c:v>
                </c:pt>
                <c:pt idx="64">
                  <c:v>138.70338118459063</c:v>
                </c:pt>
                <c:pt idx="65">
                  <c:v>138.84616085851357</c:v>
                </c:pt>
                <c:pt idx="66">
                  <c:v>146.97351098899753</c:v>
                </c:pt>
                <c:pt idx="67">
                  <c:v>147.09465577331386</c:v>
                </c:pt>
                <c:pt idx="68">
                  <c:v>150.79328510750221</c:v>
                </c:pt>
                <c:pt idx="69">
                  <c:v>152.23967315301394</c:v>
                </c:pt>
                <c:pt idx="70">
                  <c:v>150.37766256458559</c:v>
                </c:pt>
                <c:pt idx="71">
                  <c:v>145.57891515302481</c:v>
                </c:pt>
                <c:pt idx="72">
                  <c:v>149.66919039861833</c:v>
                </c:pt>
                <c:pt idx="73">
                  <c:v>148.09998879750609</c:v>
                </c:pt>
                <c:pt idx="74">
                  <c:v>150.14053052952644</c:v>
                </c:pt>
                <c:pt idx="75">
                  <c:v>157.73582537876771</c:v>
                </c:pt>
                <c:pt idx="76">
                  <c:v>157.06290083442812</c:v>
                </c:pt>
                <c:pt idx="77">
                  <c:v>157.0733663948248</c:v>
                </c:pt>
                <c:pt idx="78">
                  <c:v>152.31154444120523</c:v>
                </c:pt>
                <c:pt idx="79">
                  <c:v>163.76638162873175</c:v>
                </c:pt>
                <c:pt idx="80">
                  <c:v>167.1079364618524</c:v>
                </c:pt>
                <c:pt idx="81">
                  <c:v>168.09899214329579</c:v>
                </c:pt>
                <c:pt idx="82">
                  <c:v>160.31854316277699</c:v>
                </c:pt>
                <c:pt idx="83">
                  <c:v>160.99110629550674</c:v>
                </c:pt>
                <c:pt idx="84">
                  <c:v>168.17576398257515</c:v>
                </c:pt>
                <c:pt idx="85">
                  <c:v>170.99521571056877</c:v>
                </c:pt>
                <c:pt idx="86">
                  <c:v>171.20216965201959</c:v>
                </c:pt>
                <c:pt idx="87">
                  <c:v>160.26151521217767</c:v>
                </c:pt>
                <c:pt idx="88">
                  <c:v>155.55559818759795</c:v>
                </c:pt>
                <c:pt idx="89">
                  <c:v>161.82982347311179</c:v>
                </c:pt>
                <c:pt idx="90">
                  <c:v>164.97203719453557</c:v>
                </c:pt>
                <c:pt idx="91">
                  <c:v>162.87486454404242</c:v>
                </c:pt>
                <c:pt idx="92">
                  <c:v>156.56402052682847</c:v>
                </c:pt>
                <c:pt idx="93">
                  <c:v>159.75636746150877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B-48D3-A7D3-D371033707F3}"/>
            </c:ext>
          </c:extLst>
        </c:ser>
        <c:ser>
          <c:idx val="1"/>
          <c:order val="1"/>
          <c:tx>
            <c:v>Mean</c:v>
          </c:tx>
          <c:spPr>
            <a:ln w="2222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fGBM!$G$4:$G$104</c:f>
              <c:numCache>
                <c:formatCode>#,##0.00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cat>
          <c:val>
            <c:numRef>
              <c:f>fGBM!$K$4:$K$104</c:f>
              <c:numCache>
                <c:formatCode>#,##0.00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95.814894534949389</c:v>
                </c:pt>
                <c:pt idx="6">
                  <c:v>94.252651185115013</c:v>
                </c:pt>
                <c:pt idx="7">
                  <c:v>93.576876192142791</c:v>
                </c:pt>
                <c:pt idx="8">
                  <c:v>92.430192415703019</c:v>
                </c:pt>
                <c:pt idx="9">
                  <c:v>90.615393488434734</c:v>
                </c:pt>
                <c:pt idx="10">
                  <c:v>90.323854139954094</c:v>
                </c:pt>
                <c:pt idx="11">
                  <c:v>90.673873197593053</c:v>
                </c:pt>
                <c:pt idx="12">
                  <c:v>91.690930216179794</c:v>
                </c:pt>
                <c:pt idx="13">
                  <c:v>93.551900506494903</c:v>
                </c:pt>
                <c:pt idx="14">
                  <c:v>96.713453372355758</c:v>
                </c:pt>
                <c:pt idx="15">
                  <c:v>99.798897113537294</c:v>
                </c:pt>
                <c:pt idx="16">
                  <c:v>102.6560714222552</c:v>
                </c:pt>
                <c:pt idx="17">
                  <c:v>103.88411039395882</c:v>
                </c:pt>
                <c:pt idx="18">
                  <c:v>104.56034857831546</c:v>
                </c:pt>
                <c:pt idx="19">
                  <c:v>104.2542261205875</c:v>
                </c:pt>
                <c:pt idx="20">
                  <c:v>103.86123560291564</c:v>
                </c:pt>
                <c:pt idx="21">
                  <c:v>103.08702612647383</c:v>
                </c:pt>
                <c:pt idx="22">
                  <c:v>103.02187580031232</c:v>
                </c:pt>
                <c:pt idx="23">
                  <c:v>103.44941655438103</c:v>
                </c:pt>
                <c:pt idx="24">
                  <c:v>104.12140891126879</c:v>
                </c:pt>
                <c:pt idx="25">
                  <c:v>104.04205076944326</c:v>
                </c:pt>
                <c:pt idx="26">
                  <c:v>103.85795391296793</c:v>
                </c:pt>
                <c:pt idx="27">
                  <c:v>102.83893267365784</c:v>
                </c:pt>
                <c:pt idx="28">
                  <c:v>101.15969561702757</c:v>
                </c:pt>
                <c:pt idx="29">
                  <c:v>100.42444678784295</c:v>
                </c:pt>
                <c:pt idx="30">
                  <c:v>100.00060584549021</c:v>
                </c:pt>
                <c:pt idx="31">
                  <c:v>97.721638406451007</c:v>
                </c:pt>
                <c:pt idx="32">
                  <c:v>96.377865195851967</c:v>
                </c:pt>
                <c:pt idx="33">
                  <c:v>95.141584729618955</c:v>
                </c:pt>
                <c:pt idx="34">
                  <c:v>93.606349969157577</c:v>
                </c:pt>
                <c:pt idx="35">
                  <c:v>93.082649518954412</c:v>
                </c:pt>
                <c:pt idx="36">
                  <c:v>95.520675822613015</c:v>
                </c:pt>
                <c:pt idx="37">
                  <c:v>98.858075851664879</c:v>
                </c:pt>
                <c:pt idx="38">
                  <c:v>102.09398004399486</c:v>
                </c:pt>
                <c:pt idx="39">
                  <c:v>104.93774963876642</c:v>
                </c:pt>
                <c:pt idx="40">
                  <c:v>106.36994835114074</c:v>
                </c:pt>
                <c:pt idx="41">
                  <c:v>107.08573922550951</c:v>
                </c:pt>
                <c:pt idx="42">
                  <c:v>107.60758826549124</c:v>
                </c:pt>
                <c:pt idx="43">
                  <c:v>108.83971701098672</c:v>
                </c:pt>
                <c:pt idx="44">
                  <c:v>108.59793730121574</c:v>
                </c:pt>
                <c:pt idx="45">
                  <c:v>109.50636679166958</c:v>
                </c:pt>
                <c:pt idx="46">
                  <c:v>110.29173434197295</c:v>
                </c:pt>
                <c:pt idx="47">
                  <c:v>111.44804175481981</c:v>
                </c:pt>
                <c:pt idx="48">
                  <c:v>112.03192449245094</c:v>
                </c:pt>
                <c:pt idx="49">
                  <c:v>113.8540523442327</c:v>
                </c:pt>
                <c:pt idx="50">
                  <c:v>115.03347895668803</c:v>
                </c:pt>
                <c:pt idx="51">
                  <c:v>115.7074192359391</c:v>
                </c:pt>
                <c:pt idx="52">
                  <c:v>115.19405522276585</c:v>
                </c:pt>
                <c:pt idx="53">
                  <c:v>115.74805160836516</c:v>
                </c:pt>
                <c:pt idx="54">
                  <c:v>116.76346240277246</c:v>
                </c:pt>
                <c:pt idx="55">
                  <c:v>118.04522288245758</c:v>
                </c:pt>
                <c:pt idx="56">
                  <c:v>119.80926673946408</c:v>
                </c:pt>
                <c:pt idx="57">
                  <c:v>122.44250811352876</c:v>
                </c:pt>
                <c:pt idx="58">
                  <c:v>122.13117700050262</c:v>
                </c:pt>
                <c:pt idx="59">
                  <c:v>122.84798684988205</c:v>
                </c:pt>
                <c:pt idx="60">
                  <c:v>122.89508648666303</c:v>
                </c:pt>
                <c:pt idx="61">
                  <c:v>123.65322914123624</c:v>
                </c:pt>
                <c:pt idx="62">
                  <c:v>123.37677912082356</c:v>
                </c:pt>
                <c:pt idx="63">
                  <c:v>126.71869622686128</c:v>
                </c:pt>
                <c:pt idx="64">
                  <c:v>129.70564398591543</c:v>
                </c:pt>
                <c:pt idx="65">
                  <c:v>133.03576315607918</c:v>
                </c:pt>
                <c:pt idx="66">
                  <c:v>136.7844107500338</c:v>
                </c:pt>
                <c:pt idx="67">
                  <c:v>141.00068995589515</c:v>
                </c:pt>
                <c:pt idx="68">
                  <c:v>144.48219878258357</c:v>
                </c:pt>
                <c:pt idx="69">
                  <c:v>147.18945717626826</c:v>
                </c:pt>
                <c:pt idx="70">
                  <c:v>149.49575751748262</c:v>
                </c:pt>
                <c:pt idx="71">
                  <c:v>149.21683835028807</c:v>
                </c:pt>
                <c:pt idx="72">
                  <c:v>149.73174527534894</c:v>
                </c:pt>
                <c:pt idx="73">
                  <c:v>149.19308601334973</c:v>
                </c:pt>
                <c:pt idx="74">
                  <c:v>148.77325748865226</c:v>
                </c:pt>
                <c:pt idx="75">
                  <c:v>150.24489005148865</c:v>
                </c:pt>
                <c:pt idx="76">
                  <c:v>152.54168718776933</c:v>
                </c:pt>
                <c:pt idx="77">
                  <c:v>154.02252238701061</c:v>
                </c:pt>
                <c:pt idx="78">
                  <c:v>154.86483351575046</c:v>
                </c:pt>
                <c:pt idx="79">
                  <c:v>157.59000373559152</c:v>
                </c:pt>
                <c:pt idx="80">
                  <c:v>159.46442595220847</c:v>
                </c:pt>
                <c:pt idx="81">
                  <c:v>161.67164421398201</c:v>
                </c:pt>
                <c:pt idx="82">
                  <c:v>162.32067956757243</c:v>
                </c:pt>
                <c:pt idx="83">
                  <c:v>164.05659193843275</c:v>
                </c:pt>
                <c:pt idx="84">
                  <c:v>164.93846840920142</c:v>
                </c:pt>
                <c:pt idx="85">
                  <c:v>165.71592425894468</c:v>
                </c:pt>
                <c:pt idx="86">
                  <c:v>166.33655976068945</c:v>
                </c:pt>
                <c:pt idx="87">
                  <c:v>166.32515417056959</c:v>
                </c:pt>
                <c:pt idx="88">
                  <c:v>165.23805254898781</c:v>
                </c:pt>
                <c:pt idx="89">
                  <c:v>163.96886444709517</c:v>
                </c:pt>
                <c:pt idx="90">
                  <c:v>162.76422874388851</c:v>
                </c:pt>
                <c:pt idx="91">
                  <c:v>161.09876772229308</c:v>
                </c:pt>
                <c:pt idx="92">
                  <c:v>160.35926878522326</c:v>
                </c:pt>
                <c:pt idx="93">
                  <c:v>161.19942264000542</c:v>
                </c:pt>
                <c:pt idx="94">
                  <c:v>163.51951585958952</c:v>
                </c:pt>
                <c:pt idx="95">
                  <c:v>167.16823665422345</c:v>
                </c:pt>
                <c:pt idx="96">
                  <c:v>173.67087696740714</c:v>
                </c:pt>
                <c:pt idx="97">
                  <c:v>182.76795699602218</c:v>
                </c:pt>
                <c:pt idx="98">
                  <c:v>190.00816111502166</c:v>
                </c:pt>
                <c:pt idx="99">
                  <c:v>193.92004467220198</c:v>
                </c:pt>
                <c:pt idx="100">
                  <c:v>195.9488014845349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5B-48D3-A7D3-D37103370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838592"/>
        <c:axId val="247918592"/>
      </c:lineChart>
      <c:catAx>
        <c:axId val="2478385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918592"/>
        <c:crosses val="autoZero"/>
        <c:auto val="1"/>
        <c:lblAlgn val="ctr"/>
        <c:lblOffset val="100"/>
        <c:noMultiLvlLbl val="0"/>
      </c:catAx>
      <c:valAx>
        <c:axId val="24791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3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47625</xdr:colOff>
      <xdr:row>1</xdr:row>
      <xdr:rowOff>209550</xdr:rowOff>
    </xdr:from>
    <xdr:to>
      <xdr:col>31</xdr:col>
      <xdr:colOff>38100</xdr:colOff>
      <xdr:row>20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95250</xdr:colOff>
      <xdr:row>20</xdr:row>
      <xdr:rowOff>71437</xdr:rowOff>
    </xdr:from>
    <xdr:ext cx="63286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704850" y="1500187"/>
              <a:ext cx="63286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~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704850" y="1500187"/>
              <a:ext cx="63286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𝑍~𝑁(0,𝑡)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95250</xdr:colOff>
      <xdr:row>21</xdr:row>
      <xdr:rowOff>147637</xdr:rowOff>
    </xdr:from>
    <xdr:ext cx="861326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704850" y="1766887"/>
              <a:ext cx="861326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~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(0,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704850" y="1766887"/>
              <a:ext cx="861326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𝑍_𝐻~𝑁(0,𝑡^2𝐻)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38100</xdr:colOff>
      <xdr:row>25</xdr:row>
      <xdr:rowOff>71437</xdr:rowOff>
    </xdr:from>
    <xdr:ext cx="1428211" cy="3223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647700" y="2452687"/>
              <a:ext cx="1428211" cy="3223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den>
                    </m:f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⇒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𝑥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𝑧</m:t>
                    </m:r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647700" y="2452687"/>
              <a:ext cx="1428211" cy="3223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𝑍=  ((𝑥−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𝜇))/𝜎 </a:t>
              </a:r>
              <a:r>
                <a:rPr lang="en-GB" sz="1100" b="0" i="0">
                  <a:latin typeface="Cambria Math" panose="02040503050406030204" pitchFamily="18" charset="0"/>
                </a:rPr>
                <a:t> 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⇒𝑥=𝑧𝜎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76200</xdr:colOff>
      <xdr:row>29</xdr:row>
      <xdr:rowOff>33337</xdr:rowOff>
    </xdr:from>
    <xdr:ext cx="533800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7372350" y="6796087"/>
              <a:ext cx="533800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ad>
                      <m:radPr>
                        <m:degHide m:val="o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7372350" y="6796087"/>
              <a:ext cx="533800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𝑥=𝑍√𝑡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285750</xdr:colOff>
      <xdr:row>28</xdr:row>
      <xdr:rowOff>176212</xdr:rowOff>
    </xdr:from>
    <xdr:ext cx="695960" cy="2176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8191500" y="6176962"/>
              <a:ext cx="695960" cy="2176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𝑍</m:t>
                    </m:r>
                    <m:rad>
                      <m:radPr>
                        <m:degHide m:val="o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8191500" y="6176962"/>
              <a:ext cx="695960" cy="2176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𝑥=𝑍√(𝑡^2𝐻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133350</xdr:colOff>
      <xdr:row>28</xdr:row>
      <xdr:rowOff>14287</xdr:rowOff>
    </xdr:from>
    <xdr:ext cx="4381500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7429500" y="5443537"/>
              <a:ext cx="438150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𝔼</m:t>
                    </m:r>
                    <m:d>
                      <m:dPr>
                        <m:begChr m:val="["/>
                        <m:endChr m:val="]"/>
                        <m:ctrlP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sup>
                        </m:sSubSup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𝐻</m:t>
                            </m:r>
                          </m:sup>
                        </m:sSubSup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begChr m:val="|"/>
                                <m:endChr m:val="|"/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e>
                            </m:d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</m:t>
                            </m:r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begChr m:val="|"/>
                                <m:endChr m:val="|"/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</m:d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𝐻</m:t>
                            </m:r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begChr m:val="|"/>
                                <m:endChr m:val="|"/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e>
                            </m:d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𝐻</m:t>
                            </m:r>
                          </m:sup>
                        </m:sSup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𝑤h𝑒𝑟𝑒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&gt;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≥0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7429500" y="5443537"/>
              <a:ext cx="438150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𝔼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[𝑊_𝑠^𝐻,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𝑊_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^𝐻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]=1/2 (|𝑠|^2𝐻+|𝑡|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^2𝐻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−|𝑡−𝑠|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^2𝐻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), 𝑤ℎ𝑒𝑟𝑒 𝑡&gt;𝑠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≥0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14</xdr:col>
      <xdr:colOff>0</xdr:colOff>
      <xdr:row>1</xdr:row>
      <xdr:rowOff>200025</xdr:rowOff>
    </xdr:from>
    <xdr:to>
      <xdr:col>21</xdr:col>
      <xdr:colOff>600075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2:V104"/>
  <sheetViews>
    <sheetView showGridLines="0" tabSelected="1" workbookViewId="0"/>
  </sheetViews>
  <sheetFormatPr defaultRowHeight="15"/>
  <cols>
    <col min="1" max="1" width="4.7109375" customWidth="1"/>
    <col min="3" max="3" width="8.85546875" customWidth="1"/>
    <col min="6" max="6" width="4.7109375" customWidth="1"/>
    <col min="14" max="14" width="4.7109375" customWidth="1"/>
    <col min="23" max="23" width="4.7109375" customWidth="1"/>
  </cols>
  <sheetData>
    <row r="2" spans="2:13" ht="18">
      <c r="B2" s="1" t="s">
        <v>14</v>
      </c>
      <c r="G2" s="1" t="s">
        <v>6</v>
      </c>
      <c r="L2" s="2"/>
    </row>
    <row r="3" spans="2:13" ht="18.75" thickBot="1">
      <c r="B3" t="s">
        <v>11</v>
      </c>
      <c r="C3" s="4">
        <v>100</v>
      </c>
      <c r="G3" s="23" t="s">
        <v>0</v>
      </c>
      <c r="H3" s="23" t="s">
        <v>1</v>
      </c>
      <c r="I3" s="23" t="s">
        <v>9</v>
      </c>
      <c r="J3" s="23" t="s">
        <v>10</v>
      </c>
      <c r="K3" s="23" t="s">
        <v>30</v>
      </c>
      <c r="L3" s="23" t="s">
        <v>7</v>
      </c>
      <c r="M3" s="24" t="s">
        <v>8</v>
      </c>
    </row>
    <row r="4" spans="2:13" ht="15.75" thickTop="1">
      <c r="B4" s="7" t="s">
        <v>5</v>
      </c>
      <c r="C4" s="5">
        <v>0.05</v>
      </c>
      <c r="G4" s="6">
        <v>0</v>
      </c>
      <c r="H4" s="21">
        <f ca="1">NORMSINV(RAND())</f>
        <v>1.9448755417663235</v>
      </c>
      <c r="I4" s="21">
        <f t="shared" ref="I4:I35" ca="1" si="0">$H4*SQRT(dt^(2*H))</f>
        <v>0.24484532423065736</v>
      </c>
      <c r="J4" s="6">
        <f>S0</f>
        <v>100</v>
      </c>
      <c r="K4" s="6" t="e">
        <f>NA()</f>
        <v>#N/A</v>
      </c>
      <c r="L4" s="21">
        <f t="shared" ref="L4:L35" ca="1" si="1">$H4*SQRT(dt^(2*BM))</f>
        <v>0.61502364775355189</v>
      </c>
      <c r="M4" s="6">
        <f>S0</f>
        <v>100</v>
      </c>
    </row>
    <row r="5" spans="2:13">
      <c r="B5" s="7" t="s">
        <v>2</v>
      </c>
      <c r="C5" s="5">
        <v>0.25</v>
      </c>
      <c r="G5" s="6">
        <f t="shared" ref="G5:G36" si="2">G4+dt</f>
        <v>0.1</v>
      </c>
      <c r="H5" s="21">
        <f t="shared" ref="H5:H68" ca="1" si="3">NORMSINV(RAND())</f>
        <v>4.872155393001407E-3</v>
      </c>
      <c r="I5" s="21">
        <f t="shared" ca="1" si="0"/>
        <v>6.133680234459471E-4</v>
      </c>
      <c r="J5" s="6">
        <f t="shared" ref="J5:J36" ca="1" si="4">J4+(mu*J4*dt)+(sigma*J4*I5)</f>
        <v>100.51533420058615</v>
      </c>
      <c r="K5" s="6" t="e">
        <f>NA()</f>
        <v>#N/A</v>
      </c>
      <c r="L5" s="21">
        <f t="shared" ca="1" si="1"/>
        <v>1.5407108156157241E-3</v>
      </c>
      <c r="M5" s="6">
        <f t="shared" ref="M5:M36" ca="1" si="5">M4+(mu*M4*dt)+(sigma*M4*L5)</f>
        <v>100.5385177703904</v>
      </c>
    </row>
    <row r="6" spans="2:13">
      <c r="B6" t="s">
        <v>3</v>
      </c>
      <c r="C6" s="4">
        <v>0.1</v>
      </c>
      <c r="G6" s="6">
        <f t="shared" si="2"/>
        <v>0.2</v>
      </c>
      <c r="H6" s="21">
        <f t="shared" ca="1" si="3"/>
        <v>-1.582550838127861</v>
      </c>
      <c r="I6" s="21">
        <f t="shared" ca="1" si="0"/>
        <v>-0.19923134655753225</v>
      </c>
      <c r="J6" s="6">
        <f t="shared" ca="1" si="4"/>
        <v>96.011459525973294</v>
      </c>
      <c r="K6" s="6" t="e">
        <f>NA()</f>
        <v>#N/A</v>
      </c>
      <c r="L6" s="21">
        <f t="shared" ca="1" si="1"/>
        <v>-0.50044651614924796</v>
      </c>
      <c r="M6" s="6">
        <f t="shared" ca="1" si="5"/>
        <v>88.462672619992077</v>
      </c>
    </row>
    <row r="7" spans="2:13">
      <c r="G7" s="6">
        <f t="shared" si="2"/>
        <v>0.30000000000000004</v>
      </c>
      <c r="H7" s="21">
        <f t="shared" ca="1" si="3"/>
        <v>-0.26507731477044633</v>
      </c>
      <c r="I7" s="21">
        <f t="shared" ca="1" si="0"/>
        <v>-3.3371256765467629E-2</v>
      </c>
      <c r="J7" s="6">
        <f t="shared" ca="1" si="4"/>
        <v>95.690511056536025</v>
      </c>
      <c r="K7" s="6" t="e">
        <f>NA()</f>
        <v>#N/A</v>
      </c>
      <c r="L7" s="21">
        <f t="shared" ca="1" si="1"/>
        <v>-8.3824807071600407E-2</v>
      </c>
      <c r="M7" s="6">
        <f t="shared" ca="1" si="5"/>
        <v>87.051144366739791</v>
      </c>
    </row>
    <row r="8" spans="2:13">
      <c r="B8" t="s">
        <v>13</v>
      </c>
      <c r="G8" s="6">
        <f t="shared" si="2"/>
        <v>0.4</v>
      </c>
      <c r="H8" s="21">
        <f t="shared" ca="1" si="3"/>
        <v>-0.13039709185495174</v>
      </c>
      <c r="I8" s="21">
        <f t="shared" ca="1" si="0"/>
        <v>-1.64160212560257E-2</v>
      </c>
      <c r="J8" s="6">
        <f t="shared" ca="1" si="4"/>
        <v>95.776249245942694</v>
      </c>
      <c r="K8" s="6" t="e">
        <f>NA()</f>
        <v>#N/A</v>
      </c>
      <c r="L8" s="21">
        <f t="shared" ca="1" si="1"/>
        <v>-4.1235181052383801E-2</v>
      </c>
      <c r="M8" s="6">
        <f t="shared" ca="1" si="5"/>
        <v>86.589007663878562</v>
      </c>
    </row>
    <row r="9" spans="2:13">
      <c r="B9" s="8" t="s">
        <v>12</v>
      </c>
      <c r="C9" s="4">
        <v>0.9</v>
      </c>
      <c r="D9" s="10" t="str">
        <f>IF(H=0.5,"Brownian Motion",IF(H&lt;0.5,"Mean Reverting","Trending"))</f>
        <v>Trending</v>
      </c>
      <c r="G9" s="6">
        <f t="shared" si="2"/>
        <v>0.5</v>
      </c>
      <c r="H9" s="21">
        <f t="shared" ca="1" si="3"/>
        <v>-1.7165101345895708</v>
      </c>
      <c r="I9" s="21">
        <f t="shared" ca="1" si="0"/>
        <v>-0.21609582280370374</v>
      </c>
      <c r="J9" s="6">
        <f t="shared" ca="1" si="4"/>
        <v>91.080918645708763</v>
      </c>
      <c r="K9" s="6">
        <f t="shared" ref="K9:K40" ca="1" si="6">AVERAGE(J5:J9)</f>
        <v>95.814894534949389</v>
      </c>
      <c r="L9" s="21">
        <f t="shared" ca="1" si="1"/>
        <v>-0.54280816520652175</v>
      </c>
      <c r="M9" s="6">
        <f t="shared" ca="1" si="5"/>
        <v>75.271647607927108</v>
      </c>
    </row>
    <row r="10" spans="2:13">
      <c r="B10" s="9" t="s">
        <v>4</v>
      </c>
      <c r="C10" s="6">
        <v>0.5</v>
      </c>
      <c r="G10" s="6">
        <f t="shared" si="2"/>
        <v>0.6</v>
      </c>
      <c r="H10" s="21">
        <f t="shared" ca="1" si="3"/>
        <v>0.40737925313484491</v>
      </c>
      <c r="I10" s="21">
        <f t="shared" ca="1" si="0"/>
        <v>5.1286009400918507E-2</v>
      </c>
      <c r="J10" s="6">
        <f t="shared" ca="1" si="4"/>
        <v>92.704117451414348</v>
      </c>
      <c r="K10" s="6">
        <f t="shared" ca="1" si="6"/>
        <v>94.252651185115013</v>
      </c>
      <c r="L10" s="21">
        <f t="shared" ca="1" si="1"/>
        <v>0.12882463114043993</v>
      </c>
      <c r="M10" s="6">
        <f t="shared" ca="1" si="5"/>
        <v>78.072216405572831</v>
      </c>
    </row>
    <row r="11" spans="2:13">
      <c r="G11" s="6">
        <f t="shared" si="2"/>
        <v>0.7</v>
      </c>
      <c r="H11" s="21">
        <f t="shared" ca="1" si="3"/>
        <v>-0.18338261384582102</v>
      </c>
      <c r="I11" s="21">
        <f t="shared" ca="1" si="0"/>
        <v>-2.3086503265174106E-2</v>
      </c>
      <c r="J11" s="6">
        <f t="shared" ca="1" si="4"/>
        <v>92.632584561112125</v>
      </c>
      <c r="K11" s="6">
        <f t="shared" ca="1" si="6"/>
        <v>93.576876192142791</v>
      </c>
      <c r="L11" s="21">
        <f t="shared" ca="1" si="1"/>
        <v>-5.7990674302792436E-2</v>
      </c>
      <c r="M11" s="6">
        <f t="shared" ca="1" si="5"/>
        <v>77.330712369182521</v>
      </c>
    </row>
    <row r="12" spans="2:13">
      <c r="B12" s="25" t="s">
        <v>31</v>
      </c>
      <c r="C12" s="6">
        <f>2*H-1</f>
        <v>0.8</v>
      </c>
      <c r="G12" s="6">
        <f t="shared" si="2"/>
        <v>0.79999999999999993</v>
      </c>
      <c r="H12" s="21">
        <f t="shared" ca="1" si="3"/>
        <v>-1.076563951347949</v>
      </c>
      <c r="I12" s="21">
        <f t="shared" ca="1" si="0"/>
        <v>-0.13553137157734729</v>
      </c>
      <c r="J12" s="6">
        <f t="shared" ca="1" si="4"/>
        <v>89.957092174337163</v>
      </c>
      <c r="K12" s="6">
        <f t="shared" ca="1" si="6"/>
        <v>92.430192415703019</v>
      </c>
      <c r="L12" s="21">
        <f t="shared" ca="1" si="1"/>
        <v>-0.34043941330902172</v>
      </c>
      <c r="M12" s="6">
        <f t="shared" ca="1" si="5"/>
        <v>71.135760343595138</v>
      </c>
    </row>
    <row r="13" spans="2:13">
      <c r="B13" t="s">
        <v>29</v>
      </c>
      <c r="C13" s="6">
        <f>LN(2)/H</f>
        <v>0.77016353395549475</v>
      </c>
      <c r="G13" s="6">
        <f t="shared" si="2"/>
        <v>0.89999999999999991</v>
      </c>
      <c r="H13" s="21">
        <f t="shared" ca="1" si="3"/>
        <v>-1.3084845661960109</v>
      </c>
      <c r="I13" s="21">
        <f t="shared" ca="1" si="0"/>
        <v>-0.16472844713246257</v>
      </c>
      <c r="J13" s="6">
        <f t="shared" ca="1" si="4"/>
        <v>86.702254609601255</v>
      </c>
      <c r="K13" s="6">
        <f t="shared" ca="1" si="6"/>
        <v>90.615393488434734</v>
      </c>
      <c r="L13" s="21">
        <f t="shared" ca="1" si="1"/>
        <v>-0.41377915123567582</v>
      </c>
      <c r="M13" s="6">
        <f t="shared" ca="1" si="5"/>
        <v>64.1328155109438</v>
      </c>
    </row>
    <row r="14" spans="2:13">
      <c r="G14" s="6">
        <f t="shared" si="2"/>
        <v>0.99999999999999989</v>
      </c>
      <c r="H14" s="21">
        <f t="shared" ca="1" si="3"/>
        <v>0.91155947846524099</v>
      </c>
      <c r="I14" s="21">
        <f t="shared" ca="1" si="0"/>
        <v>0.11475853918017301</v>
      </c>
      <c r="J14" s="6">
        <f t="shared" ca="1" si="4"/>
        <v>89.623221903305577</v>
      </c>
      <c r="K14" s="6">
        <f t="shared" ca="1" si="6"/>
        <v>90.323854139954094</v>
      </c>
      <c r="L14" s="21">
        <f t="shared" ca="1" si="1"/>
        <v>0.28826041746653708</v>
      </c>
      <c r="M14" s="6">
        <f t="shared" ca="1" si="5"/>
        <v>69.075217631620788</v>
      </c>
    </row>
    <row r="15" spans="2:13">
      <c r="B15" s="11" t="s">
        <v>17</v>
      </c>
      <c r="C15" s="12"/>
      <c r="D15" s="12"/>
      <c r="E15" s="13"/>
      <c r="G15" s="6">
        <f t="shared" si="2"/>
        <v>1.0999999999999999</v>
      </c>
      <c r="H15" s="21">
        <f t="shared" ca="1" si="3"/>
        <v>1.5538120905773838</v>
      </c>
      <c r="I15" s="21">
        <f t="shared" ca="1" si="0"/>
        <v>0.19561335259808893</v>
      </c>
      <c r="J15" s="6">
        <f t="shared" ca="1" si="4"/>
        <v>94.454212739609133</v>
      </c>
      <c r="K15" s="6">
        <f t="shared" ca="1" si="6"/>
        <v>90.673873197593053</v>
      </c>
      <c r="L15" s="21">
        <f t="shared" ca="1" si="1"/>
        <v>0.49135852621323872</v>
      </c>
      <c r="M15" s="6">
        <f t="shared" ca="1" si="5"/>
        <v>77.905768003111874</v>
      </c>
    </row>
    <row r="16" spans="2:13">
      <c r="B16" s="14" t="s">
        <v>24</v>
      </c>
      <c r="C16" s="15"/>
      <c r="D16" s="15"/>
      <c r="E16" s="16"/>
      <c r="G16" s="6">
        <f t="shared" si="2"/>
        <v>1.2</v>
      </c>
      <c r="H16" s="21">
        <f t="shared" ca="1" si="3"/>
        <v>0.93898473384734837</v>
      </c>
      <c r="I16" s="21">
        <f t="shared" ca="1" si="0"/>
        <v>0.11821117427272099</v>
      </c>
      <c r="J16" s="6">
        <f t="shared" ca="1" si="4"/>
        <v>97.717869654045828</v>
      </c>
      <c r="K16" s="6">
        <f t="shared" ca="1" si="6"/>
        <v>91.690930216179794</v>
      </c>
      <c r="L16" s="21">
        <f t="shared" ca="1" si="1"/>
        <v>0.29693304470846216</v>
      </c>
      <c r="M16" s="6">
        <f t="shared" ca="1" si="5"/>
        <v>84.078496066506204</v>
      </c>
    </row>
    <row r="17" spans="2:22">
      <c r="B17" s="17" t="s">
        <v>23</v>
      </c>
      <c r="C17" s="18"/>
      <c r="D17" s="18"/>
      <c r="E17" s="19"/>
      <c r="G17" s="6">
        <f t="shared" si="2"/>
        <v>1.3</v>
      </c>
      <c r="H17" s="21">
        <f t="shared" ca="1" si="3"/>
        <v>0.34319259754981174</v>
      </c>
      <c r="I17" s="21">
        <f t="shared" ca="1" si="0"/>
        <v>4.3205388219510678E-2</v>
      </c>
      <c r="J17" s="6">
        <f t="shared" ca="1" si="4"/>
        <v>99.261943625912693</v>
      </c>
      <c r="K17" s="6">
        <f t="shared" ca="1" si="6"/>
        <v>93.551900506494903</v>
      </c>
      <c r="L17" s="21">
        <f t="shared" ca="1" si="1"/>
        <v>0.10852702843669269</v>
      </c>
      <c r="M17" s="6">
        <f t="shared" ca="1" si="5"/>
        <v>86.780085880219758</v>
      </c>
    </row>
    <row r="18" spans="2:22">
      <c r="G18" s="6">
        <f t="shared" si="2"/>
        <v>1.4000000000000001</v>
      </c>
      <c r="H18" s="21">
        <f t="shared" ca="1" si="3"/>
        <v>0.8808230133314201</v>
      </c>
      <c r="I18" s="21">
        <f t="shared" ca="1" si="0"/>
        <v>0.11088904747760375</v>
      </c>
      <c r="J18" s="6">
        <f t="shared" ca="1" si="4"/>
        <v>102.51001893890552</v>
      </c>
      <c r="K18" s="6">
        <f t="shared" ca="1" si="6"/>
        <v>96.713453372355758</v>
      </c>
      <c r="L18" s="21">
        <f t="shared" ca="1" si="1"/>
        <v>0.27854069376201446</v>
      </c>
      <c r="M18" s="6">
        <f t="shared" ca="1" si="5"/>
        <v>93.256932641071757</v>
      </c>
    </row>
    <row r="19" spans="2:22">
      <c r="B19" s="1" t="s">
        <v>19</v>
      </c>
      <c r="G19" s="22">
        <f t="shared" si="2"/>
        <v>1.5000000000000002</v>
      </c>
      <c r="H19" s="21">
        <f t="shared" ca="1" si="3"/>
        <v>0.62854174277906727</v>
      </c>
      <c r="I19" s="21">
        <f t="shared" ca="1" si="0"/>
        <v>7.9128717235796106E-2</v>
      </c>
      <c r="J19" s="6">
        <f t="shared" ca="1" si="4"/>
        <v>105.05044060921324</v>
      </c>
      <c r="K19" s="6">
        <f t="shared" ca="1" si="6"/>
        <v>99.798897113537294</v>
      </c>
      <c r="L19" s="21">
        <f t="shared" ca="1" si="1"/>
        <v>0.19876235116735441</v>
      </c>
      <c r="M19" s="6">
        <f t="shared" ca="1" si="5"/>
        <v>98.357209102875871</v>
      </c>
    </row>
    <row r="20" spans="2:22">
      <c r="B20" s="20" t="s">
        <v>15</v>
      </c>
      <c r="C20" s="12"/>
      <c r="D20" s="12"/>
      <c r="E20" s="13"/>
      <c r="G20" s="22">
        <f t="shared" si="2"/>
        <v>1.6000000000000003</v>
      </c>
      <c r="H20" s="21">
        <f t="shared" ca="1" si="3"/>
        <v>0.95708898563814904</v>
      </c>
      <c r="I20" s="21">
        <f t="shared" ca="1" si="0"/>
        <v>0.12049036453681689</v>
      </c>
      <c r="J20" s="6">
        <f t="shared" ca="1" si="4"/>
        <v>108.74008428319864</v>
      </c>
      <c r="K20" s="6">
        <f t="shared" ca="1" si="6"/>
        <v>102.6560714222552</v>
      </c>
      <c r="L20" s="21">
        <f t="shared" ca="1" si="1"/>
        <v>0.30265811180767338</v>
      </c>
      <c r="M20" s="6">
        <f t="shared" ca="1" si="5"/>
        <v>106.29114694582748</v>
      </c>
    </row>
    <row r="21" spans="2:22">
      <c r="B21" s="14"/>
      <c r="C21" s="15"/>
      <c r="D21" s="15"/>
      <c r="E21" s="16"/>
      <c r="G21" s="22">
        <f t="shared" si="2"/>
        <v>1.7000000000000004</v>
      </c>
      <c r="H21" s="21">
        <f t="shared" ca="1" si="3"/>
        <v>-1.585359353239103</v>
      </c>
      <c r="I21" s="21">
        <f t="shared" ca="1" si="0"/>
        <v>-0.19958491766182729</v>
      </c>
      <c r="J21" s="6">
        <f t="shared" ca="1" si="4"/>
        <v>103.85806451256404</v>
      </c>
      <c r="K21" s="6">
        <f t="shared" ca="1" si="6"/>
        <v>103.88411039395882</v>
      </c>
      <c r="L21" s="21">
        <f t="shared" ca="1" si="1"/>
        <v>-0.50133464660870064</v>
      </c>
      <c r="M21" s="6">
        <f t="shared" ca="1" si="5"/>
        <v>93.500744032626642</v>
      </c>
    </row>
    <row r="22" spans="2:22">
      <c r="B22" s="14"/>
      <c r="C22" s="15"/>
      <c r="D22" s="15"/>
      <c r="E22" s="16"/>
      <c r="G22" s="22">
        <f t="shared" si="2"/>
        <v>1.8000000000000005</v>
      </c>
      <c r="H22" s="21">
        <f t="shared" ca="1" si="3"/>
        <v>-0.5305472024741793</v>
      </c>
      <c r="I22" s="21">
        <f t="shared" ca="1" si="0"/>
        <v>-6.6791935535104971E-2</v>
      </c>
      <c r="J22" s="6">
        <f t="shared" ca="1" si="4"/>
        <v>102.64313454769588</v>
      </c>
      <c r="K22" s="6">
        <f t="shared" ca="1" si="6"/>
        <v>104.56034857831546</v>
      </c>
      <c r="L22" s="21">
        <f t="shared" ca="1" si="1"/>
        <v>-0.16777375660489272</v>
      </c>
      <c r="M22" s="6">
        <f t="shared" ca="1" si="5"/>
        <v>90.046504984863205</v>
      </c>
      <c r="O22" s="1" t="s">
        <v>20</v>
      </c>
    </row>
    <row r="23" spans="2:22">
      <c r="B23" s="14"/>
      <c r="C23" s="15"/>
      <c r="D23" s="15"/>
      <c r="E23" s="16"/>
      <c r="G23" s="22">
        <f t="shared" si="2"/>
        <v>1.9000000000000006</v>
      </c>
      <c r="H23" s="21">
        <f t="shared" ca="1" si="3"/>
        <v>-0.6738717599794003</v>
      </c>
      <c r="I23" s="21">
        <f t="shared" ca="1" si="0"/>
        <v>-8.4835428292852691E-2</v>
      </c>
      <c r="J23" s="6">
        <f t="shared" ca="1" si="4"/>
        <v>100.97940665026569</v>
      </c>
      <c r="K23" s="6">
        <f t="shared" ca="1" si="6"/>
        <v>104.2542261205875</v>
      </c>
      <c r="L23" s="21">
        <f t="shared" ca="1" si="1"/>
        <v>-0.21309696124012056</v>
      </c>
      <c r="M23" s="6">
        <f t="shared" ca="1" si="5"/>
        <v>85.699578364145594</v>
      </c>
      <c r="O23" s="20" t="s">
        <v>21</v>
      </c>
      <c r="P23" s="12"/>
      <c r="Q23" s="12"/>
      <c r="R23" s="12"/>
      <c r="S23" s="12"/>
      <c r="T23" s="12"/>
      <c r="U23" s="12"/>
      <c r="V23" s="13"/>
    </row>
    <row r="24" spans="2:22">
      <c r="B24" s="14"/>
      <c r="C24" s="15"/>
      <c r="D24" s="15"/>
      <c r="E24" s="16"/>
      <c r="G24" s="22">
        <f t="shared" si="2"/>
        <v>2.0000000000000004</v>
      </c>
      <c r="H24" s="21">
        <f t="shared" ca="1" si="3"/>
        <v>0.50381200299584461</v>
      </c>
      <c r="I24" s="21">
        <f t="shared" ca="1" si="0"/>
        <v>6.3426173333838806E-2</v>
      </c>
      <c r="J24" s="6">
        <f t="shared" ca="1" si="4"/>
        <v>103.085488020854</v>
      </c>
      <c r="K24" s="6">
        <f t="shared" ca="1" si="6"/>
        <v>103.86123560291564</v>
      </c>
      <c r="L24" s="21">
        <f t="shared" ca="1" si="1"/>
        <v>0.15931934419984439</v>
      </c>
      <c r="M24" s="6">
        <f t="shared" ca="1" si="5"/>
        <v>89.541476411761039</v>
      </c>
      <c r="O24" s="14" t="s">
        <v>22</v>
      </c>
      <c r="P24" s="15"/>
      <c r="Q24" s="15"/>
      <c r="R24" s="15"/>
      <c r="S24" s="15"/>
      <c r="T24" s="15"/>
      <c r="U24" s="15"/>
      <c r="V24" s="16"/>
    </row>
    <row r="25" spans="2:22">
      <c r="B25" s="14" t="s">
        <v>18</v>
      </c>
      <c r="C25" s="15"/>
      <c r="D25" s="15"/>
      <c r="E25" s="16"/>
      <c r="G25" s="22">
        <f t="shared" si="2"/>
        <v>2.1000000000000005</v>
      </c>
      <c r="H25" s="21">
        <f t="shared" ca="1" si="3"/>
        <v>0.39086186978024784</v>
      </c>
      <c r="I25" s="21">
        <f t="shared" ca="1" si="0"/>
        <v>4.9206594036773681E-2</v>
      </c>
      <c r="J25" s="6">
        <f t="shared" ca="1" si="4"/>
        <v>104.86903690098949</v>
      </c>
      <c r="K25" s="6">
        <f t="shared" ca="1" si="6"/>
        <v>103.08702612647383</v>
      </c>
      <c r="L25" s="21">
        <f t="shared" ca="1" si="1"/>
        <v>0.12360137590177199</v>
      </c>
      <c r="M25" s="6">
        <f t="shared" ca="1" si="5"/>
        <v>92.756046215012276</v>
      </c>
      <c r="O25" s="14" t="s">
        <v>25</v>
      </c>
      <c r="P25" s="15"/>
      <c r="Q25" s="15"/>
      <c r="R25" s="15"/>
      <c r="S25" s="15"/>
      <c r="T25" s="15"/>
      <c r="U25" s="15"/>
      <c r="V25" s="16"/>
    </row>
    <row r="26" spans="2:22">
      <c r="B26" s="14"/>
      <c r="C26" s="15"/>
      <c r="D26" s="15"/>
      <c r="E26" s="16"/>
      <c r="G26" s="22">
        <f t="shared" si="2"/>
        <v>2.2000000000000006</v>
      </c>
      <c r="H26" s="21">
        <f t="shared" ca="1" si="3"/>
        <v>-0.56386512510858788</v>
      </c>
      <c r="I26" s="21">
        <f t="shared" ca="1" si="0"/>
        <v>-7.0986413482369878E-2</v>
      </c>
      <c r="J26" s="6">
        <f t="shared" ca="1" si="4"/>
        <v>103.53231288175655</v>
      </c>
      <c r="K26" s="6">
        <f t="shared" ca="1" si="6"/>
        <v>103.02187580031232</v>
      </c>
      <c r="L26" s="21">
        <f t="shared" ca="1" si="1"/>
        <v>-0.17830980884789357</v>
      </c>
      <c r="M26" s="6">
        <f t="shared" ca="1" si="5"/>
        <v>89.084998228566036</v>
      </c>
      <c r="O26" s="17" t="s">
        <v>26</v>
      </c>
      <c r="P26" s="18"/>
      <c r="Q26" s="18"/>
      <c r="R26" s="18"/>
      <c r="S26" s="18"/>
      <c r="T26" s="18"/>
      <c r="U26" s="18"/>
      <c r="V26" s="19"/>
    </row>
    <row r="27" spans="2:22">
      <c r="B27" s="14"/>
      <c r="C27" s="15"/>
      <c r="D27" s="15"/>
      <c r="E27" s="16"/>
      <c r="G27" s="22">
        <f t="shared" si="2"/>
        <v>2.3000000000000007</v>
      </c>
      <c r="H27" s="21">
        <f t="shared" ca="1" si="3"/>
        <v>0.22429550466337453</v>
      </c>
      <c r="I27" s="21">
        <f t="shared" ca="1" si="0"/>
        <v>2.8237131057191941E-2</v>
      </c>
      <c r="J27" s="6">
        <f t="shared" ca="1" si="4"/>
        <v>104.78083831803943</v>
      </c>
      <c r="K27" s="6">
        <f t="shared" ca="1" si="6"/>
        <v>103.44941655438103</v>
      </c>
      <c r="L27" s="21">
        <f t="shared" ca="1" si="1"/>
        <v>7.0928466367318185E-2</v>
      </c>
      <c r="M27" s="6">
        <f t="shared" ca="1" si="5"/>
        <v>91.110088794880724</v>
      </c>
    </row>
    <row r="28" spans="2:22">
      <c r="B28" s="14"/>
      <c r="C28" s="15"/>
      <c r="D28" s="15"/>
      <c r="E28" s="16"/>
      <c r="G28" s="22">
        <f t="shared" si="2"/>
        <v>2.4000000000000008</v>
      </c>
      <c r="H28" s="21">
        <f t="shared" ca="1" si="3"/>
        <v>-0.29273439575139532</v>
      </c>
      <c r="I28" s="21">
        <f t="shared" ca="1" si="0"/>
        <v>-3.6853076971764216E-2</v>
      </c>
      <c r="J28" s="6">
        <f t="shared" ca="1" si="4"/>
        <v>104.33936843470445</v>
      </c>
      <c r="K28" s="6">
        <f t="shared" ca="1" si="6"/>
        <v>104.12140891126879</v>
      </c>
      <c r="L28" s="21">
        <f t="shared" ca="1" si="1"/>
        <v>-9.2570744004752681E-2</v>
      </c>
      <c r="M28" s="6">
        <f t="shared" ca="1" si="5"/>
        <v>89.457107062334828</v>
      </c>
      <c r="O28" s="1" t="s">
        <v>27</v>
      </c>
    </row>
    <row r="29" spans="2:22">
      <c r="B29" s="14" t="s">
        <v>28</v>
      </c>
      <c r="C29" s="15"/>
      <c r="D29" s="15"/>
      <c r="E29" s="16"/>
      <c r="G29" s="22">
        <f t="shared" si="2"/>
        <v>2.5000000000000009</v>
      </c>
      <c r="H29" s="21">
        <f t="shared" ca="1" si="3"/>
        <v>-0.66152334897838816</v>
      </c>
      <c r="I29" s="21">
        <f t="shared" ca="1" si="0"/>
        <v>-8.3280855452407418E-2</v>
      </c>
      <c r="J29" s="6">
        <f t="shared" ca="1" si="4"/>
        <v>102.68869731172646</v>
      </c>
      <c r="K29" s="6">
        <f t="shared" ca="1" si="6"/>
        <v>104.04205076944326</v>
      </c>
      <c r="L29" s="21">
        <f t="shared" ca="1" si="1"/>
        <v>-0.20919205081541276</v>
      </c>
      <c r="M29" s="6">
        <f t="shared" ca="1" si="5"/>
        <v>85.225963676050569</v>
      </c>
      <c r="O29" s="20"/>
      <c r="P29" s="12"/>
      <c r="Q29" s="12"/>
      <c r="R29" s="12"/>
      <c r="S29" s="12"/>
      <c r="T29" s="12"/>
      <c r="U29" s="12"/>
      <c r="V29" s="13"/>
    </row>
    <row r="30" spans="2:22">
      <c r="B30" s="14"/>
      <c r="C30" s="15" t="s">
        <v>16</v>
      </c>
      <c r="D30" s="15"/>
      <c r="E30" s="16"/>
      <c r="G30" s="22">
        <f t="shared" si="2"/>
        <v>2.600000000000001</v>
      </c>
      <c r="H30" s="21">
        <f t="shared" ca="1" si="3"/>
        <v>0.23094887719468504</v>
      </c>
      <c r="I30" s="21">
        <f t="shared" ca="1" si="0"/>
        <v>2.907474103257195E-2</v>
      </c>
      <c r="J30" s="6">
        <f t="shared" ca="1" si="4"/>
        <v>103.94855261861274</v>
      </c>
      <c r="K30" s="6">
        <f t="shared" ca="1" si="6"/>
        <v>103.85795391296793</v>
      </c>
      <c r="L30" s="21">
        <f t="shared" ca="1" si="1"/>
        <v>7.3032447499372308E-2</v>
      </c>
      <c r="M30" s="6">
        <f t="shared" ca="1" si="5"/>
        <v>87.208158673869463</v>
      </c>
      <c r="O30" s="17"/>
      <c r="P30" s="18"/>
      <c r="Q30" s="18"/>
      <c r="R30" s="18"/>
      <c r="S30" s="18"/>
      <c r="T30" s="18"/>
      <c r="U30" s="18"/>
      <c r="V30" s="19"/>
    </row>
    <row r="31" spans="2:22">
      <c r="B31" s="17"/>
      <c r="C31" s="18"/>
      <c r="D31" s="18"/>
      <c r="E31" s="19"/>
      <c r="G31" s="22">
        <f t="shared" si="2"/>
        <v>2.7000000000000011</v>
      </c>
      <c r="H31" s="21">
        <f t="shared" ca="1" si="3"/>
        <v>-1.8434750333977643</v>
      </c>
      <c r="I31" s="21">
        <f t="shared" ca="1" si="0"/>
        <v>-0.23207975655525473</v>
      </c>
      <c r="J31" s="6">
        <f t="shared" ca="1" si="4"/>
        <v>98.437206685206121</v>
      </c>
      <c r="K31" s="6">
        <f t="shared" ca="1" si="6"/>
        <v>102.83893267365784</v>
      </c>
      <c r="L31" s="21">
        <f t="shared" ca="1" si="1"/>
        <v>-0.5829579915191907</v>
      </c>
      <c r="M31" s="6">
        <f t="shared" ca="1" si="5"/>
        <v>74.934526211087345</v>
      </c>
    </row>
    <row r="32" spans="2:22">
      <c r="G32" s="22">
        <f t="shared" si="2"/>
        <v>2.8000000000000012</v>
      </c>
      <c r="H32" s="21">
        <f t="shared" ca="1" si="3"/>
        <v>-0.82137990253437332</v>
      </c>
      <c r="I32" s="21">
        <f t="shared" ca="1" si="0"/>
        <v>-0.10340560320375392</v>
      </c>
      <c r="J32" s="6">
        <f t="shared" ca="1" si="4"/>
        <v>96.384653034888075</v>
      </c>
      <c r="K32" s="6">
        <f t="shared" ca="1" si="6"/>
        <v>101.15969561702757</v>
      </c>
      <c r="L32" s="21">
        <f t="shared" ca="1" si="1"/>
        <v>-0.25974313162957297</v>
      </c>
      <c r="M32" s="6">
        <f t="shared" ca="1" si="5"/>
        <v>70.443266715831243</v>
      </c>
    </row>
    <row r="33" spans="2:13">
      <c r="B33" s="3"/>
      <c r="G33" s="22">
        <f t="shared" si="2"/>
        <v>2.9000000000000012</v>
      </c>
      <c r="H33" s="21">
        <f t="shared" ca="1" si="3"/>
        <v>1.2515292287594855</v>
      </c>
      <c r="I33" s="21">
        <f t="shared" ca="1" si="0"/>
        <v>0.15755819496884721</v>
      </c>
      <c r="J33" s="6">
        <f t="shared" ca="1" si="4"/>
        <v>100.66312428878142</v>
      </c>
      <c r="K33" s="6">
        <f t="shared" ca="1" si="6"/>
        <v>100.42444678784295</v>
      </c>
      <c r="L33" s="21">
        <f t="shared" ca="1" si="1"/>
        <v>0.39576829211538822</v>
      </c>
      <c r="M33" s="6">
        <f t="shared" ca="1" si="5"/>
        <v>77.765285889198722</v>
      </c>
    </row>
    <row r="34" spans="2:13">
      <c r="B34" s="3"/>
      <c r="G34" s="22">
        <f t="shared" si="2"/>
        <v>3.0000000000000013</v>
      </c>
      <c r="H34" s="21">
        <f t="shared" ca="1" si="3"/>
        <v>-0.18841938655669432</v>
      </c>
      <c r="I34" s="21">
        <f t="shared" ca="1" si="0"/>
        <v>-2.3720595381089084E-2</v>
      </c>
      <c r="J34" s="6">
        <f t="shared" ca="1" si="4"/>
        <v>100.5694925999627</v>
      </c>
      <c r="K34" s="6">
        <f t="shared" ca="1" si="6"/>
        <v>100.00060584549021</v>
      </c>
      <c r="L34" s="21">
        <f t="shared" ca="1" si="1"/>
        <v>-5.9583441685086475E-2</v>
      </c>
      <c r="M34" s="6">
        <f t="shared" ca="1" si="5"/>
        <v>76.995731474418932</v>
      </c>
    </row>
    <row r="35" spans="2:13">
      <c r="B35" s="3"/>
      <c r="G35" s="22">
        <f t="shared" si="2"/>
        <v>3.1000000000000014</v>
      </c>
      <c r="H35" s="21">
        <f t="shared" ca="1" si="3"/>
        <v>-2.6913068356125862</v>
      </c>
      <c r="I35" s="21">
        <f t="shared" ca="1" si="0"/>
        <v>-0.3388154566288033</v>
      </c>
      <c r="J35" s="6">
        <f t="shared" ca="1" si="4"/>
        <v>92.553715423416662</v>
      </c>
      <c r="K35" s="6">
        <f t="shared" ca="1" si="6"/>
        <v>97.721638406451007</v>
      </c>
      <c r="L35" s="21">
        <f t="shared" ca="1" si="1"/>
        <v>-0.85106594829161342</v>
      </c>
      <c r="M35" s="6">
        <f t="shared" ca="1" si="5"/>
        <v>60.998598826370326</v>
      </c>
    </row>
    <row r="36" spans="2:13">
      <c r="B36" s="3"/>
      <c r="G36" s="22">
        <f t="shared" si="2"/>
        <v>3.2000000000000015</v>
      </c>
      <c r="H36" s="21">
        <f t="shared" ca="1" si="3"/>
        <v>-0.44564474822495403</v>
      </c>
      <c r="I36" s="21">
        <f t="shared" ref="I36:I67" ca="1" si="7">$H36*SQRT(dt^(2*H))</f>
        <v>-5.6103349817300835E-2</v>
      </c>
      <c r="J36" s="6">
        <f t="shared" ca="1" si="4"/>
        <v>91.718340632211039</v>
      </c>
      <c r="K36" s="6">
        <f t="shared" ca="1" si="6"/>
        <v>96.377865195851967</v>
      </c>
      <c r="L36" s="21">
        <f t="shared" ref="L36:L67" ca="1" si="8">$H36*SQRT(dt^(2*BM))</f>
        <v>-0.14092524316831342</v>
      </c>
      <c r="M36" s="6">
        <f t="shared" ca="1" si="5"/>
        <v>59.15453122736902</v>
      </c>
    </row>
    <row r="37" spans="2:13">
      <c r="B37" s="3"/>
      <c r="G37" s="22">
        <f t="shared" ref="G37:G68" si="9">G36+dt</f>
        <v>3.3000000000000016</v>
      </c>
      <c r="H37" s="21">
        <f t="shared" ca="1" si="3"/>
        <v>-0.68372412129095794</v>
      </c>
      <c r="I37" s="21">
        <f t="shared" ca="1" si="7"/>
        <v>-8.6075767094982464E-2</v>
      </c>
      <c r="J37" s="6">
        <f t="shared" ref="J37:J68" ca="1" si="10">J36+(mu*J36*dt)+(sigma*J36*I37)</f>
        <v>90.203250703722986</v>
      </c>
      <c r="K37" s="6">
        <f t="shared" ca="1" si="6"/>
        <v>95.141584729618955</v>
      </c>
      <c r="L37" s="21">
        <f t="shared" ca="1" si="8"/>
        <v>-0.21621255144766519</v>
      </c>
      <c r="M37" s="6">
        <f t="shared" ref="M37:M68" ca="1" si="11">M36+(mu*M36*dt)+(sigma*M36*L37)</f>
        <v>56.252815851915855</v>
      </c>
    </row>
    <row r="38" spans="2:13">
      <c r="B38" s="3"/>
      <c r="G38" s="22">
        <f t="shared" si="9"/>
        <v>3.4000000000000017</v>
      </c>
      <c r="H38" s="21">
        <f t="shared" ca="1" si="3"/>
        <v>0.82166280061547103</v>
      </c>
      <c r="I38" s="21">
        <f t="shared" ca="1" si="7"/>
        <v>0.10344121796207809</v>
      </c>
      <c r="J38" s="6">
        <f t="shared" ca="1" si="10"/>
        <v>92.986950486474555</v>
      </c>
      <c r="K38" s="6">
        <f t="shared" ca="1" si="6"/>
        <v>93.606349969157577</v>
      </c>
      <c r="L38" s="21">
        <f t="shared" ca="1" si="8"/>
        <v>0.25983259185776891</v>
      </c>
      <c r="M38" s="6">
        <f t="shared" ca="1" si="11"/>
        <v>60.188158666700708</v>
      </c>
    </row>
    <row r="39" spans="2:13">
      <c r="B39" s="3"/>
      <c r="G39" s="22">
        <f t="shared" si="9"/>
        <v>3.5000000000000018</v>
      </c>
      <c r="H39" s="21">
        <f t="shared" ca="1" si="3"/>
        <v>1.5373194630860698</v>
      </c>
      <c r="I39" s="21">
        <f t="shared" ca="1" si="7"/>
        <v>0.1935370538124819</v>
      </c>
      <c r="J39" s="6">
        <f t="shared" ca="1" si="10"/>
        <v>97.950990348946775</v>
      </c>
      <c r="K39" s="6">
        <f t="shared" ca="1" si="6"/>
        <v>93.082649518954412</v>
      </c>
      <c r="L39" s="21">
        <f t="shared" ca="1" si="8"/>
        <v>0.48614309946591261</v>
      </c>
      <c r="M39" s="6">
        <f t="shared" ca="1" si="11"/>
        <v>67.804113961378221</v>
      </c>
    </row>
    <row r="40" spans="2:13">
      <c r="B40" s="3"/>
      <c r="G40" s="22">
        <f t="shared" si="9"/>
        <v>3.6000000000000019</v>
      </c>
      <c r="H40" s="21">
        <f t="shared" ca="1" si="3"/>
        <v>2.0445864128423619</v>
      </c>
      <c r="I40" s="21">
        <f t="shared" ca="1" si="7"/>
        <v>0.257398179173633</v>
      </c>
      <c r="J40" s="6">
        <f t="shared" ca="1" si="10"/>
        <v>104.74384694170975</v>
      </c>
      <c r="K40" s="6">
        <f t="shared" ca="1" si="6"/>
        <v>95.520675822613015</v>
      </c>
      <c r="L40" s="21">
        <f t="shared" ca="1" si="8"/>
        <v>0.64655499376152048</v>
      </c>
      <c r="M40" s="6">
        <f t="shared" ca="1" si="11"/>
        <v>79.102906651011196</v>
      </c>
    </row>
    <row r="41" spans="2:13">
      <c r="B41" s="3"/>
      <c r="G41" s="22">
        <f t="shared" si="9"/>
        <v>3.700000000000002</v>
      </c>
      <c r="H41" s="21">
        <f t="shared" ca="1" si="3"/>
        <v>0.95181646754041827</v>
      </c>
      <c r="I41" s="21">
        <f t="shared" ca="1" si="7"/>
        <v>0.1198265938350791</v>
      </c>
      <c r="J41" s="6">
        <f t="shared" ca="1" si="10"/>
        <v>108.40534077747029</v>
      </c>
      <c r="K41" s="6">
        <f t="shared" ref="K41:K72" ca="1" si="12">AVERAGE(J37:J41)</f>
        <v>98.858075851664879</v>
      </c>
      <c r="L41" s="21">
        <f t="shared" ca="1" si="8"/>
        <v>0.3009907951883446</v>
      </c>
      <c r="M41" s="6">
        <f t="shared" ca="1" si="11"/>
        <v>85.450732877915556</v>
      </c>
    </row>
    <row r="42" spans="2:13">
      <c r="B42" s="3"/>
      <c r="G42" s="22">
        <f t="shared" si="9"/>
        <v>3.800000000000002</v>
      </c>
      <c r="H42" s="21">
        <f t="shared" ca="1" si="3"/>
        <v>-0.75167177287845954</v>
      </c>
      <c r="I42" s="21">
        <f t="shared" ca="1" si="7"/>
        <v>-9.4629869620506665E-2</v>
      </c>
      <c r="J42" s="6">
        <f t="shared" ca="1" si="10"/>
        <v>106.38277166537299</v>
      </c>
      <c r="K42" s="6">
        <f t="shared" ca="1" si="12"/>
        <v>102.09398004399486</v>
      </c>
      <c r="L42" s="21">
        <f t="shared" ca="1" si="8"/>
        <v>-0.23769948551527126</v>
      </c>
      <c r="M42" s="6">
        <f t="shared" ca="1" si="11"/>
        <v>80.800087731809285</v>
      </c>
    </row>
    <row r="43" spans="2:13">
      <c r="B43" s="3"/>
      <c r="G43" s="22">
        <f t="shared" si="9"/>
        <v>3.9000000000000021</v>
      </c>
      <c r="H43" s="21">
        <f t="shared" ca="1" si="3"/>
        <v>8.6946117849976828E-2</v>
      </c>
      <c r="I43" s="21">
        <f t="shared" ca="1" si="7"/>
        <v>1.0945867721818631E-2</v>
      </c>
      <c r="J43" s="6">
        <f t="shared" ca="1" si="10"/>
        <v>107.20579846033225</v>
      </c>
      <c r="K43" s="6">
        <f t="shared" ca="1" si="12"/>
        <v>104.93774963876642</v>
      </c>
      <c r="L43" s="21">
        <f t="shared" ca="1" si="8"/>
        <v>2.7494776611534891E-2</v>
      </c>
      <c r="M43" s="6">
        <f t="shared" ca="1" si="11"/>
        <v>81.759483261062954</v>
      </c>
    </row>
    <row r="44" spans="2:13">
      <c r="B44" s="3"/>
      <c r="G44" s="22">
        <f t="shared" si="9"/>
        <v>4.0000000000000018</v>
      </c>
      <c r="H44" s="21">
        <f t="shared" ca="1" si="3"/>
        <v>-0.77942014636244161</v>
      </c>
      <c r="I44" s="21">
        <f t="shared" ca="1" si="7"/>
        <v>-9.8123182872000711E-2</v>
      </c>
      <c r="J44" s="6">
        <f t="shared" ca="1" si="10"/>
        <v>105.11198391081841</v>
      </c>
      <c r="K44" s="6">
        <f t="shared" ca="1" si="12"/>
        <v>106.36994835114074</v>
      </c>
      <c r="L44" s="21">
        <f t="shared" ca="1" si="8"/>
        <v>-0.24647429167271176</v>
      </c>
      <c r="M44" s="6">
        <f t="shared" ca="1" si="11"/>
        <v>77.130377996293916</v>
      </c>
    </row>
    <row r="45" spans="2:13">
      <c r="B45" s="3"/>
      <c r="G45" s="22">
        <f t="shared" si="9"/>
        <v>4.1000000000000014</v>
      </c>
      <c r="H45" s="21">
        <f t="shared" ca="1" si="3"/>
        <v>0.81169653812458575</v>
      </c>
      <c r="I45" s="21">
        <f t="shared" ca="1" si="7"/>
        <v>0.10218653985103944</v>
      </c>
      <c r="J45" s="6">
        <f t="shared" ca="1" si="10"/>
        <v>108.32280131355367</v>
      </c>
      <c r="K45" s="6">
        <f t="shared" ca="1" si="12"/>
        <v>107.08573922550951</v>
      </c>
      <c r="L45" s="21">
        <f t="shared" ca="1" si="8"/>
        <v>0.2566809829347389</v>
      </c>
      <c r="M45" s="6">
        <f t="shared" ca="1" si="11"/>
        <v>82.465505195829564</v>
      </c>
    </row>
    <row r="46" spans="2:13">
      <c r="B46" s="3"/>
      <c r="G46" s="22">
        <f t="shared" si="9"/>
        <v>4.2000000000000011</v>
      </c>
      <c r="H46" s="21">
        <f t="shared" ca="1" si="3"/>
        <v>0.63068578058332014</v>
      </c>
      <c r="I46" s="21">
        <f t="shared" ca="1" si="7"/>
        <v>7.9398635603358234E-2</v>
      </c>
      <c r="J46" s="6">
        <f t="shared" ca="1" si="10"/>
        <v>111.0145859773789</v>
      </c>
      <c r="K46" s="6">
        <f t="shared" ca="1" si="12"/>
        <v>107.60758826549124</v>
      </c>
      <c r="L46" s="21">
        <f t="shared" ca="1" si="8"/>
        <v>0.19944035545244895</v>
      </c>
      <c r="M46" s="6">
        <f t="shared" ca="1" si="11"/>
        <v>86.989570139014219</v>
      </c>
    </row>
    <row r="47" spans="2:13">
      <c r="B47" s="3"/>
      <c r="G47" s="22">
        <f t="shared" si="9"/>
        <v>4.3000000000000007</v>
      </c>
      <c r="H47" s="21">
        <f t="shared" ca="1" si="3"/>
        <v>0.27869572756984146</v>
      </c>
      <c r="I47" s="21">
        <f t="shared" ca="1" si="7"/>
        <v>3.5085713359613781E-2</v>
      </c>
      <c r="J47" s="6">
        <f t="shared" ca="1" si="10"/>
        <v>112.54341539285042</v>
      </c>
      <c r="K47" s="6">
        <f t="shared" ca="1" si="12"/>
        <v>108.83971701098672</v>
      </c>
      <c r="L47" s="21">
        <f t="shared" ca="1" si="8"/>
        <v>8.813132732784823E-2</v>
      </c>
      <c r="M47" s="6">
        <f t="shared" ca="1" si="11"/>
        <v>89.341144559716852</v>
      </c>
    </row>
    <row r="48" spans="2:13">
      <c r="B48" s="3"/>
      <c r="G48" s="22">
        <f t="shared" si="9"/>
        <v>4.4000000000000004</v>
      </c>
      <c r="H48" s="21">
        <f t="shared" ca="1" si="3"/>
        <v>-2.0070704727048181</v>
      </c>
      <c r="I48" s="21">
        <f t="shared" ca="1" si="7"/>
        <v>-0.25267520213498279</v>
      </c>
      <c r="J48" s="6">
        <f t="shared" ca="1" si="10"/>
        <v>105.99689991147721</v>
      </c>
      <c r="K48" s="6">
        <f t="shared" ca="1" si="12"/>
        <v>108.59793730121574</v>
      </c>
      <c r="L48" s="21">
        <f t="shared" ca="1" si="8"/>
        <v>-0.63469141182180355</v>
      </c>
      <c r="M48" s="6">
        <f t="shared" ca="1" si="11"/>
        <v>75.611835988919808</v>
      </c>
    </row>
    <row r="49" spans="2:13">
      <c r="B49" s="3"/>
      <c r="G49" s="22">
        <f t="shared" si="9"/>
        <v>4.5</v>
      </c>
      <c r="H49" s="21">
        <f t="shared" ca="1" si="3"/>
        <v>0.93740875555636027</v>
      </c>
      <c r="I49" s="21">
        <f t="shared" ca="1" si="7"/>
        <v>0.1180127703608249</v>
      </c>
      <c r="J49" s="6">
        <f t="shared" ca="1" si="10"/>
        <v>109.65413136308773</v>
      </c>
      <c r="K49" s="6">
        <f t="shared" ca="1" si="12"/>
        <v>109.50636679166958</v>
      </c>
      <c r="L49" s="21">
        <f t="shared" ca="1" si="8"/>
        <v>0.29643467661421191</v>
      </c>
      <c r="M49" s="6">
        <f t="shared" ca="1" si="11"/>
        <v>81.593387706259975</v>
      </c>
    </row>
    <row r="50" spans="2:13">
      <c r="B50" s="3"/>
      <c r="G50" s="22">
        <f t="shared" si="9"/>
        <v>4.5999999999999996</v>
      </c>
      <c r="H50" s="21">
        <f t="shared" ca="1" si="3"/>
        <v>0.59320270670527053</v>
      </c>
      <c r="I50" s="21">
        <f t="shared" ca="1" si="7"/>
        <v>7.4679796181634756E-2</v>
      </c>
      <c r="J50" s="6">
        <f t="shared" ca="1" si="10"/>
        <v>112.24963906507055</v>
      </c>
      <c r="K50" s="6">
        <f t="shared" ca="1" si="12"/>
        <v>110.29173434197295</v>
      </c>
      <c r="L50" s="21">
        <f t="shared" ca="1" si="8"/>
        <v>0.18758716673654924</v>
      </c>
      <c r="M50" s="6">
        <f t="shared" ca="1" si="11"/>
        <v>85.827822750854807</v>
      </c>
    </row>
    <row r="51" spans="2:13">
      <c r="B51" s="3"/>
      <c r="G51" s="22">
        <f t="shared" si="9"/>
        <v>4.6999999999999993</v>
      </c>
      <c r="H51" s="21">
        <f t="shared" ca="1" si="3"/>
        <v>1.1280518420978798</v>
      </c>
      <c r="I51" s="21">
        <f t="shared" ca="1" si="7"/>
        <v>0.14201331298382425</v>
      </c>
      <c r="J51" s="6">
        <f t="shared" ca="1" si="10"/>
        <v>116.7961230416132</v>
      </c>
      <c r="K51" s="6">
        <f t="shared" ca="1" si="12"/>
        <v>111.44804175481981</v>
      </c>
      <c r="L51" s="21">
        <f t="shared" ca="1" si="8"/>
        <v>0.35672131397779133</v>
      </c>
      <c r="M51" s="6">
        <f t="shared" ca="1" si="11"/>
        <v>93.911115291493559</v>
      </c>
    </row>
    <row r="52" spans="2:13">
      <c r="B52" s="3"/>
      <c r="G52" s="22">
        <f t="shared" si="9"/>
        <v>4.7999999999999989</v>
      </c>
      <c r="H52" s="21">
        <f t="shared" ca="1" si="3"/>
        <v>-0.521573932294494</v>
      </c>
      <c r="I52" s="21">
        <f t="shared" ca="1" si="7"/>
        <v>-6.5662267749494907E-2</v>
      </c>
      <c r="J52" s="6">
        <f t="shared" ca="1" si="10"/>
        <v>115.46282908100592</v>
      </c>
      <c r="K52" s="6">
        <f t="shared" ca="1" si="12"/>
        <v>112.03192449245094</v>
      </c>
      <c r="L52" s="21">
        <f t="shared" ca="1" si="8"/>
        <v>-0.16493615942210532</v>
      </c>
      <c r="M52" s="6">
        <f t="shared" ca="1" si="11"/>
        <v>90.508336197144658</v>
      </c>
    </row>
    <row r="53" spans="2:13">
      <c r="B53" s="3"/>
      <c r="G53" s="22">
        <f t="shared" si="9"/>
        <v>4.8999999999999986</v>
      </c>
      <c r="H53" s="21">
        <f t="shared" ca="1" si="3"/>
        <v>-0.25663453404530567</v>
      </c>
      <c r="I53" s="21">
        <f t="shared" ca="1" si="7"/>
        <v>-3.2308373645359073E-2</v>
      </c>
      <c r="J53" s="6">
        <f t="shared" ca="1" si="10"/>
        <v>115.1075391703861</v>
      </c>
      <c r="K53" s="6">
        <f t="shared" ca="1" si="12"/>
        <v>113.8540523442327</v>
      </c>
      <c r="L53" s="21">
        <f t="shared" ca="1" si="8"/>
        <v>-8.1154965383919156E-2</v>
      </c>
      <c r="M53" s="6">
        <f t="shared" ca="1" si="11"/>
        <v>89.124577655371525</v>
      </c>
    </row>
    <row r="54" spans="2:13">
      <c r="B54" s="3"/>
      <c r="G54" s="22">
        <f t="shared" si="9"/>
        <v>4.9999999999999982</v>
      </c>
      <c r="H54" s="21">
        <f t="shared" ca="1" si="3"/>
        <v>-3.6384182731558704E-2</v>
      </c>
      <c r="I54" s="21">
        <f t="shared" ca="1" si="7"/>
        <v>-4.5804972228121778E-3</v>
      </c>
      <c r="J54" s="6">
        <f t="shared" ca="1" si="10"/>
        <v>115.55126442536437</v>
      </c>
      <c r="K54" s="6">
        <f t="shared" ca="1" si="12"/>
        <v>115.03347895668803</v>
      </c>
      <c r="L54" s="21">
        <f t="shared" ca="1" si="8"/>
        <v>-1.1505688823549222E-2</v>
      </c>
      <c r="M54" s="6">
        <f t="shared" ca="1" si="11"/>
        <v>89.313840629390143</v>
      </c>
    </row>
    <row r="55" spans="2:13">
      <c r="B55" s="3"/>
      <c r="G55" s="22">
        <f t="shared" si="9"/>
        <v>5.0999999999999979</v>
      </c>
      <c r="H55" s="21">
        <f t="shared" ca="1" si="3"/>
        <v>-0.14014678039111195</v>
      </c>
      <c r="I55" s="21">
        <f t="shared" ca="1" si="7"/>
        <v>-1.7643434321550737E-2</v>
      </c>
      <c r="J55" s="6">
        <f t="shared" ca="1" si="10"/>
        <v>115.61934046132592</v>
      </c>
      <c r="K55" s="6">
        <f t="shared" ca="1" si="12"/>
        <v>115.7074192359391</v>
      </c>
      <c r="L55" s="21">
        <f t="shared" ca="1" si="8"/>
        <v>-4.4318303277533722E-2</v>
      </c>
      <c r="M55" s="6">
        <f t="shared" ca="1" si="11"/>
        <v>88.77085036356344</v>
      </c>
    </row>
    <row r="56" spans="2:13">
      <c r="B56" s="3"/>
      <c r="G56" s="22">
        <f t="shared" si="9"/>
        <v>5.1999999999999975</v>
      </c>
      <c r="H56" s="21">
        <f t="shared" ca="1" si="3"/>
        <v>-0.54085918460555871</v>
      </c>
      <c r="I56" s="21">
        <f t="shared" ca="1" si="7"/>
        <v>-6.8090137170221068E-2</v>
      </c>
      <c r="J56" s="6">
        <f t="shared" ca="1" si="10"/>
        <v>114.229302975747</v>
      </c>
      <c r="K56" s="6">
        <f t="shared" ca="1" si="12"/>
        <v>115.19405522276585</v>
      </c>
      <c r="L56" s="21">
        <f t="shared" ca="1" si="8"/>
        <v>-0.17103469167750437</v>
      </c>
      <c r="M56" s="6">
        <f t="shared" ca="1" si="11"/>
        <v>85.418980859910761</v>
      </c>
    </row>
    <row r="57" spans="2:13">
      <c r="B57" s="3"/>
      <c r="G57" s="22">
        <f t="shared" si="9"/>
        <v>5.2999999999999972</v>
      </c>
      <c r="H57" s="21">
        <f t="shared" ca="1" si="3"/>
        <v>0.95471883126399193</v>
      </c>
      <c r="I57" s="21">
        <f t="shared" ca="1" si="7"/>
        <v>0.12019197977966674</v>
      </c>
      <c r="J57" s="6">
        <f t="shared" ca="1" si="10"/>
        <v>118.23281100900235</v>
      </c>
      <c r="K57" s="6">
        <f t="shared" ca="1" si="12"/>
        <v>115.74805160836516</v>
      </c>
      <c r="L57" s="21">
        <f t="shared" ca="1" si="8"/>
        <v>0.3019086031848186</v>
      </c>
      <c r="M57" s="6">
        <f t="shared" ca="1" si="11"/>
        <v>92.293257063431909</v>
      </c>
    </row>
    <row r="58" spans="2:13">
      <c r="B58" s="3"/>
      <c r="G58" s="22">
        <f t="shared" si="9"/>
        <v>5.3999999999999968</v>
      </c>
      <c r="H58" s="21">
        <f t="shared" ca="1" si="3"/>
        <v>0.36564379958705001</v>
      </c>
      <c r="I58" s="21">
        <f t="shared" ca="1" si="7"/>
        <v>4.6031827096511102E-2</v>
      </c>
      <c r="J58" s="6">
        <f t="shared" ca="1" si="10"/>
        <v>120.18459314242257</v>
      </c>
      <c r="K58" s="6">
        <f t="shared" ca="1" si="12"/>
        <v>116.76346240277246</v>
      </c>
      <c r="L58" s="21">
        <f t="shared" ca="1" si="8"/>
        <v>0.11562672190132124</v>
      </c>
      <c r="M58" s="6">
        <f t="shared" ca="1" si="11"/>
        <v>95.422615040709218</v>
      </c>
    </row>
    <row r="59" spans="2:13">
      <c r="B59" s="3"/>
      <c r="G59" s="22">
        <f t="shared" si="9"/>
        <v>5.4999999999999964</v>
      </c>
      <c r="H59" s="21">
        <f t="shared" ca="1" si="3"/>
        <v>0.31051527393532374</v>
      </c>
      <c r="I59" s="21">
        <f t="shared" ca="1" si="7"/>
        <v>3.9091556910740621E-2</v>
      </c>
      <c r="J59" s="6">
        <f t="shared" ca="1" si="10"/>
        <v>121.96006682378999</v>
      </c>
      <c r="K59" s="6">
        <f t="shared" ca="1" si="12"/>
        <v>118.04522288245758</v>
      </c>
      <c r="L59" s="21">
        <f t="shared" ca="1" si="8"/>
        <v>9.81935513906739E-2</v>
      </c>
      <c r="M59" s="6">
        <f t="shared" ca="1" si="11"/>
        <v>98.242199479370854</v>
      </c>
    </row>
    <row r="60" spans="2:13">
      <c r="B60" s="3"/>
      <c r="G60" s="22">
        <f t="shared" si="9"/>
        <v>5.5999999999999961</v>
      </c>
      <c r="H60" s="21">
        <f t="shared" ca="1" si="3"/>
        <v>0.48709373549490287</v>
      </c>
      <c r="I60" s="21">
        <f t="shared" ca="1" si="7"/>
        <v>6.1321468154027996E-2</v>
      </c>
      <c r="J60" s="6">
        <f t="shared" ca="1" si="10"/>
        <v>124.43955974635847</v>
      </c>
      <c r="K60" s="6">
        <f t="shared" ca="1" si="12"/>
        <v>119.80926673946408</v>
      </c>
      <c r="L60" s="21">
        <f t="shared" ca="1" si="8"/>
        <v>0.15403256381634969</v>
      </c>
      <c r="M60" s="6">
        <f t="shared" ca="1" si="11"/>
        <v>102.51653494195889</v>
      </c>
    </row>
    <row r="61" spans="2:13">
      <c r="B61" s="3"/>
      <c r="G61" s="22">
        <f t="shared" si="9"/>
        <v>5.6999999999999957</v>
      </c>
      <c r="H61" s="21">
        <f t="shared" ca="1" si="3"/>
        <v>0.59587653614328362</v>
      </c>
      <c r="I61" s="21">
        <f t="shared" ca="1" si="7"/>
        <v>7.5016411364266553E-2</v>
      </c>
      <c r="J61" s="6">
        <f t="shared" ca="1" si="10"/>
        <v>127.39550984607052</v>
      </c>
      <c r="K61" s="6">
        <f t="shared" ca="1" si="12"/>
        <v>122.44250811352876</v>
      </c>
      <c r="L61" s="21">
        <f t="shared" ca="1" si="8"/>
        <v>0.18843270584644217</v>
      </c>
      <c r="M61" s="6">
        <f t="shared" ca="1" si="11"/>
        <v>107.85848463494735</v>
      </c>
    </row>
    <row r="62" spans="2:13">
      <c r="B62" s="3"/>
      <c r="G62" s="22">
        <f t="shared" si="9"/>
        <v>5.7999999999999954</v>
      </c>
      <c r="H62" s="21">
        <f t="shared" ca="1" si="3"/>
        <v>-2.8323306285508179</v>
      </c>
      <c r="I62" s="21">
        <f t="shared" ca="1" si="7"/>
        <v>-0.35656930028855716</v>
      </c>
      <c r="J62" s="6">
        <f t="shared" ca="1" si="10"/>
        <v>116.67615544387154</v>
      </c>
      <c r="K62" s="6">
        <f t="shared" ca="1" si="12"/>
        <v>122.13117700050262</v>
      </c>
      <c r="L62" s="21">
        <f t="shared" ca="1" si="8"/>
        <v>-0.89566158728769152</v>
      </c>
      <c r="M62" s="6">
        <f t="shared" ca="1" si="11"/>
        <v>84.246601670476579</v>
      </c>
    </row>
    <row r="63" spans="2:13">
      <c r="B63" s="3"/>
      <c r="G63" s="22">
        <f t="shared" si="9"/>
        <v>5.899999999999995</v>
      </c>
      <c r="H63" s="21">
        <f t="shared" ca="1" si="3"/>
        <v>1.7725530268194167</v>
      </c>
      <c r="I63" s="21">
        <f t="shared" ca="1" si="7"/>
        <v>0.22315120492156323</v>
      </c>
      <c r="J63" s="6">
        <f t="shared" ca="1" si="10"/>
        <v>123.76864238931978</v>
      </c>
      <c r="K63" s="6">
        <f t="shared" ca="1" si="12"/>
        <v>122.84798684988205</v>
      </c>
      <c r="L63" s="21">
        <f t="shared" ca="1" si="8"/>
        <v>0.56053048381748838</v>
      </c>
      <c r="M63" s="6">
        <f t="shared" ca="1" si="11"/>
        <v>96.473531777411836</v>
      </c>
    </row>
    <row r="64" spans="2:13">
      <c r="B64" s="3"/>
      <c r="G64" s="22">
        <f t="shared" si="9"/>
        <v>5.9999999999999947</v>
      </c>
      <c r="H64" s="21">
        <f t="shared" ca="1" si="3"/>
        <v>-0.56269645756337394</v>
      </c>
      <c r="I64" s="21">
        <f t="shared" ca="1" si="7"/>
        <v>-7.0839286955308986E-2</v>
      </c>
      <c r="J64" s="6">
        <f t="shared" ca="1" si="10"/>
        <v>122.19556500769487</v>
      </c>
      <c r="K64" s="6">
        <f t="shared" ca="1" si="12"/>
        <v>122.89508648666303</v>
      </c>
      <c r="L64" s="21">
        <f t="shared" ca="1" si="8"/>
        <v>-0.17794024372085421</v>
      </c>
      <c r="M64" s="6">
        <f t="shared" ca="1" si="11"/>
        <v>92.664268497027834</v>
      </c>
    </row>
    <row r="65" spans="2:13">
      <c r="B65" s="3"/>
      <c r="G65" s="22">
        <f t="shared" si="9"/>
        <v>6.0999999999999943</v>
      </c>
      <c r="H65" s="21">
        <f t="shared" ca="1" si="3"/>
        <v>1.4102711581668173</v>
      </c>
      <c r="I65" s="21">
        <f t="shared" ca="1" si="7"/>
        <v>0.17754261985365979</v>
      </c>
      <c r="J65" s="6">
        <f t="shared" ca="1" si="10"/>
        <v>128.23027301922443</v>
      </c>
      <c r="K65" s="6">
        <f t="shared" ca="1" si="12"/>
        <v>123.65322914123624</v>
      </c>
      <c r="L65" s="21">
        <f t="shared" ca="1" si="8"/>
        <v>0.44596689782507132</v>
      </c>
      <c r="M65" s="6">
        <f t="shared" ca="1" si="11"/>
        <v>103.45888892972522</v>
      </c>
    </row>
    <row r="66" spans="2:13">
      <c r="B66" s="3"/>
      <c r="G66" s="22">
        <f t="shared" si="9"/>
        <v>6.199999999999994</v>
      </c>
      <c r="H66" s="21">
        <f t="shared" ca="1" si="3"/>
        <v>-0.7082012132817086</v>
      </c>
      <c r="I66" s="21">
        <f t="shared" ca="1" si="7"/>
        <v>-8.9157250406380409E-2</v>
      </c>
      <c r="J66" s="6">
        <f t="shared" ca="1" si="10"/>
        <v>126.01325974400719</v>
      </c>
      <c r="K66" s="6">
        <f t="shared" ca="1" si="12"/>
        <v>123.37677912082356</v>
      </c>
      <c r="L66" s="21">
        <f t="shared" ca="1" si="8"/>
        <v>-0.2239528875664889</v>
      </c>
      <c r="M66" s="6">
        <f t="shared" ca="1" si="11"/>
        <v>98.183704144315698</v>
      </c>
    </row>
    <row r="67" spans="2:13">
      <c r="B67" s="3"/>
      <c r="G67" s="22">
        <f t="shared" si="9"/>
        <v>6.2999999999999936</v>
      </c>
      <c r="H67" s="21">
        <f t="shared" ca="1" si="3"/>
        <v>1.7000403167299158</v>
      </c>
      <c r="I67" s="21">
        <f t="shared" ca="1" si="7"/>
        <v>0.21402239558058964</v>
      </c>
      <c r="J67" s="6">
        <f t="shared" ca="1" si="10"/>
        <v>133.3857409740601</v>
      </c>
      <c r="K67" s="6">
        <f t="shared" ca="1" si="12"/>
        <v>126.71869622686128</v>
      </c>
      <c r="L67" s="21">
        <f t="shared" ca="1" si="8"/>
        <v>0.53759995149805884</v>
      </c>
      <c r="M67" s="6">
        <f t="shared" ca="1" si="11"/>
        <v>111.87051131150824</v>
      </c>
    </row>
    <row r="68" spans="2:13">
      <c r="B68" s="3"/>
      <c r="G68" s="22">
        <f t="shared" si="9"/>
        <v>6.3999999999999932</v>
      </c>
      <c r="H68" s="21">
        <f t="shared" ca="1" si="3"/>
        <v>1.1078220006204191</v>
      </c>
      <c r="I68" s="21">
        <f t="shared" ref="I68:I104" ca="1" si="13">$H68*SQRT(dt^(2*H))</f>
        <v>0.13946652683256996</v>
      </c>
      <c r="J68" s="6">
        <f t="shared" ca="1" si="10"/>
        <v>138.70338118459063</v>
      </c>
      <c r="K68" s="6">
        <f t="shared" ca="1" si="12"/>
        <v>129.70564398591543</v>
      </c>
      <c r="L68" s="21">
        <f t="shared" ref="L68:L104" ca="1" si="14">$H68*SQRT(dt^(2*BM))</f>
        <v>0.35032407640049917</v>
      </c>
      <c r="M68" s="6">
        <f t="shared" ca="1" si="11"/>
        <v>122.2275972559797</v>
      </c>
    </row>
    <row r="69" spans="2:13">
      <c r="B69" s="3"/>
      <c r="G69" s="22">
        <f t="shared" ref="G69:G104" si="15">G68+dt</f>
        <v>6.4999999999999929</v>
      </c>
      <c r="H69" s="21">
        <f t="shared" ref="H69:H104" ca="1" si="16">NORMSINV(RAND())</f>
        <v>-0.12615875101395724</v>
      </c>
      <c r="I69" s="21">
        <f t="shared" ca="1" si="13"/>
        <v>-1.5882445757168396E-2</v>
      </c>
      <c r="J69" s="6">
        <f t="shared" ref="J69:J100" ca="1" si="17">J68+(mu*J68*dt)+(sigma*J68*I69)</f>
        <v>138.84616085851357</v>
      </c>
      <c r="K69" s="6">
        <f t="shared" ca="1" si="12"/>
        <v>133.03576315607918</v>
      </c>
      <c r="L69" s="21">
        <f t="shared" ca="1" si="14"/>
        <v>-3.9894899996618188E-2</v>
      </c>
      <c r="M69" s="6">
        <f t="shared" ref="M69:M100" ca="1" si="18">M68+(mu*M68*dt)+(sigma*M68*L69)</f>
        <v>121.61967079992104</v>
      </c>
    </row>
    <row r="70" spans="2:13">
      <c r="B70" s="3"/>
      <c r="G70" s="22">
        <f t="shared" si="15"/>
        <v>6.5999999999999925</v>
      </c>
      <c r="H70" s="21">
        <f t="shared" ca="1" si="16"/>
        <v>1.7009722174126647</v>
      </c>
      <c r="I70" s="21">
        <f t="shared" ca="1" si="13"/>
        <v>0.21413971492566772</v>
      </c>
      <c r="J70" s="6">
        <f t="shared" ca="1" si="17"/>
        <v>146.97351098899753</v>
      </c>
      <c r="K70" s="6">
        <f t="shared" ca="1" si="12"/>
        <v>136.7844107500338</v>
      </c>
      <c r="L70" s="21">
        <f t="shared" ca="1" si="14"/>
        <v>0.53789464436911416</v>
      </c>
      <c r="M70" s="6">
        <f t="shared" ca="1" si="18"/>
        <v>138.58241154722373</v>
      </c>
    </row>
    <row r="71" spans="2:13">
      <c r="B71" s="3"/>
      <c r="G71" s="22">
        <f t="shared" si="15"/>
        <v>6.6999999999999922</v>
      </c>
      <c r="H71" s="21">
        <f t="shared" ca="1" si="16"/>
        <v>-0.13267624124187993</v>
      </c>
      <c r="I71" s="21">
        <f t="shared" ca="1" si="13"/>
        <v>-1.67029491640736E-2</v>
      </c>
      <c r="J71" s="6">
        <f t="shared" ca="1" si="17"/>
        <v>147.09465577331386</v>
      </c>
      <c r="K71" s="6">
        <f t="shared" ca="1" si="12"/>
        <v>141.00068995589515</v>
      </c>
      <c r="L71" s="21">
        <f t="shared" ca="1" si="14"/>
        <v>-4.1955911371430753E-2</v>
      </c>
      <c r="M71" s="6">
        <f t="shared" ca="1" si="18"/>
        <v>137.82173576083125</v>
      </c>
    </row>
    <row r="72" spans="2:13">
      <c r="B72" s="3"/>
      <c r="G72" s="22">
        <f t="shared" si="15"/>
        <v>6.7999999999999918</v>
      </c>
      <c r="H72" s="21">
        <f t="shared" ca="1" si="16"/>
        <v>0.6400554816250017</v>
      </c>
      <c r="I72" s="21">
        <f t="shared" ca="1" si="13"/>
        <v>8.0578211077586948E-2</v>
      </c>
      <c r="J72" s="6">
        <f t="shared" ca="1" si="17"/>
        <v>150.79328510750221</v>
      </c>
      <c r="K72" s="6">
        <f t="shared" ca="1" si="12"/>
        <v>144.48219878258357</v>
      </c>
      <c r="L72" s="21">
        <f t="shared" ca="1" si="14"/>
        <v>0.20240331508110557</v>
      </c>
      <c r="M72" s="6">
        <f t="shared" ca="1" si="18"/>
        <v>145.4847384916915</v>
      </c>
    </row>
    <row r="73" spans="2:13">
      <c r="B73" s="3"/>
      <c r="G73" s="22">
        <f t="shared" si="15"/>
        <v>6.8999999999999915</v>
      </c>
      <c r="H73" s="21">
        <f t="shared" ca="1" si="16"/>
        <v>0.14589775471419369</v>
      </c>
      <c r="I73" s="21">
        <f t="shared" ca="1" si="13"/>
        <v>1.8367439093341074E-2</v>
      </c>
      <c r="J73" s="6">
        <f t="shared" ca="1" si="17"/>
        <v>152.23967315301394</v>
      </c>
      <c r="K73" s="6">
        <f t="shared" ref="K73:K104" ca="1" si="19">AVERAGE(J69:J73)</f>
        <v>147.18945717626826</v>
      </c>
      <c r="L73" s="21">
        <f t="shared" ca="1" si="14"/>
        <v>4.6136921040142061E-2</v>
      </c>
      <c r="M73" s="6">
        <f t="shared" ca="1" si="18"/>
        <v>147.89021665723416</v>
      </c>
    </row>
    <row r="74" spans="2:13">
      <c r="B74" s="3"/>
      <c r="G74" s="22">
        <f t="shared" si="15"/>
        <v>6.9999999999999911</v>
      </c>
      <c r="H74" s="21">
        <f t="shared" ca="1" si="16"/>
        <v>-0.54747593573801234</v>
      </c>
      <c r="I74" s="21">
        <f t="shared" ca="1" si="13"/>
        <v>-6.8923136784637434E-2</v>
      </c>
      <c r="J74" s="6">
        <f t="shared" ca="1" si="17"/>
        <v>150.37766256458559</v>
      </c>
      <c r="K74" s="6">
        <f t="shared" ca="1" si="19"/>
        <v>149.49575751748262</v>
      </c>
      <c r="L74" s="21">
        <f t="shared" ca="1" si="14"/>
        <v>-0.17312709210640959</v>
      </c>
      <c r="M74" s="6">
        <f t="shared" ca="1" si="18"/>
        <v>142.22871695030688</v>
      </c>
    </row>
    <row r="75" spans="2:13">
      <c r="B75" s="3"/>
      <c r="G75" s="22">
        <f t="shared" si="15"/>
        <v>7.0999999999999908</v>
      </c>
      <c r="H75" s="21">
        <f t="shared" ca="1" si="16"/>
        <v>-1.1727876604422192</v>
      </c>
      <c r="I75" s="21">
        <f t="shared" ca="1" si="13"/>
        <v>-0.14764521883693391</v>
      </c>
      <c r="J75" s="6">
        <f t="shared" ca="1" si="17"/>
        <v>145.57891515302481</v>
      </c>
      <c r="K75" s="6">
        <f t="shared" ca="1" si="19"/>
        <v>149.21683835028807</v>
      </c>
      <c r="L75" s="21">
        <f t="shared" ca="1" si="14"/>
        <v>-0.37086802187375689</v>
      </c>
      <c r="M75" s="6">
        <f t="shared" ca="1" si="18"/>
        <v>129.75283980780773</v>
      </c>
    </row>
    <row r="76" spans="2:13">
      <c r="B76" s="3"/>
      <c r="G76" s="22">
        <f t="shared" si="15"/>
        <v>7.1999999999999904</v>
      </c>
      <c r="H76" s="21">
        <f t="shared" ca="1" si="16"/>
        <v>0.73385184911657964</v>
      </c>
      <c r="I76" s="21">
        <f t="shared" ca="1" si="13"/>
        <v>9.2386474134500129E-2</v>
      </c>
      <c r="J76" s="6">
        <f t="shared" ca="1" si="17"/>
        <v>149.66919039861833</v>
      </c>
      <c r="K76" s="6">
        <f t="shared" ca="1" si="19"/>
        <v>149.73174527534894</v>
      </c>
      <c r="L76" s="21">
        <f t="shared" ca="1" si="14"/>
        <v>0.23206433083346162</v>
      </c>
      <c r="M76" s="6">
        <f t="shared" ca="1" si="18"/>
        <v>137.92935549278184</v>
      </c>
    </row>
    <row r="77" spans="2:13">
      <c r="B77" s="3"/>
      <c r="G77" s="22">
        <f t="shared" si="15"/>
        <v>7.2999999999999901</v>
      </c>
      <c r="H77" s="21">
        <f t="shared" ca="1" si="16"/>
        <v>-0.49198995513901661</v>
      </c>
      <c r="I77" s="21">
        <f t="shared" ca="1" si="13"/>
        <v>-6.193786568719805E-2</v>
      </c>
      <c r="J77" s="6">
        <f t="shared" ca="1" si="17"/>
        <v>148.09998879750609</v>
      </c>
      <c r="K77" s="6">
        <f t="shared" ca="1" si="19"/>
        <v>149.19308601334973</v>
      </c>
      <c r="L77" s="21">
        <f t="shared" ca="1" si="14"/>
        <v>-0.15558088441633555</v>
      </c>
      <c r="M77" s="6">
        <f t="shared" ca="1" si="18"/>
        <v>133.2542094916102</v>
      </c>
    </row>
    <row r="78" spans="2:13">
      <c r="B78" s="3"/>
      <c r="G78" s="22">
        <f t="shared" si="15"/>
        <v>7.3999999999999897</v>
      </c>
      <c r="H78" s="21">
        <f t="shared" ca="1" si="16"/>
        <v>0.27890883907299691</v>
      </c>
      <c r="I78" s="21">
        <f t="shared" ca="1" si="13"/>
        <v>3.5112542508300586E-2</v>
      </c>
      <c r="J78" s="6">
        <f t="shared" ca="1" si="17"/>
        <v>150.14053052952644</v>
      </c>
      <c r="K78" s="6">
        <f t="shared" ca="1" si="19"/>
        <v>148.77325748865226</v>
      </c>
      <c r="L78" s="21">
        <f t="shared" ca="1" si="14"/>
        <v>8.8198719102403567E-2</v>
      </c>
      <c r="M78" s="6">
        <f t="shared" ca="1" si="18"/>
        <v>136.85869318710908</v>
      </c>
    </row>
    <row r="79" spans="2:13">
      <c r="B79" s="3"/>
      <c r="G79" s="22">
        <f t="shared" si="15"/>
        <v>7.4999999999999893</v>
      </c>
      <c r="H79" s="21">
        <f t="shared" ca="1" si="16"/>
        <v>1.4484703944371959</v>
      </c>
      <c r="I79" s="21">
        <f t="shared" ca="1" si="13"/>
        <v>0.18235161877885073</v>
      </c>
      <c r="J79" s="6">
        <f t="shared" ca="1" si="17"/>
        <v>157.73582537876771</v>
      </c>
      <c r="K79" s="6">
        <f t="shared" ca="1" si="19"/>
        <v>150.24489005148865</v>
      </c>
      <c r="L79" s="21">
        <f t="shared" ca="1" si="14"/>
        <v>0.45804655697440255</v>
      </c>
      <c r="M79" s="6">
        <f t="shared" ca="1" si="18"/>
        <v>153.2148999546375</v>
      </c>
    </row>
    <row r="80" spans="2:13">
      <c r="B80" s="3"/>
      <c r="G80" s="22">
        <f t="shared" si="15"/>
        <v>7.599999999999989</v>
      </c>
      <c r="H80" s="21">
        <f t="shared" ca="1" si="16"/>
        <v>-0.29441455325688032</v>
      </c>
      <c r="I80" s="21">
        <f t="shared" ca="1" si="13"/>
        <v>-3.706459626971139E-2</v>
      </c>
      <c r="J80" s="6">
        <f t="shared" ca="1" si="17"/>
        <v>157.06290083442812</v>
      </c>
      <c r="K80" s="6">
        <f t="shared" ca="1" si="19"/>
        <v>152.54168718776933</v>
      </c>
      <c r="L80" s="21">
        <f t="shared" ca="1" si="14"/>
        <v>-9.3102056459268626E-2</v>
      </c>
      <c r="M80" s="6">
        <f t="shared" ca="1" si="18"/>
        <v>150.41481888791623</v>
      </c>
    </row>
    <row r="81" spans="2:13">
      <c r="B81" s="3"/>
      <c r="G81" s="22">
        <f t="shared" si="15"/>
        <v>7.6999999999999886</v>
      </c>
      <c r="H81" s="21">
        <f t="shared" ca="1" si="16"/>
        <v>-0.15674851041646082</v>
      </c>
      <c r="I81" s="21">
        <f t="shared" ca="1" si="13"/>
        <v>-1.973346830241653E-2</v>
      </c>
      <c r="J81" s="6">
        <f t="shared" ca="1" si="17"/>
        <v>157.0733663948248</v>
      </c>
      <c r="K81" s="6">
        <f t="shared" ca="1" si="19"/>
        <v>154.02252238701061</v>
      </c>
      <c r="L81" s="21">
        <f t="shared" ca="1" si="14"/>
        <v>-4.9568231275464454E-2</v>
      </c>
      <c r="M81" s="6">
        <f t="shared" ca="1" si="18"/>
        <v>149.3029438498825</v>
      </c>
    </row>
    <row r="82" spans="2:13">
      <c r="B82" s="3"/>
      <c r="G82" s="22">
        <f t="shared" si="15"/>
        <v>7.7999999999999883</v>
      </c>
      <c r="H82" s="21">
        <f t="shared" ca="1" si="16"/>
        <v>-1.1220969606437765</v>
      </c>
      <c r="I82" s="21">
        <f t="shared" ca="1" si="13"/>
        <v>-0.14126363782514501</v>
      </c>
      <c r="J82" s="6">
        <f t="shared" ca="1" si="17"/>
        <v>152.31154444120523</v>
      </c>
      <c r="K82" s="6">
        <f t="shared" ca="1" si="19"/>
        <v>154.86483351575046</v>
      </c>
      <c r="L82" s="21">
        <f t="shared" ca="1" si="14"/>
        <v>-0.35483821511866515</v>
      </c>
      <c r="M82" s="6">
        <f t="shared" ca="1" si="18"/>
        <v>136.80486104221825</v>
      </c>
    </row>
    <row r="83" spans="2:13">
      <c r="B83" s="3"/>
      <c r="G83" s="22">
        <f t="shared" si="15"/>
        <v>7.8999999999999879</v>
      </c>
      <c r="H83" s="21">
        <f t="shared" ca="1" si="16"/>
        <v>2.23068417624253</v>
      </c>
      <c r="I83" s="21">
        <f t="shared" ca="1" si="13"/>
        <v>0.28082649951588606</v>
      </c>
      <c r="J83" s="6">
        <f t="shared" ca="1" si="17"/>
        <v>163.76638162873175</v>
      </c>
      <c r="K83" s="6">
        <f t="shared" ca="1" si="19"/>
        <v>157.59000373559152</v>
      </c>
      <c r="L83" s="21">
        <f t="shared" ca="1" si="14"/>
        <v>0.70540427374228565</v>
      </c>
      <c r="M83" s="6">
        <f t="shared" ca="1" si="18"/>
        <v>161.61456875940442</v>
      </c>
    </row>
    <row r="84" spans="2:13">
      <c r="B84" s="3"/>
      <c r="G84" s="22">
        <f t="shared" si="15"/>
        <v>7.9999999999999876</v>
      </c>
      <c r="H84" s="21">
        <f t="shared" ca="1" si="16"/>
        <v>0.48944600906877994</v>
      </c>
      <c r="I84" s="21">
        <f t="shared" ca="1" si="13"/>
        <v>6.1617601851792568E-2</v>
      </c>
      <c r="J84" s="6">
        <f t="shared" ca="1" si="17"/>
        <v>167.1079364618524</v>
      </c>
      <c r="K84" s="6">
        <f t="shared" ca="1" si="19"/>
        <v>159.46442595220847</v>
      </c>
      <c r="L84" s="21">
        <f t="shared" ca="1" si="14"/>
        <v>0.15477641803367728</v>
      </c>
      <c r="M84" s="6">
        <f t="shared" ca="1" si="18"/>
        <v>168.67617261686095</v>
      </c>
    </row>
    <row r="85" spans="2:13">
      <c r="B85" s="3"/>
      <c r="G85" s="22">
        <f t="shared" si="15"/>
        <v>8.0999999999999872</v>
      </c>
      <c r="H85" s="21">
        <f t="shared" ca="1" si="16"/>
        <v>2.9569092091989529E-2</v>
      </c>
      <c r="I85" s="21">
        <f t="shared" ca="1" si="13"/>
        <v>3.7225281438287581E-3</v>
      </c>
      <c r="J85" s="6">
        <f t="shared" ca="1" si="17"/>
        <v>168.09899214329579</v>
      </c>
      <c r="K85" s="6">
        <f t="shared" ca="1" si="19"/>
        <v>161.67164421398201</v>
      </c>
      <c r="L85" s="21">
        <f t="shared" ca="1" si="14"/>
        <v>9.3505679353959974E-3</v>
      </c>
      <c r="M85" s="6">
        <f t="shared" ca="1" si="18"/>
        <v>169.91385798272938</v>
      </c>
    </row>
    <row r="86" spans="2:13">
      <c r="B86" s="3"/>
      <c r="G86" s="22">
        <f t="shared" si="15"/>
        <v>8.1999999999999869</v>
      </c>
      <c r="H86" s="21">
        <f t="shared" ca="1" si="16"/>
        <v>-1.6294825079405513</v>
      </c>
      <c r="I86" s="21">
        <f t="shared" ca="1" si="13"/>
        <v>-0.20513969373204513</v>
      </c>
      <c r="J86" s="6">
        <f t="shared" ca="1" si="17"/>
        <v>160.31854316277699</v>
      </c>
      <c r="K86" s="6">
        <f t="shared" ca="1" si="19"/>
        <v>162.32067956757243</v>
      </c>
      <c r="L86" s="21">
        <f t="shared" ca="1" si="14"/>
        <v>-0.51528761324955497</v>
      </c>
      <c r="M86" s="6">
        <f t="shared" ca="1" si="18"/>
        <v>148.87480068815694</v>
      </c>
    </row>
    <row r="87" spans="2:13">
      <c r="B87" s="3"/>
      <c r="G87" s="22">
        <f t="shared" si="15"/>
        <v>8.2999999999999865</v>
      </c>
      <c r="H87" s="21">
        <f t="shared" ca="1" si="16"/>
        <v>-2.5572048981102775E-2</v>
      </c>
      <c r="I87" s="21">
        <f t="shared" ca="1" si="13"/>
        <v>-3.2193302293955436E-3</v>
      </c>
      <c r="J87" s="6">
        <f t="shared" ca="1" si="17"/>
        <v>160.99110629550674</v>
      </c>
      <c r="K87" s="6">
        <f t="shared" ca="1" si="19"/>
        <v>164.05659193843275</v>
      </c>
      <c r="L87" s="21">
        <f t="shared" ca="1" si="14"/>
        <v>-8.0865919217672881E-3</v>
      </c>
      <c r="M87" s="6">
        <f t="shared" ca="1" si="18"/>
        <v>149.31820225144784</v>
      </c>
    </row>
    <row r="88" spans="2:13">
      <c r="B88" s="3"/>
      <c r="G88" s="22">
        <f t="shared" si="15"/>
        <v>8.3999999999999861</v>
      </c>
      <c r="H88" s="21">
        <f t="shared" ca="1" si="16"/>
        <v>1.2590950315020308</v>
      </c>
      <c r="I88" s="21">
        <f t="shared" ca="1" si="13"/>
        <v>0.15851067310216846</v>
      </c>
      <c r="J88" s="6">
        <f t="shared" ca="1" si="17"/>
        <v>168.17576398257515</v>
      </c>
      <c r="K88" s="6">
        <f t="shared" ca="1" si="19"/>
        <v>164.93846840920142</v>
      </c>
      <c r="L88" s="21">
        <f t="shared" ca="1" si="14"/>
        <v>0.3981608090147874</v>
      </c>
      <c r="M88" s="6">
        <f t="shared" ca="1" si="18"/>
        <v>164.92795731497262</v>
      </c>
    </row>
    <row r="89" spans="2:13">
      <c r="B89" s="3"/>
      <c r="G89" s="22">
        <f t="shared" si="15"/>
        <v>8.4999999999999858</v>
      </c>
      <c r="H89" s="21">
        <f t="shared" ca="1" si="16"/>
        <v>0.37380804180842664</v>
      </c>
      <c r="I89" s="21">
        <f t="shared" ca="1" si="13"/>
        <v>4.7059644296564493E-2</v>
      </c>
      <c r="J89" s="6">
        <f t="shared" ca="1" si="17"/>
        <v>170.99521571056877</v>
      </c>
      <c r="K89" s="6">
        <f t="shared" ca="1" si="19"/>
        <v>165.71592425894468</v>
      </c>
      <c r="L89" s="21">
        <f t="shared" ca="1" si="14"/>
        <v>0.11820848198020752</v>
      </c>
      <c r="M89" s="6">
        <f t="shared" ca="1" si="18"/>
        <v>170.62656796912233</v>
      </c>
    </row>
    <row r="90" spans="2:13">
      <c r="B90" s="3"/>
      <c r="G90" s="22">
        <f t="shared" si="15"/>
        <v>8.5999999999999854</v>
      </c>
      <c r="H90" s="21">
        <f t="shared" ca="1" si="16"/>
        <v>-0.12041091982310939</v>
      </c>
      <c r="I90" s="21">
        <f t="shared" ca="1" si="13"/>
        <v>-1.5158836682282248E-2</v>
      </c>
      <c r="J90" s="6">
        <f t="shared" ca="1" si="17"/>
        <v>171.20216965201959</v>
      </c>
      <c r="K90" s="6">
        <f t="shared" ca="1" si="19"/>
        <v>166.33655976068945</v>
      </c>
      <c r="L90" s="21">
        <f t="shared" ca="1" si="14"/>
        <v>-3.8077276179694468E-2</v>
      </c>
      <c r="M90" s="6">
        <f t="shared" ca="1" si="18"/>
        <v>169.85545207092952</v>
      </c>
    </row>
    <row r="91" spans="2:13">
      <c r="B91" s="3"/>
      <c r="G91" s="22">
        <f t="shared" si="15"/>
        <v>8.6999999999999851</v>
      </c>
      <c r="H91" s="21">
        <f t="shared" ca="1" si="16"/>
        <v>-2.1893237294778056</v>
      </c>
      <c r="I91" s="21">
        <f t="shared" ca="1" si="13"/>
        <v>-0.27561952776835891</v>
      </c>
      <c r="J91" s="6">
        <f t="shared" ca="1" si="17"/>
        <v>160.26151521217767</v>
      </c>
      <c r="K91" s="6">
        <f t="shared" ca="1" si="19"/>
        <v>166.32515417056959</v>
      </c>
      <c r="L91" s="21">
        <f t="shared" ca="1" si="14"/>
        <v>-0.69232495206041855</v>
      </c>
      <c r="M91" s="6">
        <f t="shared" ca="1" si="18"/>
        <v>141.30593740323241</v>
      </c>
    </row>
    <row r="92" spans="2:13">
      <c r="B92" s="3"/>
      <c r="G92" s="22">
        <f t="shared" si="15"/>
        <v>8.7999999999999847</v>
      </c>
      <c r="H92" s="21">
        <f t="shared" ca="1" si="16"/>
        <v>-1.0918514003727766</v>
      </c>
      <c r="I92" s="21">
        <f t="shared" ca="1" si="13"/>
        <v>-0.13745594738323363</v>
      </c>
      <c r="J92" s="6">
        <f t="shared" ca="1" si="17"/>
        <v>155.55559818759795</v>
      </c>
      <c r="K92" s="6">
        <f t="shared" ca="1" si="19"/>
        <v>165.23805254898781</v>
      </c>
      <c r="L92" s="21">
        <f t="shared" ca="1" si="14"/>
        <v>-0.34527372916223925</v>
      </c>
      <c r="M92" s="6">
        <f t="shared" ca="1" si="18"/>
        <v>129.81516010025359</v>
      </c>
    </row>
    <row r="93" spans="2:13">
      <c r="B93" s="3"/>
      <c r="G93" s="22">
        <f t="shared" si="15"/>
        <v>8.8999999999999844</v>
      </c>
      <c r="H93" s="21">
        <f t="shared" ca="1" si="16"/>
        <v>1.1226811063373419</v>
      </c>
      <c r="I93" s="21">
        <f t="shared" ca="1" si="13"/>
        <v>0.14133717741092697</v>
      </c>
      <c r="J93" s="6">
        <f t="shared" ca="1" si="17"/>
        <v>161.82982347311179</v>
      </c>
      <c r="K93" s="6">
        <f t="shared" ca="1" si="19"/>
        <v>163.96886444709517</v>
      </c>
      <c r="L93" s="21">
        <f t="shared" ca="1" si="14"/>
        <v>0.35502293820636971</v>
      </c>
      <c r="M93" s="6">
        <f t="shared" ca="1" si="18"/>
        <v>141.98607579138545</v>
      </c>
    </row>
    <row r="94" spans="2:13">
      <c r="B94" s="3"/>
      <c r="G94" s="22">
        <f t="shared" si="15"/>
        <v>8.999999999999984</v>
      </c>
      <c r="H94" s="21">
        <f t="shared" ca="1" si="16"/>
        <v>0.45806614594674994</v>
      </c>
      <c r="I94" s="21">
        <f t="shared" ca="1" si="13"/>
        <v>5.7667111141497945E-2</v>
      </c>
      <c r="J94" s="6">
        <f t="shared" ca="1" si="17"/>
        <v>164.97203719453557</v>
      </c>
      <c r="K94" s="6">
        <f t="shared" ca="1" si="19"/>
        <v>162.76422874388851</v>
      </c>
      <c r="L94" s="21">
        <f t="shared" ca="1" si="14"/>
        <v>0.14485323402068359</v>
      </c>
      <c r="M94" s="6">
        <f t="shared" ca="1" si="18"/>
        <v>147.8377917364144</v>
      </c>
    </row>
    <row r="95" spans="2:13">
      <c r="B95" s="3"/>
      <c r="G95" s="22">
        <f t="shared" si="15"/>
        <v>9.0999999999999837</v>
      </c>
      <c r="H95" s="21">
        <f t="shared" ca="1" si="16"/>
        <v>-0.56277493429005765</v>
      </c>
      <c r="I95" s="21">
        <f t="shared" ca="1" si="13"/>
        <v>-7.0849166589854642E-2</v>
      </c>
      <c r="J95" s="6">
        <f t="shared" ca="1" si="17"/>
        <v>162.87486454404242</v>
      </c>
      <c r="K95" s="6">
        <f t="shared" ca="1" si="19"/>
        <v>161.09876772229308</v>
      </c>
      <c r="L95" s="21">
        <f t="shared" ca="1" si="14"/>
        <v>-0.17796506024081771</v>
      </c>
      <c r="M95" s="6">
        <f t="shared" ca="1" si="18"/>
        <v>141.99949031703636</v>
      </c>
    </row>
    <row r="96" spans="2:13">
      <c r="B96" s="3"/>
      <c r="G96" s="22">
        <f t="shared" si="15"/>
        <v>9.1999999999999833</v>
      </c>
      <c r="H96" s="21">
        <f t="shared" ca="1" si="16"/>
        <v>-1.3899657560616516</v>
      </c>
      <c r="I96" s="21">
        <f t="shared" ca="1" si="13"/>
        <v>-0.17498632118297061</v>
      </c>
      <c r="J96" s="6">
        <f t="shared" ca="1" si="17"/>
        <v>156.56402052682847</v>
      </c>
      <c r="K96" s="6">
        <f t="shared" ca="1" si="19"/>
        <v>160.35926878522326</v>
      </c>
      <c r="L96" s="21">
        <f t="shared" ca="1" si="14"/>
        <v>-0.43954576587928124</v>
      </c>
      <c r="M96" s="6">
        <f t="shared" ca="1" si="18"/>
        <v>127.10566908715423</v>
      </c>
    </row>
    <row r="97" spans="2:13">
      <c r="B97" s="3"/>
      <c r="G97" s="6">
        <f t="shared" si="15"/>
        <v>9.2999999999999829</v>
      </c>
      <c r="H97" s="21">
        <f t="shared" ca="1" si="16"/>
        <v>0.48898979180010055</v>
      </c>
      <c r="I97" s="21">
        <f t="shared" ca="1" si="13"/>
        <v>6.1560167500508585E-2</v>
      </c>
      <c r="J97" s="6">
        <f t="shared" ca="1" si="17"/>
        <v>159.75636746150877</v>
      </c>
      <c r="K97" s="6">
        <f t="shared" ca="1" si="19"/>
        <v>161.19942264000542</v>
      </c>
      <c r="L97" s="21">
        <f t="shared" ca="1" si="14"/>
        <v>0.1546321494659845</v>
      </c>
      <c r="M97" s="6">
        <f t="shared" ca="1" si="18"/>
        <v>132.6548531376547</v>
      </c>
    </row>
    <row r="98" spans="2:13">
      <c r="G98" s="6">
        <f t="shared" si="15"/>
        <v>9.3999999999999826</v>
      </c>
      <c r="H98" s="21">
        <f t="shared" ca="1" si="16"/>
        <v>2.5606710034192606</v>
      </c>
      <c r="I98" s="21">
        <f t="shared" ca="1" si="13"/>
        <v>0.32236937974489771</v>
      </c>
      <c r="J98" s="6">
        <f t="shared" ca="1" si="17"/>
        <v>173.43028957103243</v>
      </c>
      <c r="K98" s="6">
        <f t="shared" ca="1" si="19"/>
        <v>163.51951585958952</v>
      </c>
      <c r="L98" s="21">
        <f t="shared" ca="1" si="14"/>
        <v>0.80975527091536759</v>
      </c>
      <c r="M98" s="6">
        <f t="shared" ca="1" si="18"/>
        <v>160.17261903852295</v>
      </c>
    </row>
    <row r="99" spans="2:13">
      <c r="G99" s="6">
        <f t="shared" si="15"/>
        <v>9.4999999999999822</v>
      </c>
      <c r="H99" s="21">
        <f t="shared" ca="1" si="16"/>
        <v>1.6338502803979045</v>
      </c>
      <c r="I99" s="21">
        <f t="shared" ca="1" si="13"/>
        <v>0.20568956370599481</v>
      </c>
      <c r="J99" s="6">
        <f t="shared" ca="1" si="17"/>
        <v>183.21564116770509</v>
      </c>
      <c r="K99" s="6">
        <f t="shared" ca="1" si="19"/>
        <v>167.16823665422345</v>
      </c>
      <c r="L99" s="21">
        <f t="shared" ca="1" si="14"/>
        <v>0.51666882417621363</v>
      </c>
      <c r="M99" s="6">
        <f t="shared" ca="1" si="18"/>
        <v>181.66253181968014</v>
      </c>
    </row>
    <row r="100" spans="2:13">
      <c r="G100" s="6">
        <f t="shared" si="15"/>
        <v>9.5999999999999819</v>
      </c>
      <c r="H100" s="21">
        <f t="shared" ca="1" si="16"/>
        <v>1.9520678421551347</v>
      </c>
      <c r="I100" s="21">
        <f t="shared" ca="1" si="13"/>
        <v>0.2457507812035305</v>
      </c>
      <c r="J100" s="6">
        <f t="shared" ca="1" si="17"/>
        <v>195.3880661099609</v>
      </c>
      <c r="K100" s="6">
        <f t="shared" ca="1" si="19"/>
        <v>173.67087696740714</v>
      </c>
      <c r="L100" s="21">
        <f t="shared" ca="1" si="14"/>
        <v>0.61729805283802763</v>
      </c>
      <c r="M100" s="6">
        <f t="shared" ca="1" si="18"/>
        <v>210.60582627025724</v>
      </c>
    </row>
    <row r="101" spans="2:13">
      <c r="G101" s="6">
        <f t="shared" si="15"/>
        <v>9.6999999999999815</v>
      </c>
      <c r="H101" s="21">
        <f t="shared" ca="1" si="16"/>
        <v>0.92437390065249492</v>
      </c>
      <c r="I101" s="21">
        <f t="shared" ca="1" si="13"/>
        <v>0.11637177935307232</v>
      </c>
      <c r="J101" s="6">
        <f t="shared" ref="J101:J104" ca="1" si="20">J100+(mu*J100*dt)+(sigma*J100*I101)</f>
        <v>202.04942066990367</v>
      </c>
      <c r="K101" s="6">
        <f t="shared" ca="1" si="19"/>
        <v>182.76795699602218</v>
      </c>
      <c r="L101" s="21">
        <f t="shared" ca="1" si="14"/>
        <v>0.29231269356760897</v>
      </c>
      <c r="M101" s="6">
        <f t="shared" ref="M101:M104" ca="1" si="21">M100+(mu*M100*dt)+(sigma*M100*L101)</f>
        <v>227.04954449113123</v>
      </c>
    </row>
    <row r="102" spans="2:13">
      <c r="G102" s="6">
        <f t="shared" si="15"/>
        <v>9.7999999999999812</v>
      </c>
      <c r="H102" s="21">
        <f t="shared" ca="1" si="16"/>
        <v>-1.1168636447888831</v>
      </c>
      <c r="I102" s="21">
        <f t="shared" ca="1" si="13"/>
        <v>-0.14060480239337794</v>
      </c>
      <c r="J102" s="6">
        <f t="shared" ca="1" si="20"/>
        <v>195.95738805650612</v>
      </c>
      <c r="K102" s="6">
        <f t="shared" ca="1" si="19"/>
        <v>190.00816111502166</v>
      </c>
      <c r="L102" s="21">
        <f t="shared" ca="1" si="14"/>
        <v>-0.35318329533701176</v>
      </c>
      <c r="M102" s="6">
        <f t="shared" ca="1" si="21"/>
        <v>208.13726563155058</v>
      </c>
    </row>
    <row r="103" spans="2:13">
      <c r="G103" s="6">
        <f t="shared" si="15"/>
        <v>9.8999999999999808</v>
      </c>
      <c r="H103" s="21">
        <f t="shared" ca="1" si="16"/>
        <v>-0.64005445940984407</v>
      </c>
      <c r="I103" s="21">
        <f t="shared" ca="1" si="13"/>
        <v>-8.0578082388323119E-2</v>
      </c>
      <c r="J103" s="6">
        <f t="shared" ca="1" si="20"/>
        <v>192.98970735693422</v>
      </c>
      <c r="K103" s="6">
        <f t="shared" ca="1" si="19"/>
        <v>193.92004467220198</v>
      </c>
      <c r="L103" s="21">
        <f t="shared" ca="1" si="14"/>
        <v>-0.20240299182828986</v>
      </c>
      <c r="M103" s="6">
        <f t="shared" ca="1" si="21"/>
        <v>198.64605064101201</v>
      </c>
    </row>
    <row r="104" spans="2:13">
      <c r="G104" s="6">
        <f t="shared" si="15"/>
        <v>9.9999999999999805</v>
      </c>
      <c r="H104" s="21">
        <f t="shared" ca="1" si="16"/>
        <v>-9.79966298393221E-2</v>
      </c>
      <c r="I104" s="21">
        <f t="shared" ca="1" si="13"/>
        <v>-1.2337044757490919E-2</v>
      </c>
      <c r="J104" s="6">
        <f t="shared" ca="1" si="20"/>
        <v>193.35942522936949</v>
      </c>
      <c r="K104" s="6">
        <f t="shared" ca="1" si="19"/>
        <v>195.9488014845349</v>
      </c>
      <c r="L104" s="21">
        <f t="shared" ca="1" si="14"/>
        <v>-3.0989255331267829E-2</v>
      </c>
      <c r="M104" s="6">
        <f t="shared" ca="1" si="21"/>
        <v>198.1003075982515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fGBM</vt:lpstr>
      <vt:lpstr>alpha</vt:lpstr>
      <vt:lpstr>BM</vt:lpstr>
      <vt:lpstr>dt</vt:lpstr>
      <vt:lpstr>H</vt:lpstr>
      <vt:lpstr>mu</vt:lpstr>
      <vt:lpstr>S0</vt:lpstr>
      <vt:lpstr>sigma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2022-05-16T14:34:27Z</dcterms:created>
  <dcterms:modified xsi:type="dcterms:W3CDTF">2024-01-23T01:12:09Z</dcterms:modified>
</cp:coreProperties>
</file>