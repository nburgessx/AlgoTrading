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ROJECTS\ALGO TRADING\.AlgoTrading\"/>
    </mc:Choice>
  </mc:AlternateContent>
  <xr:revisionPtr revIDLastSave="0" documentId="13_ncr:1_{8AE4149A-6FD0-4DF9-A402-CC9E2F0BC242}" xr6:coauthVersionLast="47" xr6:coauthVersionMax="47" xr10:uidLastSave="{00000000-0000-0000-0000-000000000000}"/>
  <bookViews>
    <workbookView xWindow="3900" yWindow="3900" windowWidth="38700" windowHeight="15345" xr2:uid="{00000000-000D-0000-FFFF-FFFF00000000}"/>
  </bookViews>
  <sheets>
    <sheet name="RSI Strategy" sheetId="6" r:id="rId1"/>
    <sheet name="RSI Chart" sheetId="11" r:id="rId2"/>
    <sheet name="RSI Signal Chart" sheetId="12" r:id="rId3"/>
  </sheets>
  <definedNames>
    <definedName name="RSI_Overbought">'RSI Strategy'!$AA$11</definedName>
    <definedName name="RSI_Oversold">'RSI Strategy'!$AA$12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6" i="6" l="1"/>
  <c r="N17" i="6"/>
  <c r="N18" i="6"/>
  <c r="N19" i="6"/>
  <c r="N20" i="6"/>
  <c r="N21" i="6"/>
  <c r="N22" i="6"/>
  <c r="N23" i="6"/>
  <c r="N24" i="6"/>
  <c r="N25" i="6"/>
  <c r="N26" i="6"/>
  <c r="N27" i="6"/>
  <c r="N28" i="6"/>
  <c r="N29" i="6"/>
  <c r="N30" i="6"/>
  <c r="N31" i="6"/>
  <c r="N32" i="6"/>
  <c r="N33" i="6"/>
  <c r="N34" i="6"/>
  <c r="N35" i="6"/>
  <c r="N36" i="6"/>
  <c r="N37" i="6"/>
  <c r="N38" i="6"/>
  <c r="N39" i="6"/>
  <c r="N40" i="6"/>
  <c r="N41" i="6"/>
  <c r="N42" i="6"/>
  <c r="N43" i="6"/>
  <c r="N44" i="6"/>
  <c r="N45" i="6"/>
  <c r="N46" i="6"/>
  <c r="N47" i="6"/>
  <c r="N48" i="6"/>
  <c r="N49" i="6"/>
  <c r="N50" i="6"/>
  <c r="N51" i="6"/>
  <c r="N52" i="6"/>
  <c r="N53" i="6"/>
  <c r="N54" i="6"/>
  <c r="N55" i="6"/>
  <c r="N56" i="6"/>
  <c r="N57" i="6"/>
  <c r="N58" i="6"/>
  <c r="N59" i="6"/>
  <c r="N60" i="6"/>
  <c r="N61" i="6"/>
  <c r="N62" i="6"/>
  <c r="N63" i="6"/>
  <c r="N64" i="6"/>
  <c r="N65" i="6"/>
  <c r="N66" i="6"/>
  <c r="N67" i="6"/>
  <c r="N68" i="6"/>
  <c r="N69" i="6"/>
  <c r="N70" i="6"/>
  <c r="N71" i="6"/>
  <c r="N72" i="6"/>
  <c r="N73" i="6"/>
  <c r="N74" i="6"/>
  <c r="N75" i="6"/>
  <c r="N76" i="6"/>
  <c r="N77" i="6"/>
  <c r="N78" i="6"/>
  <c r="N79" i="6"/>
  <c r="N80" i="6"/>
  <c r="N81" i="6"/>
  <c r="N82" i="6"/>
  <c r="N83" i="6"/>
  <c r="N84" i="6"/>
  <c r="N85" i="6"/>
  <c r="N86" i="6"/>
  <c r="N87" i="6"/>
  <c r="N88" i="6"/>
  <c r="N89" i="6"/>
  <c r="N90" i="6"/>
  <c r="N91" i="6"/>
  <c r="N92" i="6"/>
  <c r="N93" i="6"/>
  <c r="N94" i="6"/>
  <c r="N95" i="6"/>
  <c r="N96" i="6"/>
  <c r="N97" i="6"/>
  <c r="N98" i="6"/>
  <c r="N99" i="6"/>
  <c r="N100" i="6"/>
  <c r="N101" i="6"/>
  <c r="N102" i="6"/>
  <c r="N103" i="6"/>
  <c r="N104" i="6"/>
  <c r="N105" i="6"/>
  <c r="N106" i="6"/>
  <c r="N107" i="6"/>
  <c r="N108" i="6"/>
  <c r="N109" i="6"/>
  <c r="N110" i="6"/>
  <c r="N111" i="6"/>
  <c r="N112" i="6"/>
  <c r="N113" i="6"/>
  <c r="N114" i="6"/>
  <c r="N115" i="6"/>
  <c r="N116" i="6"/>
  <c r="N117" i="6"/>
  <c r="N118" i="6"/>
  <c r="N119" i="6"/>
  <c r="N120" i="6"/>
  <c r="N121" i="6"/>
  <c r="N122" i="6"/>
  <c r="N123" i="6"/>
  <c r="N124" i="6"/>
  <c r="N125" i="6"/>
  <c r="N126" i="6"/>
  <c r="N127" i="6"/>
  <c r="N128" i="6"/>
  <c r="N129" i="6"/>
  <c r="N130" i="6"/>
  <c r="N131" i="6"/>
  <c r="N132" i="6"/>
  <c r="N133" i="6"/>
  <c r="N134" i="6"/>
  <c r="N135" i="6"/>
  <c r="N136" i="6"/>
  <c r="N137" i="6"/>
  <c r="N138" i="6"/>
  <c r="N139" i="6"/>
  <c r="N140" i="6"/>
  <c r="N141" i="6"/>
  <c r="N142" i="6"/>
  <c r="N143" i="6"/>
  <c r="N144" i="6"/>
  <c r="N145" i="6"/>
  <c r="N146" i="6"/>
  <c r="N147" i="6"/>
  <c r="N148" i="6"/>
  <c r="N149" i="6"/>
  <c r="N150" i="6"/>
  <c r="N151" i="6"/>
  <c r="N152" i="6"/>
  <c r="N153" i="6"/>
  <c r="N154" i="6"/>
  <c r="N155" i="6"/>
  <c r="N156" i="6"/>
  <c r="N157" i="6"/>
  <c r="N158" i="6"/>
  <c r="N159" i="6"/>
  <c r="N160" i="6"/>
  <c r="N161" i="6"/>
  <c r="N162" i="6"/>
  <c r="N163" i="6"/>
  <c r="N164" i="6"/>
  <c r="N165" i="6"/>
  <c r="N166" i="6"/>
  <c r="N167" i="6"/>
  <c r="N168" i="6"/>
  <c r="N169" i="6"/>
  <c r="N170" i="6"/>
  <c r="N171" i="6"/>
  <c r="N172" i="6"/>
  <c r="N173" i="6"/>
  <c r="N174" i="6"/>
  <c r="N175" i="6"/>
  <c r="N176" i="6"/>
  <c r="N177" i="6"/>
  <c r="N178" i="6"/>
  <c r="N179" i="6"/>
  <c r="N180" i="6"/>
  <c r="N181" i="6"/>
  <c r="N182" i="6"/>
  <c r="N183" i="6"/>
  <c r="N184" i="6"/>
  <c r="N185" i="6"/>
  <c r="N186" i="6"/>
  <c r="N187" i="6"/>
  <c r="N188" i="6"/>
  <c r="N189" i="6"/>
  <c r="N190" i="6"/>
  <c r="N191" i="6"/>
  <c r="N192" i="6"/>
  <c r="N193" i="6"/>
  <c r="N194" i="6"/>
  <c r="N195" i="6"/>
  <c r="N196" i="6"/>
  <c r="N197" i="6"/>
  <c r="N198" i="6"/>
  <c r="N199" i="6"/>
  <c r="N200" i="6"/>
  <c r="N201" i="6"/>
  <c r="N202" i="6"/>
  <c r="N203" i="6"/>
  <c r="N204" i="6"/>
  <c r="N205" i="6"/>
  <c r="N206" i="6"/>
  <c r="N207" i="6"/>
  <c r="N208" i="6"/>
  <c r="N209" i="6"/>
  <c r="N210" i="6"/>
  <c r="N211" i="6"/>
  <c r="N212" i="6"/>
  <c r="N213" i="6"/>
  <c r="N214" i="6"/>
  <c r="N215" i="6"/>
  <c r="N216" i="6"/>
  <c r="N217" i="6"/>
  <c r="N218" i="6"/>
  <c r="N219" i="6"/>
  <c r="N220" i="6"/>
  <c r="N221" i="6"/>
  <c r="N222" i="6"/>
  <c r="N223" i="6"/>
  <c r="N224" i="6"/>
  <c r="N225" i="6"/>
  <c r="N226" i="6"/>
  <c r="N227" i="6"/>
  <c r="N228" i="6"/>
  <c r="N229" i="6"/>
  <c r="N230" i="6"/>
  <c r="N231" i="6"/>
  <c r="N232" i="6"/>
  <c r="N233" i="6"/>
  <c r="N234" i="6"/>
  <c r="N235" i="6"/>
  <c r="N236" i="6"/>
  <c r="N237" i="6"/>
  <c r="N238" i="6"/>
  <c r="N239" i="6"/>
  <c r="N240" i="6"/>
  <c r="N241" i="6"/>
  <c r="N242" i="6"/>
  <c r="N243" i="6"/>
  <c r="N244" i="6"/>
  <c r="N245" i="6"/>
  <c r="N246" i="6"/>
  <c r="N247" i="6"/>
  <c r="N248" i="6"/>
  <c r="N249" i="6"/>
  <c r="N250" i="6"/>
  <c r="N251" i="6"/>
  <c r="N252" i="6"/>
  <c r="N253" i="6"/>
  <c r="N254" i="6"/>
  <c r="N255" i="6"/>
  <c r="N256" i="6"/>
  <c r="N257" i="6"/>
  <c r="N258" i="6"/>
  <c r="N259" i="6"/>
  <c r="N260" i="6"/>
  <c r="N261" i="6"/>
  <c r="N262" i="6"/>
  <c r="N263" i="6"/>
  <c r="N264" i="6"/>
  <c r="N265" i="6"/>
  <c r="N266" i="6"/>
  <c r="N267" i="6"/>
  <c r="N268" i="6"/>
  <c r="N269" i="6"/>
  <c r="N270" i="6"/>
  <c r="N271" i="6"/>
  <c r="N272" i="6"/>
  <c r="N273" i="6"/>
  <c r="N274" i="6"/>
  <c r="N275" i="6"/>
  <c r="N276" i="6"/>
  <c r="N277" i="6"/>
  <c r="N278" i="6"/>
  <c r="N279" i="6"/>
  <c r="N280" i="6"/>
  <c r="N281" i="6"/>
  <c r="N282" i="6"/>
  <c r="N283" i="6"/>
  <c r="N284" i="6"/>
  <c r="N285" i="6"/>
  <c r="N286" i="6"/>
  <c r="N287" i="6"/>
  <c r="N288" i="6"/>
  <c r="N289" i="6"/>
  <c r="N290" i="6"/>
  <c r="N291" i="6"/>
  <c r="N292" i="6"/>
  <c r="N293" i="6"/>
  <c r="N294" i="6"/>
  <c r="N295" i="6"/>
  <c r="N296" i="6"/>
  <c r="N297" i="6"/>
  <c r="N298" i="6"/>
  <c r="N299" i="6"/>
  <c r="N300" i="6"/>
  <c r="N301" i="6"/>
  <c r="N302" i="6"/>
  <c r="N303" i="6"/>
  <c r="N304" i="6"/>
  <c r="N305" i="6"/>
  <c r="N306" i="6"/>
  <c r="N307" i="6"/>
  <c r="N308" i="6"/>
  <c r="N309" i="6"/>
  <c r="N310" i="6"/>
  <c r="N311" i="6"/>
  <c r="N312" i="6"/>
  <c r="N313" i="6"/>
  <c r="N314" i="6"/>
  <c r="N315" i="6"/>
  <c r="N316" i="6"/>
  <c r="N317" i="6"/>
  <c r="N318" i="6"/>
  <c r="N319" i="6"/>
  <c r="N320" i="6"/>
  <c r="N321" i="6"/>
  <c r="N322" i="6"/>
  <c r="N323" i="6"/>
  <c r="N324" i="6"/>
  <c r="N325" i="6"/>
  <c r="N326" i="6"/>
  <c r="N327" i="6"/>
  <c r="N328" i="6"/>
  <c r="N329" i="6"/>
  <c r="N330" i="6"/>
  <c r="N331" i="6"/>
  <c r="N332" i="6"/>
  <c r="N333" i="6"/>
  <c r="N334" i="6"/>
  <c r="N335" i="6"/>
  <c r="N336" i="6"/>
  <c r="N337" i="6"/>
  <c r="N338" i="6"/>
  <c r="N339" i="6"/>
  <c r="N340" i="6"/>
  <c r="N341" i="6"/>
  <c r="N342" i="6"/>
  <c r="N343" i="6"/>
  <c r="N344" i="6"/>
  <c r="N345" i="6"/>
  <c r="N346" i="6"/>
  <c r="N347" i="6"/>
  <c r="N348" i="6"/>
  <c r="N349" i="6"/>
  <c r="N350" i="6"/>
  <c r="N351" i="6"/>
  <c r="N352" i="6"/>
  <c r="N353" i="6"/>
  <c r="N354" i="6"/>
  <c r="N355" i="6"/>
  <c r="N356" i="6"/>
  <c r="N357" i="6"/>
  <c r="N358" i="6"/>
  <c r="N359" i="6"/>
  <c r="N360" i="6"/>
  <c r="N361" i="6"/>
  <c r="N362" i="6"/>
  <c r="N363" i="6"/>
  <c r="N364" i="6"/>
  <c r="N365" i="6"/>
  <c r="N366" i="6"/>
  <c r="N367" i="6"/>
  <c r="N368" i="6"/>
  <c r="N369" i="6"/>
  <c r="N370" i="6"/>
  <c r="N371" i="6"/>
  <c r="N372" i="6"/>
  <c r="N373" i="6"/>
  <c r="N374" i="6"/>
  <c r="N375" i="6"/>
  <c r="N376" i="6"/>
  <c r="N377" i="6"/>
  <c r="N378" i="6"/>
  <c r="N379" i="6"/>
  <c r="N380" i="6"/>
  <c r="N381" i="6"/>
  <c r="N382" i="6"/>
  <c r="N383" i="6"/>
  <c r="N384" i="6"/>
  <c r="N385" i="6"/>
  <c r="N386" i="6"/>
  <c r="N387" i="6"/>
  <c r="N388" i="6"/>
  <c r="N389" i="6"/>
  <c r="N390" i="6"/>
  <c r="N391" i="6"/>
  <c r="N392" i="6"/>
  <c r="N393" i="6"/>
  <c r="N394" i="6"/>
  <c r="N395" i="6"/>
  <c r="N396" i="6"/>
  <c r="N397" i="6"/>
  <c r="N398" i="6"/>
  <c r="N399" i="6"/>
  <c r="N400" i="6"/>
  <c r="N401" i="6"/>
  <c r="N402" i="6"/>
  <c r="N403" i="6"/>
  <c r="N404" i="6"/>
  <c r="N405" i="6"/>
  <c r="N406" i="6"/>
  <c r="N407" i="6"/>
  <c r="N408" i="6"/>
  <c r="N409" i="6"/>
  <c r="N410" i="6"/>
  <c r="N411" i="6"/>
  <c r="N412" i="6"/>
  <c r="N413" i="6"/>
  <c r="N414" i="6"/>
  <c r="N415" i="6"/>
  <c r="N416" i="6"/>
  <c r="N417" i="6"/>
  <c r="N418" i="6"/>
  <c r="N419" i="6"/>
  <c r="N420" i="6"/>
  <c r="N421" i="6"/>
  <c r="N422" i="6"/>
  <c r="N423" i="6"/>
  <c r="N424" i="6"/>
  <c r="N425" i="6"/>
  <c r="N426" i="6"/>
  <c r="N427" i="6"/>
  <c r="N428" i="6"/>
  <c r="N429" i="6"/>
  <c r="N430" i="6"/>
  <c r="N431" i="6"/>
  <c r="N432" i="6"/>
  <c r="N433" i="6"/>
  <c r="N434" i="6"/>
  <c r="N435" i="6"/>
  <c r="N436" i="6"/>
  <c r="N437" i="6"/>
  <c r="N438" i="6"/>
  <c r="N439" i="6"/>
  <c r="N440" i="6"/>
  <c r="N441" i="6"/>
  <c r="N442" i="6"/>
  <c r="N443" i="6"/>
  <c r="N444" i="6"/>
  <c r="N445" i="6"/>
  <c r="N446" i="6"/>
  <c r="N447" i="6"/>
  <c r="N448" i="6"/>
  <c r="N449" i="6"/>
  <c r="N450" i="6"/>
  <c r="N451" i="6"/>
  <c r="N452" i="6"/>
  <c r="N453" i="6"/>
  <c r="N454" i="6"/>
  <c r="N455" i="6"/>
  <c r="N456" i="6"/>
  <c r="N457" i="6"/>
  <c r="N458" i="6"/>
  <c r="N459" i="6"/>
  <c r="N460" i="6"/>
  <c r="N461" i="6"/>
  <c r="N462" i="6"/>
  <c r="N463" i="6"/>
  <c r="N464" i="6"/>
  <c r="N465" i="6"/>
  <c r="N466" i="6"/>
  <c r="N467" i="6"/>
  <c r="N468" i="6"/>
  <c r="N469" i="6"/>
  <c r="N470" i="6"/>
  <c r="N471" i="6"/>
  <c r="N472" i="6"/>
  <c r="N473" i="6"/>
  <c r="N474" i="6"/>
  <c r="N475" i="6"/>
  <c r="N476" i="6"/>
  <c r="N477" i="6"/>
  <c r="N478" i="6"/>
  <c r="N479" i="6"/>
  <c r="N480" i="6"/>
  <c r="N481" i="6"/>
  <c r="N482" i="6"/>
  <c r="N483" i="6"/>
  <c r="N484" i="6"/>
  <c r="N485" i="6"/>
  <c r="N486" i="6"/>
  <c r="N487" i="6"/>
  <c r="N488" i="6"/>
  <c r="N489" i="6"/>
  <c r="N490" i="6"/>
  <c r="N491" i="6"/>
  <c r="N492" i="6"/>
  <c r="N493" i="6"/>
  <c r="N494" i="6"/>
  <c r="N495" i="6"/>
  <c r="N496" i="6"/>
  <c r="N497" i="6"/>
  <c r="N498" i="6"/>
  <c r="N499" i="6"/>
  <c r="N500" i="6"/>
  <c r="N501" i="6"/>
  <c r="N502" i="6"/>
  <c r="N503" i="6"/>
  <c r="N504" i="6"/>
  <c r="N505" i="6"/>
  <c r="N506" i="6"/>
  <c r="N507" i="6"/>
  <c r="N508" i="6"/>
  <c r="N509" i="6"/>
  <c r="N510" i="6"/>
  <c r="N511" i="6"/>
  <c r="N512" i="6"/>
  <c r="N513" i="6"/>
  <c r="N514" i="6"/>
  <c r="N515" i="6"/>
  <c r="N516" i="6"/>
  <c r="N517" i="6"/>
  <c r="N518" i="6"/>
  <c r="N519" i="6"/>
  <c r="N520" i="6"/>
  <c r="N521" i="6"/>
  <c r="N522" i="6"/>
  <c r="N523" i="6"/>
  <c r="N524" i="6"/>
  <c r="N525" i="6"/>
  <c r="N526" i="6"/>
  <c r="N527" i="6"/>
  <c r="N528" i="6"/>
  <c r="N529" i="6"/>
  <c r="N530" i="6"/>
  <c r="N531" i="6"/>
  <c r="N532" i="6"/>
  <c r="N533" i="6"/>
  <c r="N534" i="6"/>
  <c r="N535" i="6"/>
  <c r="N536" i="6"/>
  <c r="N537" i="6"/>
  <c r="N538" i="6"/>
  <c r="N539" i="6"/>
  <c r="N540" i="6"/>
  <c r="N541" i="6"/>
  <c r="N542" i="6"/>
  <c r="N543" i="6"/>
  <c r="N544" i="6"/>
  <c r="N545" i="6"/>
  <c r="N546" i="6"/>
  <c r="N547" i="6"/>
  <c r="N548" i="6"/>
  <c r="N549" i="6"/>
  <c r="N550" i="6"/>
  <c r="N551" i="6"/>
  <c r="N552" i="6"/>
  <c r="N553" i="6"/>
  <c r="N554" i="6"/>
  <c r="N555" i="6"/>
  <c r="N556" i="6"/>
  <c r="N557" i="6"/>
  <c r="N558" i="6"/>
  <c r="N559" i="6"/>
  <c r="N560" i="6"/>
  <c r="N561" i="6"/>
  <c r="N562" i="6"/>
  <c r="N563" i="6"/>
  <c r="N564" i="6"/>
  <c r="N565" i="6"/>
  <c r="N566" i="6"/>
  <c r="N567" i="6"/>
  <c r="N568" i="6"/>
  <c r="N569" i="6"/>
  <c r="N570" i="6"/>
  <c r="N571" i="6"/>
  <c r="N572" i="6"/>
  <c r="N573" i="6"/>
  <c r="N574" i="6"/>
  <c r="N575" i="6"/>
  <c r="N576" i="6"/>
  <c r="N577" i="6"/>
  <c r="N578" i="6"/>
  <c r="N579" i="6"/>
  <c r="N580" i="6"/>
  <c r="N581" i="6"/>
  <c r="N582" i="6"/>
  <c r="N583" i="6"/>
  <c r="N584" i="6"/>
  <c r="N585" i="6"/>
  <c r="N586" i="6"/>
  <c r="N587" i="6"/>
  <c r="N588" i="6"/>
  <c r="N589" i="6"/>
  <c r="N590" i="6"/>
  <c r="N591" i="6"/>
  <c r="N592" i="6"/>
  <c r="N593" i="6"/>
  <c r="N594" i="6"/>
  <c r="N595" i="6"/>
  <c r="N596" i="6"/>
  <c r="N597" i="6"/>
  <c r="N598" i="6"/>
  <c r="N599" i="6"/>
  <c r="N600" i="6"/>
  <c r="N601" i="6"/>
  <c r="N602" i="6"/>
  <c r="N603" i="6"/>
  <c r="N604" i="6"/>
  <c r="N605" i="6"/>
  <c r="N606" i="6"/>
  <c r="N607" i="6"/>
  <c r="N608" i="6"/>
  <c r="N609" i="6"/>
  <c r="N610" i="6"/>
  <c r="N611" i="6"/>
  <c r="N612" i="6"/>
  <c r="N613" i="6"/>
  <c r="N614" i="6"/>
  <c r="N615" i="6"/>
  <c r="N616" i="6"/>
  <c r="N617" i="6"/>
  <c r="N618" i="6"/>
  <c r="N619" i="6"/>
  <c r="N620" i="6"/>
  <c r="N621" i="6"/>
  <c r="N622" i="6"/>
  <c r="N623" i="6"/>
  <c r="N624" i="6"/>
  <c r="N625" i="6"/>
  <c r="N626" i="6"/>
  <c r="N627" i="6"/>
  <c r="N628" i="6"/>
  <c r="N629" i="6"/>
  <c r="N630" i="6"/>
  <c r="N631" i="6"/>
  <c r="N632" i="6"/>
  <c r="N633" i="6"/>
  <c r="N634" i="6"/>
  <c r="N635" i="6"/>
  <c r="N636" i="6"/>
  <c r="N637" i="6"/>
  <c r="N638" i="6"/>
  <c r="N639" i="6"/>
  <c r="N640" i="6"/>
  <c r="N641" i="6"/>
  <c r="N642" i="6"/>
  <c r="N643" i="6"/>
  <c r="N644" i="6"/>
  <c r="N645" i="6"/>
  <c r="N646" i="6"/>
  <c r="N647" i="6"/>
  <c r="N648" i="6"/>
  <c r="N649" i="6"/>
  <c r="N650" i="6"/>
  <c r="N651" i="6"/>
  <c r="N652" i="6"/>
  <c r="N653" i="6"/>
  <c r="N654" i="6"/>
  <c r="N655" i="6"/>
  <c r="N656" i="6"/>
  <c r="N657" i="6"/>
  <c r="N658" i="6"/>
  <c r="N659" i="6"/>
  <c r="N660" i="6"/>
  <c r="N661" i="6"/>
  <c r="N662" i="6"/>
  <c r="N663" i="6"/>
  <c r="N664" i="6"/>
  <c r="N665" i="6"/>
  <c r="N666" i="6"/>
  <c r="N667" i="6"/>
  <c r="N668" i="6"/>
  <c r="N669" i="6"/>
  <c r="N670" i="6"/>
  <c r="N671" i="6"/>
  <c r="N672" i="6"/>
  <c r="N673" i="6"/>
  <c r="N674" i="6"/>
  <c r="N675" i="6"/>
  <c r="N676" i="6"/>
  <c r="N677" i="6"/>
  <c r="N678" i="6"/>
  <c r="N679" i="6"/>
  <c r="N680" i="6"/>
  <c r="N681" i="6"/>
  <c r="N682" i="6"/>
  <c r="N683" i="6"/>
  <c r="N684" i="6"/>
  <c r="N685" i="6"/>
  <c r="N686" i="6"/>
  <c r="N687" i="6"/>
  <c r="N688" i="6"/>
  <c r="N689" i="6"/>
  <c r="N690" i="6"/>
  <c r="N691" i="6"/>
  <c r="N692" i="6"/>
  <c r="N693" i="6"/>
  <c r="N694" i="6"/>
  <c r="N695" i="6"/>
  <c r="N696" i="6"/>
  <c r="N697" i="6"/>
  <c r="N698" i="6"/>
  <c r="N699" i="6"/>
  <c r="N700" i="6"/>
  <c r="N701" i="6"/>
  <c r="N702" i="6"/>
  <c r="N703" i="6"/>
  <c r="N704" i="6"/>
  <c r="N705" i="6"/>
  <c r="N706" i="6"/>
  <c r="N707" i="6"/>
  <c r="N708" i="6"/>
  <c r="N709" i="6"/>
  <c r="N710" i="6"/>
  <c r="N711" i="6"/>
  <c r="N712" i="6"/>
  <c r="N713" i="6"/>
  <c r="N714" i="6"/>
  <c r="N715" i="6"/>
  <c r="N716" i="6"/>
  <c r="N717" i="6"/>
  <c r="N718" i="6"/>
  <c r="N719" i="6"/>
  <c r="N720" i="6"/>
  <c r="N721" i="6"/>
  <c r="N722" i="6"/>
  <c r="N723" i="6"/>
  <c r="N724" i="6"/>
  <c r="N725" i="6"/>
  <c r="N726" i="6"/>
  <c r="N727" i="6"/>
  <c r="N728" i="6"/>
  <c r="N729" i="6"/>
  <c r="N730" i="6"/>
  <c r="N731" i="6"/>
  <c r="N732" i="6"/>
  <c r="N733" i="6"/>
  <c r="N734" i="6"/>
  <c r="N735" i="6"/>
  <c r="N736" i="6"/>
  <c r="N737" i="6"/>
  <c r="N738" i="6"/>
  <c r="N739" i="6"/>
  <c r="N740" i="6"/>
  <c r="N741" i="6"/>
  <c r="N742" i="6"/>
  <c r="N743" i="6"/>
  <c r="N744" i="6"/>
  <c r="N745" i="6"/>
  <c r="N746" i="6"/>
  <c r="N747" i="6"/>
  <c r="N748" i="6"/>
  <c r="N749" i="6"/>
  <c r="N750" i="6"/>
  <c r="N751" i="6"/>
  <c r="N752" i="6"/>
  <c r="N753" i="6"/>
  <c r="N754" i="6"/>
  <c r="N755" i="6"/>
  <c r="N756" i="6"/>
  <c r="N757" i="6"/>
  <c r="N758" i="6"/>
  <c r="N759" i="6"/>
  <c r="N760" i="6"/>
  <c r="N761" i="6"/>
  <c r="N762" i="6"/>
  <c r="N763" i="6"/>
  <c r="N764" i="6"/>
  <c r="N765" i="6"/>
  <c r="N766" i="6"/>
  <c r="N767" i="6"/>
  <c r="N768" i="6"/>
  <c r="N769" i="6"/>
  <c r="N770" i="6"/>
  <c r="N771" i="6"/>
  <c r="N772" i="6"/>
  <c r="N773" i="6"/>
  <c r="N774" i="6"/>
  <c r="N775" i="6"/>
  <c r="N776" i="6"/>
  <c r="N777" i="6"/>
  <c r="N778" i="6"/>
  <c r="N779" i="6"/>
  <c r="N780" i="6"/>
  <c r="N781" i="6"/>
  <c r="N782" i="6"/>
  <c r="N783" i="6"/>
  <c r="N784" i="6"/>
  <c r="N785" i="6"/>
  <c r="N786" i="6"/>
  <c r="N787" i="6"/>
  <c r="N788" i="6"/>
  <c r="N789" i="6"/>
  <c r="N790" i="6"/>
  <c r="N791" i="6"/>
  <c r="N792" i="6"/>
  <c r="N793" i="6"/>
  <c r="N794" i="6"/>
  <c r="N795" i="6"/>
  <c r="N796" i="6"/>
  <c r="N797" i="6"/>
  <c r="N798" i="6"/>
  <c r="N799" i="6"/>
  <c r="N800" i="6"/>
  <c r="N801" i="6"/>
  <c r="N802" i="6"/>
  <c r="N803" i="6"/>
  <c r="N804" i="6"/>
  <c r="N805" i="6"/>
  <c r="N806" i="6"/>
  <c r="N807" i="6"/>
  <c r="N808" i="6"/>
  <c r="N809" i="6"/>
  <c r="N810" i="6"/>
  <c r="N811" i="6"/>
  <c r="N812" i="6"/>
  <c r="N813" i="6"/>
  <c r="N814" i="6"/>
  <c r="N815" i="6"/>
  <c r="N816" i="6"/>
  <c r="N817" i="6"/>
  <c r="N818" i="6"/>
  <c r="N819" i="6"/>
  <c r="N820" i="6"/>
  <c r="N821" i="6"/>
  <c r="N822" i="6"/>
  <c r="N823" i="6"/>
  <c r="N824" i="6"/>
  <c r="N825" i="6"/>
  <c r="N826" i="6"/>
  <c r="N827" i="6"/>
  <c r="N828" i="6"/>
  <c r="N829" i="6"/>
  <c r="N830" i="6"/>
  <c r="N831" i="6"/>
  <c r="N832" i="6"/>
  <c r="N833" i="6"/>
  <c r="N834" i="6"/>
  <c r="N835" i="6"/>
  <c r="N836" i="6"/>
  <c r="N837" i="6"/>
  <c r="N838" i="6"/>
  <c r="N839" i="6"/>
  <c r="N840" i="6"/>
  <c r="N841" i="6"/>
  <c r="N842" i="6"/>
  <c r="N843" i="6"/>
  <c r="N844" i="6"/>
  <c r="N845" i="6"/>
  <c r="N846" i="6"/>
  <c r="N847" i="6"/>
  <c r="N848" i="6"/>
  <c r="N849" i="6"/>
  <c r="N850" i="6"/>
  <c r="N851" i="6"/>
  <c r="N852" i="6"/>
  <c r="N853" i="6"/>
  <c r="N854" i="6"/>
  <c r="N855" i="6"/>
  <c r="N856" i="6"/>
  <c r="N857" i="6"/>
  <c r="N858" i="6"/>
  <c r="N859" i="6"/>
  <c r="N860" i="6"/>
  <c r="N861" i="6"/>
  <c r="N862" i="6"/>
  <c r="N863" i="6"/>
  <c r="N864" i="6"/>
  <c r="N865" i="6"/>
  <c r="N866" i="6"/>
  <c r="N867" i="6"/>
  <c r="N868" i="6"/>
  <c r="N869" i="6"/>
  <c r="N870" i="6"/>
  <c r="N871" i="6"/>
  <c r="N872" i="6"/>
  <c r="N873" i="6"/>
  <c r="N874" i="6"/>
  <c r="N875" i="6"/>
  <c r="N876" i="6"/>
  <c r="N877" i="6"/>
  <c r="N878" i="6"/>
  <c r="N879" i="6"/>
  <c r="N880" i="6"/>
  <c r="N881" i="6"/>
  <c r="N882" i="6"/>
  <c r="N883" i="6"/>
  <c r="N884" i="6"/>
  <c r="N885" i="6"/>
  <c r="N886" i="6"/>
  <c r="N887" i="6"/>
  <c r="N888" i="6"/>
  <c r="N889" i="6"/>
  <c r="N890" i="6"/>
  <c r="N891" i="6"/>
  <c r="N892" i="6"/>
  <c r="N893" i="6"/>
  <c r="N894" i="6"/>
  <c r="N895" i="6"/>
  <c r="N896" i="6"/>
  <c r="N897" i="6"/>
  <c r="N898" i="6"/>
  <c r="N899" i="6"/>
  <c r="N900" i="6"/>
  <c r="N901" i="6"/>
  <c r="N902" i="6"/>
  <c r="N903" i="6"/>
  <c r="N904" i="6"/>
  <c r="N905" i="6"/>
  <c r="N906" i="6"/>
  <c r="N907" i="6"/>
  <c r="N908" i="6"/>
  <c r="N909" i="6"/>
  <c r="N910" i="6"/>
  <c r="N911" i="6"/>
  <c r="N912" i="6"/>
  <c r="N913" i="6"/>
  <c r="N914" i="6"/>
  <c r="N915" i="6"/>
  <c r="N916" i="6"/>
  <c r="N917" i="6"/>
  <c r="N918" i="6"/>
  <c r="N919" i="6"/>
  <c r="N920" i="6"/>
  <c r="N921" i="6"/>
  <c r="N922" i="6"/>
  <c r="N923" i="6"/>
  <c r="N924" i="6"/>
  <c r="N925" i="6"/>
  <c r="N926" i="6"/>
  <c r="N927" i="6"/>
  <c r="N928" i="6"/>
  <c r="N929" i="6"/>
  <c r="N930" i="6"/>
  <c r="N931" i="6"/>
  <c r="N932" i="6"/>
  <c r="N933" i="6"/>
  <c r="N934" i="6"/>
  <c r="N935" i="6"/>
  <c r="N936" i="6"/>
  <c r="N937" i="6"/>
  <c r="N938" i="6"/>
  <c r="N939" i="6"/>
  <c r="N940" i="6"/>
  <c r="N941" i="6"/>
  <c r="N942" i="6"/>
  <c r="N943" i="6"/>
  <c r="N944" i="6"/>
  <c r="N945" i="6"/>
  <c r="N946" i="6"/>
  <c r="N947" i="6"/>
  <c r="N948" i="6"/>
  <c r="N949" i="6"/>
  <c r="N950" i="6"/>
  <c r="N951" i="6"/>
  <c r="N952" i="6"/>
  <c r="N953" i="6"/>
  <c r="N954" i="6"/>
  <c r="N955" i="6"/>
  <c r="N956" i="6"/>
  <c r="N957" i="6"/>
  <c r="N958" i="6"/>
  <c r="N959" i="6"/>
  <c r="N960" i="6"/>
  <c r="N961" i="6"/>
  <c r="N962" i="6"/>
  <c r="N963" i="6"/>
  <c r="N964" i="6"/>
  <c r="N965" i="6"/>
  <c r="N966" i="6"/>
  <c r="N967" i="6"/>
  <c r="N968" i="6"/>
  <c r="N969" i="6"/>
  <c r="N970" i="6"/>
  <c r="N971" i="6"/>
  <c r="N972" i="6"/>
  <c r="N973" i="6"/>
  <c r="N974" i="6"/>
  <c r="N975" i="6"/>
  <c r="N976" i="6"/>
  <c r="N977" i="6"/>
  <c r="N978" i="6"/>
  <c r="N979" i="6"/>
  <c r="N980" i="6"/>
  <c r="N981" i="6"/>
  <c r="N982" i="6"/>
  <c r="N983" i="6"/>
  <c r="N984" i="6"/>
  <c r="N985" i="6"/>
  <c r="N986" i="6"/>
  <c r="N987" i="6"/>
  <c r="N988" i="6"/>
  <c r="N989" i="6"/>
  <c r="N990" i="6"/>
  <c r="N991" i="6"/>
  <c r="N992" i="6"/>
  <c r="N993" i="6"/>
  <c r="N994" i="6"/>
  <c r="N995" i="6"/>
  <c r="N996" i="6"/>
  <c r="N997" i="6"/>
  <c r="N998" i="6"/>
  <c r="N999" i="6"/>
  <c r="N1000" i="6"/>
  <c r="N1001" i="6"/>
  <c r="N1002" i="6"/>
  <c r="N1003" i="6"/>
  <c r="N1004" i="6"/>
  <c r="N1005" i="6"/>
  <c r="N1006" i="6"/>
  <c r="N1007" i="6"/>
  <c r="N1008" i="6"/>
  <c r="N1009" i="6"/>
  <c r="N1010" i="6"/>
  <c r="N1011" i="6"/>
  <c r="N1012" i="6"/>
  <c r="N1013" i="6"/>
  <c r="N1014" i="6"/>
  <c r="N1015" i="6"/>
  <c r="N1016" i="6"/>
  <c r="N1017" i="6"/>
  <c r="N1018" i="6"/>
  <c r="N1019" i="6"/>
  <c r="N1020" i="6"/>
  <c r="N1021" i="6"/>
  <c r="N1022" i="6"/>
  <c r="N1023" i="6"/>
  <c r="N1024" i="6"/>
  <c r="N1025" i="6"/>
  <c r="N1026" i="6"/>
  <c r="N1027" i="6"/>
  <c r="N1028" i="6"/>
  <c r="N1029" i="6"/>
  <c r="N1030" i="6"/>
  <c r="N1031" i="6"/>
  <c r="N1032" i="6"/>
  <c r="N1033" i="6"/>
  <c r="N1034" i="6"/>
  <c r="N1035" i="6"/>
  <c r="N1036" i="6"/>
  <c r="N1037" i="6"/>
  <c r="N1038" i="6"/>
  <c r="N1039" i="6"/>
  <c r="N1040" i="6"/>
  <c r="N1041" i="6"/>
  <c r="N1042" i="6"/>
  <c r="N1043" i="6"/>
  <c r="N1044" i="6"/>
  <c r="N1045" i="6"/>
  <c r="N1046" i="6"/>
  <c r="N1047" i="6"/>
  <c r="N1048" i="6"/>
  <c r="N1049" i="6"/>
  <c r="N1050" i="6"/>
  <c r="N1051" i="6"/>
  <c r="N1052" i="6"/>
  <c r="N1053" i="6"/>
  <c r="N1054" i="6"/>
  <c r="N1055" i="6"/>
  <c r="N1056" i="6"/>
  <c r="N1057" i="6"/>
  <c r="N1058" i="6"/>
  <c r="N1059" i="6"/>
  <c r="N1060" i="6"/>
  <c r="N1061" i="6"/>
  <c r="N1062" i="6"/>
  <c r="N1063" i="6"/>
  <c r="N1064" i="6"/>
  <c r="N1065" i="6"/>
  <c r="N1066" i="6"/>
  <c r="N1067" i="6"/>
  <c r="N1068" i="6"/>
  <c r="N1069" i="6"/>
  <c r="N1070" i="6"/>
  <c r="N1071" i="6"/>
  <c r="N1072" i="6"/>
  <c r="N1073" i="6"/>
  <c r="N1074" i="6"/>
  <c r="N1075" i="6"/>
  <c r="N1076" i="6"/>
  <c r="N1077" i="6"/>
  <c r="N1078" i="6"/>
  <c r="N1079" i="6"/>
  <c r="N1080" i="6"/>
  <c r="N1081" i="6"/>
  <c r="N1082" i="6"/>
  <c r="N1083" i="6"/>
  <c r="N1084" i="6"/>
  <c r="N1085" i="6"/>
  <c r="N1086" i="6"/>
  <c r="N1087" i="6"/>
  <c r="N1088" i="6"/>
  <c r="N1089" i="6"/>
  <c r="N1090" i="6"/>
  <c r="N1091" i="6"/>
  <c r="N1092" i="6"/>
  <c r="N1093" i="6"/>
  <c r="N1094" i="6"/>
  <c r="N1095" i="6"/>
  <c r="N1096" i="6"/>
  <c r="N1097" i="6"/>
  <c r="N1098" i="6"/>
  <c r="N1099" i="6"/>
  <c r="N1100" i="6"/>
  <c r="N1101" i="6"/>
  <c r="N1102" i="6"/>
  <c r="N1103" i="6"/>
  <c r="N1104" i="6"/>
  <c r="N1105" i="6"/>
  <c r="N1106" i="6"/>
  <c r="N1107" i="6"/>
  <c r="N1108" i="6"/>
  <c r="N1109" i="6"/>
  <c r="N1110" i="6"/>
  <c r="N1111" i="6"/>
  <c r="N1112" i="6"/>
  <c r="N1113" i="6"/>
  <c r="N1114" i="6"/>
  <c r="N1115" i="6"/>
  <c r="N1116" i="6"/>
  <c r="N1117" i="6"/>
  <c r="N1118" i="6"/>
  <c r="N1119" i="6"/>
  <c r="N1120" i="6"/>
  <c r="N1121" i="6"/>
  <c r="N1122" i="6"/>
  <c r="N1123" i="6"/>
  <c r="N1124" i="6"/>
  <c r="N1125" i="6"/>
  <c r="N1126" i="6"/>
  <c r="N1127" i="6"/>
  <c r="N1128" i="6"/>
  <c r="N1129" i="6"/>
  <c r="N1130" i="6"/>
  <c r="N1131" i="6"/>
  <c r="N1132" i="6"/>
  <c r="N1133" i="6"/>
  <c r="N1134" i="6"/>
  <c r="N1135" i="6"/>
  <c r="N1136" i="6"/>
  <c r="N1137" i="6"/>
  <c r="N1138" i="6"/>
  <c r="N1139" i="6"/>
  <c r="N1140" i="6"/>
  <c r="N1141" i="6"/>
  <c r="N1142" i="6"/>
  <c r="N1143" i="6"/>
  <c r="N1144" i="6"/>
  <c r="N1145" i="6"/>
  <c r="N1146" i="6"/>
  <c r="N1147" i="6"/>
  <c r="N1148" i="6"/>
  <c r="N1149" i="6"/>
  <c r="N1150" i="6"/>
  <c r="N1151" i="6"/>
  <c r="N1152" i="6"/>
  <c r="N1153" i="6"/>
  <c r="N1154" i="6"/>
  <c r="N1155" i="6"/>
  <c r="N1156" i="6"/>
  <c r="N1157" i="6"/>
  <c r="N1158" i="6"/>
  <c r="N1159" i="6"/>
  <c r="N1160" i="6"/>
  <c r="N1161" i="6"/>
  <c r="N1162" i="6"/>
  <c r="N1163" i="6"/>
  <c r="N1164" i="6"/>
  <c r="N1165" i="6"/>
  <c r="N1166" i="6"/>
  <c r="N1167" i="6"/>
  <c r="N1168" i="6"/>
  <c r="N1169" i="6"/>
  <c r="N1170" i="6"/>
  <c r="N1171" i="6"/>
  <c r="N1172" i="6"/>
  <c r="N1173" i="6"/>
  <c r="N1174" i="6"/>
  <c r="N1175" i="6"/>
  <c r="N1176" i="6"/>
  <c r="N1177" i="6"/>
  <c r="N1178" i="6"/>
  <c r="N1179" i="6"/>
  <c r="N1180" i="6"/>
  <c r="N1181" i="6"/>
  <c r="N1182" i="6"/>
  <c r="N1183" i="6"/>
  <c r="N1184" i="6"/>
  <c r="N1185" i="6"/>
  <c r="N1186" i="6"/>
  <c r="N1187" i="6"/>
  <c r="N1188" i="6"/>
  <c r="N1189" i="6"/>
  <c r="N1190" i="6"/>
  <c r="N1191" i="6"/>
  <c r="N1192" i="6"/>
  <c r="N1193" i="6"/>
  <c r="N1194" i="6"/>
  <c r="N1195" i="6"/>
  <c r="N1196" i="6"/>
  <c r="N1197" i="6"/>
  <c r="N1198" i="6"/>
  <c r="N1199" i="6"/>
  <c r="N1200" i="6"/>
  <c r="N1201" i="6"/>
  <c r="N1202" i="6"/>
  <c r="N1203" i="6"/>
  <c r="N1204" i="6"/>
  <c r="N1205" i="6"/>
  <c r="N1206" i="6"/>
  <c r="N1207" i="6"/>
  <c r="N1208" i="6"/>
  <c r="N1209" i="6"/>
  <c r="N1210" i="6"/>
  <c r="N1211" i="6"/>
  <c r="N1212" i="6"/>
  <c r="N1213" i="6"/>
  <c r="N1214" i="6"/>
  <c r="N1215" i="6"/>
  <c r="N1216" i="6"/>
  <c r="N1217" i="6"/>
  <c r="N1218" i="6"/>
  <c r="N1219" i="6"/>
  <c r="N1220" i="6"/>
  <c r="N1221" i="6"/>
  <c r="N1222" i="6"/>
  <c r="N1223" i="6"/>
  <c r="N1224" i="6"/>
  <c r="N1225" i="6"/>
  <c r="N1226" i="6"/>
  <c r="N1227" i="6"/>
  <c r="N1228" i="6"/>
  <c r="N1229" i="6"/>
  <c r="N1230" i="6"/>
  <c r="N1231" i="6"/>
  <c r="N1232" i="6"/>
  <c r="N1233" i="6"/>
  <c r="N1234" i="6"/>
  <c r="N1235" i="6"/>
  <c r="N1236" i="6"/>
  <c r="N1237" i="6"/>
  <c r="N1238" i="6"/>
  <c r="N1239" i="6"/>
  <c r="N1240" i="6"/>
  <c r="N1241" i="6"/>
  <c r="N1242" i="6"/>
  <c r="N1243" i="6"/>
  <c r="N1244" i="6"/>
  <c r="N1245" i="6"/>
  <c r="N1246" i="6"/>
  <c r="N1247" i="6"/>
  <c r="N1248" i="6"/>
  <c r="N1249" i="6"/>
  <c r="N1250" i="6"/>
  <c r="N1251" i="6"/>
  <c r="N1252" i="6"/>
  <c r="N1253" i="6"/>
  <c r="N1254" i="6"/>
  <c r="N1255" i="6"/>
  <c r="N1256" i="6"/>
  <c r="N1257" i="6"/>
  <c r="N1258" i="6"/>
  <c r="N1259" i="6"/>
  <c r="N1260" i="6"/>
  <c r="N1261" i="6"/>
  <c r="N1262" i="6"/>
  <c r="N1263" i="6"/>
  <c r="N1264" i="6"/>
  <c r="N1265" i="6"/>
  <c r="N1266" i="6"/>
  <c r="N1267" i="6"/>
  <c r="N1268" i="6"/>
  <c r="N1269" i="6"/>
  <c r="N1270" i="6"/>
  <c r="N1271" i="6"/>
  <c r="N1272" i="6"/>
  <c r="N1273" i="6"/>
  <c r="N1274" i="6"/>
  <c r="N1275" i="6"/>
  <c r="N1276" i="6"/>
  <c r="N1277" i="6"/>
  <c r="N1278" i="6"/>
  <c r="N1279" i="6"/>
  <c r="N1280" i="6"/>
  <c r="N1281" i="6"/>
  <c r="N1282" i="6"/>
  <c r="N1283" i="6"/>
  <c r="N1284" i="6"/>
  <c r="N1285" i="6"/>
  <c r="N1286" i="6"/>
  <c r="N1287" i="6"/>
  <c r="N1288" i="6"/>
  <c r="N1289" i="6"/>
  <c r="N1290" i="6"/>
  <c r="N1291" i="6"/>
  <c r="N1292" i="6"/>
  <c r="N1293" i="6"/>
  <c r="N1294" i="6"/>
  <c r="N1295" i="6"/>
  <c r="N1296" i="6"/>
  <c r="N1297" i="6"/>
  <c r="N1298" i="6"/>
  <c r="N1299" i="6"/>
  <c r="N1300" i="6"/>
  <c r="N1301" i="6"/>
  <c r="N1302" i="6"/>
  <c r="N1303" i="6"/>
  <c r="N1304" i="6"/>
  <c r="N1305" i="6"/>
  <c r="N1306" i="6"/>
  <c r="N1307" i="6"/>
  <c r="N1308" i="6"/>
  <c r="N1309" i="6"/>
  <c r="N1310" i="6"/>
  <c r="N1311" i="6"/>
  <c r="N1312" i="6"/>
  <c r="N1313" i="6"/>
  <c r="N1314" i="6"/>
  <c r="N1315" i="6"/>
  <c r="N1316" i="6"/>
  <c r="N1317" i="6"/>
  <c r="N1318" i="6"/>
  <c r="N1319" i="6"/>
  <c r="N1320" i="6"/>
  <c r="N1321" i="6"/>
  <c r="N1322" i="6"/>
  <c r="N1323" i="6"/>
  <c r="N1324" i="6"/>
  <c r="N1325" i="6"/>
  <c r="N1326" i="6"/>
  <c r="N1327" i="6"/>
  <c r="N1328" i="6"/>
  <c r="N1329" i="6"/>
  <c r="N1330" i="6"/>
  <c r="N1331" i="6"/>
  <c r="N1332" i="6"/>
  <c r="N1333" i="6"/>
  <c r="N1334" i="6"/>
  <c r="N1335" i="6"/>
  <c r="N1336" i="6"/>
  <c r="N1337" i="6"/>
  <c r="N1338" i="6"/>
  <c r="N1339" i="6"/>
  <c r="N1340" i="6"/>
  <c r="N1341" i="6"/>
  <c r="N1342" i="6"/>
  <c r="N1343" i="6"/>
  <c r="N1344" i="6"/>
  <c r="N1345" i="6"/>
  <c r="N1346" i="6"/>
  <c r="N1347" i="6"/>
  <c r="N1348" i="6"/>
  <c r="N1349" i="6"/>
  <c r="N1350" i="6"/>
  <c r="N1351" i="6"/>
  <c r="N1352" i="6"/>
  <c r="N1353" i="6"/>
  <c r="N1354" i="6"/>
  <c r="N1355" i="6"/>
  <c r="N1356" i="6"/>
  <c r="N1357" i="6"/>
  <c r="N1358" i="6"/>
  <c r="N1359" i="6"/>
  <c r="N1360" i="6"/>
  <c r="N1361" i="6"/>
  <c r="N1362" i="6"/>
  <c r="N1363" i="6"/>
  <c r="N1364" i="6"/>
  <c r="N1365" i="6"/>
  <c r="N1366" i="6"/>
  <c r="N1367" i="6"/>
  <c r="N1368" i="6"/>
  <c r="N1369" i="6"/>
  <c r="N1370" i="6"/>
  <c r="N1371" i="6"/>
  <c r="N1372" i="6"/>
  <c r="N1373" i="6"/>
  <c r="N1374" i="6"/>
  <c r="N1375" i="6"/>
  <c r="N1376" i="6"/>
  <c r="N1377" i="6"/>
  <c r="N1378" i="6"/>
  <c r="N1379" i="6"/>
  <c r="N1380" i="6"/>
  <c r="N1381" i="6"/>
  <c r="N1382" i="6"/>
  <c r="N1383" i="6"/>
  <c r="N1384" i="6"/>
  <c r="N1385" i="6"/>
  <c r="N1386" i="6"/>
  <c r="N1387" i="6"/>
  <c r="N1388" i="6"/>
  <c r="N1389" i="6"/>
  <c r="N1390" i="6"/>
  <c r="N1391" i="6"/>
  <c r="N1392" i="6"/>
  <c r="N1393" i="6"/>
  <c r="N1394" i="6"/>
  <c r="N1395" i="6"/>
  <c r="N1396" i="6"/>
  <c r="N1397" i="6"/>
  <c r="N1398" i="6"/>
  <c r="N1399" i="6"/>
  <c r="N1400" i="6"/>
  <c r="N1401" i="6"/>
  <c r="N1402" i="6"/>
  <c r="N1403" i="6"/>
  <c r="N1404" i="6"/>
  <c r="N1405" i="6"/>
  <c r="N1406" i="6"/>
  <c r="N1407" i="6"/>
  <c r="N1408" i="6"/>
  <c r="N1409" i="6"/>
  <c r="N1410" i="6"/>
  <c r="N1411" i="6"/>
  <c r="N1412" i="6"/>
  <c r="N1413" i="6"/>
  <c r="N1414" i="6"/>
  <c r="N1415" i="6"/>
  <c r="N1416" i="6"/>
  <c r="N1417" i="6"/>
  <c r="N1418" i="6"/>
  <c r="N1419" i="6"/>
  <c r="N1420" i="6"/>
  <c r="N1421" i="6"/>
  <c r="N1422" i="6"/>
  <c r="N1423" i="6"/>
  <c r="N1424" i="6"/>
  <c r="N1425" i="6"/>
  <c r="N1426" i="6"/>
  <c r="N1427" i="6"/>
  <c r="N1428" i="6"/>
  <c r="N1429" i="6"/>
  <c r="N1430" i="6"/>
  <c r="N1431" i="6"/>
  <c r="N1432" i="6"/>
  <c r="N1433" i="6"/>
  <c r="N1434" i="6"/>
  <c r="N1435" i="6"/>
  <c r="N1436" i="6"/>
  <c r="N1437" i="6"/>
  <c r="N1438" i="6"/>
  <c r="N1439" i="6"/>
  <c r="N1440" i="6"/>
  <c r="N1441" i="6"/>
  <c r="N1442" i="6"/>
  <c r="N1443" i="6"/>
  <c r="N1444" i="6"/>
  <c r="N1445" i="6"/>
  <c r="N1446" i="6"/>
  <c r="N1447" i="6"/>
  <c r="N1448" i="6"/>
  <c r="N1449" i="6"/>
  <c r="N1450" i="6"/>
  <c r="N1451" i="6"/>
  <c r="N1452" i="6"/>
  <c r="N1453" i="6"/>
  <c r="N1454" i="6"/>
  <c r="N1455" i="6"/>
  <c r="N1456" i="6"/>
  <c r="N1457" i="6"/>
  <c r="N1458" i="6"/>
  <c r="N1459" i="6"/>
  <c r="N1460" i="6"/>
  <c r="N1461" i="6"/>
  <c r="N1462" i="6"/>
  <c r="N1463" i="6"/>
  <c r="N1464" i="6"/>
  <c r="N1465" i="6"/>
  <c r="N1466" i="6"/>
  <c r="N1467" i="6"/>
  <c r="N1468" i="6"/>
  <c r="N1469" i="6"/>
  <c r="N1470" i="6"/>
  <c r="N1471" i="6"/>
  <c r="N1472" i="6"/>
  <c r="N1473" i="6"/>
  <c r="N1474" i="6"/>
  <c r="N1475" i="6"/>
  <c r="N1476" i="6"/>
  <c r="N1477" i="6"/>
  <c r="N1478" i="6"/>
  <c r="N1479" i="6"/>
  <c r="N1480" i="6"/>
  <c r="N1481" i="6"/>
  <c r="N1482" i="6"/>
  <c r="N1483" i="6"/>
  <c r="N1484" i="6"/>
  <c r="N1485" i="6"/>
  <c r="N1486" i="6"/>
  <c r="N1487" i="6"/>
  <c r="N1488" i="6"/>
  <c r="N1489" i="6"/>
  <c r="N1490" i="6"/>
  <c r="N1491" i="6"/>
  <c r="N1492" i="6"/>
  <c r="N1493" i="6"/>
  <c r="N1494" i="6"/>
  <c r="N1495" i="6"/>
  <c r="N1496" i="6"/>
  <c r="N1497" i="6"/>
  <c r="N1498" i="6"/>
  <c r="N1499" i="6"/>
  <c r="N1500" i="6"/>
  <c r="N1501" i="6"/>
  <c r="N1502" i="6"/>
  <c r="N1503" i="6"/>
  <c r="N1504" i="6"/>
  <c r="N1505" i="6"/>
  <c r="N1506" i="6"/>
  <c r="N1507" i="6"/>
  <c r="N1508" i="6"/>
  <c r="N1509" i="6"/>
  <c r="N1510" i="6"/>
  <c r="N1511" i="6"/>
  <c r="N1512" i="6"/>
  <c r="N1513" i="6"/>
  <c r="N1514" i="6"/>
  <c r="N1515" i="6"/>
  <c r="N1516" i="6"/>
  <c r="N1517" i="6"/>
  <c r="N1518" i="6"/>
  <c r="N1519" i="6"/>
  <c r="N1520" i="6"/>
  <c r="N1521" i="6"/>
  <c r="N1522" i="6"/>
  <c r="N1523" i="6"/>
  <c r="N1524" i="6"/>
  <c r="N1525" i="6"/>
  <c r="N1526" i="6"/>
  <c r="N1527" i="6"/>
  <c r="N1528" i="6"/>
  <c r="N1529" i="6"/>
  <c r="N1530" i="6"/>
  <c r="N1531" i="6"/>
  <c r="N1532" i="6"/>
  <c r="N1533" i="6"/>
  <c r="N1534" i="6"/>
  <c r="N1535" i="6"/>
  <c r="N1536" i="6"/>
  <c r="N1537" i="6"/>
  <c r="N1538" i="6"/>
  <c r="N1539" i="6"/>
  <c r="N1540" i="6"/>
  <c r="N1541" i="6"/>
  <c r="N1542" i="6"/>
  <c r="N1543" i="6"/>
  <c r="N1544" i="6"/>
  <c r="N1545" i="6"/>
  <c r="N1546" i="6"/>
  <c r="N1547" i="6"/>
  <c r="N1548" i="6"/>
  <c r="N1549" i="6"/>
  <c r="N1550" i="6"/>
  <c r="N1551" i="6"/>
  <c r="N1552" i="6"/>
  <c r="N1553" i="6"/>
  <c r="N1554" i="6"/>
  <c r="N1555" i="6"/>
  <c r="N1556" i="6"/>
  <c r="N1557" i="6"/>
  <c r="N1558" i="6"/>
  <c r="N1559" i="6"/>
  <c r="N1560" i="6"/>
  <c r="N1561" i="6"/>
  <c r="N1562" i="6"/>
  <c r="N1563" i="6"/>
  <c r="N1564" i="6"/>
  <c r="N1565" i="6"/>
  <c r="N1566" i="6"/>
  <c r="N1567" i="6"/>
  <c r="N1568" i="6"/>
  <c r="N1569" i="6"/>
  <c r="N1570" i="6"/>
  <c r="N1571" i="6"/>
  <c r="N1572" i="6"/>
  <c r="N1573" i="6"/>
  <c r="N1574" i="6"/>
  <c r="N1575" i="6"/>
  <c r="N1576" i="6"/>
  <c r="N1577" i="6"/>
  <c r="N1578" i="6"/>
  <c r="N1579" i="6"/>
  <c r="N1580" i="6"/>
  <c r="N1581" i="6"/>
  <c r="N1582" i="6"/>
  <c r="N1583" i="6"/>
  <c r="N1584" i="6"/>
  <c r="N1585" i="6"/>
  <c r="N1586" i="6"/>
  <c r="N1587" i="6"/>
  <c r="N1588" i="6"/>
  <c r="N1589" i="6"/>
  <c r="N1590" i="6"/>
  <c r="N1591" i="6"/>
  <c r="N1592" i="6"/>
  <c r="N1593" i="6"/>
  <c r="N1594" i="6"/>
  <c r="N1595" i="6"/>
  <c r="N1596" i="6"/>
  <c r="N1597" i="6"/>
  <c r="N1598" i="6"/>
  <c r="N1599" i="6"/>
  <c r="N1600" i="6"/>
  <c r="N1601" i="6"/>
  <c r="N1602" i="6"/>
  <c r="N1603" i="6"/>
  <c r="N1604" i="6"/>
  <c r="N1605" i="6"/>
  <c r="N1606" i="6"/>
  <c r="N1607" i="6"/>
  <c r="N1608" i="6"/>
  <c r="N1609" i="6"/>
  <c r="N1610" i="6"/>
  <c r="N1611" i="6"/>
  <c r="N1612" i="6"/>
  <c r="N1613" i="6"/>
  <c r="N1614" i="6"/>
  <c r="N1615" i="6"/>
  <c r="N1616" i="6"/>
  <c r="N1617" i="6"/>
  <c r="N1618" i="6"/>
  <c r="N1619" i="6"/>
  <c r="N1620" i="6"/>
  <c r="N1621" i="6"/>
  <c r="N1622" i="6"/>
  <c r="N1623" i="6"/>
  <c r="N1624" i="6"/>
  <c r="N1625" i="6"/>
  <c r="N1626" i="6"/>
  <c r="N1627" i="6"/>
  <c r="N1628" i="6"/>
  <c r="N1629" i="6"/>
  <c r="N1630" i="6"/>
  <c r="N1631" i="6"/>
  <c r="N1632" i="6"/>
  <c r="N1633" i="6"/>
  <c r="N1634" i="6"/>
  <c r="N1635" i="6"/>
  <c r="N1636" i="6"/>
  <c r="N1637" i="6"/>
  <c r="N1638" i="6"/>
  <c r="N1639" i="6"/>
  <c r="N1640" i="6"/>
  <c r="N1641" i="6"/>
  <c r="N1642" i="6"/>
  <c r="N1643" i="6"/>
  <c r="N1644" i="6"/>
  <c r="N1645" i="6"/>
  <c r="N1646" i="6"/>
  <c r="N1647" i="6"/>
  <c r="N1648" i="6"/>
  <c r="N1649" i="6"/>
  <c r="N1650" i="6"/>
  <c r="N1651" i="6"/>
  <c r="N1652" i="6"/>
  <c r="N1653" i="6"/>
  <c r="N1654" i="6"/>
  <c r="N1655" i="6"/>
  <c r="N1656" i="6"/>
  <c r="N1657" i="6"/>
  <c r="N1658" i="6"/>
  <c r="N1659" i="6"/>
  <c r="N1660" i="6"/>
  <c r="N1661" i="6"/>
  <c r="N1662" i="6"/>
  <c r="N1663" i="6"/>
  <c r="N1664" i="6"/>
  <c r="N1665" i="6"/>
  <c r="N1666" i="6"/>
  <c r="N1667" i="6"/>
  <c r="N1668" i="6"/>
  <c r="N1669" i="6"/>
  <c r="N1670" i="6"/>
  <c r="N1671" i="6"/>
  <c r="N1672" i="6"/>
  <c r="N1673" i="6"/>
  <c r="N1674" i="6"/>
  <c r="N1675" i="6"/>
  <c r="N1676" i="6"/>
  <c r="N1677" i="6"/>
  <c r="N1678" i="6"/>
  <c r="N1679" i="6"/>
  <c r="N1680" i="6"/>
  <c r="N1681" i="6"/>
  <c r="N1682" i="6"/>
  <c r="N1683" i="6"/>
  <c r="N1684" i="6"/>
  <c r="N1685" i="6"/>
  <c r="N1686" i="6"/>
  <c r="N1687" i="6"/>
  <c r="N1688" i="6"/>
  <c r="N1689" i="6"/>
  <c r="N1690" i="6"/>
  <c r="N1691" i="6"/>
  <c r="N1692" i="6"/>
  <c r="N1693" i="6"/>
  <c r="N1694" i="6"/>
  <c r="N1695" i="6"/>
  <c r="N1696" i="6"/>
  <c r="N1697" i="6"/>
  <c r="N1698" i="6"/>
  <c r="N1699" i="6"/>
  <c r="N1700" i="6"/>
  <c r="N1701" i="6"/>
  <c r="N1702" i="6"/>
  <c r="N1703" i="6"/>
  <c r="N1704" i="6"/>
  <c r="N1705" i="6"/>
  <c r="N1706" i="6"/>
  <c r="N1707" i="6"/>
  <c r="N1708" i="6"/>
  <c r="N1709" i="6"/>
  <c r="N1710" i="6"/>
  <c r="N1711" i="6"/>
  <c r="N1712" i="6"/>
  <c r="N1713" i="6"/>
  <c r="N1714" i="6"/>
  <c r="N1715" i="6"/>
  <c r="N1716" i="6"/>
  <c r="N1717" i="6"/>
  <c r="N1718" i="6"/>
  <c r="N1719" i="6"/>
  <c r="N1720" i="6"/>
  <c r="N1721" i="6"/>
  <c r="N1722" i="6"/>
  <c r="N1723" i="6"/>
  <c r="N1724" i="6"/>
  <c r="N1725" i="6"/>
  <c r="N1726" i="6"/>
  <c r="N1727" i="6"/>
  <c r="N1728" i="6"/>
  <c r="N1729" i="6"/>
  <c r="N1730" i="6"/>
  <c r="N1731" i="6"/>
  <c r="N1732" i="6"/>
  <c r="N1733" i="6"/>
  <c r="N1734" i="6"/>
  <c r="N1735" i="6"/>
  <c r="N1736" i="6"/>
  <c r="N1737" i="6"/>
  <c r="N1738" i="6"/>
  <c r="N1739" i="6"/>
  <c r="N1740" i="6"/>
  <c r="N1741" i="6"/>
  <c r="N1742" i="6"/>
  <c r="N1743" i="6"/>
  <c r="N1744" i="6"/>
  <c r="N1745" i="6"/>
  <c r="N1746" i="6"/>
  <c r="N1747" i="6"/>
  <c r="N1748" i="6"/>
  <c r="N1749" i="6"/>
  <c r="N1750" i="6"/>
  <c r="N1751" i="6"/>
  <c r="N1752" i="6"/>
  <c r="N1753" i="6"/>
  <c r="N1754" i="6"/>
  <c r="N1755" i="6"/>
  <c r="N1756" i="6"/>
  <c r="N1757" i="6"/>
  <c r="N1758" i="6"/>
  <c r="N1759" i="6"/>
  <c r="N1760" i="6"/>
  <c r="N1761" i="6"/>
  <c r="N1762" i="6"/>
  <c r="N1763" i="6"/>
  <c r="N1764" i="6"/>
  <c r="N1765" i="6"/>
  <c r="N1766" i="6"/>
  <c r="N1767" i="6"/>
  <c r="N1768" i="6"/>
  <c r="N1769" i="6"/>
  <c r="N1770" i="6"/>
  <c r="N1771" i="6"/>
  <c r="N1772" i="6"/>
  <c r="N1773" i="6"/>
  <c r="N1774" i="6"/>
  <c r="N1775" i="6"/>
  <c r="N1776" i="6"/>
  <c r="N1777" i="6"/>
  <c r="N1778" i="6"/>
  <c r="N1779" i="6"/>
  <c r="N1780" i="6"/>
  <c r="N1781" i="6"/>
  <c r="N1782" i="6"/>
  <c r="N1783" i="6"/>
  <c r="N1784" i="6"/>
  <c r="N1785" i="6"/>
  <c r="N1786" i="6"/>
  <c r="N1787" i="6"/>
  <c r="N1788" i="6"/>
  <c r="N1789" i="6"/>
  <c r="N1790" i="6"/>
  <c r="N1791" i="6"/>
  <c r="N1792" i="6"/>
  <c r="N1793" i="6"/>
  <c r="N1794" i="6"/>
  <c r="N1795" i="6"/>
  <c r="N1796" i="6"/>
  <c r="N1797" i="6"/>
  <c r="N1798" i="6"/>
  <c r="N1799" i="6"/>
  <c r="N1800" i="6"/>
  <c r="N1801" i="6"/>
  <c r="N1802" i="6"/>
  <c r="N1803" i="6"/>
  <c r="N1804" i="6"/>
  <c r="N1805" i="6"/>
  <c r="N1806" i="6"/>
  <c r="N1807" i="6"/>
  <c r="N1808" i="6"/>
  <c r="N1809" i="6"/>
  <c r="N1810" i="6"/>
  <c r="N1811" i="6"/>
  <c r="N1812" i="6"/>
  <c r="N1813" i="6"/>
  <c r="N1814" i="6"/>
  <c r="N1815" i="6"/>
  <c r="N1816" i="6"/>
  <c r="N1817" i="6"/>
  <c r="N1818" i="6"/>
  <c r="N1819" i="6"/>
  <c r="N1820" i="6"/>
  <c r="N1821" i="6"/>
  <c r="N1822" i="6"/>
  <c r="N1823" i="6"/>
  <c r="N1824" i="6"/>
  <c r="N1825" i="6"/>
  <c r="N1826" i="6"/>
  <c r="N1827" i="6"/>
  <c r="N1828" i="6"/>
  <c r="N1829" i="6"/>
  <c r="N1830" i="6"/>
  <c r="N1831" i="6"/>
  <c r="N1832" i="6"/>
  <c r="N1833" i="6"/>
  <c r="N1834" i="6"/>
  <c r="N1835" i="6"/>
  <c r="N1836" i="6"/>
  <c r="N1837" i="6"/>
  <c r="N1838" i="6"/>
  <c r="N1839" i="6"/>
  <c r="N1840" i="6"/>
  <c r="N1841" i="6"/>
  <c r="N1842" i="6"/>
  <c r="N1843" i="6"/>
  <c r="N1844" i="6"/>
  <c r="N1845" i="6"/>
  <c r="N1846" i="6"/>
  <c r="N1847" i="6"/>
  <c r="N1848" i="6"/>
  <c r="N1849" i="6"/>
  <c r="N1850" i="6"/>
  <c r="N1851" i="6"/>
  <c r="N1852" i="6"/>
  <c r="N1853" i="6"/>
  <c r="N1854" i="6"/>
  <c r="N1855" i="6"/>
  <c r="N1856" i="6"/>
  <c r="N1857" i="6"/>
  <c r="N1858" i="6"/>
  <c r="N1859" i="6"/>
  <c r="N1860" i="6"/>
  <c r="N1861" i="6"/>
  <c r="N1862" i="6"/>
  <c r="N1863" i="6"/>
  <c r="N1864" i="6"/>
  <c r="N1865" i="6"/>
  <c r="N1866" i="6"/>
  <c r="N1867" i="6"/>
  <c r="N1868" i="6"/>
  <c r="N1869" i="6"/>
  <c r="N1870" i="6"/>
  <c r="N1871" i="6"/>
  <c r="N1872" i="6"/>
  <c r="N1873" i="6"/>
  <c r="N1874" i="6"/>
  <c r="N1875" i="6"/>
  <c r="N1876" i="6"/>
  <c r="N1877" i="6"/>
  <c r="N1878" i="6"/>
  <c r="N1879" i="6"/>
  <c r="N1880" i="6"/>
  <c r="N1881" i="6"/>
  <c r="N1882" i="6"/>
  <c r="N1883" i="6"/>
  <c r="N1884" i="6"/>
  <c r="N1885" i="6"/>
  <c r="N1886" i="6"/>
  <c r="N1887" i="6"/>
  <c r="N1888" i="6"/>
  <c r="N1889" i="6"/>
  <c r="N1890" i="6"/>
  <c r="N1891" i="6"/>
  <c r="N1892" i="6"/>
  <c r="N1893" i="6"/>
  <c r="N1894" i="6"/>
  <c r="N1895" i="6"/>
  <c r="N1896" i="6"/>
  <c r="N1897" i="6"/>
  <c r="N1898" i="6"/>
  <c r="N1899" i="6"/>
  <c r="N1900" i="6"/>
  <c r="N1901" i="6"/>
  <c r="N1902" i="6"/>
  <c r="N1903" i="6"/>
  <c r="N1904" i="6"/>
  <c r="N1905" i="6"/>
  <c r="N1906" i="6"/>
  <c r="N1907" i="6"/>
  <c r="N1908" i="6"/>
  <c r="N1909" i="6"/>
  <c r="N1910" i="6"/>
  <c r="N1911" i="6"/>
  <c r="N1912" i="6"/>
  <c r="N1913" i="6"/>
  <c r="N1914" i="6"/>
  <c r="N1915" i="6"/>
  <c r="N1916" i="6"/>
  <c r="N1917" i="6"/>
  <c r="N1918" i="6"/>
  <c r="N1919" i="6"/>
  <c r="N1920" i="6"/>
  <c r="N1921" i="6"/>
  <c r="N1922" i="6"/>
  <c r="N1923" i="6"/>
  <c r="N1924" i="6"/>
  <c r="N1925" i="6"/>
  <c r="N1926" i="6"/>
  <c r="N1927" i="6"/>
  <c r="N1928" i="6"/>
  <c r="N1929" i="6"/>
  <c r="N1930" i="6"/>
  <c r="N1931" i="6"/>
  <c r="N1932" i="6"/>
  <c r="N1933" i="6"/>
  <c r="N1934" i="6"/>
  <c r="N1935" i="6"/>
  <c r="N1936" i="6"/>
  <c r="N1937" i="6"/>
  <c r="N1938" i="6"/>
  <c r="N1939" i="6"/>
  <c r="N1940" i="6"/>
  <c r="N1941" i="6"/>
  <c r="N1942" i="6"/>
  <c r="N1943" i="6"/>
  <c r="N1944" i="6"/>
  <c r="N1945" i="6"/>
  <c r="N1946" i="6"/>
  <c r="N1947" i="6"/>
  <c r="N1948" i="6"/>
  <c r="N1949" i="6"/>
  <c r="N1950" i="6"/>
  <c r="N1951" i="6"/>
  <c r="N1952" i="6"/>
  <c r="N1953" i="6"/>
  <c r="N1954" i="6"/>
  <c r="N1955" i="6"/>
  <c r="N1956" i="6"/>
  <c r="N1957" i="6"/>
  <c r="N1958" i="6"/>
  <c r="N1959" i="6"/>
  <c r="N1960" i="6"/>
  <c r="N1961" i="6"/>
  <c r="N1962" i="6"/>
  <c r="N1963" i="6"/>
  <c r="N1964" i="6"/>
  <c r="N1965" i="6"/>
  <c r="N1966" i="6"/>
  <c r="N1967" i="6"/>
  <c r="N1968" i="6"/>
  <c r="N1969" i="6"/>
  <c r="N1970" i="6"/>
  <c r="N1971" i="6"/>
  <c r="N1972" i="6"/>
  <c r="N1973" i="6"/>
  <c r="N1974" i="6"/>
  <c r="N1975" i="6"/>
  <c r="N1976" i="6"/>
  <c r="N1977" i="6"/>
  <c r="N1978" i="6"/>
  <c r="N1979" i="6"/>
  <c r="N1980" i="6"/>
  <c r="N1981" i="6"/>
  <c r="N1982" i="6"/>
  <c r="N1983" i="6"/>
  <c r="N1984" i="6"/>
  <c r="N1985" i="6"/>
  <c r="N1986" i="6"/>
  <c r="N1987" i="6"/>
  <c r="N1988" i="6"/>
  <c r="M16" i="6"/>
  <c r="M17" i="6"/>
  <c r="M18" i="6"/>
  <c r="M19" i="6"/>
  <c r="M20" i="6"/>
  <c r="M21" i="6"/>
  <c r="M22" i="6"/>
  <c r="M23" i="6"/>
  <c r="M24" i="6"/>
  <c r="M25" i="6"/>
  <c r="M26" i="6"/>
  <c r="M27" i="6"/>
  <c r="M28" i="6"/>
  <c r="M29" i="6"/>
  <c r="M30" i="6"/>
  <c r="M31" i="6"/>
  <c r="M32" i="6"/>
  <c r="M33" i="6"/>
  <c r="M34" i="6"/>
  <c r="M35" i="6"/>
  <c r="M36" i="6"/>
  <c r="M37" i="6"/>
  <c r="M38" i="6"/>
  <c r="M39" i="6"/>
  <c r="M40" i="6"/>
  <c r="M41" i="6"/>
  <c r="M42" i="6"/>
  <c r="M43" i="6"/>
  <c r="M44" i="6"/>
  <c r="M45" i="6"/>
  <c r="M46" i="6"/>
  <c r="M47" i="6"/>
  <c r="M48" i="6"/>
  <c r="M49" i="6"/>
  <c r="M50" i="6"/>
  <c r="M51" i="6"/>
  <c r="M52" i="6"/>
  <c r="M53" i="6"/>
  <c r="M54" i="6"/>
  <c r="M55" i="6"/>
  <c r="M56" i="6"/>
  <c r="M57" i="6"/>
  <c r="M58" i="6"/>
  <c r="M59" i="6"/>
  <c r="M60" i="6"/>
  <c r="M61" i="6"/>
  <c r="M62" i="6"/>
  <c r="M63" i="6"/>
  <c r="M64" i="6"/>
  <c r="M65" i="6"/>
  <c r="M66" i="6"/>
  <c r="M67" i="6"/>
  <c r="M68" i="6"/>
  <c r="M69" i="6"/>
  <c r="M70" i="6"/>
  <c r="M71" i="6"/>
  <c r="M72" i="6"/>
  <c r="M73" i="6"/>
  <c r="M74" i="6"/>
  <c r="M75" i="6"/>
  <c r="M76" i="6"/>
  <c r="M77" i="6"/>
  <c r="M78" i="6"/>
  <c r="M79" i="6"/>
  <c r="M80" i="6"/>
  <c r="M81" i="6"/>
  <c r="M82" i="6"/>
  <c r="M83" i="6"/>
  <c r="M84" i="6"/>
  <c r="M85" i="6"/>
  <c r="M86" i="6"/>
  <c r="M87" i="6"/>
  <c r="M88" i="6"/>
  <c r="M89" i="6"/>
  <c r="M90" i="6"/>
  <c r="M91" i="6"/>
  <c r="M92" i="6"/>
  <c r="M93" i="6"/>
  <c r="M94" i="6"/>
  <c r="M95" i="6"/>
  <c r="M96" i="6"/>
  <c r="M97" i="6"/>
  <c r="M98" i="6"/>
  <c r="M99" i="6"/>
  <c r="M100" i="6"/>
  <c r="M101" i="6"/>
  <c r="M102" i="6"/>
  <c r="M103" i="6"/>
  <c r="M104" i="6"/>
  <c r="M105" i="6"/>
  <c r="M106" i="6"/>
  <c r="M107" i="6"/>
  <c r="M108" i="6"/>
  <c r="M109" i="6"/>
  <c r="M110" i="6"/>
  <c r="M111" i="6"/>
  <c r="M112" i="6"/>
  <c r="M113" i="6"/>
  <c r="M114" i="6"/>
  <c r="M115" i="6"/>
  <c r="M116" i="6"/>
  <c r="M117" i="6"/>
  <c r="M118" i="6"/>
  <c r="M119" i="6"/>
  <c r="M120" i="6"/>
  <c r="M121" i="6"/>
  <c r="M122" i="6"/>
  <c r="M123" i="6"/>
  <c r="M124" i="6"/>
  <c r="M125" i="6"/>
  <c r="M126" i="6"/>
  <c r="M127" i="6"/>
  <c r="M128" i="6"/>
  <c r="M129" i="6"/>
  <c r="M130" i="6"/>
  <c r="M131" i="6"/>
  <c r="M132" i="6"/>
  <c r="M133" i="6"/>
  <c r="M134" i="6"/>
  <c r="M135" i="6"/>
  <c r="M136" i="6"/>
  <c r="M137" i="6"/>
  <c r="M138" i="6"/>
  <c r="M139" i="6"/>
  <c r="M140" i="6"/>
  <c r="M141" i="6"/>
  <c r="M142" i="6"/>
  <c r="M143" i="6"/>
  <c r="M144" i="6"/>
  <c r="M145" i="6"/>
  <c r="M146" i="6"/>
  <c r="M147" i="6"/>
  <c r="M148" i="6"/>
  <c r="M149" i="6"/>
  <c r="M150" i="6"/>
  <c r="M151" i="6"/>
  <c r="M152" i="6"/>
  <c r="M153" i="6"/>
  <c r="M154" i="6"/>
  <c r="M155" i="6"/>
  <c r="M156" i="6"/>
  <c r="M157" i="6"/>
  <c r="M158" i="6"/>
  <c r="M159" i="6"/>
  <c r="M160" i="6"/>
  <c r="M161" i="6"/>
  <c r="M162" i="6"/>
  <c r="M163" i="6"/>
  <c r="M164" i="6"/>
  <c r="M165" i="6"/>
  <c r="M166" i="6"/>
  <c r="M167" i="6"/>
  <c r="M168" i="6"/>
  <c r="M169" i="6"/>
  <c r="M170" i="6"/>
  <c r="M171" i="6"/>
  <c r="M172" i="6"/>
  <c r="M173" i="6"/>
  <c r="M174" i="6"/>
  <c r="M175" i="6"/>
  <c r="M176" i="6"/>
  <c r="M177" i="6"/>
  <c r="M178" i="6"/>
  <c r="M179" i="6"/>
  <c r="M180" i="6"/>
  <c r="M181" i="6"/>
  <c r="M182" i="6"/>
  <c r="M183" i="6"/>
  <c r="M184" i="6"/>
  <c r="M185" i="6"/>
  <c r="M186" i="6"/>
  <c r="M187" i="6"/>
  <c r="M188" i="6"/>
  <c r="M189" i="6"/>
  <c r="M190" i="6"/>
  <c r="M191" i="6"/>
  <c r="M192" i="6"/>
  <c r="M193" i="6"/>
  <c r="M194" i="6"/>
  <c r="M195" i="6"/>
  <c r="M196" i="6"/>
  <c r="M197" i="6"/>
  <c r="M198" i="6"/>
  <c r="M199" i="6"/>
  <c r="M200" i="6"/>
  <c r="M201" i="6"/>
  <c r="M202" i="6"/>
  <c r="M203" i="6"/>
  <c r="M204" i="6"/>
  <c r="M205" i="6"/>
  <c r="M206" i="6"/>
  <c r="M207" i="6"/>
  <c r="M208" i="6"/>
  <c r="M209" i="6"/>
  <c r="M210" i="6"/>
  <c r="M211" i="6"/>
  <c r="M212" i="6"/>
  <c r="M213" i="6"/>
  <c r="M214" i="6"/>
  <c r="M215" i="6"/>
  <c r="M216" i="6"/>
  <c r="M217" i="6"/>
  <c r="M218" i="6"/>
  <c r="M219" i="6"/>
  <c r="M220" i="6"/>
  <c r="M221" i="6"/>
  <c r="M222" i="6"/>
  <c r="M223" i="6"/>
  <c r="M224" i="6"/>
  <c r="M225" i="6"/>
  <c r="M226" i="6"/>
  <c r="M227" i="6"/>
  <c r="M228" i="6"/>
  <c r="M229" i="6"/>
  <c r="M230" i="6"/>
  <c r="M231" i="6"/>
  <c r="M232" i="6"/>
  <c r="M233" i="6"/>
  <c r="M234" i="6"/>
  <c r="M235" i="6"/>
  <c r="M236" i="6"/>
  <c r="M237" i="6"/>
  <c r="M238" i="6"/>
  <c r="M239" i="6"/>
  <c r="M240" i="6"/>
  <c r="M241" i="6"/>
  <c r="M242" i="6"/>
  <c r="M243" i="6"/>
  <c r="M244" i="6"/>
  <c r="M245" i="6"/>
  <c r="M246" i="6"/>
  <c r="M247" i="6"/>
  <c r="M248" i="6"/>
  <c r="M249" i="6"/>
  <c r="M250" i="6"/>
  <c r="M251" i="6"/>
  <c r="M252" i="6"/>
  <c r="M253" i="6"/>
  <c r="M254" i="6"/>
  <c r="M255" i="6"/>
  <c r="M256" i="6"/>
  <c r="M257" i="6"/>
  <c r="M258" i="6"/>
  <c r="M259" i="6"/>
  <c r="M260" i="6"/>
  <c r="M261" i="6"/>
  <c r="M262" i="6"/>
  <c r="M263" i="6"/>
  <c r="M264" i="6"/>
  <c r="M265" i="6"/>
  <c r="M266" i="6"/>
  <c r="M267" i="6"/>
  <c r="M268" i="6"/>
  <c r="M269" i="6"/>
  <c r="M270" i="6"/>
  <c r="M271" i="6"/>
  <c r="M272" i="6"/>
  <c r="M273" i="6"/>
  <c r="M274" i="6"/>
  <c r="M275" i="6"/>
  <c r="M276" i="6"/>
  <c r="M277" i="6"/>
  <c r="M278" i="6"/>
  <c r="M279" i="6"/>
  <c r="M280" i="6"/>
  <c r="M281" i="6"/>
  <c r="M282" i="6"/>
  <c r="M283" i="6"/>
  <c r="M284" i="6"/>
  <c r="M285" i="6"/>
  <c r="M286" i="6"/>
  <c r="M287" i="6"/>
  <c r="M288" i="6"/>
  <c r="M289" i="6"/>
  <c r="M290" i="6"/>
  <c r="M291" i="6"/>
  <c r="M292" i="6"/>
  <c r="M293" i="6"/>
  <c r="M294" i="6"/>
  <c r="M295" i="6"/>
  <c r="M296" i="6"/>
  <c r="M297" i="6"/>
  <c r="M298" i="6"/>
  <c r="M299" i="6"/>
  <c r="M300" i="6"/>
  <c r="M301" i="6"/>
  <c r="M302" i="6"/>
  <c r="M303" i="6"/>
  <c r="M304" i="6"/>
  <c r="M305" i="6"/>
  <c r="M306" i="6"/>
  <c r="M307" i="6"/>
  <c r="M308" i="6"/>
  <c r="M309" i="6"/>
  <c r="M310" i="6"/>
  <c r="M311" i="6"/>
  <c r="M312" i="6"/>
  <c r="M313" i="6"/>
  <c r="M314" i="6"/>
  <c r="M315" i="6"/>
  <c r="M316" i="6"/>
  <c r="M317" i="6"/>
  <c r="M318" i="6"/>
  <c r="M319" i="6"/>
  <c r="M320" i="6"/>
  <c r="M321" i="6"/>
  <c r="M322" i="6"/>
  <c r="M323" i="6"/>
  <c r="M324" i="6"/>
  <c r="M325" i="6"/>
  <c r="M326" i="6"/>
  <c r="M327" i="6"/>
  <c r="M328" i="6"/>
  <c r="M329" i="6"/>
  <c r="M330" i="6"/>
  <c r="M331" i="6"/>
  <c r="M332" i="6"/>
  <c r="M333" i="6"/>
  <c r="M334" i="6"/>
  <c r="M335" i="6"/>
  <c r="M336" i="6"/>
  <c r="M337" i="6"/>
  <c r="M338" i="6"/>
  <c r="M339" i="6"/>
  <c r="M340" i="6"/>
  <c r="M341" i="6"/>
  <c r="M342" i="6"/>
  <c r="M343" i="6"/>
  <c r="M344" i="6"/>
  <c r="M345" i="6"/>
  <c r="M346" i="6"/>
  <c r="M347" i="6"/>
  <c r="M348" i="6"/>
  <c r="M349" i="6"/>
  <c r="M350" i="6"/>
  <c r="M351" i="6"/>
  <c r="M352" i="6"/>
  <c r="M353" i="6"/>
  <c r="M354" i="6"/>
  <c r="M355" i="6"/>
  <c r="M356" i="6"/>
  <c r="M357" i="6"/>
  <c r="M358" i="6"/>
  <c r="M359" i="6"/>
  <c r="M360" i="6"/>
  <c r="M361" i="6"/>
  <c r="M362" i="6"/>
  <c r="M363" i="6"/>
  <c r="M364" i="6"/>
  <c r="M365" i="6"/>
  <c r="M366" i="6"/>
  <c r="M367" i="6"/>
  <c r="M368" i="6"/>
  <c r="M369" i="6"/>
  <c r="M370" i="6"/>
  <c r="M371" i="6"/>
  <c r="M372" i="6"/>
  <c r="M373" i="6"/>
  <c r="M374" i="6"/>
  <c r="M375" i="6"/>
  <c r="M376" i="6"/>
  <c r="M377" i="6"/>
  <c r="M378" i="6"/>
  <c r="M379" i="6"/>
  <c r="M380" i="6"/>
  <c r="M381" i="6"/>
  <c r="M382" i="6"/>
  <c r="M383" i="6"/>
  <c r="M384" i="6"/>
  <c r="M385" i="6"/>
  <c r="M386" i="6"/>
  <c r="M387" i="6"/>
  <c r="M388" i="6"/>
  <c r="M389" i="6"/>
  <c r="M390" i="6"/>
  <c r="M391" i="6"/>
  <c r="M392" i="6"/>
  <c r="M393" i="6"/>
  <c r="M394" i="6"/>
  <c r="M395" i="6"/>
  <c r="M396" i="6"/>
  <c r="M397" i="6"/>
  <c r="M398" i="6"/>
  <c r="M399" i="6"/>
  <c r="M400" i="6"/>
  <c r="M401" i="6"/>
  <c r="M402" i="6"/>
  <c r="M403" i="6"/>
  <c r="M404" i="6"/>
  <c r="M405" i="6"/>
  <c r="M406" i="6"/>
  <c r="M407" i="6"/>
  <c r="M408" i="6"/>
  <c r="M409" i="6"/>
  <c r="M410" i="6"/>
  <c r="M411" i="6"/>
  <c r="M412" i="6"/>
  <c r="M413" i="6"/>
  <c r="M414" i="6"/>
  <c r="M415" i="6"/>
  <c r="M416" i="6"/>
  <c r="M417" i="6"/>
  <c r="M418" i="6"/>
  <c r="M419" i="6"/>
  <c r="M420" i="6"/>
  <c r="M421" i="6"/>
  <c r="M422" i="6"/>
  <c r="M423" i="6"/>
  <c r="M424" i="6"/>
  <c r="M425" i="6"/>
  <c r="M426" i="6"/>
  <c r="M427" i="6"/>
  <c r="M428" i="6"/>
  <c r="M429" i="6"/>
  <c r="M430" i="6"/>
  <c r="M431" i="6"/>
  <c r="M432" i="6"/>
  <c r="M433" i="6"/>
  <c r="M434" i="6"/>
  <c r="M435" i="6"/>
  <c r="M436" i="6"/>
  <c r="M437" i="6"/>
  <c r="M438" i="6"/>
  <c r="M439" i="6"/>
  <c r="M440" i="6"/>
  <c r="M441" i="6"/>
  <c r="M442" i="6"/>
  <c r="M443" i="6"/>
  <c r="M444" i="6"/>
  <c r="M445" i="6"/>
  <c r="M446" i="6"/>
  <c r="M447" i="6"/>
  <c r="M448" i="6"/>
  <c r="M449" i="6"/>
  <c r="M450" i="6"/>
  <c r="M451" i="6"/>
  <c r="M452" i="6"/>
  <c r="M453" i="6"/>
  <c r="M454" i="6"/>
  <c r="M455" i="6"/>
  <c r="M456" i="6"/>
  <c r="M457" i="6"/>
  <c r="M458" i="6"/>
  <c r="M459" i="6"/>
  <c r="M460" i="6"/>
  <c r="M461" i="6"/>
  <c r="M462" i="6"/>
  <c r="M463" i="6"/>
  <c r="M464" i="6"/>
  <c r="M465" i="6"/>
  <c r="M466" i="6"/>
  <c r="M467" i="6"/>
  <c r="M468" i="6"/>
  <c r="M469" i="6"/>
  <c r="M470" i="6"/>
  <c r="M471" i="6"/>
  <c r="M472" i="6"/>
  <c r="M473" i="6"/>
  <c r="M474" i="6"/>
  <c r="M475" i="6"/>
  <c r="M476" i="6"/>
  <c r="M477" i="6"/>
  <c r="M478" i="6"/>
  <c r="M479" i="6"/>
  <c r="M480" i="6"/>
  <c r="M481" i="6"/>
  <c r="M482" i="6"/>
  <c r="M483" i="6"/>
  <c r="M484" i="6"/>
  <c r="M485" i="6"/>
  <c r="M486" i="6"/>
  <c r="M487" i="6"/>
  <c r="M488" i="6"/>
  <c r="M489" i="6"/>
  <c r="M490" i="6"/>
  <c r="M491" i="6"/>
  <c r="M492" i="6"/>
  <c r="M493" i="6"/>
  <c r="M494" i="6"/>
  <c r="M495" i="6"/>
  <c r="M496" i="6"/>
  <c r="M497" i="6"/>
  <c r="M498" i="6"/>
  <c r="M499" i="6"/>
  <c r="M500" i="6"/>
  <c r="M501" i="6"/>
  <c r="M502" i="6"/>
  <c r="M503" i="6"/>
  <c r="M504" i="6"/>
  <c r="M505" i="6"/>
  <c r="M506" i="6"/>
  <c r="M507" i="6"/>
  <c r="M508" i="6"/>
  <c r="M509" i="6"/>
  <c r="M510" i="6"/>
  <c r="M511" i="6"/>
  <c r="M512" i="6"/>
  <c r="M513" i="6"/>
  <c r="M514" i="6"/>
  <c r="M515" i="6"/>
  <c r="M516" i="6"/>
  <c r="M517" i="6"/>
  <c r="M518" i="6"/>
  <c r="M519" i="6"/>
  <c r="M520" i="6"/>
  <c r="M521" i="6"/>
  <c r="M522" i="6"/>
  <c r="M523" i="6"/>
  <c r="M524" i="6"/>
  <c r="M525" i="6"/>
  <c r="M526" i="6"/>
  <c r="M527" i="6"/>
  <c r="M528" i="6"/>
  <c r="M529" i="6"/>
  <c r="M530" i="6"/>
  <c r="M531" i="6"/>
  <c r="M532" i="6"/>
  <c r="M533" i="6"/>
  <c r="M534" i="6"/>
  <c r="M535" i="6"/>
  <c r="M536" i="6"/>
  <c r="M537" i="6"/>
  <c r="M538" i="6"/>
  <c r="M539" i="6"/>
  <c r="M540" i="6"/>
  <c r="M541" i="6"/>
  <c r="M542" i="6"/>
  <c r="M543" i="6"/>
  <c r="M544" i="6"/>
  <c r="M545" i="6"/>
  <c r="M546" i="6"/>
  <c r="M547" i="6"/>
  <c r="M548" i="6"/>
  <c r="M549" i="6"/>
  <c r="M550" i="6"/>
  <c r="M551" i="6"/>
  <c r="M552" i="6"/>
  <c r="M553" i="6"/>
  <c r="M554" i="6"/>
  <c r="M555" i="6"/>
  <c r="M556" i="6"/>
  <c r="M557" i="6"/>
  <c r="M558" i="6"/>
  <c r="M559" i="6"/>
  <c r="M560" i="6"/>
  <c r="M561" i="6"/>
  <c r="M562" i="6"/>
  <c r="M563" i="6"/>
  <c r="M564" i="6"/>
  <c r="M565" i="6"/>
  <c r="M566" i="6"/>
  <c r="M567" i="6"/>
  <c r="M568" i="6"/>
  <c r="M569" i="6"/>
  <c r="M570" i="6"/>
  <c r="M571" i="6"/>
  <c r="M572" i="6"/>
  <c r="M573" i="6"/>
  <c r="M574" i="6"/>
  <c r="M575" i="6"/>
  <c r="M576" i="6"/>
  <c r="M577" i="6"/>
  <c r="M578" i="6"/>
  <c r="M579" i="6"/>
  <c r="M580" i="6"/>
  <c r="M581" i="6"/>
  <c r="M582" i="6"/>
  <c r="M583" i="6"/>
  <c r="M584" i="6"/>
  <c r="M585" i="6"/>
  <c r="M586" i="6"/>
  <c r="M587" i="6"/>
  <c r="M588" i="6"/>
  <c r="M589" i="6"/>
  <c r="M590" i="6"/>
  <c r="M591" i="6"/>
  <c r="M592" i="6"/>
  <c r="M593" i="6"/>
  <c r="M594" i="6"/>
  <c r="M595" i="6"/>
  <c r="M596" i="6"/>
  <c r="M597" i="6"/>
  <c r="M598" i="6"/>
  <c r="M599" i="6"/>
  <c r="M600" i="6"/>
  <c r="M601" i="6"/>
  <c r="M602" i="6"/>
  <c r="M603" i="6"/>
  <c r="M604" i="6"/>
  <c r="M605" i="6"/>
  <c r="M606" i="6"/>
  <c r="M607" i="6"/>
  <c r="M608" i="6"/>
  <c r="M609" i="6"/>
  <c r="M610" i="6"/>
  <c r="M611" i="6"/>
  <c r="M612" i="6"/>
  <c r="M613" i="6"/>
  <c r="M614" i="6"/>
  <c r="M615" i="6"/>
  <c r="M616" i="6"/>
  <c r="M617" i="6"/>
  <c r="M618" i="6"/>
  <c r="M619" i="6"/>
  <c r="M620" i="6"/>
  <c r="M621" i="6"/>
  <c r="M622" i="6"/>
  <c r="M623" i="6"/>
  <c r="M624" i="6"/>
  <c r="M625" i="6"/>
  <c r="M626" i="6"/>
  <c r="M627" i="6"/>
  <c r="M628" i="6"/>
  <c r="M629" i="6"/>
  <c r="M630" i="6"/>
  <c r="M631" i="6"/>
  <c r="M632" i="6"/>
  <c r="M633" i="6"/>
  <c r="M634" i="6"/>
  <c r="M635" i="6"/>
  <c r="M636" i="6"/>
  <c r="M637" i="6"/>
  <c r="M638" i="6"/>
  <c r="M639" i="6"/>
  <c r="M640" i="6"/>
  <c r="M641" i="6"/>
  <c r="M642" i="6"/>
  <c r="M643" i="6"/>
  <c r="M644" i="6"/>
  <c r="M645" i="6"/>
  <c r="M646" i="6"/>
  <c r="M647" i="6"/>
  <c r="M648" i="6"/>
  <c r="M649" i="6"/>
  <c r="M650" i="6"/>
  <c r="M651" i="6"/>
  <c r="M652" i="6"/>
  <c r="M653" i="6"/>
  <c r="M654" i="6"/>
  <c r="M655" i="6"/>
  <c r="M656" i="6"/>
  <c r="M657" i="6"/>
  <c r="M658" i="6"/>
  <c r="M659" i="6"/>
  <c r="M660" i="6"/>
  <c r="M661" i="6"/>
  <c r="M662" i="6"/>
  <c r="M663" i="6"/>
  <c r="M664" i="6"/>
  <c r="M665" i="6"/>
  <c r="M666" i="6"/>
  <c r="M667" i="6"/>
  <c r="M668" i="6"/>
  <c r="M669" i="6"/>
  <c r="M670" i="6"/>
  <c r="M671" i="6"/>
  <c r="M672" i="6"/>
  <c r="M673" i="6"/>
  <c r="M674" i="6"/>
  <c r="M675" i="6"/>
  <c r="M676" i="6"/>
  <c r="M677" i="6"/>
  <c r="M678" i="6"/>
  <c r="M679" i="6"/>
  <c r="M680" i="6"/>
  <c r="M681" i="6"/>
  <c r="M682" i="6"/>
  <c r="M683" i="6"/>
  <c r="M684" i="6"/>
  <c r="M685" i="6"/>
  <c r="M686" i="6"/>
  <c r="M687" i="6"/>
  <c r="M688" i="6"/>
  <c r="M689" i="6"/>
  <c r="M690" i="6"/>
  <c r="M691" i="6"/>
  <c r="M692" i="6"/>
  <c r="M693" i="6"/>
  <c r="M694" i="6"/>
  <c r="M695" i="6"/>
  <c r="M696" i="6"/>
  <c r="M697" i="6"/>
  <c r="M698" i="6"/>
  <c r="M699" i="6"/>
  <c r="M700" i="6"/>
  <c r="M701" i="6"/>
  <c r="M702" i="6"/>
  <c r="M703" i="6"/>
  <c r="M704" i="6"/>
  <c r="M705" i="6"/>
  <c r="M706" i="6"/>
  <c r="M707" i="6"/>
  <c r="M708" i="6"/>
  <c r="M709" i="6"/>
  <c r="M710" i="6"/>
  <c r="M711" i="6"/>
  <c r="M712" i="6"/>
  <c r="M713" i="6"/>
  <c r="M714" i="6"/>
  <c r="M715" i="6"/>
  <c r="M716" i="6"/>
  <c r="M717" i="6"/>
  <c r="M718" i="6"/>
  <c r="M719" i="6"/>
  <c r="M720" i="6"/>
  <c r="M721" i="6"/>
  <c r="M722" i="6"/>
  <c r="M723" i="6"/>
  <c r="M724" i="6"/>
  <c r="M725" i="6"/>
  <c r="M726" i="6"/>
  <c r="M727" i="6"/>
  <c r="M728" i="6"/>
  <c r="M729" i="6"/>
  <c r="M730" i="6"/>
  <c r="M731" i="6"/>
  <c r="M732" i="6"/>
  <c r="M733" i="6"/>
  <c r="M734" i="6"/>
  <c r="M735" i="6"/>
  <c r="M736" i="6"/>
  <c r="M737" i="6"/>
  <c r="M738" i="6"/>
  <c r="M739" i="6"/>
  <c r="M740" i="6"/>
  <c r="M741" i="6"/>
  <c r="M742" i="6"/>
  <c r="M743" i="6"/>
  <c r="M744" i="6"/>
  <c r="M745" i="6"/>
  <c r="M746" i="6"/>
  <c r="M747" i="6"/>
  <c r="M748" i="6"/>
  <c r="M749" i="6"/>
  <c r="M750" i="6"/>
  <c r="M751" i="6"/>
  <c r="M752" i="6"/>
  <c r="M753" i="6"/>
  <c r="M754" i="6"/>
  <c r="M755" i="6"/>
  <c r="M756" i="6"/>
  <c r="M757" i="6"/>
  <c r="M758" i="6"/>
  <c r="M759" i="6"/>
  <c r="M760" i="6"/>
  <c r="M761" i="6"/>
  <c r="M762" i="6"/>
  <c r="M763" i="6"/>
  <c r="M764" i="6"/>
  <c r="M765" i="6"/>
  <c r="M766" i="6"/>
  <c r="M767" i="6"/>
  <c r="M768" i="6"/>
  <c r="M769" i="6"/>
  <c r="M770" i="6"/>
  <c r="M771" i="6"/>
  <c r="M772" i="6"/>
  <c r="M773" i="6"/>
  <c r="M774" i="6"/>
  <c r="M775" i="6"/>
  <c r="M776" i="6"/>
  <c r="M777" i="6"/>
  <c r="M778" i="6"/>
  <c r="M779" i="6"/>
  <c r="M780" i="6"/>
  <c r="M781" i="6"/>
  <c r="M782" i="6"/>
  <c r="M783" i="6"/>
  <c r="M784" i="6"/>
  <c r="M785" i="6"/>
  <c r="M786" i="6"/>
  <c r="M787" i="6"/>
  <c r="M788" i="6"/>
  <c r="M789" i="6"/>
  <c r="M790" i="6"/>
  <c r="M791" i="6"/>
  <c r="M792" i="6"/>
  <c r="M793" i="6"/>
  <c r="M794" i="6"/>
  <c r="M795" i="6"/>
  <c r="M796" i="6"/>
  <c r="M797" i="6"/>
  <c r="M798" i="6"/>
  <c r="M799" i="6"/>
  <c r="M800" i="6"/>
  <c r="M801" i="6"/>
  <c r="M802" i="6"/>
  <c r="M803" i="6"/>
  <c r="M804" i="6"/>
  <c r="M805" i="6"/>
  <c r="M806" i="6"/>
  <c r="M807" i="6"/>
  <c r="M808" i="6"/>
  <c r="M809" i="6"/>
  <c r="M810" i="6"/>
  <c r="M811" i="6"/>
  <c r="M812" i="6"/>
  <c r="M813" i="6"/>
  <c r="M814" i="6"/>
  <c r="M815" i="6"/>
  <c r="M816" i="6"/>
  <c r="M817" i="6"/>
  <c r="M818" i="6"/>
  <c r="M819" i="6"/>
  <c r="M820" i="6"/>
  <c r="M821" i="6"/>
  <c r="M822" i="6"/>
  <c r="M823" i="6"/>
  <c r="M824" i="6"/>
  <c r="M825" i="6"/>
  <c r="M826" i="6"/>
  <c r="M827" i="6"/>
  <c r="M828" i="6"/>
  <c r="M829" i="6"/>
  <c r="M830" i="6"/>
  <c r="M831" i="6"/>
  <c r="M832" i="6"/>
  <c r="M833" i="6"/>
  <c r="M834" i="6"/>
  <c r="M835" i="6"/>
  <c r="M836" i="6"/>
  <c r="M837" i="6"/>
  <c r="M838" i="6"/>
  <c r="M839" i="6"/>
  <c r="M840" i="6"/>
  <c r="M841" i="6"/>
  <c r="M842" i="6"/>
  <c r="M843" i="6"/>
  <c r="M844" i="6"/>
  <c r="M845" i="6"/>
  <c r="M846" i="6"/>
  <c r="M847" i="6"/>
  <c r="M848" i="6"/>
  <c r="M849" i="6"/>
  <c r="M850" i="6"/>
  <c r="M851" i="6"/>
  <c r="M852" i="6"/>
  <c r="M853" i="6"/>
  <c r="M854" i="6"/>
  <c r="M855" i="6"/>
  <c r="M856" i="6"/>
  <c r="M857" i="6"/>
  <c r="M858" i="6"/>
  <c r="M859" i="6"/>
  <c r="M860" i="6"/>
  <c r="M861" i="6"/>
  <c r="M862" i="6"/>
  <c r="M863" i="6"/>
  <c r="M864" i="6"/>
  <c r="M865" i="6"/>
  <c r="M866" i="6"/>
  <c r="M867" i="6"/>
  <c r="M868" i="6"/>
  <c r="M869" i="6"/>
  <c r="M870" i="6"/>
  <c r="M871" i="6"/>
  <c r="M872" i="6"/>
  <c r="M873" i="6"/>
  <c r="M874" i="6"/>
  <c r="M875" i="6"/>
  <c r="M876" i="6"/>
  <c r="M877" i="6"/>
  <c r="M878" i="6"/>
  <c r="M879" i="6"/>
  <c r="M880" i="6"/>
  <c r="M881" i="6"/>
  <c r="M882" i="6"/>
  <c r="M883" i="6"/>
  <c r="M884" i="6"/>
  <c r="M885" i="6"/>
  <c r="M886" i="6"/>
  <c r="M887" i="6"/>
  <c r="M888" i="6"/>
  <c r="M889" i="6"/>
  <c r="M890" i="6"/>
  <c r="M891" i="6"/>
  <c r="M892" i="6"/>
  <c r="M893" i="6"/>
  <c r="M894" i="6"/>
  <c r="M895" i="6"/>
  <c r="M896" i="6"/>
  <c r="M897" i="6"/>
  <c r="M898" i="6"/>
  <c r="M899" i="6"/>
  <c r="M900" i="6"/>
  <c r="M901" i="6"/>
  <c r="M902" i="6"/>
  <c r="M903" i="6"/>
  <c r="M904" i="6"/>
  <c r="M905" i="6"/>
  <c r="M906" i="6"/>
  <c r="M907" i="6"/>
  <c r="M908" i="6"/>
  <c r="M909" i="6"/>
  <c r="M910" i="6"/>
  <c r="M911" i="6"/>
  <c r="M912" i="6"/>
  <c r="M913" i="6"/>
  <c r="M914" i="6"/>
  <c r="M915" i="6"/>
  <c r="M916" i="6"/>
  <c r="M917" i="6"/>
  <c r="M918" i="6"/>
  <c r="M919" i="6"/>
  <c r="M920" i="6"/>
  <c r="M921" i="6"/>
  <c r="M922" i="6"/>
  <c r="M923" i="6"/>
  <c r="M924" i="6"/>
  <c r="M925" i="6"/>
  <c r="M926" i="6"/>
  <c r="M927" i="6"/>
  <c r="M928" i="6"/>
  <c r="M929" i="6"/>
  <c r="M930" i="6"/>
  <c r="M931" i="6"/>
  <c r="M932" i="6"/>
  <c r="M933" i="6"/>
  <c r="M934" i="6"/>
  <c r="M935" i="6"/>
  <c r="M936" i="6"/>
  <c r="M937" i="6"/>
  <c r="M938" i="6"/>
  <c r="M939" i="6"/>
  <c r="M940" i="6"/>
  <c r="M941" i="6"/>
  <c r="M942" i="6"/>
  <c r="M943" i="6"/>
  <c r="M944" i="6"/>
  <c r="M945" i="6"/>
  <c r="M946" i="6"/>
  <c r="M947" i="6"/>
  <c r="M948" i="6"/>
  <c r="M949" i="6"/>
  <c r="M950" i="6"/>
  <c r="M951" i="6"/>
  <c r="M952" i="6"/>
  <c r="M953" i="6"/>
  <c r="M954" i="6"/>
  <c r="M955" i="6"/>
  <c r="M956" i="6"/>
  <c r="M957" i="6"/>
  <c r="M958" i="6"/>
  <c r="M959" i="6"/>
  <c r="M960" i="6"/>
  <c r="M961" i="6"/>
  <c r="M962" i="6"/>
  <c r="M963" i="6"/>
  <c r="M964" i="6"/>
  <c r="M965" i="6"/>
  <c r="M966" i="6"/>
  <c r="M967" i="6"/>
  <c r="M968" i="6"/>
  <c r="M969" i="6"/>
  <c r="M970" i="6"/>
  <c r="M971" i="6"/>
  <c r="M972" i="6"/>
  <c r="M973" i="6"/>
  <c r="M974" i="6"/>
  <c r="M975" i="6"/>
  <c r="M976" i="6"/>
  <c r="M977" i="6"/>
  <c r="M978" i="6"/>
  <c r="M979" i="6"/>
  <c r="M980" i="6"/>
  <c r="M981" i="6"/>
  <c r="M982" i="6"/>
  <c r="M983" i="6"/>
  <c r="M984" i="6"/>
  <c r="M985" i="6"/>
  <c r="M986" i="6"/>
  <c r="M987" i="6"/>
  <c r="M988" i="6"/>
  <c r="M989" i="6"/>
  <c r="M990" i="6"/>
  <c r="M991" i="6"/>
  <c r="M992" i="6"/>
  <c r="M993" i="6"/>
  <c r="M994" i="6"/>
  <c r="M995" i="6"/>
  <c r="M996" i="6"/>
  <c r="M997" i="6"/>
  <c r="M998" i="6"/>
  <c r="M999" i="6"/>
  <c r="M1000" i="6"/>
  <c r="M1001" i="6"/>
  <c r="M1002" i="6"/>
  <c r="M1003" i="6"/>
  <c r="M1004" i="6"/>
  <c r="M1005" i="6"/>
  <c r="M1006" i="6"/>
  <c r="M1007" i="6"/>
  <c r="M1008" i="6"/>
  <c r="M1009" i="6"/>
  <c r="M1010" i="6"/>
  <c r="M1011" i="6"/>
  <c r="M1012" i="6"/>
  <c r="M1013" i="6"/>
  <c r="M1014" i="6"/>
  <c r="M1015" i="6"/>
  <c r="M1016" i="6"/>
  <c r="M1017" i="6"/>
  <c r="M1018" i="6"/>
  <c r="M1019" i="6"/>
  <c r="M1020" i="6"/>
  <c r="M1021" i="6"/>
  <c r="M1022" i="6"/>
  <c r="M1023" i="6"/>
  <c r="M1024" i="6"/>
  <c r="M1025" i="6"/>
  <c r="M1026" i="6"/>
  <c r="M1027" i="6"/>
  <c r="M1028" i="6"/>
  <c r="M1029" i="6"/>
  <c r="M1030" i="6"/>
  <c r="M1031" i="6"/>
  <c r="M1032" i="6"/>
  <c r="M1033" i="6"/>
  <c r="M1034" i="6"/>
  <c r="M1035" i="6"/>
  <c r="M1036" i="6"/>
  <c r="M1037" i="6"/>
  <c r="M1038" i="6"/>
  <c r="M1039" i="6"/>
  <c r="M1040" i="6"/>
  <c r="M1041" i="6"/>
  <c r="M1042" i="6"/>
  <c r="M1043" i="6"/>
  <c r="M1044" i="6"/>
  <c r="M1045" i="6"/>
  <c r="M1046" i="6"/>
  <c r="M1047" i="6"/>
  <c r="M1048" i="6"/>
  <c r="M1049" i="6"/>
  <c r="M1050" i="6"/>
  <c r="M1051" i="6"/>
  <c r="M1052" i="6"/>
  <c r="M1053" i="6"/>
  <c r="M1054" i="6"/>
  <c r="M1055" i="6"/>
  <c r="M1056" i="6"/>
  <c r="M1057" i="6"/>
  <c r="M1058" i="6"/>
  <c r="M1059" i="6"/>
  <c r="M1060" i="6"/>
  <c r="M1061" i="6"/>
  <c r="M1062" i="6"/>
  <c r="M1063" i="6"/>
  <c r="M1064" i="6"/>
  <c r="M1065" i="6"/>
  <c r="M1066" i="6"/>
  <c r="M1067" i="6"/>
  <c r="M1068" i="6"/>
  <c r="M1069" i="6"/>
  <c r="M1070" i="6"/>
  <c r="M1071" i="6"/>
  <c r="M1072" i="6"/>
  <c r="M1073" i="6"/>
  <c r="M1074" i="6"/>
  <c r="M1075" i="6"/>
  <c r="M1076" i="6"/>
  <c r="M1077" i="6"/>
  <c r="M1078" i="6"/>
  <c r="M1079" i="6"/>
  <c r="M1080" i="6"/>
  <c r="M1081" i="6"/>
  <c r="M1082" i="6"/>
  <c r="M1083" i="6"/>
  <c r="M1084" i="6"/>
  <c r="M1085" i="6"/>
  <c r="M1086" i="6"/>
  <c r="M1087" i="6"/>
  <c r="M1088" i="6"/>
  <c r="M1089" i="6"/>
  <c r="M1090" i="6"/>
  <c r="M1091" i="6"/>
  <c r="M1092" i="6"/>
  <c r="M1093" i="6"/>
  <c r="M1094" i="6"/>
  <c r="M1095" i="6"/>
  <c r="M1096" i="6"/>
  <c r="M1097" i="6"/>
  <c r="M1098" i="6"/>
  <c r="M1099" i="6"/>
  <c r="M1100" i="6"/>
  <c r="M1101" i="6"/>
  <c r="M1102" i="6"/>
  <c r="M1103" i="6"/>
  <c r="M1104" i="6"/>
  <c r="M1105" i="6"/>
  <c r="M1106" i="6"/>
  <c r="M1107" i="6"/>
  <c r="M1108" i="6"/>
  <c r="M1109" i="6"/>
  <c r="M1110" i="6"/>
  <c r="M1111" i="6"/>
  <c r="M1112" i="6"/>
  <c r="M1113" i="6"/>
  <c r="M1114" i="6"/>
  <c r="M1115" i="6"/>
  <c r="M1116" i="6"/>
  <c r="M1117" i="6"/>
  <c r="M1118" i="6"/>
  <c r="M1119" i="6"/>
  <c r="M1120" i="6"/>
  <c r="M1121" i="6"/>
  <c r="M1122" i="6"/>
  <c r="M1123" i="6"/>
  <c r="M1124" i="6"/>
  <c r="M1125" i="6"/>
  <c r="M1126" i="6"/>
  <c r="M1127" i="6"/>
  <c r="M1128" i="6"/>
  <c r="M1129" i="6"/>
  <c r="M1130" i="6"/>
  <c r="M1131" i="6"/>
  <c r="M1132" i="6"/>
  <c r="M1133" i="6"/>
  <c r="M1134" i="6"/>
  <c r="M1135" i="6"/>
  <c r="M1136" i="6"/>
  <c r="M1137" i="6"/>
  <c r="M1138" i="6"/>
  <c r="M1139" i="6"/>
  <c r="M1140" i="6"/>
  <c r="M1141" i="6"/>
  <c r="M1142" i="6"/>
  <c r="M1143" i="6"/>
  <c r="M1144" i="6"/>
  <c r="M1145" i="6"/>
  <c r="M1146" i="6"/>
  <c r="M1147" i="6"/>
  <c r="M1148" i="6"/>
  <c r="M1149" i="6"/>
  <c r="M1150" i="6"/>
  <c r="M1151" i="6"/>
  <c r="M1152" i="6"/>
  <c r="M1153" i="6"/>
  <c r="M1154" i="6"/>
  <c r="M1155" i="6"/>
  <c r="M1156" i="6"/>
  <c r="M1157" i="6"/>
  <c r="M1158" i="6"/>
  <c r="M1159" i="6"/>
  <c r="M1160" i="6"/>
  <c r="M1161" i="6"/>
  <c r="M1162" i="6"/>
  <c r="M1163" i="6"/>
  <c r="M1164" i="6"/>
  <c r="M1165" i="6"/>
  <c r="M1166" i="6"/>
  <c r="M1167" i="6"/>
  <c r="M1168" i="6"/>
  <c r="M1169" i="6"/>
  <c r="M1170" i="6"/>
  <c r="M1171" i="6"/>
  <c r="M1172" i="6"/>
  <c r="M1173" i="6"/>
  <c r="M1174" i="6"/>
  <c r="M1175" i="6"/>
  <c r="M1176" i="6"/>
  <c r="M1177" i="6"/>
  <c r="M1178" i="6"/>
  <c r="M1179" i="6"/>
  <c r="M1180" i="6"/>
  <c r="M1181" i="6"/>
  <c r="M1182" i="6"/>
  <c r="M1183" i="6"/>
  <c r="M1184" i="6"/>
  <c r="M1185" i="6"/>
  <c r="M1186" i="6"/>
  <c r="M1187" i="6"/>
  <c r="M1188" i="6"/>
  <c r="M1189" i="6"/>
  <c r="M1190" i="6"/>
  <c r="M1191" i="6"/>
  <c r="M1192" i="6"/>
  <c r="M1193" i="6"/>
  <c r="M1194" i="6"/>
  <c r="M1195" i="6"/>
  <c r="M1196" i="6"/>
  <c r="M1197" i="6"/>
  <c r="M1198" i="6"/>
  <c r="M1199" i="6"/>
  <c r="M1200" i="6"/>
  <c r="M1201" i="6"/>
  <c r="M1202" i="6"/>
  <c r="M1203" i="6"/>
  <c r="M1204" i="6"/>
  <c r="M1205" i="6"/>
  <c r="M1206" i="6"/>
  <c r="M1207" i="6"/>
  <c r="M1208" i="6"/>
  <c r="M1209" i="6"/>
  <c r="M1210" i="6"/>
  <c r="M1211" i="6"/>
  <c r="M1212" i="6"/>
  <c r="M1213" i="6"/>
  <c r="M1214" i="6"/>
  <c r="M1215" i="6"/>
  <c r="M1216" i="6"/>
  <c r="M1217" i="6"/>
  <c r="M1218" i="6"/>
  <c r="M1219" i="6"/>
  <c r="M1220" i="6"/>
  <c r="M1221" i="6"/>
  <c r="M1222" i="6"/>
  <c r="M1223" i="6"/>
  <c r="M1224" i="6"/>
  <c r="M1225" i="6"/>
  <c r="M1226" i="6"/>
  <c r="M1227" i="6"/>
  <c r="M1228" i="6"/>
  <c r="M1229" i="6"/>
  <c r="M1230" i="6"/>
  <c r="M1231" i="6"/>
  <c r="M1232" i="6"/>
  <c r="M1233" i="6"/>
  <c r="M1234" i="6"/>
  <c r="M1235" i="6"/>
  <c r="M1236" i="6"/>
  <c r="M1237" i="6"/>
  <c r="M1238" i="6"/>
  <c r="M1239" i="6"/>
  <c r="M1240" i="6"/>
  <c r="M1241" i="6"/>
  <c r="M1242" i="6"/>
  <c r="M1243" i="6"/>
  <c r="M1244" i="6"/>
  <c r="M1245" i="6"/>
  <c r="M1246" i="6"/>
  <c r="M1247" i="6"/>
  <c r="M1248" i="6"/>
  <c r="M1249" i="6"/>
  <c r="M1250" i="6"/>
  <c r="M1251" i="6"/>
  <c r="M1252" i="6"/>
  <c r="M1253" i="6"/>
  <c r="M1254" i="6"/>
  <c r="M1255" i="6"/>
  <c r="M1256" i="6"/>
  <c r="M1257" i="6"/>
  <c r="M1258" i="6"/>
  <c r="M1259" i="6"/>
  <c r="M1260" i="6"/>
  <c r="M1261" i="6"/>
  <c r="M1262" i="6"/>
  <c r="M1263" i="6"/>
  <c r="M1264" i="6"/>
  <c r="M1265" i="6"/>
  <c r="M1266" i="6"/>
  <c r="M1267" i="6"/>
  <c r="M1268" i="6"/>
  <c r="M1269" i="6"/>
  <c r="M1270" i="6"/>
  <c r="M1271" i="6"/>
  <c r="M1272" i="6"/>
  <c r="M1273" i="6"/>
  <c r="M1274" i="6"/>
  <c r="M1275" i="6"/>
  <c r="M1276" i="6"/>
  <c r="M1277" i="6"/>
  <c r="M1278" i="6"/>
  <c r="M1279" i="6"/>
  <c r="M1280" i="6"/>
  <c r="M1281" i="6"/>
  <c r="M1282" i="6"/>
  <c r="M1283" i="6"/>
  <c r="M1284" i="6"/>
  <c r="M1285" i="6"/>
  <c r="M1286" i="6"/>
  <c r="M1287" i="6"/>
  <c r="M1288" i="6"/>
  <c r="M1289" i="6"/>
  <c r="M1290" i="6"/>
  <c r="M1291" i="6"/>
  <c r="M1292" i="6"/>
  <c r="M1293" i="6"/>
  <c r="M1294" i="6"/>
  <c r="M1295" i="6"/>
  <c r="M1296" i="6"/>
  <c r="M1297" i="6"/>
  <c r="M1298" i="6"/>
  <c r="M1299" i="6"/>
  <c r="M1300" i="6"/>
  <c r="M1301" i="6"/>
  <c r="M1302" i="6"/>
  <c r="M1303" i="6"/>
  <c r="M1304" i="6"/>
  <c r="M1305" i="6"/>
  <c r="M1306" i="6"/>
  <c r="M1307" i="6"/>
  <c r="M1308" i="6"/>
  <c r="M1309" i="6"/>
  <c r="M1310" i="6"/>
  <c r="M1311" i="6"/>
  <c r="M1312" i="6"/>
  <c r="M1313" i="6"/>
  <c r="M1314" i="6"/>
  <c r="M1315" i="6"/>
  <c r="M1316" i="6"/>
  <c r="M1317" i="6"/>
  <c r="M1318" i="6"/>
  <c r="M1319" i="6"/>
  <c r="M1320" i="6"/>
  <c r="M1321" i="6"/>
  <c r="M1322" i="6"/>
  <c r="M1323" i="6"/>
  <c r="M1324" i="6"/>
  <c r="M1325" i="6"/>
  <c r="M1326" i="6"/>
  <c r="M1327" i="6"/>
  <c r="M1328" i="6"/>
  <c r="M1329" i="6"/>
  <c r="M1330" i="6"/>
  <c r="M1331" i="6"/>
  <c r="M1332" i="6"/>
  <c r="M1333" i="6"/>
  <c r="M1334" i="6"/>
  <c r="M1335" i="6"/>
  <c r="M1336" i="6"/>
  <c r="M1337" i="6"/>
  <c r="M1338" i="6"/>
  <c r="M1339" i="6"/>
  <c r="M1340" i="6"/>
  <c r="M1341" i="6"/>
  <c r="M1342" i="6"/>
  <c r="M1343" i="6"/>
  <c r="M1344" i="6"/>
  <c r="M1345" i="6"/>
  <c r="M1346" i="6"/>
  <c r="M1347" i="6"/>
  <c r="M1348" i="6"/>
  <c r="M1349" i="6"/>
  <c r="M1350" i="6"/>
  <c r="M1351" i="6"/>
  <c r="M1352" i="6"/>
  <c r="M1353" i="6"/>
  <c r="M1354" i="6"/>
  <c r="M1355" i="6"/>
  <c r="M1356" i="6"/>
  <c r="M1357" i="6"/>
  <c r="M1358" i="6"/>
  <c r="M1359" i="6"/>
  <c r="M1360" i="6"/>
  <c r="M1361" i="6"/>
  <c r="M1362" i="6"/>
  <c r="M1363" i="6"/>
  <c r="M1364" i="6"/>
  <c r="M1365" i="6"/>
  <c r="M1366" i="6"/>
  <c r="M1367" i="6"/>
  <c r="M1368" i="6"/>
  <c r="M1369" i="6"/>
  <c r="M1370" i="6"/>
  <c r="M1371" i="6"/>
  <c r="M1372" i="6"/>
  <c r="M1373" i="6"/>
  <c r="M1374" i="6"/>
  <c r="M1375" i="6"/>
  <c r="M1376" i="6"/>
  <c r="M1377" i="6"/>
  <c r="M1378" i="6"/>
  <c r="M1379" i="6"/>
  <c r="M1380" i="6"/>
  <c r="M1381" i="6"/>
  <c r="M1382" i="6"/>
  <c r="M1383" i="6"/>
  <c r="M1384" i="6"/>
  <c r="M1385" i="6"/>
  <c r="M1386" i="6"/>
  <c r="M1387" i="6"/>
  <c r="M1388" i="6"/>
  <c r="M1389" i="6"/>
  <c r="M1390" i="6"/>
  <c r="M1391" i="6"/>
  <c r="M1392" i="6"/>
  <c r="M1393" i="6"/>
  <c r="M1394" i="6"/>
  <c r="M1395" i="6"/>
  <c r="M1396" i="6"/>
  <c r="M1397" i="6"/>
  <c r="M1398" i="6"/>
  <c r="M1399" i="6"/>
  <c r="M1400" i="6"/>
  <c r="M1401" i="6"/>
  <c r="M1402" i="6"/>
  <c r="M1403" i="6"/>
  <c r="M1404" i="6"/>
  <c r="M1405" i="6"/>
  <c r="M1406" i="6"/>
  <c r="M1407" i="6"/>
  <c r="M1408" i="6"/>
  <c r="M1409" i="6"/>
  <c r="M1410" i="6"/>
  <c r="M1411" i="6"/>
  <c r="M1412" i="6"/>
  <c r="M1413" i="6"/>
  <c r="M1414" i="6"/>
  <c r="M1415" i="6"/>
  <c r="M1416" i="6"/>
  <c r="M1417" i="6"/>
  <c r="M1418" i="6"/>
  <c r="M1419" i="6"/>
  <c r="M1420" i="6"/>
  <c r="M1421" i="6"/>
  <c r="M1422" i="6"/>
  <c r="M1423" i="6"/>
  <c r="M1424" i="6"/>
  <c r="M1425" i="6"/>
  <c r="M1426" i="6"/>
  <c r="M1427" i="6"/>
  <c r="M1428" i="6"/>
  <c r="M1429" i="6"/>
  <c r="M1430" i="6"/>
  <c r="M1431" i="6"/>
  <c r="M1432" i="6"/>
  <c r="M1433" i="6"/>
  <c r="M1434" i="6"/>
  <c r="M1435" i="6"/>
  <c r="M1436" i="6"/>
  <c r="M1437" i="6"/>
  <c r="M1438" i="6"/>
  <c r="M1439" i="6"/>
  <c r="M1440" i="6"/>
  <c r="M1441" i="6"/>
  <c r="M1442" i="6"/>
  <c r="M1443" i="6"/>
  <c r="M1444" i="6"/>
  <c r="M1445" i="6"/>
  <c r="M1446" i="6"/>
  <c r="M1447" i="6"/>
  <c r="M1448" i="6"/>
  <c r="M1449" i="6"/>
  <c r="M1450" i="6"/>
  <c r="M1451" i="6"/>
  <c r="M1452" i="6"/>
  <c r="M1453" i="6"/>
  <c r="M1454" i="6"/>
  <c r="M1455" i="6"/>
  <c r="M1456" i="6"/>
  <c r="M1457" i="6"/>
  <c r="M1458" i="6"/>
  <c r="M1459" i="6"/>
  <c r="M1460" i="6"/>
  <c r="M1461" i="6"/>
  <c r="M1462" i="6"/>
  <c r="M1463" i="6"/>
  <c r="M1464" i="6"/>
  <c r="M1465" i="6"/>
  <c r="M1466" i="6"/>
  <c r="M1467" i="6"/>
  <c r="M1468" i="6"/>
  <c r="M1469" i="6"/>
  <c r="M1470" i="6"/>
  <c r="M1471" i="6"/>
  <c r="M1472" i="6"/>
  <c r="M1473" i="6"/>
  <c r="M1474" i="6"/>
  <c r="M1475" i="6"/>
  <c r="M1476" i="6"/>
  <c r="M1477" i="6"/>
  <c r="M1478" i="6"/>
  <c r="M1479" i="6"/>
  <c r="M1480" i="6"/>
  <c r="M1481" i="6"/>
  <c r="M1482" i="6"/>
  <c r="M1483" i="6"/>
  <c r="M1484" i="6"/>
  <c r="M1485" i="6"/>
  <c r="M1486" i="6"/>
  <c r="M1487" i="6"/>
  <c r="M1488" i="6"/>
  <c r="M1489" i="6"/>
  <c r="M1490" i="6"/>
  <c r="M1491" i="6"/>
  <c r="M1492" i="6"/>
  <c r="M1493" i="6"/>
  <c r="M1494" i="6"/>
  <c r="M1495" i="6"/>
  <c r="M1496" i="6"/>
  <c r="M1497" i="6"/>
  <c r="M1498" i="6"/>
  <c r="M1499" i="6"/>
  <c r="M1500" i="6"/>
  <c r="M1501" i="6"/>
  <c r="M1502" i="6"/>
  <c r="M1503" i="6"/>
  <c r="M1504" i="6"/>
  <c r="M1505" i="6"/>
  <c r="M1506" i="6"/>
  <c r="M1507" i="6"/>
  <c r="M1508" i="6"/>
  <c r="M1509" i="6"/>
  <c r="M1510" i="6"/>
  <c r="M1511" i="6"/>
  <c r="M1512" i="6"/>
  <c r="M1513" i="6"/>
  <c r="M1514" i="6"/>
  <c r="M1515" i="6"/>
  <c r="M1516" i="6"/>
  <c r="M1517" i="6"/>
  <c r="M1518" i="6"/>
  <c r="M1519" i="6"/>
  <c r="M1520" i="6"/>
  <c r="M1521" i="6"/>
  <c r="M1522" i="6"/>
  <c r="M1523" i="6"/>
  <c r="M1524" i="6"/>
  <c r="M1525" i="6"/>
  <c r="M1526" i="6"/>
  <c r="M1527" i="6"/>
  <c r="M1528" i="6"/>
  <c r="M1529" i="6"/>
  <c r="M1530" i="6"/>
  <c r="M1531" i="6"/>
  <c r="M1532" i="6"/>
  <c r="M1533" i="6"/>
  <c r="M1534" i="6"/>
  <c r="M1535" i="6"/>
  <c r="M1536" i="6"/>
  <c r="M1537" i="6"/>
  <c r="M1538" i="6"/>
  <c r="M1539" i="6"/>
  <c r="M1540" i="6"/>
  <c r="M1541" i="6"/>
  <c r="M1542" i="6"/>
  <c r="M1543" i="6"/>
  <c r="M1544" i="6"/>
  <c r="M1545" i="6"/>
  <c r="M1546" i="6"/>
  <c r="M1547" i="6"/>
  <c r="M1548" i="6"/>
  <c r="M1549" i="6"/>
  <c r="M1550" i="6"/>
  <c r="M1551" i="6"/>
  <c r="M1552" i="6"/>
  <c r="M1553" i="6"/>
  <c r="M1554" i="6"/>
  <c r="M1555" i="6"/>
  <c r="M1556" i="6"/>
  <c r="M1557" i="6"/>
  <c r="M1558" i="6"/>
  <c r="M1559" i="6"/>
  <c r="M1560" i="6"/>
  <c r="M1561" i="6"/>
  <c r="M1562" i="6"/>
  <c r="M1563" i="6"/>
  <c r="M1564" i="6"/>
  <c r="M1565" i="6"/>
  <c r="M1566" i="6"/>
  <c r="M1567" i="6"/>
  <c r="M1568" i="6"/>
  <c r="M1569" i="6"/>
  <c r="M1570" i="6"/>
  <c r="M1571" i="6"/>
  <c r="M1572" i="6"/>
  <c r="M1573" i="6"/>
  <c r="M1574" i="6"/>
  <c r="M1575" i="6"/>
  <c r="M1576" i="6"/>
  <c r="M1577" i="6"/>
  <c r="M1578" i="6"/>
  <c r="M1579" i="6"/>
  <c r="M1580" i="6"/>
  <c r="M1581" i="6"/>
  <c r="M1582" i="6"/>
  <c r="M1583" i="6"/>
  <c r="M1584" i="6"/>
  <c r="M1585" i="6"/>
  <c r="M1586" i="6"/>
  <c r="M1587" i="6"/>
  <c r="M1588" i="6"/>
  <c r="M1589" i="6"/>
  <c r="M1590" i="6"/>
  <c r="M1591" i="6"/>
  <c r="M1592" i="6"/>
  <c r="M1593" i="6"/>
  <c r="M1594" i="6"/>
  <c r="M1595" i="6"/>
  <c r="M1596" i="6"/>
  <c r="M1597" i="6"/>
  <c r="M1598" i="6"/>
  <c r="M1599" i="6"/>
  <c r="M1600" i="6"/>
  <c r="M1601" i="6"/>
  <c r="M1602" i="6"/>
  <c r="M1603" i="6"/>
  <c r="M1604" i="6"/>
  <c r="M1605" i="6"/>
  <c r="M1606" i="6"/>
  <c r="M1607" i="6"/>
  <c r="M1608" i="6"/>
  <c r="M1609" i="6"/>
  <c r="M1610" i="6"/>
  <c r="M1611" i="6"/>
  <c r="M1612" i="6"/>
  <c r="M1613" i="6"/>
  <c r="M1614" i="6"/>
  <c r="M1615" i="6"/>
  <c r="M1616" i="6"/>
  <c r="M1617" i="6"/>
  <c r="M1618" i="6"/>
  <c r="M1619" i="6"/>
  <c r="M1620" i="6"/>
  <c r="M1621" i="6"/>
  <c r="M1622" i="6"/>
  <c r="M1623" i="6"/>
  <c r="M1624" i="6"/>
  <c r="M1625" i="6"/>
  <c r="M1626" i="6"/>
  <c r="M1627" i="6"/>
  <c r="M1628" i="6"/>
  <c r="M1629" i="6"/>
  <c r="M1630" i="6"/>
  <c r="M1631" i="6"/>
  <c r="M1632" i="6"/>
  <c r="M1633" i="6"/>
  <c r="M1634" i="6"/>
  <c r="M1635" i="6"/>
  <c r="M1636" i="6"/>
  <c r="M1637" i="6"/>
  <c r="M1638" i="6"/>
  <c r="M1639" i="6"/>
  <c r="M1640" i="6"/>
  <c r="M1641" i="6"/>
  <c r="M1642" i="6"/>
  <c r="M1643" i="6"/>
  <c r="M1644" i="6"/>
  <c r="M1645" i="6"/>
  <c r="M1646" i="6"/>
  <c r="M1647" i="6"/>
  <c r="M1648" i="6"/>
  <c r="M1649" i="6"/>
  <c r="M1650" i="6"/>
  <c r="M1651" i="6"/>
  <c r="M1652" i="6"/>
  <c r="M1653" i="6"/>
  <c r="M1654" i="6"/>
  <c r="M1655" i="6"/>
  <c r="M1656" i="6"/>
  <c r="M1657" i="6"/>
  <c r="M1658" i="6"/>
  <c r="M1659" i="6"/>
  <c r="M1660" i="6"/>
  <c r="M1661" i="6"/>
  <c r="M1662" i="6"/>
  <c r="M1663" i="6"/>
  <c r="M1664" i="6"/>
  <c r="M1665" i="6"/>
  <c r="M1666" i="6"/>
  <c r="M1667" i="6"/>
  <c r="M1668" i="6"/>
  <c r="M1669" i="6"/>
  <c r="M1670" i="6"/>
  <c r="M1671" i="6"/>
  <c r="M1672" i="6"/>
  <c r="M1673" i="6"/>
  <c r="M1674" i="6"/>
  <c r="M1675" i="6"/>
  <c r="M1676" i="6"/>
  <c r="M1677" i="6"/>
  <c r="M1678" i="6"/>
  <c r="M1679" i="6"/>
  <c r="M1680" i="6"/>
  <c r="M1681" i="6"/>
  <c r="M1682" i="6"/>
  <c r="M1683" i="6"/>
  <c r="M1684" i="6"/>
  <c r="M1685" i="6"/>
  <c r="M1686" i="6"/>
  <c r="M1687" i="6"/>
  <c r="M1688" i="6"/>
  <c r="M1689" i="6"/>
  <c r="M1690" i="6"/>
  <c r="M1691" i="6"/>
  <c r="M1692" i="6"/>
  <c r="M1693" i="6"/>
  <c r="M1694" i="6"/>
  <c r="M1695" i="6"/>
  <c r="M1696" i="6"/>
  <c r="M1697" i="6"/>
  <c r="M1698" i="6"/>
  <c r="M1699" i="6"/>
  <c r="M1700" i="6"/>
  <c r="M1701" i="6"/>
  <c r="M1702" i="6"/>
  <c r="M1703" i="6"/>
  <c r="M1704" i="6"/>
  <c r="M1705" i="6"/>
  <c r="M1706" i="6"/>
  <c r="M1707" i="6"/>
  <c r="M1708" i="6"/>
  <c r="M1709" i="6"/>
  <c r="M1710" i="6"/>
  <c r="M1711" i="6"/>
  <c r="M1712" i="6"/>
  <c r="M1713" i="6"/>
  <c r="M1714" i="6"/>
  <c r="M1715" i="6"/>
  <c r="M1716" i="6"/>
  <c r="M1717" i="6"/>
  <c r="M1718" i="6"/>
  <c r="M1719" i="6"/>
  <c r="M1720" i="6"/>
  <c r="M1721" i="6"/>
  <c r="M1722" i="6"/>
  <c r="M1723" i="6"/>
  <c r="M1724" i="6"/>
  <c r="M1725" i="6"/>
  <c r="M1726" i="6"/>
  <c r="M1727" i="6"/>
  <c r="M1728" i="6"/>
  <c r="M1729" i="6"/>
  <c r="M1730" i="6"/>
  <c r="M1731" i="6"/>
  <c r="M1732" i="6"/>
  <c r="M1733" i="6"/>
  <c r="M1734" i="6"/>
  <c r="M1735" i="6"/>
  <c r="M1736" i="6"/>
  <c r="M1737" i="6"/>
  <c r="M1738" i="6"/>
  <c r="M1739" i="6"/>
  <c r="M1740" i="6"/>
  <c r="M1741" i="6"/>
  <c r="M1742" i="6"/>
  <c r="M1743" i="6"/>
  <c r="M1744" i="6"/>
  <c r="M1745" i="6"/>
  <c r="M1746" i="6"/>
  <c r="M1747" i="6"/>
  <c r="M1748" i="6"/>
  <c r="M1749" i="6"/>
  <c r="M1750" i="6"/>
  <c r="M1751" i="6"/>
  <c r="M1752" i="6"/>
  <c r="M1753" i="6"/>
  <c r="M1754" i="6"/>
  <c r="M1755" i="6"/>
  <c r="M1756" i="6"/>
  <c r="M1757" i="6"/>
  <c r="M1758" i="6"/>
  <c r="M1759" i="6"/>
  <c r="M1760" i="6"/>
  <c r="M1761" i="6"/>
  <c r="M1762" i="6"/>
  <c r="M1763" i="6"/>
  <c r="M1764" i="6"/>
  <c r="M1765" i="6"/>
  <c r="M1766" i="6"/>
  <c r="M1767" i="6"/>
  <c r="M1768" i="6"/>
  <c r="M1769" i="6"/>
  <c r="M1770" i="6"/>
  <c r="M1771" i="6"/>
  <c r="M1772" i="6"/>
  <c r="M1773" i="6"/>
  <c r="M1774" i="6"/>
  <c r="M1775" i="6"/>
  <c r="M1776" i="6"/>
  <c r="M1777" i="6"/>
  <c r="M1778" i="6"/>
  <c r="M1779" i="6"/>
  <c r="M1780" i="6"/>
  <c r="M1781" i="6"/>
  <c r="M1782" i="6"/>
  <c r="M1783" i="6"/>
  <c r="M1784" i="6"/>
  <c r="M1785" i="6"/>
  <c r="M1786" i="6"/>
  <c r="M1787" i="6"/>
  <c r="M1788" i="6"/>
  <c r="M1789" i="6"/>
  <c r="M1790" i="6"/>
  <c r="M1791" i="6"/>
  <c r="M1792" i="6"/>
  <c r="M1793" i="6"/>
  <c r="M1794" i="6"/>
  <c r="M1795" i="6"/>
  <c r="M1796" i="6"/>
  <c r="M1797" i="6"/>
  <c r="M1798" i="6"/>
  <c r="M1799" i="6"/>
  <c r="M1800" i="6"/>
  <c r="M1801" i="6"/>
  <c r="M1802" i="6"/>
  <c r="M1803" i="6"/>
  <c r="M1804" i="6"/>
  <c r="M1805" i="6"/>
  <c r="M1806" i="6"/>
  <c r="M1807" i="6"/>
  <c r="M1808" i="6"/>
  <c r="M1809" i="6"/>
  <c r="M1810" i="6"/>
  <c r="M1811" i="6"/>
  <c r="M1812" i="6"/>
  <c r="M1813" i="6"/>
  <c r="M1814" i="6"/>
  <c r="M1815" i="6"/>
  <c r="M1816" i="6"/>
  <c r="M1817" i="6"/>
  <c r="M1818" i="6"/>
  <c r="M1819" i="6"/>
  <c r="M1820" i="6"/>
  <c r="M1821" i="6"/>
  <c r="M1822" i="6"/>
  <c r="M1823" i="6"/>
  <c r="M1824" i="6"/>
  <c r="M1825" i="6"/>
  <c r="M1826" i="6"/>
  <c r="M1827" i="6"/>
  <c r="M1828" i="6"/>
  <c r="M1829" i="6"/>
  <c r="M1830" i="6"/>
  <c r="M1831" i="6"/>
  <c r="M1832" i="6"/>
  <c r="M1833" i="6"/>
  <c r="M1834" i="6"/>
  <c r="M1835" i="6"/>
  <c r="M1836" i="6"/>
  <c r="M1837" i="6"/>
  <c r="M1838" i="6"/>
  <c r="M1839" i="6"/>
  <c r="M1840" i="6"/>
  <c r="M1841" i="6"/>
  <c r="M1842" i="6"/>
  <c r="M1843" i="6"/>
  <c r="M1844" i="6"/>
  <c r="M1845" i="6"/>
  <c r="M1846" i="6"/>
  <c r="M1847" i="6"/>
  <c r="M1848" i="6"/>
  <c r="M1849" i="6"/>
  <c r="M1850" i="6"/>
  <c r="M1851" i="6"/>
  <c r="M1852" i="6"/>
  <c r="M1853" i="6"/>
  <c r="M1854" i="6"/>
  <c r="M1855" i="6"/>
  <c r="M1856" i="6"/>
  <c r="M1857" i="6"/>
  <c r="M1858" i="6"/>
  <c r="M1859" i="6"/>
  <c r="M1860" i="6"/>
  <c r="M1861" i="6"/>
  <c r="M1862" i="6"/>
  <c r="M1863" i="6"/>
  <c r="M1864" i="6"/>
  <c r="M1865" i="6"/>
  <c r="M1866" i="6"/>
  <c r="M1867" i="6"/>
  <c r="M1868" i="6"/>
  <c r="M1869" i="6"/>
  <c r="M1870" i="6"/>
  <c r="M1871" i="6"/>
  <c r="M1872" i="6"/>
  <c r="M1873" i="6"/>
  <c r="M1874" i="6"/>
  <c r="M1875" i="6"/>
  <c r="M1876" i="6"/>
  <c r="M1877" i="6"/>
  <c r="M1878" i="6"/>
  <c r="M1879" i="6"/>
  <c r="M1880" i="6"/>
  <c r="M1881" i="6"/>
  <c r="M1882" i="6"/>
  <c r="M1883" i="6"/>
  <c r="M1884" i="6"/>
  <c r="M1885" i="6"/>
  <c r="M1886" i="6"/>
  <c r="M1887" i="6"/>
  <c r="M1888" i="6"/>
  <c r="M1889" i="6"/>
  <c r="M1890" i="6"/>
  <c r="M1891" i="6"/>
  <c r="M1892" i="6"/>
  <c r="M1893" i="6"/>
  <c r="M1894" i="6"/>
  <c r="M1895" i="6"/>
  <c r="M1896" i="6"/>
  <c r="M1897" i="6"/>
  <c r="M1898" i="6"/>
  <c r="M1899" i="6"/>
  <c r="M1900" i="6"/>
  <c r="M1901" i="6"/>
  <c r="M1902" i="6"/>
  <c r="M1903" i="6"/>
  <c r="M1904" i="6"/>
  <c r="M1905" i="6"/>
  <c r="M1906" i="6"/>
  <c r="M1907" i="6"/>
  <c r="M1908" i="6"/>
  <c r="M1909" i="6"/>
  <c r="M1910" i="6"/>
  <c r="M1911" i="6"/>
  <c r="M1912" i="6"/>
  <c r="M1913" i="6"/>
  <c r="M1914" i="6"/>
  <c r="M1915" i="6"/>
  <c r="M1916" i="6"/>
  <c r="M1917" i="6"/>
  <c r="M1918" i="6"/>
  <c r="M1919" i="6"/>
  <c r="M1920" i="6"/>
  <c r="M1921" i="6"/>
  <c r="M1922" i="6"/>
  <c r="M1923" i="6"/>
  <c r="M1924" i="6"/>
  <c r="M1925" i="6"/>
  <c r="M1926" i="6"/>
  <c r="M1927" i="6"/>
  <c r="M1928" i="6"/>
  <c r="M1929" i="6"/>
  <c r="M1930" i="6"/>
  <c r="M1931" i="6"/>
  <c r="M1932" i="6"/>
  <c r="M1933" i="6"/>
  <c r="M1934" i="6"/>
  <c r="M1935" i="6"/>
  <c r="M1936" i="6"/>
  <c r="M1937" i="6"/>
  <c r="M1938" i="6"/>
  <c r="M1939" i="6"/>
  <c r="M1940" i="6"/>
  <c r="M1941" i="6"/>
  <c r="M1942" i="6"/>
  <c r="M1943" i="6"/>
  <c r="M1944" i="6"/>
  <c r="M1945" i="6"/>
  <c r="M1946" i="6"/>
  <c r="M1947" i="6"/>
  <c r="M1948" i="6"/>
  <c r="M1949" i="6"/>
  <c r="M1950" i="6"/>
  <c r="M1951" i="6"/>
  <c r="M1952" i="6"/>
  <c r="M1953" i="6"/>
  <c r="M1954" i="6"/>
  <c r="M1955" i="6"/>
  <c r="M1956" i="6"/>
  <c r="M1957" i="6"/>
  <c r="M1958" i="6"/>
  <c r="M1959" i="6"/>
  <c r="M1960" i="6"/>
  <c r="M1961" i="6"/>
  <c r="M1962" i="6"/>
  <c r="M1963" i="6"/>
  <c r="M1964" i="6"/>
  <c r="M1965" i="6"/>
  <c r="M1966" i="6"/>
  <c r="M1967" i="6"/>
  <c r="M1968" i="6"/>
  <c r="M1969" i="6"/>
  <c r="M1970" i="6"/>
  <c r="M1971" i="6"/>
  <c r="M1972" i="6"/>
  <c r="M1973" i="6"/>
  <c r="M1974" i="6"/>
  <c r="M1975" i="6"/>
  <c r="M1976" i="6"/>
  <c r="M1977" i="6"/>
  <c r="M1978" i="6"/>
  <c r="M1979" i="6"/>
  <c r="M1980" i="6"/>
  <c r="M1981" i="6"/>
  <c r="M1982" i="6"/>
  <c r="M1983" i="6"/>
  <c r="M1984" i="6"/>
  <c r="M1985" i="6"/>
  <c r="M1986" i="6"/>
  <c r="M1987" i="6"/>
  <c r="M1988" i="6"/>
  <c r="S15" i="6"/>
  <c r="H4" i="6" l="1"/>
  <c r="H5" i="6"/>
  <c r="H6" i="6"/>
  <c r="H7" i="6"/>
  <c r="H8" i="6"/>
  <c r="H9" i="6"/>
  <c r="H10" i="6"/>
  <c r="H11" i="6"/>
  <c r="H12" i="6"/>
  <c r="H13" i="6"/>
  <c r="H14" i="6"/>
  <c r="H15" i="6"/>
  <c r="H16" i="6"/>
  <c r="H17" i="6"/>
  <c r="H18" i="6"/>
  <c r="H19" i="6"/>
  <c r="H20" i="6"/>
  <c r="H21" i="6"/>
  <c r="H22" i="6"/>
  <c r="H23" i="6"/>
  <c r="H24" i="6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125" i="6"/>
  <c r="H126" i="6"/>
  <c r="H127" i="6"/>
  <c r="H128" i="6"/>
  <c r="H129" i="6"/>
  <c r="H130" i="6"/>
  <c r="H131" i="6"/>
  <c r="H132" i="6"/>
  <c r="H133" i="6"/>
  <c r="H134" i="6"/>
  <c r="H135" i="6"/>
  <c r="H136" i="6"/>
  <c r="H137" i="6"/>
  <c r="H138" i="6"/>
  <c r="H139" i="6"/>
  <c r="H140" i="6"/>
  <c r="H141" i="6"/>
  <c r="H142" i="6"/>
  <c r="H143" i="6"/>
  <c r="H144" i="6"/>
  <c r="H145" i="6"/>
  <c r="H146" i="6"/>
  <c r="H147" i="6"/>
  <c r="H148" i="6"/>
  <c r="H149" i="6"/>
  <c r="H150" i="6"/>
  <c r="H151" i="6"/>
  <c r="H152" i="6"/>
  <c r="H153" i="6"/>
  <c r="H154" i="6"/>
  <c r="H155" i="6"/>
  <c r="H156" i="6"/>
  <c r="H157" i="6"/>
  <c r="H158" i="6"/>
  <c r="H159" i="6"/>
  <c r="H160" i="6"/>
  <c r="H161" i="6"/>
  <c r="H162" i="6"/>
  <c r="H163" i="6"/>
  <c r="H164" i="6"/>
  <c r="H165" i="6"/>
  <c r="H166" i="6"/>
  <c r="H167" i="6"/>
  <c r="H168" i="6"/>
  <c r="H169" i="6"/>
  <c r="H170" i="6"/>
  <c r="H171" i="6"/>
  <c r="H172" i="6"/>
  <c r="H173" i="6"/>
  <c r="H174" i="6"/>
  <c r="H175" i="6"/>
  <c r="H176" i="6"/>
  <c r="H177" i="6"/>
  <c r="H178" i="6"/>
  <c r="H179" i="6"/>
  <c r="H180" i="6"/>
  <c r="H181" i="6"/>
  <c r="H182" i="6"/>
  <c r="H183" i="6"/>
  <c r="H184" i="6"/>
  <c r="H185" i="6"/>
  <c r="H186" i="6"/>
  <c r="H187" i="6"/>
  <c r="H188" i="6"/>
  <c r="H189" i="6"/>
  <c r="H190" i="6"/>
  <c r="H191" i="6"/>
  <c r="H192" i="6"/>
  <c r="H193" i="6"/>
  <c r="H194" i="6"/>
  <c r="H195" i="6"/>
  <c r="H196" i="6"/>
  <c r="H197" i="6"/>
  <c r="H198" i="6"/>
  <c r="H199" i="6"/>
  <c r="H200" i="6"/>
  <c r="H201" i="6"/>
  <c r="H202" i="6"/>
  <c r="H203" i="6"/>
  <c r="H204" i="6"/>
  <c r="H205" i="6"/>
  <c r="H206" i="6"/>
  <c r="H207" i="6"/>
  <c r="H208" i="6"/>
  <c r="H209" i="6"/>
  <c r="H210" i="6"/>
  <c r="H211" i="6"/>
  <c r="H212" i="6"/>
  <c r="H213" i="6"/>
  <c r="H214" i="6"/>
  <c r="H215" i="6"/>
  <c r="H216" i="6"/>
  <c r="H217" i="6"/>
  <c r="H218" i="6"/>
  <c r="H219" i="6"/>
  <c r="H220" i="6"/>
  <c r="H221" i="6"/>
  <c r="H222" i="6"/>
  <c r="H223" i="6"/>
  <c r="H224" i="6"/>
  <c r="H225" i="6"/>
  <c r="H226" i="6"/>
  <c r="H227" i="6"/>
  <c r="H228" i="6"/>
  <c r="H229" i="6"/>
  <c r="H230" i="6"/>
  <c r="H231" i="6"/>
  <c r="H232" i="6"/>
  <c r="H233" i="6"/>
  <c r="H234" i="6"/>
  <c r="H235" i="6"/>
  <c r="H236" i="6"/>
  <c r="H237" i="6"/>
  <c r="H238" i="6"/>
  <c r="H239" i="6"/>
  <c r="H240" i="6"/>
  <c r="H241" i="6"/>
  <c r="H242" i="6"/>
  <c r="H243" i="6"/>
  <c r="H244" i="6"/>
  <c r="H245" i="6"/>
  <c r="H246" i="6"/>
  <c r="H247" i="6"/>
  <c r="H248" i="6"/>
  <c r="H249" i="6"/>
  <c r="H250" i="6"/>
  <c r="H251" i="6"/>
  <c r="H252" i="6"/>
  <c r="H253" i="6"/>
  <c r="H254" i="6"/>
  <c r="H255" i="6"/>
  <c r="H256" i="6"/>
  <c r="H257" i="6"/>
  <c r="H258" i="6"/>
  <c r="H259" i="6"/>
  <c r="H260" i="6"/>
  <c r="H261" i="6"/>
  <c r="H262" i="6"/>
  <c r="H263" i="6"/>
  <c r="H264" i="6"/>
  <c r="H265" i="6"/>
  <c r="H266" i="6"/>
  <c r="H267" i="6"/>
  <c r="H268" i="6"/>
  <c r="H269" i="6"/>
  <c r="H270" i="6"/>
  <c r="H271" i="6"/>
  <c r="H272" i="6"/>
  <c r="H273" i="6"/>
  <c r="H274" i="6"/>
  <c r="H275" i="6"/>
  <c r="H276" i="6"/>
  <c r="H277" i="6"/>
  <c r="H278" i="6"/>
  <c r="H279" i="6"/>
  <c r="H280" i="6"/>
  <c r="H281" i="6"/>
  <c r="H282" i="6"/>
  <c r="H283" i="6"/>
  <c r="H284" i="6"/>
  <c r="H285" i="6"/>
  <c r="H286" i="6"/>
  <c r="H287" i="6"/>
  <c r="H288" i="6"/>
  <c r="H289" i="6"/>
  <c r="H290" i="6"/>
  <c r="H291" i="6"/>
  <c r="H292" i="6"/>
  <c r="H293" i="6"/>
  <c r="H294" i="6"/>
  <c r="H295" i="6"/>
  <c r="H296" i="6"/>
  <c r="H297" i="6"/>
  <c r="H298" i="6"/>
  <c r="H299" i="6"/>
  <c r="H300" i="6"/>
  <c r="H301" i="6"/>
  <c r="H302" i="6"/>
  <c r="H303" i="6"/>
  <c r="H304" i="6"/>
  <c r="H305" i="6"/>
  <c r="H306" i="6"/>
  <c r="H307" i="6"/>
  <c r="H308" i="6"/>
  <c r="H309" i="6"/>
  <c r="H310" i="6"/>
  <c r="H311" i="6"/>
  <c r="H312" i="6"/>
  <c r="H313" i="6"/>
  <c r="H314" i="6"/>
  <c r="H315" i="6"/>
  <c r="H316" i="6"/>
  <c r="H317" i="6"/>
  <c r="H318" i="6"/>
  <c r="H319" i="6"/>
  <c r="H320" i="6"/>
  <c r="H321" i="6"/>
  <c r="H322" i="6"/>
  <c r="H323" i="6"/>
  <c r="H324" i="6"/>
  <c r="H325" i="6"/>
  <c r="H326" i="6"/>
  <c r="H327" i="6"/>
  <c r="H328" i="6"/>
  <c r="H329" i="6"/>
  <c r="H330" i="6"/>
  <c r="H331" i="6"/>
  <c r="H332" i="6"/>
  <c r="H333" i="6"/>
  <c r="H334" i="6"/>
  <c r="H335" i="6"/>
  <c r="H336" i="6"/>
  <c r="H337" i="6"/>
  <c r="H338" i="6"/>
  <c r="H339" i="6"/>
  <c r="H340" i="6"/>
  <c r="H341" i="6"/>
  <c r="H342" i="6"/>
  <c r="H343" i="6"/>
  <c r="H344" i="6"/>
  <c r="H345" i="6"/>
  <c r="H346" i="6"/>
  <c r="H347" i="6"/>
  <c r="H348" i="6"/>
  <c r="H349" i="6"/>
  <c r="H350" i="6"/>
  <c r="H351" i="6"/>
  <c r="H352" i="6"/>
  <c r="H353" i="6"/>
  <c r="H354" i="6"/>
  <c r="H355" i="6"/>
  <c r="H356" i="6"/>
  <c r="H357" i="6"/>
  <c r="H358" i="6"/>
  <c r="H359" i="6"/>
  <c r="H360" i="6"/>
  <c r="H361" i="6"/>
  <c r="H362" i="6"/>
  <c r="H363" i="6"/>
  <c r="H364" i="6"/>
  <c r="H365" i="6"/>
  <c r="H366" i="6"/>
  <c r="H367" i="6"/>
  <c r="H368" i="6"/>
  <c r="H369" i="6"/>
  <c r="H370" i="6"/>
  <c r="H371" i="6"/>
  <c r="H372" i="6"/>
  <c r="H373" i="6"/>
  <c r="H374" i="6"/>
  <c r="H375" i="6"/>
  <c r="H376" i="6"/>
  <c r="H377" i="6"/>
  <c r="H378" i="6"/>
  <c r="H379" i="6"/>
  <c r="H380" i="6"/>
  <c r="H381" i="6"/>
  <c r="H382" i="6"/>
  <c r="H383" i="6"/>
  <c r="H384" i="6"/>
  <c r="H385" i="6"/>
  <c r="H386" i="6"/>
  <c r="H387" i="6"/>
  <c r="H388" i="6"/>
  <c r="H389" i="6"/>
  <c r="H390" i="6"/>
  <c r="H391" i="6"/>
  <c r="H392" i="6"/>
  <c r="H393" i="6"/>
  <c r="H394" i="6"/>
  <c r="H395" i="6"/>
  <c r="H396" i="6"/>
  <c r="H397" i="6"/>
  <c r="H398" i="6"/>
  <c r="H399" i="6"/>
  <c r="H400" i="6"/>
  <c r="H401" i="6"/>
  <c r="H402" i="6"/>
  <c r="H403" i="6"/>
  <c r="H404" i="6"/>
  <c r="H405" i="6"/>
  <c r="H406" i="6"/>
  <c r="H407" i="6"/>
  <c r="H408" i="6"/>
  <c r="H409" i="6"/>
  <c r="H410" i="6"/>
  <c r="H411" i="6"/>
  <c r="H412" i="6"/>
  <c r="H413" i="6"/>
  <c r="H414" i="6"/>
  <c r="H415" i="6"/>
  <c r="H416" i="6"/>
  <c r="H417" i="6"/>
  <c r="H418" i="6"/>
  <c r="H419" i="6"/>
  <c r="H420" i="6"/>
  <c r="H421" i="6"/>
  <c r="H422" i="6"/>
  <c r="H423" i="6"/>
  <c r="H424" i="6"/>
  <c r="H425" i="6"/>
  <c r="H426" i="6"/>
  <c r="H427" i="6"/>
  <c r="H428" i="6"/>
  <c r="H429" i="6"/>
  <c r="H430" i="6"/>
  <c r="H431" i="6"/>
  <c r="H432" i="6"/>
  <c r="H433" i="6"/>
  <c r="H434" i="6"/>
  <c r="H435" i="6"/>
  <c r="H436" i="6"/>
  <c r="H437" i="6"/>
  <c r="H438" i="6"/>
  <c r="H439" i="6"/>
  <c r="H440" i="6"/>
  <c r="H441" i="6"/>
  <c r="H442" i="6"/>
  <c r="H443" i="6"/>
  <c r="H444" i="6"/>
  <c r="H445" i="6"/>
  <c r="H446" i="6"/>
  <c r="H447" i="6"/>
  <c r="H448" i="6"/>
  <c r="H449" i="6"/>
  <c r="H450" i="6"/>
  <c r="H451" i="6"/>
  <c r="H452" i="6"/>
  <c r="H453" i="6"/>
  <c r="H454" i="6"/>
  <c r="H455" i="6"/>
  <c r="H456" i="6"/>
  <c r="H457" i="6"/>
  <c r="H458" i="6"/>
  <c r="H459" i="6"/>
  <c r="H460" i="6"/>
  <c r="H461" i="6"/>
  <c r="H462" i="6"/>
  <c r="H463" i="6"/>
  <c r="H464" i="6"/>
  <c r="H465" i="6"/>
  <c r="H466" i="6"/>
  <c r="H467" i="6"/>
  <c r="H468" i="6"/>
  <c r="H469" i="6"/>
  <c r="H470" i="6"/>
  <c r="H471" i="6"/>
  <c r="H472" i="6"/>
  <c r="H473" i="6"/>
  <c r="H474" i="6"/>
  <c r="H475" i="6"/>
  <c r="H476" i="6"/>
  <c r="H477" i="6"/>
  <c r="H478" i="6"/>
  <c r="H479" i="6"/>
  <c r="H480" i="6"/>
  <c r="H481" i="6"/>
  <c r="H482" i="6"/>
  <c r="H483" i="6"/>
  <c r="H484" i="6"/>
  <c r="H485" i="6"/>
  <c r="H486" i="6"/>
  <c r="H487" i="6"/>
  <c r="H488" i="6"/>
  <c r="H489" i="6"/>
  <c r="H490" i="6"/>
  <c r="H491" i="6"/>
  <c r="H492" i="6"/>
  <c r="H493" i="6"/>
  <c r="H494" i="6"/>
  <c r="H495" i="6"/>
  <c r="H496" i="6"/>
  <c r="H497" i="6"/>
  <c r="H498" i="6"/>
  <c r="H499" i="6"/>
  <c r="H500" i="6"/>
  <c r="H501" i="6"/>
  <c r="H502" i="6"/>
  <c r="H503" i="6"/>
  <c r="H504" i="6"/>
  <c r="H505" i="6"/>
  <c r="H506" i="6"/>
  <c r="H507" i="6"/>
  <c r="H508" i="6"/>
  <c r="H509" i="6"/>
  <c r="H510" i="6"/>
  <c r="H511" i="6"/>
  <c r="H512" i="6"/>
  <c r="H513" i="6"/>
  <c r="H514" i="6"/>
  <c r="H515" i="6"/>
  <c r="H516" i="6"/>
  <c r="H517" i="6"/>
  <c r="H518" i="6"/>
  <c r="H519" i="6"/>
  <c r="H520" i="6"/>
  <c r="H521" i="6"/>
  <c r="H522" i="6"/>
  <c r="H523" i="6"/>
  <c r="H524" i="6"/>
  <c r="H525" i="6"/>
  <c r="H526" i="6"/>
  <c r="H527" i="6"/>
  <c r="H528" i="6"/>
  <c r="H529" i="6"/>
  <c r="H530" i="6"/>
  <c r="H531" i="6"/>
  <c r="H532" i="6"/>
  <c r="H533" i="6"/>
  <c r="H534" i="6"/>
  <c r="H535" i="6"/>
  <c r="H536" i="6"/>
  <c r="H537" i="6"/>
  <c r="H538" i="6"/>
  <c r="H539" i="6"/>
  <c r="H540" i="6"/>
  <c r="H541" i="6"/>
  <c r="H542" i="6"/>
  <c r="H543" i="6"/>
  <c r="H544" i="6"/>
  <c r="H545" i="6"/>
  <c r="H546" i="6"/>
  <c r="H547" i="6"/>
  <c r="H548" i="6"/>
  <c r="H549" i="6"/>
  <c r="H550" i="6"/>
  <c r="H551" i="6"/>
  <c r="H552" i="6"/>
  <c r="H553" i="6"/>
  <c r="H554" i="6"/>
  <c r="H555" i="6"/>
  <c r="H556" i="6"/>
  <c r="H557" i="6"/>
  <c r="H558" i="6"/>
  <c r="H559" i="6"/>
  <c r="H560" i="6"/>
  <c r="H561" i="6"/>
  <c r="H562" i="6"/>
  <c r="H563" i="6"/>
  <c r="H564" i="6"/>
  <c r="H565" i="6"/>
  <c r="H566" i="6"/>
  <c r="H567" i="6"/>
  <c r="H568" i="6"/>
  <c r="H569" i="6"/>
  <c r="H570" i="6"/>
  <c r="H571" i="6"/>
  <c r="H572" i="6"/>
  <c r="H573" i="6"/>
  <c r="H574" i="6"/>
  <c r="H575" i="6"/>
  <c r="H576" i="6"/>
  <c r="H577" i="6"/>
  <c r="H578" i="6"/>
  <c r="H579" i="6"/>
  <c r="H580" i="6"/>
  <c r="H581" i="6"/>
  <c r="H582" i="6"/>
  <c r="H583" i="6"/>
  <c r="H584" i="6"/>
  <c r="H585" i="6"/>
  <c r="H586" i="6"/>
  <c r="H587" i="6"/>
  <c r="H588" i="6"/>
  <c r="H589" i="6"/>
  <c r="H590" i="6"/>
  <c r="H591" i="6"/>
  <c r="H592" i="6"/>
  <c r="H593" i="6"/>
  <c r="H594" i="6"/>
  <c r="H595" i="6"/>
  <c r="H596" i="6"/>
  <c r="H597" i="6"/>
  <c r="H598" i="6"/>
  <c r="H599" i="6"/>
  <c r="H600" i="6"/>
  <c r="H601" i="6"/>
  <c r="H602" i="6"/>
  <c r="H603" i="6"/>
  <c r="H604" i="6"/>
  <c r="H605" i="6"/>
  <c r="H606" i="6"/>
  <c r="H607" i="6"/>
  <c r="H608" i="6"/>
  <c r="H609" i="6"/>
  <c r="H610" i="6"/>
  <c r="H611" i="6"/>
  <c r="H612" i="6"/>
  <c r="H613" i="6"/>
  <c r="H614" i="6"/>
  <c r="H615" i="6"/>
  <c r="H616" i="6"/>
  <c r="H617" i="6"/>
  <c r="H618" i="6"/>
  <c r="H619" i="6"/>
  <c r="H620" i="6"/>
  <c r="H621" i="6"/>
  <c r="H622" i="6"/>
  <c r="H623" i="6"/>
  <c r="H624" i="6"/>
  <c r="H625" i="6"/>
  <c r="H626" i="6"/>
  <c r="H627" i="6"/>
  <c r="H628" i="6"/>
  <c r="H629" i="6"/>
  <c r="H630" i="6"/>
  <c r="H631" i="6"/>
  <c r="H632" i="6"/>
  <c r="H633" i="6"/>
  <c r="H634" i="6"/>
  <c r="H635" i="6"/>
  <c r="H636" i="6"/>
  <c r="H637" i="6"/>
  <c r="H638" i="6"/>
  <c r="H639" i="6"/>
  <c r="H640" i="6"/>
  <c r="H641" i="6"/>
  <c r="H642" i="6"/>
  <c r="H643" i="6"/>
  <c r="H644" i="6"/>
  <c r="H645" i="6"/>
  <c r="H646" i="6"/>
  <c r="H647" i="6"/>
  <c r="H648" i="6"/>
  <c r="H649" i="6"/>
  <c r="H650" i="6"/>
  <c r="H651" i="6"/>
  <c r="H652" i="6"/>
  <c r="H653" i="6"/>
  <c r="H654" i="6"/>
  <c r="H655" i="6"/>
  <c r="H656" i="6"/>
  <c r="H657" i="6"/>
  <c r="H658" i="6"/>
  <c r="H659" i="6"/>
  <c r="H660" i="6"/>
  <c r="H661" i="6"/>
  <c r="H662" i="6"/>
  <c r="H663" i="6"/>
  <c r="H664" i="6"/>
  <c r="H665" i="6"/>
  <c r="H666" i="6"/>
  <c r="H667" i="6"/>
  <c r="H668" i="6"/>
  <c r="H669" i="6"/>
  <c r="H670" i="6"/>
  <c r="H671" i="6"/>
  <c r="H672" i="6"/>
  <c r="H673" i="6"/>
  <c r="H674" i="6"/>
  <c r="H675" i="6"/>
  <c r="H676" i="6"/>
  <c r="H677" i="6"/>
  <c r="H678" i="6"/>
  <c r="H679" i="6"/>
  <c r="H680" i="6"/>
  <c r="H681" i="6"/>
  <c r="H682" i="6"/>
  <c r="H683" i="6"/>
  <c r="H684" i="6"/>
  <c r="H685" i="6"/>
  <c r="H686" i="6"/>
  <c r="H687" i="6"/>
  <c r="H688" i="6"/>
  <c r="H689" i="6"/>
  <c r="H690" i="6"/>
  <c r="H691" i="6"/>
  <c r="H692" i="6"/>
  <c r="H693" i="6"/>
  <c r="H694" i="6"/>
  <c r="H695" i="6"/>
  <c r="H696" i="6"/>
  <c r="H697" i="6"/>
  <c r="H698" i="6"/>
  <c r="H699" i="6"/>
  <c r="H700" i="6"/>
  <c r="H701" i="6"/>
  <c r="H702" i="6"/>
  <c r="H703" i="6"/>
  <c r="H704" i="6"/>
  <c r="H705" i="6"/>
  <c r="H706" i="6"/>
  <c r="H707" i="6"/>
  <c r="H708" i="6"/>
  <c r="H709" i="6"/>
  <c r="H710" i="6"/>
  <c r="H711" i="6"/>
  <c r="H712" i="6"/>
  <c r="H713" i="6"/>
  <c r="H714" i="6"/>
  <c r="H715" i="6"/>
  <c r="H716" i="6"/>
  <c r="H717" i="6"/>
  <c r="H718" i="6"/>
  <c r="H719" i="6"/>
  <c r="H720" i="6"/>
  <c r="H721" i="6"/>
  <c r="H722" i="6"/>
  <c r="H723" i="6"/>
  <c r="H724" i="6"/>
  <c r="H725" i="6"/>
  <c r="H726" i="6"/>
  <c r="H727" i="6"/>
  <c r="H728" i="6"/>
  <c r="H729" i="6"/>
  <c r="H730" i="6"/>
  <c r="H731" i="6"/>
  <c r="H732" i="6"/>
  <c r="H733" i="6"/>
  <c r="H734" i="6"/>
  <c r="H735" i="6"/>
  <c r="H736" i="6"/>
  <c r="H737" i="6"/>
  <c r="H738" i="6"/>
  <c r="H739" i="6"/>
  <c r="H740" i="6"/>
  <c r="H741" i="6"/>
  <c r="H742" i="6"/>
  <c r="H743" i="6"/>
  <c r="H744" i="6"/>
  <c r="H745" i="6"/>
  <c r="H746" i="6"/>
  <c r="H747" i="6"/>
  <c r="H748" i="6"/>
  <c r="H749" i="6"/>
  <c r="H750" i="6"/>
  <c r="H751" i="6"/>
  <c r="H752" i="6"/>
  <c r="H753" i="6"/>
  <c r="H754" i="6"/>
  <c r="H755" i="6"/>
  <c r="H756" i="6"/>
  <c r="H757" i="6"/>
  <c r="H758" i="6"/>
  <c r="H759" i="6"/>
  <c r="H760" i="6"/>
  <c r="H761" i="6"/>
  <c r="H762" i="6"/>
  <c r="H763" i="6"/>
  <c r="H764" i="6"/>
  <c r="H765" i="6"/>
  <c r="H766" i="6"/>
  <c r="H767" i="6"/>
  <c r="H768" i="6"/>
  <c r="H769" i="6"/>
  <c r="H770" i="6"/>
  <c r="H771" i="6"/>
  <c r="H772" i="6"/>
  <c r="H773" i="6"/>
  <c r="H774" i="6"/>
  <c r="H775" i="6"/>
  <c r="H776" i="6"/>
  <c r="H777" i="6"/>
  <c r="H778" i="6"/>
  <c r="H779" i="6"/>
  <c r="H780" i="6"/>
  <c r="H781" i="6"/>
  <c r="H782" i="6"/>
  <c r="H783" i="6"/>
  <c r="H784" i="6"/>
  <c r="H785" i="6"/>
  <c r="H786" i="6"/>
  <c r="H787" i="6"/>
  <c r="H788" i="6"/>
  <c r="H789" i="6"/>
  <c r="H790" i="6"/>
  <c r="H791" i="6"/>
  <c r="H792" i="6"/>
  <c r="H793" i="6"/>
  <c r="H794" i="6"/>
  <c r="H795" i="6"/>
  <c r="H796" i="6"/>
  <c r="H797" i="6"/>
  <c r="H798" i="6"/>
  <c r="H799" i="6"/>
  <c r="H800" i="6"/>
  <c r="H801" i="6"/>
  <c r="H802" i="6"/>
  <c r="H803" i="6"/>
  <c r="H804" i="6"/>
  <c r="H805" i="6"/>
  <c r="H806" i="6"/>
  <c r="H807" i="6"/>
  <c r="H808" i="6"/>
  <c r="H809" i="6"/>
  <c r="H810" i="6"/>
  <c r="H811" i="6"/>
  <c r="H812" i="6"/>
  <c r="H813" i="6"/>
  <c r="H814" i="6"/>
  <c r="H815" i="6"/>
  <c r="H816" i="6"/>
  <c r="H817" i="6"/>
  <c r="H818" i="6"/>
  <c r="H819" i="6"/>
  <c r="H820" i="6"/>
  <c r="H821" i="6"/>
  <c r="H822" i="6"/>
  <c r="H823" i="6"/>
  <c r="H824" i="6"/>
  <c r="H825" i="6"/>
  <c r="H826" i="6"/>
  <c r="H827" i="6"/>
  <c r="H828" i="6"/>
  <c r="H829" i="6"/>
  <c r="H830" i="6"/>
  <c r="H831" i="6"/>
  <c r="H832" i="6"/>
  <c r="H833" i="6"/>
  <c r="H834" i="6"/>
  <c r="H835" i="6"/>
  <c r="H836" i="6"/>
  <c r="H837" i="6"/>
  <c r="H838" i="6"/>
  <c r="H839" i="6"/>
  <c r="H840" i="6"/>
  <c r="H841" i="6"/>
  <c r="H842" i="6"/>
  <c r="H843" i="6"/>
  <c r="H844" i="6"/>
  <c r="H845" i="6"/>
  <c r="H846" i="6"/>
  <c r="H847" i="6"/>
  <c r="H848" i="6"/>
  <c r="H849" i="6"/>
  <c r="H850" i="6"/>
  <c r="H851" i="6"/>
  <c r="H852" i="6"/>
  <c r="H853" i="6"/>
  <c r="H854" i="6"/>
  <c r="H855" i="6"/>
  <c r="H856" i="6"/>
  <c r="H857" i="6"/>
  <c r="H858" i="6"/>
  <c r="H859" i="6"/>
  <c r="H860" i="6"/>
  <c r="H861" i="6"/>
  <c r="H862" i="6"/>
  <c r="H863" i="6"/>
  <c r="H864" i="6"/>
  <c r="H865" i="6"/>
  <c r="H866" i="6"/>
  <c r="H867" i="6"/>
  <c r="H868" i="6"/>
  <c r="H869" i="6"/>
  <c r="H870" i="6"/>
  <c r="H871" i="6"/>
  <c r="H872" i="6"/>
  <c r="H873" i="6"/>
  <c r="H874" i="6"/>
  <c r="H875" i="6"/>
  <c r="H876" i="6"/>
  <c r="H877" i="6"/>
  <c r="H878" i="6"/>
  <c r="H879" i="6"/>
  <c r="H880" i="6"/>
  <c r="H881" i="6"/>
  <c r="H882" i="6"/>
  <c r="H883" i="6"/>
  <c r="H884" i="6"/>
  <c r="H885" i="6"/>
  <c r="H886" i="6"/>
  <c r="H887" i="6"/>
  <c r="H888" i="6"/>
  <c r="H889" i="6"/>
  <c r="H890" i="6"/>
  <c r="H891" i="6"/>
  <c r="H892" i="6"/>
  <c r="H893" i="6"/>
  <c r="H894" i="6"/>
  <c r="H895" i="6"/>
  <c r="H896" i="6"/>
  <c r="H897" i="6"/>
  <c r="H898" i="6"/>
  <c r="H899" i="6"/>
  <c r="H900" i="6"/>
  <c r="H901" i="6"/>
  <c r="H902" i="6"/>
  <c r="H903" i="6"/>
  <c r="H904" i="6"/>
  <c r="H905" i="6"/>
  <c r="H906" i="6"/>
  <c r="H907" i="6"/>
  <c r="H908" i="6"/>
  <c r="H909" i="6"/>
  <c r="H910" i="6"/>
  <c r="H911" i="6"/>
  <c r="H912" i="6"/>
  <c r="H913" i="6"/>
  <c r="H914" i="6"/>
  <c r="H915" i="6"/>
  <c r="H916" i="6"/>
  <c r="H917" i="6"/>
  <c r="H918" i="6"/>
  <c r="H919" i="6"/>
  <c r="H920" i="6"/>
  <c r="H921" i="6"/>
  <c r="H922" i="6"/>
  <c r="H923" i="6"/>
  <c r="H924" i="6"/>
  <c r="H925" i="6"/>
  <c r="H926" i="6"/>
  <c r="H927" i="6"/>
  <c r="H928" i="6"/>
  <c r="H929" i="6"/>
  <c r="H930" i="6"/>
  <c r="H931" i="6"/>
  <c r="H932" i="6"/>
  <c r="H933" i="6"/>
  <c r="H934" i="6"/>
  <c r="H935" i="6"/>
  <c r="H936" i="6"/>
  <c r="H937" i="6"/>
  <c r="H938" i="6"/>
  <c r="H939" i="6"/>
  <c r="H940" i="6"/>
  <c r="H941" i="6"/>
  <c r="H942" i="6"/>
  <c r="H943" i="6"/>
  <c r="H944" i="6"/>
  <c r="H945" i="6"/>
  <c r="H946" i="6"/>
  <c r="H947" i="6"/>
  <c r="H948" i="6"/>
  <c r="H949" i="6"/>
  <c r="H950" i="6"/>
  <c r="H951" i="6"/>
  <c r="H952" i="6"/>
  <c r="H953" i="6"/>
  <c r="H954" i="6"/>
  <c r="H955" i="6"/>
  <c r="H956" i="6"/>
  <c r="H957" i="6"/>
  <c r="H958" i="6"/>
  <c r="H959" i="6"/>
  <c r="H960" i="6"/>
  <c r="H961" i="6"/>
  <c r="H962" i="6"/>
  <c r="H963" i="6"/>
  <c r="H964" i="6"/>
  <c r="H965" i="6"/>
  <c r="H966" i="6"/>
  <c r="H967" i="6"/>
  <c r="H968" i="6"/>
  <c r="H969" i="6"/>
  <c r="H970" i="6"/>
  <c r="H971" i="6"/>
  <c r="H972" i="6"/>
  <c r="H973" i="6"/>
  <c r="H974" i="6"/>
  <c r="H975" i="6"/>
  <c r="H976" i="6"/>
  <c r="H977" i="6"/>
  <c r="H978" i="6"/>
  <c r="H979" i="6"/>
  <c r="H980" i="6"/>
  <c r="H981" i="6"/>
  <c r="H982" i="6"/>
  <c r="H983" i="6"/>
  <c r="H984" i="6"/>
  <c r="H985" i="6"/>
  <c r="H986" i="6"/>
  <c r="H987" i="6"/>
  <c r="H988" i="6"/>
  <c r="H989" i="6"/>
  <c r="H990" i="6"/>
  <c r="H991" i="6"/>
  <c r="H992" i="6"/>
  <c r="H993" i="6"/>
  <c r="H994" i="6"/>
  <c r="H995" i="6"/>
  <c r="H996" i="6"/>
  <c r="H997" i="6"/>
  <c r="H998" i="6"/>
  <c r="H999" i="6"/>
  <c r="H1000" i="6"/>
  <c r="H1001" i="6"/>
  <c r="H1002" i="6"/>
  <c r="H1003" i="6"/>
  <c r="H1004" i="6"/>
  <c r="H1005" i="6"/>
  <c r="H1006" i="6"/>
  <c r="H1007" i="6"/>
  <c r="H1008" i="6"/>
  <c r="H1009" i="6"/>
  <c r="H1010" i="6"/>
  <c r="H1011" i="6"/>
  <c r="H1012" i="6"/>
  <c r="H1013" i="6"/>
  <c r="H1014" i="6"/>
  <c r="H1015" i="6"/>
  <c r="H1016" i="6"/>
  <c r="H1017" i="6"/>
  <c r="H1018" i="6"/>
  <c r="H1019" i="6"/>
  <c r="H1020" i="6"/>
  <c r="H1021" i="6"/>
  <c r="H1022" i="6"/>
  <c r="H1023" i="6"/>
  <c r="H1024" i="6"/>
  <c r="H1025" i="6"/>
  <c r="H1026" i="6"/>
  <c r="H1027" i="6"/>
  <c r="H1028" i="6"/>
  <c r="H1029" i="6"/>
  <c r="H1030" i="6"/>
  <c r="H1031" i="6"/>
  <c r="H1032" i="6"/>
  <c r="H1033" i="6"/>
  <c r="H1034" i="6"/>
  <c r="H1035" i="6"/>
  <c r="H1036" i="6"/>
  <c r="H1037" i="6"/>
  <c r="H1038" i="6"/>
  <c r="H1039" i="6"/>
  <c r="H1040" i="6"/>
  <c r="H1041" i="6"/>
  <c r="H1042" i="6"/>
  <c r="H1043" i="6"/>
  <c r="H1044" i="6"/>
  <c r="H1045" i="6"/>
  <c r="H1046" i="6"/>
  <c r="H1047" i="6"/>
  <c r="H1048" i="6"/>
  <c r="H1049" i="6"/>
  <c r="H1050" i="6"/>
  <c r="H1051" i="6"/>
  <c r="H1052" i="6"/>
  <c r="H1053" i="6"/>
  <c r="H1054" i="6"/>
  <c r="H1055" i="6"/>
  <c r="H1056" i="6"/>
  <c r="H1057" i="6"/>
  <c r="H1058" i="6"/>
  <c r="H1059" i="6"/>
  <c r="H1060" i="6"/>
  <c r="H1061" i="6"/>
  <c r="H1062" i="6"/>
  <c r="H1063" i="6"/>
  <c r="H1064" i="6"/>
  <c r="H1065" i="6"/>
  <c r="H1066" i="6"/>
  <c r="H1067" i="6"/>
  <c r="H1068" i="6"/>
  <c r="H1069" i="6"/>
  <c r="H1070" i="6"/>
  <c r="H1071" i="6"/>
  <c r="H1072" i="6"/>
  <c r="H1073" i="6"/>
  <c r="H1074" i="6"/>
  <c r="H1075" i="6"/>
  <c r="H1076" i="6"/>
  <c r="H1077" i="6"/>
  <c r="H1078" i="6"/>
  <c r="H1079" i="6"/>
  <c r="H1080" i="6"/>
  <c r="H1081" i="6"/>
  <c r="H1082" i="6"/>
  <c r="H1083" i="6"/>
  <c r="H1084" i="6"/>
  <c r="H1085" i="6"/>
  <c r="H1086" i="6"/>
  <c r="H1087" i="6"/>
  <c r="H1088" i="6"/>
  <c r="H1089" i="6"/>
  <c r="H1090" i="6"/>
  <c r="H1091" i="6"/>
  <c r="H1092" i="6"/>
  <c r="H1093" i="6"/>
  <c r="H1094" i="6"/>
  <c r="H1095" i="6"/>
  <c r="H1096" i="6"/>
  <c r="H1097" i="6"/>
  <c r="H1098" i="6"/>
  <c r="H1099" i="6"/>
  <c r="H1100" i="6"/>
  <c r="H1101" i="6"/>
  <c r="H1102" i="6"/>
  <c r="H1103" i="6"/>
  <c r="H1104" i="6"/>
  <c r="H1105" i="6"/>
  <c r="H1106" i="6"/>
  <c r="H1107" i="6"/>
  <c r="H1108" i="6"/>
  <c r="H1109" i="6"/>
  <c r="H1110" i="6"/>
  <c r="H1111" i="6"/>
  <c r="H1112" i="6"/>
  <c r="H1113" i="6"/>
  <c r="H1114" i="6"/>
  <c r="H1115" i="6"/>
  <c r="H1116" i="6"/>
  <c r="H1117" i="6"/>
  <c r="H1118" i="6"/>
  <c r="H1119" i="6"/>
  <c r="H1120" i="6"/>
  <c r="H1121" i="6"/>
  <c r="H1122" i="6"/>
  <c r="H1123" i="6"/>
  <c r="H1124" i="6"/>
  <c r="H1125" i="6"/>
  <c r="H1126" i="6"/>
  <c r="H1127" i="6"/>
  <c r="H1128" i="6"/>
  <c r="H1129" i="6"/>
  <c r="H1130" i="6"/>
  <c r="H1131" i="6"/>
  <c r="H1132" i="6"/>
  <c r="H1133" i="6"/>
  <c r="H1134" i="6"/>
  <c r="H1135" i="6"/>
  <c r="H1136" i="6"/>
  <c r="H1137" i="6"/>
  <c r="H1138" i="6"/>
  <c r="H1139" i="6"/>
  <c r="H1140" i="6"/>
  <c r="H1141" i="6"/>
  <c r="H1142" i="6"/>
  <c r="H1143" i="6"/>
  <c r="H1144" i="6"/>
  <c r="H1145" i="6"/>
  <c r="H1146" i="6"/>
  <c r="H1147" i="6"/>
  <c r="H1148" i="6"/>
  <c r="H1149" i="6"/>
  <c r="H1150" i="6"/>
  <c r="H1151" i="6"/>
  <c r="H1152" i="6"/>
  <c r="H1153" i="6"/>
  <c r="H1154" i="6"/>
  <c r="H1155" i="6"/>
  <c r="H1156" i="6"/>
  <c r="H1157" i="6"/>
  <c r="H1158" i="6"/>
  <c r="H1159" i="6"/>
  <c r="H1160" i="6"/>
  <c r="H1161" i="6"/>
  <c r="H1162" i="6"/>
  <c r="H1163" i="6"/>
  <c r="H1164" i="6"/>
  <c r="H1165" i="6"/>
  <c r="H1166" i="6"/>
  <c r="H1167" i="6"/>
  <c r="H1168" i="6"/>
  <c r="H1169" i="6"/>
  <c r="H1170" i="6"/>
  <c r="H1171" i="6"/>
  <c r="H1172" i="6"/>
  <c r="H1173" i="6"/>
  <c r="H1174" i="6"/>
  <c r="H1175" i="6"/>
  <c r="H1176" i="6"/>
  <c r="H1177" i="6"/>
  <c r="H1178" i="6"/>
  <c r="H1179" i="6"/>
  <c r="H1180" i="6"/>
  <c r="H1181" i="6"/>
  <c r="H1182" i="6"/>
  <c r="H1183" i="6"/>
  <c r="H1184" i="6"/>
  <c r="H1185" i="6"/>
  <c r="H1186" i="6"/>
  <c r="H1187" i="6"/>
  <c r="H1188" i="6"/>
  <c r="H1189" i="6"/>
  <c r="H1190" i="6"/>
  <c r="H1191" i="6"/>
  <c r="H1192" i="6"/>
  <c r="H1193" i="6"/>
  <c r="H1194" i="6"/>
  <c r="H1195" i="6"/>
  <c r="H1196" i="6"/>
  <c r="H1197" i="6"/>
  <c r="H1198" i="6"/>
  <c r="H1199" i="6"/>
  <c r="H1200" i="6"/>
  <c r="H1201" i="6"/>
  <c r="H1202" i="6"/>
  <c r="H1203" i="6"/>
  <c r="H1204" i="6"/>
  <c r="H1205" i="6"/>
  <c r="H1206" i="6"/>
  <c r="H1207" i="6"/>
  <c r="H1208" i="6"/>
  <c r="H1209" i="6"/>
  <c r="H1210" i="6"/>
  <c r="H1211" i="6"/>
  <c r="H1212" i="6"/>
  <c r="H1213" i="6"/>
  <c r="H1214" i="6"/>
  <c r="H1215" i="6"/>
  <c r="H1216" i="6"/>
  <c r="H1217" i="6"/>
  <c r="H1218" i="6"/>
  <c r="H1219" i="6"/>
  <c r="H1220" i="6"/>
  <c r="H1221" i="6"/>
  <c r="H1222" i="6"/>
  <c r="H1223" i="6"/>
  <c r="H1224" i="6"/>
  <c r="H1225" i="6"/>
  <c r="H1226" i="6"/>
  <c r="H1227" i="6"/>
  <c r="H1228" i="6"/>
  <c r="H1229" i="6"/>
  <c r="H1230" i="6"/>
  <c r="H1231" i="6"/>
  <c r="H1232" i="6"/>
  <c r="H1233" i="6"/>
  <c r="H1234" i="6"/>
  <c r="H1235" i="6"/>
  <c r="H1236" i="6"/>
  <c r="H1237" i="6"/>
  <c r="H1238" i="6"/>
  <c r="H1239" i="6"/>
  <c r="H1240" i="6"/>
  <c r="H1241" i="6"/>
  <c r="H1242" i="6"/>
  <c r="H1243" i="6"/>
  <c r="H1244" i="6"/>
  <c r="H1245" i="6"/>
  <c r="H1246" i="6"/>
  <c r="H1247" i="6"/>
  <c r="H1248" i="6"/>
  <c r="H1249" i="6"/>
  <c r="H1250" i="6"/>
  <c r="H1251" i="6"/>
  <c r="H1252" i="6"/>
  <c r="H1253" i="6"/>
  <c r="H1254" i="6"/>
  <c r="H1255" i="6"/>
  <c r="H1256" i="6"/>
  <c r="H1257" i="6"/>
  <c r="H1258" i="6"/>
  <c r="H1259" i="6"/>
  <c r="H1260" i="6"/>
  <c r="H1261" i="6"/>
  <c r="H1262" i="6"/>
  <c r="H1263" i="6"/>
  <c r="H1264" i="6"/>
  <c r="H1265" i="6"/>
  <c r="H1266" i="6"/>
  <c r="H1267" i="6"/>
  <c r="H1268" i="6"/>
  <c r="H1269" i="6"/>
  <c r="H1270" i="6"/>
  <c r="H1271" i="6"/>
  <c r="H1272" i="6"/>
  <c r="H1273" i="6"/>
  <c r="H1274" i="6"/>
  <c r="H1275" i="6"/>
  <c r="H1276" i="6"/>
  <c r="H1277" i="6"/>
  <c r="H1278" i="6"/>
  <c r="H1279" i="6"/>
  <c r="H1280" i="6"/>
  <c r="H1281" i="6"/>
  <c r="H1282" i="6"/>
  <c r="H1283" i="6"/>
  <c r="H1284" i="6"/>
  <c r="H1285" i="6"/>
  <c r="H1286" i="6"/>
  <c r="H1287" i="6"/>
  <c r="H1288" i="6"/>
  <c r="H1289" i="6"/>
  <c r="H1290" i="6"/>
  <c r="H1291" i="6"/>
  <c r="H1292" i="6"/>
  <c r="H1293" i="6"/>
  <c r="H1294" i="6"/>
  <c r="H1295" i="6"/>
  <c r="H1296" i="6"/>
  <c r="H1297" i="6"/>
  <c r="H1298" i="6"/>
  <c r="H1299" i="6"/>
  <c r="H1300" i="6"/>
  <c r="H1301" i="6"/>
  <c r="H1302" i="6"/>
  <c r="H1303" i="6"/>
  <c r="H1304" i="6"/>
  <c r="H1305" i="6"/>
  <c r="H1306" i="6"/>
  <c r="H1307" i="6"/>
  <c r="H1308" i="6"/>
  <c r="H1309" i="6"/>
  <c r="H1310" i="6"/>
  <c r="H1311" i="6"/>
  <c r="H1312" i="6"/>
  <c r="H1313" i="6"/>
  <c r="H1314" i="6"/>
  <c r="H1315" i="6"/>
  <c r="H1316" i="6"/>
  <c r="H1317" i="6"/>
  <c r="H1318" i="6"/>
  <c r="H1319" i="6"/>
  <c r="H1320" i="6"/>
  <c r="H1321" i="6"/>
  <c r="H1322" i="6"/>
  <c r="H1323" i="6"/>
  <c r="H1324" i="6"/>
  <c r="H1325" i="6"/>
  <c r="H1326" i="6"/>
  <c r="H1327" i="6"/>
  <c r="H1328" i="6"/>
  <c r="H1329" i="6"/>
  <c r="H1330" i="6"/>
  <c r="H1331" i="6"/>
  <c r="H1332" i="6"/>
  <c r="H1333" i="6"/>
  <c r="H1334" i="6"/>
  <c r="H1335" i="6"/>
  <c r="H1336" i="6"/>
  <c r="H1337" i="6"/>
  <c r="H1338" i="6"/>
  <c r="H1339" i="6"/>
  <c r="H1340" i="6"/>
  <c r="H1341" i="6"/>
  <c r="H1342" i="6"/>
  <c r="H1343" i="6"/>
  <c r="H1344" i="6"/>
  <c r="H1345" i="6"/>
  <c r="H1346" i="6"/>
  <c r="H1347" i="6"/>
  <c r="H1348" i="6"/>
  <c r="H1349" i="6"/>
  <c r="H1350" i="6"/>
  <c r="H1351" i="6"/>
  <c r="H1352" i="6"/>
  <c r="H1353" i="6"/>
  <c r="H1354" i="6"/>
  <c r="H1355" i="6"/>
  <c r="H1356" i="6"/>
  <c r="H1357" i="6"/>
  <c r="H1358" i="6"/>
  <c r="H1359" i="6"/>
  <c r="H1360" i="6"/>
  <c r="H1361" i="6"/>
  <c r="H1362" i="6"/>
  <c r="H1363" i="6"/>
  <c r="H1364" i="6"/>
  <c r="H1365" i="6"/>
  <c r="H1366" i="6"/>
  <c r="H1367" i="6"/>
  <c r="H1368" i="6"/>
  <c r="H1369" i="6"/>
  <c r="H1370" i="6"/>
  <c r="H1371" i="6"/>
  <c r="H1372" i="6"/>
  <c r="H1373" i="6"/>
  <c r="H1374" i="6"/>
  <c r="H1375" i="6"/>
  <c r="H1376" i="6"/>
  <c r="H1377" i="6"/>
  <c r="H1378" i="6"/>
  <c r="H1379" i="6"/>
  <c r="H1380" i="6"/>
  <c r="H1381" i="6"/>
  <c r="H1382" i="6"/>
  <c r="H1383" i="6"/>
  <c r="H1384" i="6"/>
  <c r="H1385" i="6"/>
  <c r="H1386" i="6"/>
  <c r="H1387" i="6"/>
  <c r="H1388" i="6"/>
  <c r="H1389" i="6"/>
  <c r="H1390" i="6"/>
  <c r="H1391" i="6"/>
  <c r="H1392" i="6"/>
  <c r="H1393" i="6"/>
  <c r="H1394" i="6"/>
  <c r="H1395" i="6"/>
  <c r="H1396" i="6"/>
  <c r="H1397" i="6"/>
  <c r="H1398" i="6"/>
  <c r="H1399" i="6"/>
  <c r="H1400" i="6"/>
  <c r="H1401" i="6"/>
  <c r="H1402" i="6"/>
  <c r="H1403" i="6"/>
  <c r="H1404" i="6"/>
  <c r="H1405" i="6"/>
  <c r="H1406" i="6"/>
  <c r="H1407" i="6"/>
  <c r="H1408" i="6"/>
  <c r="H1409" i="6"/>
  <c r="H1410" i="6"/>
  <c r="H1411" i="6"/>
  <c r="H1412" i="6"/>
  <c r="H1413" i="6"/>
  <c r="H1414" i="6"/>
  <c r="H1415" i="6"/>
  <c r="H1416" i="6"/>
  <c r="H1417" i="6"/>
  <c r="H1418" i="6"/>
  <c r="H1419" i="6"/>
  <c r="H1420" i="6"/>
  <c r="H1421" i="6"/>
  <c r="H1422" i="6"/>
  <c r="H1423" i="6"/>
  <c r="H1424" i="6"/>
  <c r="H1425" i="6"/>
  <c r="H1426" i="6"/>
  <c r="H1427" i="6"/>
  <c r="H1428" i="6"/>
  <c r="H1429" i="6"/>
  <c r="H1430" i="6"/>
  <c r="H1431" i="6"/>
  <c r="H1432" i="6"/>
  <c r="H1433" i="6"/>
  <c r="H1434" i="6"/>
  <c r="H1435" i="6"/>
  <c r="H1436" i="6"/>
  <c r="H1437" i="6"/>
  <c r="H1438" i="6"/>
  <c r="H1439" i="6"/>
  <c r="H1440" i="6"/>
  <c r="H1441" i="6"/>
  <c r="H1442" i="6"/>
  <c r="H1443" i="6"/>
  <c r="H1444" i="6"/>
  <c r="H1445" i="6"/>
  <c r="H1446" i="6"/>
  <c r="H1447" i="6"/>
  <c r="H1448" i="6"/>
  <c r="H1449" i="6"/>
  <c r="H1450" i="6"/>
  <c r="H1451" i="6"/>
  <c r="H1452" i="6"/>
  <c r="H1453" i="6"/>
  <c r="H1454" i="6"/>
  <c r="H1455" i="6"/>
  <c r="H1456" i="6"/>
  <c r="H1457" i="6"/>
  <c r="H1458" i="6"/>
  <c r="H1459" i="6"/>
  <c r="H1460" i="6"/>
  <c r="H1461" i="6"/>
  <c r="H1462" i="6"/>
  <c r="H1463" i="6"/>
  <c r="H1464" i="6"/>
  <c r="H1465" i="6"/>
  <c r="H1466" i="6"/>
  <c r="H1467" i="6"/>
  <c r="H1468" i="6"/>
  <c r="H1469" i="6"/>
  <c r="H1470" i="6"/>
  <c r="H1471" i="6"/>
  <c r="H1472" i="6"/>
  <c r="H1473" i="6"/>
  <c r="H1474" i="6"/>
  <c r="H1475" i="6"/>
  <c r="H1476" i="6"/>
  <c r="H1477" i="6"/>
  <c r="H1478" i="6"/>
  <c r="H1479" i="6"/>
  <c r="H1480" i="6"/>
  <c r="H1481" i="6"/>
  <c r="H1482" i="6"/>
  <c r="H1483" i="6"/>
  <c r="H1484" i="6"/>
  <c r="H1485" i="6"/>
  <c r="H1486" i="6"/>
  <c r="H1487" i="6"/>
  <c r="H1488" i="6"/>
  <c r="H1489" i="6"/>
  <c r="H1490" i="6"/>
  <c r="H1491" i="6"/>
  <c r="H1492" i="6"/>
  <c r="H1493" i="6"/>
  <c r="H1494" i="6"/>
  <c r="H1495" i="6"/>
  <c r="H1496" i="6"/>
  <c r="H1497" i="6"/>
  <c r="H1498" i="6"/>
  <c r="H1499" i="6"/>
  <c r="H1500" i="6"/>
  <c r="H1501" i="6"/>
  <c r="H1502" i="6"/>
  <c r="H1503" i="6"/>
  <c r="H1504" i="6"/>
  <c r="H1505" i="6"/>
  <c r="H1506" i="6"/>
  <c r="H1507" i="6"/>
  <c r="H1508" i="6"/>
  <c r="H1509" i="6"/>
  <c r="H1510" i="6"/>
  <c r="H1511" i="6"/>
  <c r="H1512" i="6"/>
  <c r="H1513" i="6"/>
  <c r="H1514" i="6"/>
  <c r="H1515" i="6"/>
  <c r="H1516" i="6"/>
  <c r="H1517" i="6"/>
  <c r="H1518" i="6"/>
  <c r="H1519" i="6"/>
  <c r="H1520" i="6"/>
  <c r="H1521" i="6"/>
  <c r="H1522" i="6"/>
  <c r="H1523" i="6"/>
  <c r="H1524" i="6"/>
  <c r="H1525" i="6"/>
  <c r="H1526" i="6"/>
  <c r="H1527" i="6"/>
  <c r="H1528" i="6"/>
  <c r="H1529" i="6"/>
  <c r="H1530" i="6"/>
  <c r="H1531" i="6"/>
  <c r="H1532" i="6"/>
  <c r="H1533" i="6"/>
  <c r="H1534" i="6"/>
  <c r="H1535" i="6"/>
  <c r="H1536" i="6"/>
  <c r="H1537" i="6"/>
  <c r="H1538" i="6"/>
  <c r="H1539" i="6"/>
  <c r="H1540" i="6"/>
  <c r="H1541" i="6"/>
  <c r="H1542" i="6"/>
  <c r="H1543" i="6"/>
  <c r="H1544" i="6"/>
  <c r="H1545" i="6"/>
  <c r="H1546" i="6"/>
  <c r="H1547" i="6"/>
  <c r="H1548" i="6"/>
  <c r="H1549" i="6"/>
  <c r="H1550" i="6"/>
  <c r="H1551" i="6"/>
  <c r="H1552" i="6"/>
  <c r="H1553" i="6"/>
  <c r="H1554" i="6"/>
  <c r="H1555" i="6"/>
  <c r="H1556" i="6"/>
  <c r="H1557" i="6"/>
  <c r="H1558" i="6"/>
  <c r="H1559" i="6"/>
  <c r="H1560" i="6"/>
  <c r="H1561" i="6"/>
  <c r="H1562" i="6"/>
  <c r="H1563" i="6"/>
  <c r="H1564" i="6"/>
  <c r="H1565" i="6"/>
  <c r="H1566" i="6"/>
  <c r="H1567" i="6"/>
  <c r="H1568" i="6"/>
  <c r="H1569" i="6"/>
  <c r="H1570" i="6"/>
  <c r="H1571" i="6"/>
  <c r="H1572" i="6"/>
  <c r="H1573" i="6"/>
  <c r="H1574" i="6"/>
  <c r="H1575" i="6"/>
  <c r="H1576" i="6"/>
  <c r="H1577" i="6"/>
  <c r="H1578" i="6"/>
  <c r="H1579" i="6"/>
  <c r="H1580" i="6"/>
  <c r="H1581" i="6"/>
  <c r="H1582" i="6"/>
  <c r="H1583" i="6"/>
  <c r="H1584" i="6"/>
  <c r="H1585" i="6"/>
  <c r="H1586" i="6"/>
  <c r="H1587" i="6"/>
  <c r="H1588" i="6"/>
  <c r="H1589" i="6"/>
  <c r="H1590" i="6"/>
  <c r="H1591" i="6"/>
  <c r="H1592" i="6"/>
  <c r="H1593" i="6"/>
  <c r="H1594" i="6"/>
  <c r="H1595" i="6"/>
  <c r="H1596" i="6"/>
  <c r="H1597" i="6"/>
  <c r="H1598" i="6"/>
  <c r="H1599" i="6"/>
  <c r="H1600" i="6"/>
  <c r="H1601" i="6"/>
  <c r="H1602" i="6"/>
  <c r="H1603" i="6"/>
  <c r="H1604" i="6"/>
  <c r="H1605" i="6"/>
  <c r="H1606" i="6"/>
  <c r="H1607" i="6"/>
  <c r="H1608" i="6"/>
  <c r="H1609" i="6"/>
  <c r="H1610" i="6"/>
  <c r="H1611" i="6"/>
  <c r="H1612" i="6"/>
  <c r="H1613" i="6"/>
  <c r="H1614" i="6"/>
  <c r="H1615" i="6"/>
  <c r="H1616" i="6"/>
  <c r="H1617" i="6"/>
  <c r="H1618" i="6"/>
  <c r="H1619" i="6"/>
  <c r="H1620" i="6"/>
  <c r="H1621" i="6"/>
  <c r="H1622" i="6"/>
  <c r="H1623" i="6"/>
  <c r="H1624" i="6"/>
  <c r="H1625" i="6"/>
  <c r="H1626" i="6"/>
  <c r="H1627" i="6"/>
  <c r="H1628" i="6"/>
  <c r="H1629" i="6"/>
  <c r="H1630" i="6"/>
  <c r="H1631" i="6"/>
  <c r="H1632" i="6"/>
  <c r="H1633" i="6"/>
  <c r="H1634" i="6"/>
  <c r="H1635" i="6"/>
  <c r="H1636" i="6"/>
  <c r="H1637" i="6"/>
  <c r="H1638" i="6"/>
  <c r="H1639" i="6"/>
  <c r="H1640" i="6"/>
  <c r="H1641" i="6"/>
  <c r="H1642" i="6"/>
  <c r="H1643" i="6"/>
  <c r="H1644" i="6"/>
  <c r="H1645" i="6"/>
  <c r="H1646" i="6"/>
  <c r="H1647" i="6"/>
  <c r="H1648" i="6"/>
  <c r="H1649" i="6"/>
  <c r="H1650" i="6"/>
  <c r="H1651" i="6"/>
  <c r="H1652" i="6"/>
  <c r="H1653" i="6"/>
  <c r="H1654" i="6"/>
  <c r="H1655" i="6"/>
  <c r="H1656" i="6"/>
  <c r="H1657" i="6"/>
  <c r="H1658" i="6"/>
  <c r="H1659" i="6"/>
  <c r="H1660" i="6"/>
  <c r="H1661" i="6"/>
  <c r="H1662" i="6"/>
  <c r="H1663" i="6"/>
  <c r="H1664" i="6"/>
  <c r="H1665" i="6"/>
  <c r="H1666" i="6"/>
  <c r="H1667" i="6"/>
  <c r="H1668" i="6"/>
  <c r="H1669" i="6"/>
  <c r="H1670" i="6"/>
  <c r="H1671" i="6"/>
  <c r="H1672" i="6"/>
  <c r="H1673" i="6"/>
  <c r="H1674" i="6"/>
  <c r="H1675" i="6"/>
  <c r="H1676" i="6"/>
  <c r="H1677" i="6"/>
  <c r="H1678" i="6"/>
  <c r="H1679" i="6"/>
  <c r="H1680" i="6"/>
  <c r="H1681" i="6"/>
  <c r="H1682" i="6"/>
  <c r="H1683" i="6"/>
  <c r="H1684" i="6"/>
  <c r="H1685" i="6"/>
  <c r="H1686" i="6"/>
  <c r="H1687" i="6"/>
  <c r="H1688" i="6"/>
  <c r="H1689" i="6"/>
  <c r="H1690" i="6"/>
  <c r="H1691" i="6"/>
  <c r="H1692" i="6"/>
  <c r="H1693" i="6"/>
  <c r="H1694" i="6"/>
  <c r="H1695" i="6"/>
  <c r="H1696" i="6"/>
  <c r="H1697" i="6"/>
  <c r="H1698" i="6"/>
  <c r="H1699" i="6"/>
  <c r="H1700" i="6"/>
  <c r="H1701" i="6"/>
  <c r="H1702" i="6"/>
  <c r="H1703" i="6"/>
  <c r="H1704" i="6"/>
  <c r="H1705" i="6"/>
  <c r="H1706" i="6"/>
  <c r="H1707" i="6"/>
  <c r="H1708" i="6"/>
  <c r="H1709" i="6"/>
  <c r="H1710" i="6"/>
  <c r="H1711" i="6"/>
  <c r="H1712" i="6"/>
  <c r="H1713" i="6"/>
  <c r="H1714" i="6"/>
  <c r="H1715" i="6"/>
  <c r="H1716" i="6"/>
  <c r="H1717" i="6"/>
  <c r="H1718" i="6"/>
  <c r="H1719" i="6"/>
  <c r="H1720" i="6"/>
  <c r="H1721" i="6"/>
  <c r="H1722" i="6"/>
  <c r="H1723" i="6"/>
  <c r="H1724" i="6"/>
  <c r="H1725" i="6"/>
  <c r="H1726" i="6"/>
  <c r="H1727" i="6"/>
  <c r="H1728" i="6"/>
  <c r="H1729" i="6"/>
  <c r="H1730" i="6"/>
  <c r="H1731" i="6"/>
  <c r="H1732" i="6"/>
  <c r="H1733" i="6"/>
  <c r="H1734" i="6"/>
  <c r="H1735" i="6"/>
  <c r="H1736" i="6"/>
  <c r="H1737" i="6"/>
  <c r="H1738" i="6"/>
  <c r="H1739" i="6"/>
  <c r="H1740" i="6"/>
  <c r="H1741" i="6"/>
  <c r="H1742" i="6"/>
  <c r="H1743" i="6"/>
  <c r="H1744" i="6"/>
  <c r="H1745" i="6"/>
  <c r="H1746" i="6"/>
  <c r="H1747" i="6"/>
  <c r="H1748" i="6"/>
  <c r="H1749" i="6"/>
  <c r="H1750" i="6"/>
  <c r="H1751" i="6"/>
  <c r="H1752" i="6"/>
  <c r="H1753" i="6"/>
  <c r="H1754" i="6"/>
  <c r="H1755" i="6"/>
  <c r="H1756" i="6"/>
  <c r="H1757" i="6"/>
  <c r="H1758" i="6"/>
  <c r="H1759" i="6"/>
  <c r="H1760" i="6"/>
  <c r="H1761" i="6"/>
  <c r="H1762" i="6"/>
  <c r="H1763" i="6"/>
  <c r="H1764" i="6"/>
  <c r="H1765" i="6"/>
  <c r="H1766" i="6"/>
  <c r="H1767" i="6"/>
  <c r="H1768" i="6"/>
  <c r="H1769" i="6"/>
  <c r="H1770" i="6"/>
  <c r="H1771" i="6"/>
  <c r="H1772" i="6"/>
  <c r="H1773" i="6"/>
  <c r="H1774" i="6"/>
  <c r="H1775" i="6"/>
  <c r="H1776" i="6"/>
  <c r="H1777" i="6"/>
  <c r="H1778" i="6"/>
  <c r="H1779" i="6"/>
  <c r="H1780" i="6"/>
  <c r="H1781" i="6"/>
  <c r="H1782" i="6"/>
  <c r="H1783" i="6"/>
  <c r="H1784" i="6"/>
  <c r="H1785" i="6"/>
  <c r="H1786" i="6"/>
  <c r="H1787" i="6"/>
  <c r="H1788" i="6"/>
  <c r="H1789" i="6"/>
  <c r="H1790" i="6"/>
  <c r="H1791" i="6"/>
  <c r="H1792" i="6"/>
  <c r="H1793" i="6"/>
  <c r="H1794" i="6"/>
  <c r="H1795" i="6"/>
  <c r="H1796" i="6"/>
  <c r="H1797" i="6"/>
  <c r="H1798" i="6"/>
  <c r="H1799" i="6"/>
  <c r="H1800" i="6"/>
  <c r="H1801" i="6"/>
  <c r="H1802" i="6"/>
  <c r="H1803" i="6"/>
  <c r="H1804" i="6"/>
  <c r="H1805" i="6"/>
  <c r="H1806" i="6"/>
  <c r="H1807" i="6"/>
  <c r="H1808" i="6"/>
  <c r="H1809" i="6"/>
  <c r="H1810" i="6"/>
  <c r="H1811" i="6"/>
  <c r="H1812" i="6"/>
  <c r="H1813" i="6"/>
  <c r="H1814" i="6"/>
  <c r="H1815" i="6"/>
  <c r="H1816" i="6"/>
  <c r="H1817" i="6"/>
  <c r="H1818" i="6"/>
  <c r="H1819" i="6"/>
  <c r="H1820" i="6"/>
  <c r="H1821" i="6"/>
  <c r="H1822" i="6"/>
  <c r="H1823" i="6"/>
  <c r="H1824" i="6"/>
  <c r="H1825" i="6"/>
  <c r="H1826" i="6"/>
  <c r="H1827" i="6"/>
  <c r="H1828" i="6"/>
  <c r="H1829" i="6"/>
  <c r="H1830" i="6"/>
  <c r="H1831" i="6"/>
  <c r="H1832" i="6"/>
  <c r="H1833" i="6"/>
  <c r="H1834" i="6"/>
  <c r="H1835" i="6"/>
  <c r="H1836" i="6"/>
  <c r="H1837" i="6"/>
  <c r="H1838" i="6"/>
  <c r="H1839" i="6"/>
  <c r="H1840" i="6"/>
  <c r="H1841" i="6"/>
  <c r="H1842" i="6"/>
  <c r="H1843" i="6"/>
  <c r="H1844" i="6"/>
  <c r="H1845" i="6"/>
  <c r="H1846" i="6"/>
  <c r="H1847" i="6"/>
  <c r="H1848" i="6"/>
  <c r="H1849" i="6"/>
  <c r="H1850" i="6"/>
  <c r="H1851" i="6"/>
  <c r="H1852" i="6"/>
  <c r="H1853" i="6"/>
  <c r="H1854" i="6"/>
  <c r="H1855" i="6"/>
  <c r="H1856" i="6"/>
  <c r="H1857" i="6"/>
  <c r="H1858" i="6"/>
  <c r="H1859" i="6"/>
  <c r="H1860" i="6"/>
  <c r="H1861" i="6"/>
  <c r="H1862" i="6"/>
  <c r="H1863" i="6"/>
  <c r="H1864" i="6"/>
  <c r="H1865" i="6"/>
  <c r="H1866" i="6"/>
  <c r="H1867" i="6"/>
  <c r="H1868" i="6"/>
  <c r="H1869" i="6"/>
  <c r="H1870" i="6"/>
  <c r="H1871" i="6"/>
  <c r="H1872" i="6"/>
  <c r="H1873" i="6"/>
  <c r="H1874" i="6"/>
  <c r="H1875" i="6"/>
  <c r="H1876" i="6"/>
  <c r="H1877" i="6"/>
  <c r="H1878" i="6"/>
  <c r="H1879" i="6"/>
  <c r="H1880" i="6"/>
  <c r="H1881" i="6"/>
  <c r="H1882" i="6"/>
  <c r="H1883" i="6"/>
  <c r="H1884" i="6"/>
  <c r="H1885" i="6"/>
  <c r="H1886" i="6"/>
  <c r="H1887" i="6"/>
  <c r="H1888" i="6"/>
  <c r="H1889" i="6"/>
  <c r="H1890" i="6"/>
  <c r="H1891" i="6"/>
  <c r="H1892" i="6"/>
  <c r="H1893" i="6"/>
  <c r="H1894" i="6"/>
  <c r="H1895" i="6"/>
  <c r="H1896" i="6"/>
  <c r="H1897" i="6"/>
  <c r="H1898" i="6"/>
  <c r="H1899" i="6"/>
  <c r="H1900" i="6"/>
  <c r="H1901" i="6"/>
  <c r="H1902" i="6"/>
  <c r="H1903" i="6"/>
  <c r="H1904" i="6"/>
  <c r="H1905" i="6"/>
  <c r="H1906" i="6"/>
  <c r="H1907" i="6"/>
  <c r="H1908" i="6"/>
  <c r="H1909" i="6"/>
  <c r="H1910" i="6"/>
  <c r="H1911" i="6"/>
  <c r="H1912" i="6"/>
  <c r="H1913" i="6"/>
  <c r="H1914" i="6"/>
  <c r="H1915" i="6"/>
  <c r="H1916" i="6"/>
  <c r="H1917" i="6"/>
  <c r="H1918" i="6"/>
  <c r="H1919" i="6"/>
  <c r="H1920" i="6"/>
  <c r="H1921" i="6"/>
  <c r="H1922" i="6"/>
  <c r="H1923" i="6"/>
  <c r="H1924" i="6"/>
  <c r="H1925" i="6"/>
  <c r="H1926" i="6"/>
  <c r="H1927" i="6"/>
  <c r="H1928" i="6"/>
  <c r="H1929" i="6"/>
  <c r="H1930" i="6"/>
  <c r="H1931" i="6"/>
  <c r="H1932" i="6"/>
  <c r="H1933" i="6"/>
  <c r="H1934" i="6"/>
  <c r="H1935" i="6"/>
  <c r="H1936" i="6"/>
  <c r="H1937" i="6"/>
  <c r="H1938" i="6"/>
  <c r="H1939" i="6"/>
  <c r="H1940" i="6"/>
  <c r="H1941" i="6"/>
  <c r="H1942" i="6"/>
  <c r="H1943" i="6"/>
  <c r="H1944" i="6"/>
  <c r="H1945" i="6"/>
  <c r="H1946" i="6"/>
  <c r="H1947" i="6"/>
  <c r="H1948" i="6"/>
  <c r="H1949" i="6"/>
  <c r="H1950" i="6"/>
  <c r="H1951" i="6"/>
  <c r="H1952" i="6"/>
  <c r="H1953" i="6"/>
  <c r="H1954" i="6"/>
  <c r="H1955" i="6"/>
  <c r="H1956" i="6"/>
  <c r="H1957" i="6"/>
  <c r="H1958" i="6"/>
  <c r="H1959" i="6"/>
  <c r="H1960" i="6"/>
  <c r="H1961" i="6"/>
  <c r="H1962" i="6"/>
  <c r="H1963" i="6"/>
  <c r="H1964" i="6"/>
  <c r="H1965" i="6"/>
  <c r="H1966" i="6"/>
  <c r="H1967" i="6"/>
  <c r="H1968" i="6"/>
  <c r="H1969" i="6"/>
  <c r="H1970" i="6"/>
  <c r="H1971" i="6"/>
  <c r="H1972" i="6"/>
  <c r="H1973" i="6"/>
  <c r="H1974" i="6"/>
  <c r="H1975" i="6"/>
  <c r="H1976" i="6"/>
  <c r="H1977" i="6"/>
  <c r="H1978" i="6"/>
  <c r="H1979" i="6"/>
  <c r="H1980" i="6"/>
  <c r="H1981" i="6"/>
  <c r="H1982" i="6"/>
  <c r="H1983" i="6"/>
  <c r="H1984" i="6"/>
  <c r="H1985" i="6"/>
  <c r="H1986" i="6"/>
  <c r="H1987" i="6"/>
  <c r="H1988" i="6"/>
  <c r="H3" i="6"/>
  <c r="G1988" i="6"/>
  <c r="G1987" i="6"/>
  <c r="G1986" i="6"/>
  <c r="G1985" i="6"/>
  <c r="G1984" i="6"/>
  <c r="G1983" i="6"/>
  <c r="G1982" i="6"/>
  <c r="G1981" i="6"/>
  <c r="G1980" i="6"/>
  <c r="G1979" i="6"/>
  <c r="G1978" i="6"/>
  <c r="G1977" i="6"/>
  <c r="G1976" i="6"/>
  <c r="G1975" i="6"/>
  <c r="G1974" i="6"/>
  <c r="G1973" i="6"/>
  <c r="G1972" i="6"/>
  <c r="G1971" i="6"/>
  <c r="G1970" i="6"/>
  <c r="G1969" i="6"/>
  <c r="G1968" i="6"/>
  <c r="G1967" i="6"/>
  <c r="G1966" i="6"/>
  <c r="G1965" i="6"/>
  <c r="G1964" i="6"/>
  <c r="G1963" i="6"/>
  <c r="G1962" i="6"/>
  <c r="G1961" i="6"/>
  <c r="G1960" i="6"/>
  <c r="G1959" i="6"/>
  <c r="G1958" i="6"/>
  <c r="G1957" i="6"/>
  <c r="G1956" i="6"/>
  <c r="G1955" i="6"/>
  <c r="G1954" i="6"/>
  <c r="G1953" i="6"/>
  <c r="G1952" i="6"/>
  <c r="G1951" i="6"/>
  <c r="G1950" i="6"/>
  <c r="G1949" i="6"/>
  <c r="G1948" i="6"/>
  <c r="G1947" i="6"/>
  <c r="G1946" i="6"/>
  <c r="G1945" i="6"/>
  <c r="G1944" i="6"/>
  <c r="G1943" i="6"/>
  <c r="G1942" i="6"/>
  <c r="G1941" i="6"/>
  <c r="G1940" i="6"/>
  <c r="G1939" i="6"/>
  <c r="G1938" i="6"/>
  <c r="G1937" i="6"/>
  <c r="G1936" i="6"/>
  <c r="G1935" i="6"/>
  <c r="G1934" i="6"/>
  <c r="G1933" i="6"/>
  <c r="G1932" i="6"/>
  <c r="G1931" i="6"/>
  <c r="G1930" i="6"/>
  <c r="G1929" i="6"/>
  <c r="G1928" i="6"/>
  <c r="G1927" i="6"/>
  <c r="G1926" i="6"/>
  <c r="G1925" i="6"/>
  <c r="G1924" i="6"/>
  <c r="G1923" i="6"/>
  <c r="G1922" i="6"/>
  <c r="G1921" i="6"/>
  <c r="G1920" i="6"/>
  <c r="G1919" i="6"/>
  <c r="G1918" i="6"/>
  <c r="G1917" i="6"/>
  <c r="G1916" i="6"/>
  <c r="G1915" i="6"/>
  <c r="G1914" i="6"/>
  <c r="G1913" i="6"/>
  <c r="G1912" i="6"/>
  <c r="G1911" i="6"/>
  <c r="G1910" i="6"/>
  <c r="G1909" i="6"/>
  <c r="G1908" i="6"/>
  <c r="G1907" i="6"/>
  <c r="G1906" i="6"/>
  <c r="G1905" i="6"/>
  <c r="G1904" i="6"/>
  <c r="G1903" i="6"/>
  <c r="G1902" i="6"/>
  <c r="G1901" i="6"/>
  <c r="G1900" i="6"/>
  <c r="G1899" i="6"/>
  <c r="G1898" i="6"/>
  <c r="G1897" i="6"/>
  <c r="G1896" i="6"/>
  <c r="G1895" i="6"/>
  <c r="G1894" i="6"/>
  <c r="G1893" i="6"/>
  <c r="G1892" i="6"/>
  <c r="G1891" i="6"/>
  <c r="G1890" i="6"/>
  <c r="G1889" i="6"/>
  <c r="G1888" i="6"/>
  <c r="G1887" i="6"/>
  <c r="G1886" i="6"/>
  <c r="G1885" i="6"/>
  <c r="G1884" i="6"/>
  <c r="G1883" i="6"/>
  <c r="G1882" i="6"/>
  <c r="G1881" i="6"/>
  <c r="G1880" i="6"/>
  <c r="G1879" i="6"/>
  <c r="G1878" i="6"/>
  <c r="G1877" i="6"/>
  <c r="G1876" i="6"/>
  <c r="G1875" i="6"/>
  <c r="G1874" i="6"/>
  <c r="G1873" i="6"/>
  <c r="G1872" i="6"/>
  <c r="G1871" i="6"/>
  <c r="G1870" i="6"/>
  <c r="G1869" i="6"/>
  <c r="G1868" i="6"/>
  <c r="G1867" i="6"/>
  <c r="G1866" i="6"/>
  <c r="G1865" i="6"/>
  <c r="G1864" i="6"/>
  <c r="G1863" i="6"/>
  <c r="G1862" i="6"/>
  <c r="G1861" i="6"/>
  <c r="G1860" i="6"/>
  <c r="G1859" i="6"/>
  <c r="G1858" i="6"/>
  <c r="G1857" i="6"/>
  <c r="G1856" i="6"/>
  <c r="G1855" i="6"/>
  <c r="G1854" i="6"/>
  <c r="G1853" i="6"/>
  <c r="G1852" i="6"/>
  <c r="G1851" i="6"/>
  <c r="G1850" i="6"/>
  <c r="G1849" i="6"/>
  <c r="G1848" i="6"/>
  <c r="G1847" i="6"/>
  <c r="G1846" i="6"/>
  <c r="G1845" i="6"/>
  <c r="G1844" i="6"/>
  <c r="G1843" i="6"/>
  <c r="G1842" i="6"/>
  <c r="G1841" i="6"/>
  <c r="G1840" i="6"/>
  <c r="G1839" i="6"/>
  <c r="G1838" i="6"/>
  <c r="G1837" i="6"/>
  <c r="G1836" i="6"/>
  <c r="G1835" i="6"/>
  <c r="G1834" i="6"/>
  <c r="G1833" i="6"/>
  <c r="G1832" i="6"/>
  <c r="G1831" i="6"/>
  <c r="G1830" i="6"/>
  <c r="G1829" i="6"/>
  <c r="G1828" i="6"/>
  <c r="G1827" i="6"/>
  <c r="G1826" i="6"/>
  <c r="G1825" i="6"/>
  <c r="G1824" i="6"/>
  <c r="G1823" i="6"/>
  <c r="G1822" i="6"/>
  <c r="G1821" i="6"/>
  <c r="G1820" i="6"/>
  <c r="G1819" i="6"/>
  <c r="G1818" i="6"/>
  <c r="G1817" i="6"/>
  <c r="G1816" i="6"/>
  <c r="G1815" i="6"/>
  <c r="G1814" i="6"/>
  <c r="G1813" i="6"/>
  <c r="G1812" i="6"/>
  <c r="G1811" i="6"/>
  <c r="G1810" i="6"/>
  <c r="G1809" i="6"/>
  <c r="G1808" i="6"/>
  <c r="G1807" i="6"/>
  <c r="G1806" i="6"/>
  <c r="G1805" i="6"/>
  <c r="G1804" i="6"/>
  <c r="G1803" i="6"/>
  <c r="G1802" i="6"/>
  <c r="G1801" i="6"/>
  <c r="G1800" i="6"/>
  <c r="G1799" i="6"/>
  <c r="G1798" i="6"/>
  <c r="G1797" i="6"/>
  <c r="G1796" i="6"/>
  <c r="G1795" i="6"/>
  <c r="G1794" i="6"/>
  <c r="G1793" i="6"/>
  <c r="G1792" i="6"/>
  <c r="G1791" i="6"/>
  <c r="G1790" i="6"/>
  <c r="G1789" i="6"/>
  <c r="G1788" i="6"/>
  <c r="G1787" i="6"/>
  <c r="G1786" i="6"/>
  <c r="G1785" i="6"/>
  <c r="G1784" i="6"/>
  <c r="G1783" i="6"/>
  <c r="G1782" i="6"/>
  <c r="G1781" i="6"/>
  <c r="G1780" i="6"/>
  <c r="G1779" i="6"/>
  <c r="G1778" i="6"/>
  <c r="G1777" i="6"/>
  <c r="G1776" i="6"/>
  <c r="G1775" i="6"/>
  <c r="G1774" i="6"/>
  <c r="G1773" i="6"/>
  <c r="G1772" i="6"/>
  <c r="G1771" i="6"/>
  <c r="G1770" i="6"/>
  <c r="G1769" i="6"/>
  <c r="G1768" i="6"/>
  <c r="G1767" i="6"/>
  <c r="G1766" i="6"/>
  <c r="G1765" i="6"/>
  <c r="G1764" i="6"/>
  <c r="G1763" i="6"/>
  <c r="G1762" i="6"/>
  <c r="G1761" i="6"/>
  <c r="G1760" i="6"/>
  <c r="G1759" i="6"/>
  <c r="G1758" i="6"/>
  <c r="G1757" i="6"/>
  <c r="G1756" i="6"/>
  <c r="G1755" i="6"/>
  <c r="G1754" i="6"/>
  <c r="G1753" i="6"/>
  <c r="G1752" i="6"/>
  <c r="G1751" i="6"/>
  <c r="G1750" i="6"/>
  <c r="G1749" i="6"/>
  <c r="G1748" i="6"/>
  <c r="G1747" i="6"/>
  <c r="G1746" i="6"/>
  <c r="G1745" i="6"/>
  <c r="G1744" i="6"/>
  <c r="G1743" i="6"/>
  <c r="G1742" i="6"/>
  <c r="G1741" i="6"/>
  <c r="G1740" i="6"/>
  <c r="G1739" i="6"/>
  <c r="G1738" i="6"/>
  <c r="G1737" i="6"/>
  <c r="G1736" i="6"/>
  <c r="G1735" i="6"/>
  <c r="G1734" i="6"/>
  <c r="G1733" i="6"/>
  <c r="G1732" i="6"/>
  <c r="G1731" i="6"/>
  <c r="G1730" i="6"/>
  <c r="G1729" i="6"/>
  <c r="G1728" i="6"/>
  <c r="G1727" i="6"/>
  <c r="G1726" i="6"/>
  <c r="G1725" i="6"/>
  <c r="G1724" i="6"/>
  <c r="G1723" i="6"/>
  <c r="G1722" i="6"/>
  <c r="G1721" i="6"/>
  <c r="G1720" i="6"/>
  <c r="G1719" i="6"/>
  <c r="G1718" i="6"/>
  <c r="G1717" i="6"/>
  <c r="G1716" i="6"/>
  <c r="G1715" i="6"/>
  <c r="G1714" i="6"/>
  <c r="G1713" i="6"/>
  <c r="G1712" i="6"/>
  <c r="G1711" i="6"/>
  <c r="G1710" i="6"/>
  <c r="G1709" i="6"/>
  <c r="G1708" i="6"/>
  <c r="G1707" i="6"/>
  <c r="G1706" i="6"/>
  <c r="G1705" i="6"/>
  <c r="G1704" i="6"/>
  <c r="G1703" i="6"/>
  <c r="G1702" i="6"/>
  <c r="G1701" i="6"/>
  <c r="G1700" i="6"/>
  <c r="G1699" i="6"/>
  <c r="G1698" i="6"/>
  <c r="G1697" i="6"/>
  <c r="G1696" i="6"/>
  <c r="G1695" i="6"/>
  <c r="G1694" i="6"/>
  <c r="G1693" i="6"/>
  <c r="G1692" i="6"/>
  <c r="G1691" i="6"/>
  <c r="G1690" i="6"/>
  <c r="G1689" i="6"/>
  <c r="G1688" i="6"/>
  <c r="G1687" i="6"/>
  <c r="G1686" i="6"/>
  <c r="G1685" i="6"/>
  <c r="G1684" i="6"/>
  <c r="G1683" i="6"/>
  <c r="G1682" i="6"/>
  <c r="G1681" i="6"/>
  <c r="G1680" i="6"/>
  <c r="G1679" i="6"/>
  <c r="G1678" i="6"/>
  <c r="G1677" i="6"/>
  <c r="G1676" i="6"/>
  <c r="G1675" i="6"/>
  <c r="G1674" i="6"/>
  <c r="G1673" i="6"/>
  <c r="G1672" i="6"/>
  <c r="G1671" i="6"/>
  <c r="G1670" i="6"/>
  <c r="G1669" i="6"/>
  <c r="G1668" i="6"/>
  <c r="G1667" i="6"/>
  <c r="G1666" i="6"/>
  <c r="G1665" i="6"/>
  <c r="G1664" i="6"/>
  <c r="G1663" i="6"/>
  <c r="G1662" i="6"/>
  <c r="G1661" i="6"/>
  <c r="G1660" i="6"/>
  <c r="G1659" i="6"/>
  <c r="G1658" i="6"/>
  <c r="G1657" i="6"/>
  <c r="G1656" i="6"/>
  <c r="G1655" i="6"/>
  <c r="G1654" i="6"/>
  <c r="G1653" i="6"/>
  <c r="G1652" i="6"/>
  <c r="G1651" i="6"/>
  <c r="G1650" i="6"/>
  <c r="G1649" i="6"/>
  <c r="G1648" i="6"/>
  <c r="G1647" i="6"/>
  <c r="G1646" i="6"/>
  <c r="G1645" i="6"/>
  <c r="G1644" i="6"/>
  <c r="G1643" i="6"/>
  <c r="G1642" i="6"/>
  <c r="G1641" i="6"/>
  <c r="G1640" i="6"/>
  <c r="G1639" i="6"/>
  <c r="G1638" i="6"/>
  <c r="G1637" i="6"/>
  <c r="G1636" i="6"/>
  <c r="G1635" i="6"/>
  <c r="G1634" i="6"/>
  <c r="G1633" i="6"/>
  <c r="G1632" i="6"/>
  <c r="G1631" i="6"/>
  <c r="G1630" i="6"/>
  <c r="G1629" i="6"/>
  <c r="G1628" i="6"/>
  <c r="G1627" i="6"/>
  <c r="G1626" i="6"/>
  <c r="G1625" i="6"/>
  <c r="G1624" i="6"/>
  <c r="G1623" i="6"/>
  <c r="G1622" i="6"/>
  <c r="G1621" i="6"/>
  <c r="G1620" i="6"/>
  <c r="G1619" i="6"/>
  <c r="G1618" i="6"/>
  <c r="G1617" i="6"/>
  <c r="G1616" i="6"/>
  <c r="G1615" i="6"/>
  <c r="G1614" i="6"/>
  <c r="G1613" i="6"/>
  <c r="G1612" i="6"/>
  <c r="G1611" i="6"/>
  <c r="G1610" i="6"/>
  <c r="G1609" i="6"/>
  <c r="G1608" i="6"/>
  <c r="G1607" i="6"/>
  <c r="G1606" i="6"/>
  <c r="G1605" i="6"/>
  <c r="G1604" i="6"/>
  <c r="G1603" i="6"/>
  <c r="G1602" i="6"/>
  <c r="G1601" i="6"/>
  <c r="G1600" i="6"/>
  <c r="G1599" i="6"/>
  <c r="G1598" i="6"/>
  <c r="G1597" i="6"/>
  <c r="G1596" i="6"/>
  <c r="G1595" i="6"/>
  <c r="G1594" i="6"/>
  <c r="G1593" i="6"/>
  <c r="G1592" i="6"/>
  <c r="G1591" i="6"/>
  <c r="G1590" i="6"/>
  <c r="G1589" i="6"/>
  <c r="G1588" i="6"/>
  <c r="G1587" i="6"/>
  <c r="G1586" i="6"/>
  <c r="G1585" i="6"/>
  <c r="G1584" i="6"/>
  <c r="G1583" i="6"/>
  <c r="G1582" i="6"/>
  <c r="G1581" i="6"/>
  <c r="G1580" i="6"/>
  <c r="G1579" i="6"/>
  <c r="G1578" i="6"/>
  <c r="G1577" i="6"/>
  <c r="G1576" i="6"/>
  <c r="G1575" i="6"/>
  <c r="G1574" i="6"/>
  <c r="G1573" i="6"/>
  <c r="G1572" i="6"/>
  <c r="G1571" i="6"/>
  <c r="G1570" i="6"/>
  <c r="G1569" i="6"/>
  <c r="G1568" i="6"/>
  <c r="G1567" i="6"/>
  <c r="G1566" i="6"/>
  <c r="G1565" i="6"/>
  <c r="G1564" i="6"/>
  <c r="G1563" i="6"/>
  <c r="G1562" i="6"/>
  <c r="G1561" i="6"/>
  <c r="G1560" i="6"/>
  <c r="G1559" i="6"/>
  <c r="G1558" i="6"/>
  <c r="G1557" i="6"/>
  <c r="G1556" i="6"/>
  <c r="G1555" i="6"/>
  <c r="G1554" i="6"/>
  <c r="G1553" i="6"/>
  <c r="G1552" i="6"/>
  <c r="G1551" i="6"/>
  <c r="G1550" i="6"/>
  <c r="G1549" i="6"/>
  <c r="G1548" i="6"/>
  <c r="G1547" i="6"/>
  <c r="G1546" i="6"/>
  <c r="G1545" i="6"/>
  <c r="G1544" i="6"/>
  <c r="G1543" i="6"/>
  <c r="G1542" i="6"/>
  <c r="G1541" i="6"/>
  <c r="G1540" i="6"/>
  <c r="G1539" i="6"/>
  <c r="G1538" i="6"/>
  <c r="G1537" i="6"/>
  <c r="G1536" i="6"/>
  <c r="G1535" i="6"/>
  <c r="G1534" i="6"/>
  <c r="G1533" i="6"/>
  <c r="G1532" i="6"/>
  <c r="G1531" i="6"/>
  <c r="G1530" i="6"/>
  <c r="G1529" i="6"/>
  <c r="G1528" i="6"/>
  <c r="G1527" i="6"/>
  <c r="G1526" i="6"/>
  <c r="G1525" i="6"/>
  <c r="G1524" i="6"/>
  <c r="G1523" i="6"/>
  <c r="G1522" i="6"/>
  <c r="G1521" i="6"/>
  <c r="G1520" i="6"/>
  <c r="G1519" i="6"/>
  <c r="G1518" i="6"/>
  <c r="G1517" i="6"/>
  <c r="G1516" i="6"/>
  <c r="G1515" i="6"/>
  <c r="G1514" i="6"/>
  <c r="G1513" i="6"/>
  <c r="G1512" i="6"/>
  <c r="G1511" i="6"/>
  <c r="G1510" i="6"/>
  <c r="G1509" i="6"/>
  <c r="G1508" i="6"/>
  <c r="G1507" i="6"/>
  <c r="G1506" i="6"/>
  <c r="G1505" i="6"/>
  <c r="G1504" i="6"/>
  <c r="G1503" i="6"/>
  <c r="G1502" i="6"/>
  <c r="G1501" i="6"/>
  <c r="G1500" i="6"/>
  <c r="G1499" i="6"/>
  <c r="G1498" i="6"/>
  <c r="G1497" i="6"/>
  <c r="G1496" i="6"/>
  <c r="G1495" i="6"/>
  <c r="G1494" i="6"/>
  <c r="G1493" i="6"/>
  <c r="G1492" i="6"/>
  <c r="G1491" i="6"/>
  <c r="G1490" i="6"/>
  <c r="G1489" i="6"/>
  <c r="G1488" i="6"/>
  <c r="G1487" i="6"/>
  <c r="G1486" i="6"/>
  <c r="G1485" i="6"/>
  <c r="G1484" i="6"/>
  <c r="G1483" i="6"/>
  <c r="G1482" i="6"/>
  <c r="G1481" i="6"/>
  <c r="G1480" i="6"/>
  <c r="G1479" i="6"/>
  <c r="G1478" i="6"/>
  <c r="G1477" i="6"/>
  <c r="G1476" i="6"/>
  <c r="G1475" i="6"/>
  <c r="G1474" i="6"/>
  <c r="G1473" i="6"/>
  <c r="G1472" i="6"/>
  <c r="G1471" i="6"/>
  <c r="G1470" i="6"/>
  <c r="G1469" i="6"/>
  <c r="G1468" i="6"/>
  <c r="G1467" i="6"/>
  <c r="G1466" i="6"/>
  <c r="G1465" i="6"/>
  <c r="G1464" i="6"/>
  <c r="G1463" i="6"/>
  <c r="G1462" i="6"/>
  <c r="G1461" i="6"/>
  <c r="G1460" i="6"/>
  <c r="G1459" i="6"/>
  <c r="G1458" i="6"/>
  <c r="G1457" i="6"/>
  <c r="G1456" i="6"/>
  <c r="G1455" i="6"/>
  <c r="G1454" i="6"/>
  <c r="G1453" i="6"/>
  <c r="G1452" i="6"/>
  <c r="G1451" i="6"/>
  <c r="G1450" i="6"/>
  <c r="G1449" i="6"/>
  <c r="G1448" i="6"/>
  <c r="G1447" i="6"/>
  <c r="G1446" i="6"/>
  <c r="G1445" i="6"/>
  <c r="G1444" i="6"/>
  <c r="G1443" i="6"/>
  <c r="G1442" i="6"/>
  <c r="G1441" i="6"/>
  <c r="G1440" i="6"/>
  <c r="G1439" i="6"/>
  <c r="G1438" i="6"/>
  <c r="G1437" i="6"/>
  <c r="G1436" i="6"/>
  <c r="G1435" i="6"/>
  <c r="G1434" i="6"/>
  <c r="G1433" i="6"/>
  <c r="G1432" i="6"/>
  <c r="G1431" i="6"/>
  <c r="G1430" i="6"/>
  <c r="G1429" i="6"/>
  <c r="G1428" i="6"/>
  <c r="G1427" i="6"/>
  <c r="G1426" i="6"/>
  <c r="G1425" i="6"/>
  <c r="G1424" i="6"/>
  <c r="G1423" i="6"/>
  <c r="G1422" i="6"/>
  <c r="G1421" i="6"/>
  <c r="G1420" i="6"/>
  <c r="G1419" i="6"/>
  <c r="G1418" i="6"/>
  <c r="G1417" i="6"/>
  <c r="G1416" i="6"/>
  <c r="G1415" i="6"/>
  <c r="G1414" i="6"/>
  <c r="G1413" i="6"/>
  <c r="G1412" i="6"/>
  <c r="G1411" i="6"/>
  <c r="G1410" i="6"/>
  <c r="G1409" i="6"/>
  <c r="G1408" i="6"/>
  <c r="G1407" i="6"/>
  <c r="G1406" i="6"/>
  <c r="G1405" i="6"/>
  <c r="G1404" i="6"/>
  <c r="G1403" i="6"/>
  <c r="G1402" i="6"/>
  <c r="G1401" i="6"/>
  <c r="G1400" i="6"/>
  <c r="G1399" i="6"/>
  <c r="G1398" i="6"/>
  <c r="G1397" i="6"/>
  <c r="G1396" i="6"/>
  <c r="G1395" i="6"/>
  <c r="G1394" i="6"/>
  <c r="G1393" i="6"/>
  <c r="G1392" i="6"/>
  <c r="G1391" i="6"/>
  <c r="G1390" i="6"/>
  <c r="G1389" i="6"/>
  <c r="G1388" i="6"/>
  <c r="G1387" i="6"/>
  <c r="G1386" i="6"/>
  <c r="G1385" i="6"/>
  <c r="G1384" i="6"/>
  <c r="G1383" i="6"/>
  <c r="G1382" i="6"/>
  <c r="G1381" i="6"/>
  <c r="G1380" i="6"/>
  <c r="G1379" i="6"/>
  <c r="G1378" i="6"/>
  <c r="G1377" i="6"/>
  <c r="G1376" i="6"/>
  <c r="G1375" i="6"/>
  <c r="G1374" i="6"/>
  <c r="G1373" i="6"/>
  <c r="G1372" i="6"/>
  <c r="G1371" i="6"/>
  <c r="G1370" i="6"/>
  <c r="G1369" i="6"/>
  <c r="G1368" i="6"/>
  <c r="G1367" i="6"/>
  <c r="G1366" i="6"/>
  <c r="G1365" i="6"/>
  <c r="G1364" i="6"/>
  <c r="G1363" i="6"/>
  <c r="G1362" i="6"/>
  <c r="G1361" i="6"/>
  <c r="G1360" i="6"/>
  <c r="G1359" i="6"/>
  <c r="G1358" i="6"/>
  <c r="G1357" i="6"/>
  <c r="G1356" i="6"/>
  <c r="G1355" i="6"/>
  <c r="G1354" i="6"/>
  <c r="G1353" i="6"/>
  <c r="G1352" i="6"/>
  <c r="G1351" i="6"/>
  <c r="G1350" i="6"/>
  <c r="G1349" i="6"/>
  <c r="G1348" i="6"/>
  <c r="G1347" i="6"/>
  <c r="G1346" i="6"/>
  <c r="G1345" i="6"/>
  <c r="G1344" i="6"/>
  <c r="G1343" i="6"/>
  <c r="G1342" i="6"/>
  <c r="G1341" i="6"/>
  <c r="G1340" i="6"/>
  <c r="G1339" i="6"/>
  <c r="G1338" i="6"/>
  <c r="G1337" i="6"/>
  <c r="G1336" i="6"/>
  <c r="G1335" i="6"/>
  <c r="G1334" i="6"/>
  <c r="G1333" i="6"/>
  <c r="G1332" i="6"/>
  <c r="G1331" i="6"/>
  <c r="G1330" i="6"/>
  <c r="G1329" i="6"/>
  <c r="G1328" i="6"/>
  <c r="G1327" i="6"/>
  <c r="G1326" i="6"/>
  <c r="G1325" i="6"/>
  <c r="G1324" i="6"/>
  <c r="G1323" i="6"/>
  <c r="G1322" i="6"/>
  <c r="G1321" i="6"/>
  <c r="G1320" i="6"/>
  <c r="G1319" i="6"/>
  <c r="G1318" i="6"/>
  <c r="G1317" i="6"/>
  <c r="G1316" i="6"/>
  <c r="G1315" i="6"/>
  <c r="G1314" i="6"/>
  <c r="G1313" i="6"/>
  <c r="G1312" i="6"/>
  <c r="G1311" i="6"/>
  <c r="G1310" i="6"/>
  <c r="G1309" i="6"/>
  <c r="G1308" i="6"/>
  <c r="G1307" i="6"/>
  <c r="G1306" i="6"/>
  <c r="G1305" i="6"/>
  <c r="G1304" i="6"/>
  <c r="G1303" i="6"/>
  <c r="G1302" i="6"/>
  <c r="G1301" i="6"/>
  <c r="G1300" i="6"/>
  <c r="G1299" i="6"/>
  <c r="G1298" i="6"/>
  <c r="G1297" i="6"/>
  <c r="G1296" i="6"/>
  <c r="G1295" i="6"/>
  <c r="G1294" i="6"/>
  <c r="G1293" i="6"/>
  <c r="G1292" i="6"/>
  <c r="G1291" i="6"/>
  <c r="G1290" i="6"/>
  <c r="G1289" i="6"/>
  <c r="G1288" i="6"/>
  <c r="G1287" i="6"/>
  <c r="G1286" i="6"/>
  <c r="G1285" i="6"/>
  <c r="G1284" i="6"/>
  <c r="G1283" i="6"/>
  <c r="G1282" i="6"/>
  <c r="G1281" i="6"/>
  <c r="G1280" i="6"/>
  <c r="G1279" i="6"/>
  <c r="G1278" i="6"/>
  <c r="G1277" i="6"/>
  <c r="G1276" i="6"/>
  <c r="G1275" i="6"/>
  <c r="G1274" i="6"/>
  <c r="G1273" i="6"/>
  <c r="G1272" i="6"/>
  <c r="G1271" i="6"/>
  <c r="G1270" i="6"/>
  <c r="G1269" i="6"/>
  <c r="G1268" i="6"/>
  <c r="G1267" i="6"/>
  <c r="G1266" i="6"/>
  <c r="G1265" i="6"/>
  <c r="G1264" i="6"/>
  <c r="G1263" i="6"/>
  <c r="G1262" i="6"/>
  <c r="G1261" i="6"/>
  <c r="G1260" i="6"/>
  <c r="G1259" i="6"/>
  <c r="G1258" i="6"/>
  <c r="G1257" i="6"/>
  <c r="G1256" i="6"/>
  <c r="G1255" i="6"/>
  <c r="G1254" i="6"/>
  <c r="G1253" i="6"/>
  <c r="G1252" i="6"/>
  <c r="G1251" i="6"/>
  <c r="G1250" i="6"/>
  <c r="G1249" i="6"/>
  <c r="G1248" i="6"/>
  <c r="G1247" i="6"/>
  <c r="G1246" i="6"/>
  <c r="G1245" i="6"/>
  <c r="G1244" i="6"/>
  <c r="G1243" i="6"/>
  <c r="G1242" i="6"/>
  <c r="G1241" i="6"/>
  <c r="G1240" i="6"/>
  <c r="G1239" i="6"/>
  <c r="G1238" i="6"/>
  <c r="G1237" i="6"/>
  <c r="G1236" i="6"/>
  <c r="G1235" i="6"/>
  <c r="G1234" i="6"/>
  <c r="G1233" i="6"/>
  <c r="G1232" i="6"/>
  <c r="G1231" i="6"/>
  <c r="G1230" i="6"/>
  <c r="G1229" i="6"/>
  <c r="G1228" i="6"/>
  <c r="G1227" i="6"/>
  <c r="G1226" i="6"/>
  <c r="G1225" i="6"/>
  <c r="G1224" i="6"/>
  <c r="G1223" i="6"/>
  <c r="G1222" i="6"/>
  <c r="G1221" i="6"/>
  <c r="G1220" i="6"/>
  <c r="G1219" i="6"/>
  <c r="G1218" i="6"/>
  <c r="G1217" i="6"/>
  <c r="G1216" i="6"/>
  <c r="G1215" i="6"/>
  <c r="G1214" i="6"/>
  <c r="G1213" i="6"/>
  <c r="G1212" i="6"/>
  <c r="G1211" i="6"/>
  <c r="G1210" i="6"/>
  <c r="G1209" i="6"/>
  <c r="G1208" i="6"/>
  <c r="G1207" i="6"/>
  <c r="G1206" i="6"/>
  <c r="G1205" i="6"/>
  <c r="G1204" i="6"/>
  <c r="G1203" i="6"/>
  <c r="G1202" i="6"/>
  <c r="G1201" i="6"/>
  <c r="G1200" i="6"/>
  <c r="G1199" i="6"/>
  <c r="G1198" i="6"/>
  <c r="G1197" i="6"/>
  <c r="G1196" i="6"/>
  <c r="G1195" i="6"/>
  <c r="G1194" i="6"/>
  <c r="G1193" i="6"/>
  <c r="G1192" i="6"/>
  <c r="G1191" i="6"/>
  <c r="G1190" i="6"/>
  <c r="G1189" i="6"/>
  <c r="G1188" i="6"/>
  <c r="G1187" i="6"/>
  <c r="G1186" i="6"/>
  <c r="G1185" i="6"/>
  <c r="G1184" i="6"/>
  <c r="G1183" i="6"/>
  <c r="G1182" i="6"/>
  <c r="G1181" i="6"/>
  <c r="G1180" i="6"/>
  <c r="G1179" i="6"/>
  <c r="G1178" i="6"/>
  <c r="G1177" i="6"/>
  <c r="G1176" i="6"/>
  <c r="G1175" i="6"/>
  <c r="G1174" i="6"/>
  <c r="G1173" i="6"/>
  <c r="G1172" i="6"/>
  <c r="G1171" i="6"/>
  <c r="G1170" i="6"/>
  <c r="G1169" i="6"/>
  <c r="G1168" i="6"/>
  <c r="G1167" i="6"/>
  <c r="G1166" i="6"/>
  <c r="G1165" i="6"/>
  <c r="G1164" i="6"/>
  <c r="G1163" i="6"/>
  <c r="G1162" i="6"/>
  <c r="G1161" i="6"/>
  <c r="G1160" i="6"/>
  <c r="G1159" i="6"/>
  <c r="G1158" i="6"/>
  <c r="G1157" i="6"/>
  <c r="G1156" i="6"/>
  <c r="G1155" i="6"/>
  <c r="G1154" i="6"/>
  <c r="G1153" i="6"/>
  <c r="G1152" i="6"/>
  <c r="G1151" i="6"/>
  <c r="G1150" i="6"/>
  <c r="G1149" i="6"/>
  <c r="G1148" i="6"/>
  <c r="G1147" i="6"/>
  <c r="G1146" i="6"/>
  <c r="G1145" i="6"/>
  <c r="G1144" i="6"/>
  <c r="G1143" i="6"/>
  <c r="G1142" i="6"/>
  <c r="G1141" i="6"/>
  <c r="G1140" i="6"/>
  <c r="G1139" i="6"/>
  <c r="G1138" i="6"/>
  <c r="G1137" i="6"/>
  <c r="G1136" i="6"/>
  <c r="G1135" i="6"/>
  <c r="G1134" i="6"/>
  <c r="G1133" i="6"/>
  <c r="G1132" i="6"/>
  <c r="G1131" i="6"/>
  <c r="G1130" i="6"/>
  <c r="G1129" i="6"/>
  <c r="G1128" i="6"/>
  <c r="G1127" i="6"/>
  <c r="G1126" i="6"/>
  <c r="G1125" i="6"/>
  <c r="G1124" i="6"/>
  <c r="G1123" i="6"/>
  <c r="G1122" i="6"/>
  <c r="G1121" i="6"/>
  <c r="G1120" i="6"/>
  <c r="G1119" i="6"/>
  <c r="G1118" i="6"/>
  <c r="G1117" i="6"/>
  <c r="G1116" i="6"/>
  <c r="G1115" i="6"/>
  <c r="G1114" i="6"/>
  <c r="G1113" i="6"/>
  <c r="G1112" i="6"/>
  <c r="G1111" i="6"/>
  <c r="G1110" i="6"/>
  <c r="G1109" i="6"/>
  <c r="G1108" i="6"/>
  <c r="G1107" i="6"/>
  <c r="G1106" i="6"/>
  <c r="G1105" i="6"/>
  <c r="G1104" i="6"/>
  <c r="G1103" i="6"/>
  <c r="G1102" i="6"/>
  <c r="G1101" i="6"/>
  <c r="G1100" i="6"/>
  <c r="G1099" i="6"/>
  <c r="G1098" i="6"/>
  <c r="G1097" i="6"/>
  <c r="G1096" i="6"/>
  <c r="G1095" i="6"/>
  <c r="G1094" i="6"/>
  <c r="G1093" i="6"/>
  <c r="G1092" i="6"/>
  <c r="G1091" i="6"/>
  <c r="G1090" i="6"/>
  <c r="G1089" i="6"/>
  <c r="G1088" i="6"/>
  <c r="G1087" i="6"/>
  <c r="G1086" i="6"/>
  <c r="G1085" i="6"/>
  <c r="G1084" i="6"/>
  <c r="G1083" i="6"/>
  <c r="G1082" i="6"/>
  <c r="G1081" i="6"/>
  <c r="G1080" i="6"/>
  <c r="G1079" i="6"/>
  <c r="G1078" i="6"/>
  <c r="G1077" i="6"/>
  <c r="G1076" i="6"/>
  <c r="G1075" i="6"/>
  <c r="G1074" i="6"/>
  <c r="G1073" i="6"/>
  <c r="G1072" i="6"/>
  <c r="G1071" i="6"/>
  <c r="G1070" i="6"/>
  <c r="G1069" i="6"/>
  <c r="G1068" i="6"/>
  <c r="G1067" i="6"/>
  <c r="G1066" i="6"/>
  <c r="G1065" i="6"/>
  <c r="G1064" i="6"/>
  <c r="G1063" i="6"/>
  <c r="G1062" i="6"/>
  <c r="G1061" i="6"/>
  <c r="G1060" i="6"/>
  <c r="G1059" i="6"/>
  <c r="G1058" i="6"/>
  <c r="G1057" i="6"/>
  <c r="G1056" i="6"/>
  <c r="G1055" i="6"/>
  <c r="G1054" i="6"/>
  <c r="G1053" i="6"/>
  <c r="G1052" i="6"/>
  <c r="G1051" i="6"/>
  <c r="G1050" i="6"/>
  <c r="G1049" i="6"/>
  <c r="G1048" i="6"/>
  <c r="G1047" i="6"/>
  <c r="G1046" i="6"/>
  <c r="G1045" i="6"/>
  <c r="G1044" i="6"/>
  <c r="G1043" i="6"/>
  <c r="G1042" i="6"/>
  <c r="G1041" i="6"/>
  <c r="G1040" i="6"/>
  <c r="G1039" i="6"/>
  <c r="G1038" i="6"/>
  <c r="G1037" i="6"/>
  <c r="G1036" i="6"/>
  <c r="G1035" i="6"/>
  <c r="G1034" i="6"/>
  <c r="G1033" i="6"/>
  <c r="G1032" i="6"/>
  <c r="G1031" i="6"/>
  <c r="G1030" i="6"/>
  <c r="G1029" i="6"/>
  <c r="G1028" i="6"/>
  <c r="G1027" i="6"/>
  <c r="G1026" i="6"/>
  <c r="G1025" i="6"/>
  <c r="G1024" i="6"/>
  <c r="G1023" i="6"/>
  <c r="G1022" i="6"/>
  <c r="G1021" i="6"/>
  <c r="G1020" i="6"/>
  <c r="G1019" i="6"/>
  <c r="G1018" i="6"/>
  <c r="G1017" i="6"/>
  <c r="G1016" i="6"/>
  <c r="G1015" i="6"/>
  <c r="G1014" i="6"/>
  <c r="G1013" i="6"/>
  <c r="G1012" i="6"/>
  <c r="G1011" i="6"/>
  <c r="G1010" i="6"/>
  <c r="G1009" i="6"/>
  <c r="G1008" i="6"/>
  <c r="G1007" i="6"/>
  <c r="G1006" i="6"/>
  <c r="G1005" i="6"/>
  <c r="G1004" i="6"/>
  <c r="G1003" i="6"/>
  <c r="G1002" i="6"/>
  <c r="G1001" i="6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4" i="6"/>
  <c r="G5" i="6"/>
  <c r="G6" i="6"/>
  <c r="G7" i="6"/>
  <c r="G8" i="6"/>
  <c r="G9" i="6"/>
  <c r="G10" i="6"/>
  <c r="G11" i="6"/>
  <c r="G12" i="6"/>
  <c r="G13" i="6"/>
  <c r="G3" i="6"/>
  <c r="I1824" i="6" l="1"/>
  <c r="I1826" i="6"/>
  <c r="I1376" i="6"/>
  <c r="I1617" i="6"/>
  <c r="J1127" i="6"/>
  <c r="J506" i="6"/>
  <c r="J426" i="6"/>
  <c r="J1124" i="6"/>
  <c r="I341" i="6"/>
  <c r="I661" i="6"/>
  <c r="I821" i="6"/>
  <c r="I1091" i="6"/>
  <c r="I1221" i="6"/>
  <c r="I1240" i="6"/>
  <c r="I1380" i="6"/>
  <c r="I1441" i="6"/>
  <c r="K1441" i="6" s="1"/>
  <c r="L1441" i="6" s="1"/>
  <c r="I1481" i="6"/>
  <c r="I1521" i="6"/>
  <c r="I1621" i="6"/>
  <c r="I1641" i="6"/>
  <c r="I1661" i="6"/>
  <c r="I1741" i="6"/>
  <c r="I1781" i="6"/>
  <c r="I1821" i="6"/>
  <c r="I1961" i="6"/>
  <c r="J1923" i="6"/>
  <c r="J1683" i="6"/>
  <c r="J1423" i="6"/>
  <c r="J1323" i="6"/>
  <c r="J1220" i="6"/>
  <c r="J1003" i="6"/>
  <c r="J874" i="6"/>
  <c r="J783" i="6"/>
  <c r="J543" i="6"/>
  <c r="J343" i="6"/>
  <c r="J283" i="6"/>
  <c r="I82" i="6"/>
  <c r="I162" i="6"/>
  <c r="I262" i="6"/>
  <c r="I342" i="6"/>
  <c r="I462" i="6"/>
  <c r="I702" i="6"/>
  <c r="I922" i="6"/>
  <c r="I926" i="6"/>
  <c r="J1644" i="6"/>
  <c r="I481" i="6"/>
  <c r="I1361" i="6"/>
  <c r="I982" i="6"/>
  <c r="I786" i="6"/>
  <c r="I1226" i="6"/>
  <c r="J484" i="6"/>
  <c r="I62" i="6"/>
  <c r="I182" i="6"/>
  <c r="I282" i="6"/>
  <c r="I402" i="6"/>
  <c r="I522" i="6"/>
  <c r="I642" i="6"/>
  <c r="I782" i="6"/>
  <c r="I1022" i="6"/>
  <c r="I1467" i="6"/>
  <c r="I102" i="6"/>
  <c r="I142" i="6"/>
  <c r="I222" i="6"/>
  <c r="I302" i="6"/>
  <c r="I362" i="6"/>
  <c r="I422" i="6"/>
  <c r="I482" i="6"/>
  <c r="I542" i="6"/>
  <c r="I602" i="6"/>
  <c r="I662" i="6"/>
  <c r="I722" i="6"/>
  <c r="I762" i="6"/>
  <c r="I822" i="6"/>
  <c r="I862" i="6"/>
  <c r="I902" i="6"/>
  <c r="I962" i="6"/>
  <c r="I1042" i="6"/>
  <c r="J284" i="6"/>
  <c r="I181" i="6"/>
  <c r="I521" i="6"/>
  <c r="I621" i="6"/>
  <c r="I42" i="6"/>
  <c r="I122" i="6"/>
  <c r="I202" i="6"/>
  <c r="I242" i="6"/>
  <c r="I322" i="6"/>
  <c r="I382" i="6"/>
  <c r="K382" i="6" s="1"/>
  <c r="L382" i="6" s="1"/>
  <c r="I442" i="6"/>
  <c r="I502" i="6"/>
  <c r="I582" i="6"/>
  <c r="I622" i="6"/>
  <c r="I682" i="6"/>
  <c r="I742" i="6"/>
  <c r="I802" i="6"/>
  <c r="I842" i="6"/>
  <c r="I882" i="6"/>
  <c r="I942" i="6"/>
  <c r="I1002" i="6"/>
  <c r="I343" i="6"/>
  <c r="K343" i="6" s="1"/>
  <c r="L343" i="6" s="1"/>
  <c r="I1098" i="6"/>
  <c r="I1619" i="6"/>
  <c r="I560" i="6"/>
  <c r="J1940" i="6"/>
  <c r="J1215" i="6"/>
  <c r="J1197" i="6"/>
  <c r="J982" i="6"/>
  <c r="J902" i="6"/>
  <c r="J873" i="6"/>
  <c r="J514" i="6"/>
  <c r="I1719" i="6"/>
  <c r="I1721" i="6"/>
  <c r="I667" i="6"/>
  <c r="I1929" i="6"/>
  <c r="J1435" i="6"/>
  <c r="J875" i="6"/>
  <c r="J1434" i="6"/>
  <c r="J1935" i="6"/>
  <c r="I1931" i="6"/>
  <c r="J512" i="6"/>
  <c r="I1828" i="6"/>
  <c r="I523" i="6"/>
  <c r="I826" i="6"/>
  <c r="I827" i="6"/>
  <c r="I829" i="6"/>
  <c r="I1367" i="6"/>
  <c r="I1466" i="6"/>
  <c r="I1613" i="6"/>
  <c r="I1933" i="6"/>
  <c r="J511" i="6"/>
  <c r="J251" i="6"/>
  <c r="J171" i="6"/>
  <c r="I94" i="6"/>
  <c r="I414" i="6"/>
  <c r="I432" i="6"/>
  <c r="I612" i="6"/>
  <c r="I732" i="6"/>
  <c r="I753" i="6"/>
  <c r="I1094" i="6"/>
  <c r="I1234" i="6"/>
  <c r="I1494" i="6"/>
  <c r="J1428" i="6"/>
  <c r="J1429" i="6"/>
  <c r="J746" i="6"/>
  <c r="J510" i="6"/>
  <c r="J1427" i="6"/>
  <c r="I254" i="6"/>
  <c r="K341" i="6"/>
  <c r="L341" i="6" s="1"/>
  <c r="I1096" i="6"/>
  <c r="I56" i="6"/>
  <c r="I416" i="6"/>
  <c r="I834" i="6"/>
  <c r="I1016" i="6"/>
  <c r="I1236" i="6"/>
  <c r="I717" i="6"/>
  <c r="I917" i="6"/>
  <c r="J1193" i="6"/>
  <c r="I25" i="6"/>
  <c r="I58" i="6"/>
  <c r="I98" i="6"/>
  <c r="I138" i="6"/>
  <c r="I178" i="6"/>
  <c r="I218" i="6"/>
  <c r="I238" i="6"/>
  <c r="I258" i="6"/>
  <c r="I298" i="6"/>
  <c r="I338" i="6"/>
  <c r="I378" i="6"/>
  <c r="I418" i="6"/>
  <c r="I458" i="6"/>
  <c r="I498" i="6"/>
  <c r="I538" i="6"/>
  <c r="I578" i="6"/>
  <c r="I618" i="6"/>
  <c r="I938" i="6"/>
  <c r="I978" i="6"/>
  <c r="I1238" i="6"/>
  <c r="I1378" i="6"/>
  <c r="I1418" i="6"/>
  <c r="I1498" i="6"/>
  <c r="K1498" i="6" s="1"/>
  <c r="L1498" i="6" s="1"/>
  <c r="I1718" i="6"/>
  <c r="I1918" i="6"/>
  <c r="J1746" i="6"/>
  <c r="J1686" i="6"/>
  <c r="J1406" i="6"/>
  <c r="J346" i="6"/>
  <c r="J106" i="6"/>
  <c r="I799" i="6"/>
  <c r="I879" i="6"/>
  <c r="I979" i="6"/>
  <c r="I1219" i="6"/>
  <c r="I1279" i="6"/>
  <c r="I1359" i="6"/>
  <c r="I1639" i="6"/>
  <c r="I1959" i="6"/>
  <c r="J1745" i="6"/>
  <c r="J1685" i="6"/>
  <c r="J1465" i="6"/>
  <c r="J1325" i="6"/>
  <c r="K1325" i="6" s="1"/>
  <c r="L1325" i="6" s="1"/>
  <c r="J1145" i="6"/>
  <c r="I233" i="6"/>
  <c r="I436" i="6"/>
  <c r="I696" i="6"/>
  <c r="I733" i="6"/>
  <c r="I976" i="6"/>
  <c r="I957" i="6"/>
  <c r="I38" i="6"/>
  <c r="I78" i="6"/>
  <c r="I118" i="6"/>
  <c r="I158" i="6"/>
  <c r="I198" i="6"/>
  <c r="I278" i="6"/>
  <c r="I318" i="6"/>
  <c r="I358" i="6"/>
  <c r="I398" i="6"/>
  <c r="I438" i="6"/>
  <c r="I478" i="6"/>
  <c r="I518" i="6"/>
  <c r="I558" i="6"/>
  <c r="I598" i="6"/>
  <c r="I638" i="6"/>
  <c r="I858" i="6"/>
  <c r="I1038" i="6"/>
  <c r="I1458" i="6"/>
  <c r="I1898" i="6"/>
  <c r="I1958" i="6"/>
  <c r="J1646" i="6"/>
  <c r="J646" i="6"/>
  <c r="I300" i="6"/>
  <c r="I480" i="6"/>
  <c r="I780" i="6"/>
  <c r="I860" i="6"/>
  <c r="I940" i="6"/>
  <c r="I980" i="6"/>
  <c r="I1040" i="6"/>
  <c r="I1060" i="6"/>
  <c r="I1120" i="6"/>
  <c r="K1120" i="6" s="1"/>
  <c r="L1120" i="6" s="1"/>
  <c r="I1300" i="6"/>
  <c r="I1360" i="6"/>
  <c r="I1720" i="6"/>
  <c r="J1744" i="6"/>
  <c r="J1684" i="6"/>
  <c r="J1524" i="6"/>
  <c r="J1484" i="6"/>
  <c r="J1084" i="6"/>
  <c r="J1004" i="6"/>
  <c r="J984" i="6"/>
  <c r="K984" i="6" s="1"/>
  <c r="L984" i="6" s="1"/>
  <c r="J564" i="6"/>
  <c r="J164" i="6"/>
  <c r="I123" i="6"/>
  <c r="I645" i="6"/>
  <c r="I725" i="6"/>
  <c r="I825" i="6"/>
  <c r="I885" i="6"/>
  <c r="I945" i="6"/>
  <c r="I985" i="6"/>
  <c r="I1005" i="6"/>
  <c r="I1025" i="6"/>
  <c r="I1045" i="6"/>
  <c r="I1065" i="6"/>
  <c r="I1085" i="6"/>
  <c r="I1105" i="6"/>
  <c r="I1125" i="6"/>
  <c r="I1145" i="6"/>
  <c r="I1225" i="6"/>
  <c r="I1245" i="6"/>
  <c r="I1265" i="6"/>
  <c r="I1285" i="6"/>
  <c r="I1305" i="6"/>
  <c r="I1325" i="6"/>
  <c r="J1919" i="6"/>
  <c r="J513" i="6"/>
  <c r="I86" i="6"/>
  <c r="I366" i="6"/>
  <c r="I646" i="6"/>
  <c r="I666" i="6"/>
  <c r="I686" i="6"/>
  <c r="I706" i="6"/>
  <c r="I726" i="6"/>
  <c r="I746" i="6"/>
  <c r="I766" i="6"/>
  <c r="I806" i="6"/>
  <c r="I846" i="6"/>
  <c r="I866" i="6"/>
  <c r="I886" i="6"/>
  <c r="I906" i="6"/>
  <c r="I946" i="6"/>
  <c r="I966" i="6"/>
  <c r="I986" i="6"/>
  <c r="I1006" i="6"/>
  <c r="I1026" i="6"/>
  <c r="I1046" i="6"/>
  <c r="I1066" i="6"/>
  <c r="I1086" i="6"/>
  <c r="I1106" i="6"/>
  <c r="I1126" i="6"/>
  <c r="I1146" i="6"/>
  <c r="I1166" i="6"/>
  <c r="I1186" i="6"/>
  <c r="I1206" i="6"/>
  <c r="I1246" i="6"/>
  <c r="I1266" i="6"/>
  <c r="I1286" i="6"/>
  <c r="I1306" i="6"/>
  <c r="I1746" i="6"/>
  <c r="K1746" i="6" s="1"/>
  <c r="L1746" i="6" s="1"/>
  <c r="I1062" i="6"/>
  <c r="I1122" i="6"/>
  <c r="I1182" i="6"/>
  <c r="K1182" i="6" s="1"/>
  <c r="L1182" i="6" s="1"/>
  <c r="I1242" i="6"/>
  <c r="I1302" i="6"/>
  <c r="K1302" i="6" s="1"/>
  <c r="L1302" i="6" s="1"/>
  <c r="I1362" i="6"/>
  <c r="I1402" i="6"/>
  <c r="I1462" i="6"/>
  <c r="I1522" i="6"/>
  <c r="K1522" i="6" s="1"/>
  <c r="L1522" i="6" s="1"/>
  <c r="I1582" i="6"/>
  <c r="K1582" i="6" s="1"/>
  <c r="L1582" i="6" s="1"/>
  <c r="I1642" i="6"/>
  <c r="I1702" i="6"/>
  <c r="I1762" i="6"/>
  <c r="I1822" i="6"/>
  <c r="I1882" i="6"/>
  <c r="K1882" i="6" s="1"/>
  <c r="L1882" i="6" s="1"/>
  <c r="I1942" i="6"/>
  <c r="I1982" i="6"/>
  <c r="J1962" i="6"/>
  <c r="J1922" i="6"/>
  <c r="J1862" i="6"/>
  <c r="J1802" i="6"/>
  <c r="J1762" i="6"/>
  <c r="J1702" i="6"/>
  <c r="J1642" i="6"/>
  <c r="J1582" i="6"/>
  <c r="J1562" i="6"/>
  <c r="J1502" i="6"/>
  <c r="J1442" i="6"/>
  <c r="J1382" i="6"/>
  <c r="J1322" i="6"/>
  <c r="J1262" i="6"/>
  <c r="J1202" i="6"/>
  <c r="J1142" i="6"/>
  <c r="J1082" i="6"/>
  <c r="J1022" i="6"/>
  <c r="K1022" i="6" s="1"/>
  <c r="L1022" i="6" s="1"/>
  <c r="I103" i="6"/>
  <c r="I183" i="6"/>
  <c r="I243" i="6"/>
  <c r="I303" i="6"/>
  <c r="I383" i="6"/>
  <c r="I443" i="6"/>
  <c r="I503" i="6"/>
  <c r="I563" i="6"/>
  <c r="I663" i="6"/>
  <c r="I723" i="6"/>
  <c r="I783" i="6"/>
  <c r="I843" i="6"/>
  <c r="I903" i="6"/>
  <c r="I963" i="6"/>
  <c r="I1023" i="6"/>
  <c r="I1083" i="6"/>
  <c r="I1123" i="6"/>
  <c r="I1183" i="6"/>
  <c r="I1243" i="6"/>
  <c r="I1283" i="6"/>
  <c r="I64" i="6"/>
  <c r="I164" i="6"/>
  <c r="I204" i="6"/>
  <c r="I264" i="6"/>
  <c r="I324" i="6"/>
  <c r="I384" i="6"/>
  <c r="I444" i="6"/>
  <c r="I504" i="6"/>
  <c r="I564" i="6"/>
  <c r="I604" i="6"/>
  <c r="I644" i="6"/>
  <c r="I704" i="6"/>
  <c r="I764" i="6"/>
  <c r="I824" i="6"/>
  <c r="I844" i="6"/>
  <c r="K844" i="6" s="1"/>
  <c r="L844" i="6" s="1"/>
  <c r="I904" i="6"/>
  <c r="K904" i="6" s="1"/>
  <c r="L904" i="6" s="1"/>
  <c r="I964" i="6"/>
  <c r="I1024" i="6"/>
  <c r="I1084" i="6"/>
  <c r="I1144" i="6"/>
  <c r="I1184" i="6"/>
  <c r="I1244" i="6"/>
  <c r="I185" i="6"/>
  <c r="I545" i="6"/>
  <c r="I625" i="6"/>
  <c r="I705" i="6"/>
  <c r="I785" i="6"/>
  <c r="I845" i="6"/>
  <c r="I925" i="6"/>
  <c r="I1165" i="6"/>
  <c r="I248" i="6"/>
  <c r="I368" i="6"/>
  <c r="I408" i="6"/>
  <c r="I648" i="6"/>
  <c r="I668" i="6"/>
  <c r="I688" i="6"/>
  <c r="I708" i="6"/>
  <c r="I728" i="6"/>
  <c r="I748" i="6"/>
  <c r="I768" i="6"/>
  <c r="I788" i="6"/>
  <c r="I808" i="6"/>
  <c r="I828" i="6"/>
  <c r="I848" i="6"/>
  <c r="I868" i="6"/>
  <c r="I888" i="6"/>
  <c r="I908" i="6"/>
  <c r="I928" i="6"/>
  <c r="I948" i="6"/>
  <c r="I968" i="6"/>
  <c r="I988" i="6"/>
  <c r="I1008" i="6"/>
  <c r="I1028" i="6"/>
  <c r="I1048" i="6"/>
  <c r="I1068" i="6"/>
  <c r="I1088" i="6"/>
  <c r="I1108" i="6"/>
  <c r="I1128" i="6"/>
  <c r="I1148" i="6"/>
  <c r="I1168" i="6"/>
  <c r="I1208" i="6"/>
  <c r="I1228" i="6"/>
  <c r="I1248" i="6"/>
  <c r="I1268" i="6"/>
  <c r="I1288" i="6"/>
  <c r="I1308" i="6"/>
  <c r="I1328" i="6"/>
  <c r="I1348" i="6"/>
  <c r="I1368" i="6"/>
  <c r="I1388" i="6"/>
  <c r="I1408" i="6"/>
  <c r="I1428" i="6"/>
  <c r="I1448" i="6"/>
  <c r="I1468" i="6"/>
  <c r="I1488" i="6"/>
  <c r="I1508" i="6"/>
  <c r="I1528" i="6"/>
  <c r="I1548" i="6"/>
  <c r="I1568" i="6"/>
  <c r="I1588" i="6"/>
  <c r="I1608" i="6"/>
  <c r="I1628" i="6"/>
  <c r="I1648" i="6"/>
  <c r="I1668" i="6"/>
  <c r="I1688" i="6"/>
  <c r="I1708" i="6"/>
  <c r="I1728" i="6"/>
  <c r="I1748" i="6"/>
  <c r="I1768" i="6"/>
  <c r="I1787" i="6"/>
  <c r="I1808" i="6"/>
  <c r="I1848" i="6"/>
  <c r="I1868" i="6"/>
  <c r="I1888" i="6"/>
  <c r="I1908" i="6"/>
  <c r="I1928" i="6"/>
  <c r="I1948" i="6"/>
  <c r="I1968" i="6"/>
  <c r="I1988" i="6"/>
  <c r="K1988" i="6" s="1"/>
  <c r="L1988" i="6" s="1"/>
  <c r="J1984" i="6"/>
  <c r="J1272" i="6"/>
  <c r="J876" i="6"/>
  <c r="I1102" i="6"/>
  <c r="I1162" i="6"/>
  <c r="I1222" i="6"/>
  <c r="I1282" i="6"/>
  <c r="I1342" i="6"/>
  <c r="I1422" i="6"/>
  <c r="I1482" i="6"/>
  <c r="I1542" i="6"/>
  <c r="I1622" i="6"/>
  <c r="I1682" i="6"/>
  <c r="I1722" i="6"/>
  <c r="I1782" i="6"/>
  <c r="I1842" i="6"/>
  <c r="I1902" i="6"/>
  <c r="I1962" i="6"/>
  <c r="K1962" i="6" s="1"/>
  <c r="L1962" i="6" s="1"/>
  <c r="J1982" i="6"/>
  <c r="J1902" i="6"/>
  <c r="J1822" i="6"/>
  <c r="J1722" i="6"/>
  <c r="J1662" i="6"/>
  <c r="J1602" i="6"/>
  <c r="J1522" i="6"/>
  <c r="J1462" i="6"/>
  <c r="J1402" i="6"/>
  <c r="J1342" i="6"/>
  <c r="J1282" i="6"/>
  <c r="J1222" i="6"/>
  <c r="J1162" i="6"/>
  <c r="J1102" i="6"/>
  <c r="J1042" i="6"/>
  <c r="I63" i="6"/>
  <c r="I143" i="6"/>
  <c r="I203" i="6"/>
  <c r="I263" i="6"/>
  <c r="I323" i="6"/>
  <c r="I403" i="6"/>
  <c r="I463" i="6"/>
  <c r="I543" i="6"/>
  <c r="I623" i="6"/>
  <c r="I703" i="6"/>
  <c r="I763" i="6"/>
  <c r="I823" i="6"/>
  <c r="I883" i="6"/>
  <c r="I943" i="6"/>
  <c r="I1003" i="6"/>
  <c r="I1063" i="6"/>
  <c r="I1103" i="6"/>
  <c r="I1163" i="6"/>
  <c r="I1223" i="6"/>
  <c r="I1303" i="6"/>
  <c r="I84" i="6"/>
  <c r="I224" i="6"/>
  <c r="I284" i="6"/>
  <c r="I344" i="6"/>
  <c r="I424" i="6"/>
  <c r="I484" i="6"/>
  <c r="I544" i="6"/>
  <c r="I624" i="6"/>
  <c r="I684" i="6"/>
  <c r="I744" i="6"/>
  <c r="I804" i="6"/>
  <c r="I884" i="6"/>
  <c r="I944" i="6"/>
  <c r="I1004" i="6"/>
  <c r="K1004" i="6" s="1"/>
  <c r="L1004" i="6" s="1"/>
  <c r="I1064" i="6"/>
  <c r="I1124" i="6"/>
  <c r="I1224" i="6"/>
  <c r="I1284" i="6"/>
  <c r="I665" i="6"/>
  <c r="I765" i="6"/>
  <c r="I865" i="6"/>
  <c r="I965" i="6"/>
  <c r="I1205" i="6"/>
  <c r="I547" i="6"/>
  <c r="I887" i="6"/>
  <c r="J877" i="6"/>
  <c r="J95" i="6"/>
  <c r="I603" i="6"/>
  <c r="K603" i="6" s="1"/>
  <c r="L603" i="6" s="1"/>
  <c r="I144" i="6"/>
  <c r="I230" i="6"/>
  <c r="I730" i="6"/>
  <c r="I909" i="6"/>
  <c r="I1069" i="6"/>
  <c r="I1410" i="6"/>
  <c r="I1490" i="6"/>
  <c r="I1549" i="6"/>
  <c r="I1749" i="6"/>
  <c r="I1870" i="6"/>
  <c r="J194" i="6"/>
  <c r="I643" i="6"/>
  <c r="I124" i="6"/>
  <c r="I1927" i="6"/>
  <c r="I1082" i="6"/>
  <c r="I1142" i="6"/>
  <c r="I1202" i="6"/>
  <c r="K1202" i="6" s="1"/>
  <c r="L1202" i="6" s="1"/>
  <c r="I1262" i="6"/>
  <c r="I1322" i="6"/>
  <c r="I1382" i="6"/>
  <c r="I1442" i="6"/>
  <c r="I1502" i="6"/>
  <c r="I1562" i="6"/>
  <c r="I1602" i="6"/>
  <c r="K1602" i="6" s="1"/>
  <c r="L1602" i="6" s="1"/>
  <c r="I1662" i="6"/>
  <c r="K1662" i="6" s="1"/>
  <c r="L1662" i="6" s="1"/>
  <c r="I1742" i="6"/>
  <c r="I1802" i="6"/>
  <c r="K1802" i="6" s="1"/>
  <c r="L1802" i="6" s="1"/>
  <c r="I1862" i="6"/>
  <c r="K1862" i="6" s="1"/>
  <c r="L1862" i="6" s="1"/>
  <c r="I1922" i="6"/>
  <c r="J16" i="6"/>
  <c r="J1942" i="6"/>
  <c r="J1882" i="6"/>
  <c r="J1842" i="6"/>
  <c r="J1782" i="6"/>
  <c r="J1742" i="6"/>
  <c r="J1682" i="6"/>
  <c r="J1622" i="6"/>
  <c r="J1542" i="6"/>
  <c r="J1482" i="6"/>
  <c r="J1422" i="6"/>
  <c r="J1362" i="6"/>
  <c r="J1302" i="6"/>
  <c r="J1242" i="6"/>
  <c r="J1182" i="6"/>
  <c r="J1122" i="6"/>
  <c r="J1062" i="6"/>
  <c r="J1002" i="6"/>
  <c r="J922" i="6"/>
  <c r="K922" i="6" s="1"/>
  <c r="L922" i="6" s="1"/>
  <c r="I43" i="6"/>
  <c r="I83" i="6"/>
  <c r="I163" i="6"/>
  <c r="I223" i="6"/>
  <c r="I283" i="6"/>
  <c r="I363" i="6"/>
  <c r="I423" i="6"/>
  <c r="I483" i="6"/>
  <c r="I583" i="6"/>
  <c r="I683" i="6"/>
  <c r="I743" i="6"/>
  <c r="K743" i="6" s="1"/>
  <c r="L743" i="6" s="1"/>
  <c r="I803" i="6"/>
  <c r="I863" i="6"/>
  <c r="I923" i="6"/>
  <c r="I983" i="6"/>
  <c r="I1043" i="6"/>
  <c r="I1143" i="6"/>
  <c r="I1203" i="6"/>
  <c r="I1263" i="6"/>
  <c r="I44" i="6"/>
  <c r="I104" i="6"/>
  <c r="I184" i="6"/>
  <c r="I244" i="6"/>
  <c r="I304" i="6"/>
  <c r="I364" i="6"/>
  <c r="I404" i="6"/>
  <c r="I464" i="6"/>
  <c r="I524" i="6"/>
  <c r="I584" i="6"/>
  <c r="I664" i="6"/>
  <c r="I724" i="6"/>
  <c r="I784" i="6"/>
  <c r="I864" i="6"/>
  <c r="I924" i="6"/>
  <c r="I984" i="6"/>
  <c r="I1044" i="6"/>
  <c r="I1104" i="6"/>
  <c r="I1164" i="6"/>
  <c r="I1204" i="6"/>
  <c r="I1264" i="6"/>
  <c r="I685" i="6"/>
  <c r="I745" i="6"/>
  <c r="I805" i="6"/>
  <c r="I905" i="6"/>
  <c r="I1185" i="6"/>
  <c r="I927" i="6"/>
  <c r="I987" i="6"/>
  <c r="J137" i="6"/>
  <c r="I231" i="6"/>
  <c r="I252" i="6"/>
  <c r="I1492" i="6"/>
  <c r="I1136" i="6"/>
  <c r="I1176" i="6"/>
  <c r="I1271" i="6"/>
  <c r="I1413" i="6"/>
  <c r="I1456" i="6"/>
  <c r="I1552" i="6"/>
  <c r="I1671" i="6"/>
  <c r="I1751" i="6"/>
  <c r="I1792" i="6"/>
  <c r="I1855" i="6"/>
  <c r="I1876" i="6"/>
  <c r="I1934" i="6"/>
  <c r="I1971" i="6"/>
  <c r="J1988" i="6"/>
  <c r="J1804" i="6"/>
  <c r="J1743" i="6"/>
  <c r="J1584" i="6"/>
  <c r="J1564" i="6"/>
  <c r="J1526" i="6"/>
  <c r="J1024" i="6"/>
  <c r="J924" i="6"/>
  <c r="J724" i="6"/>
  <c r="J663" i="6"/>
  <c r="J647" i="6"/>
  <c r="J428" i="6"/>
  <c r="J286" i="6"/>
  <c r="I1323" i="6"/>
  <c r="I1343" i="6"/>
  <c r="I1363" i="6"/>
  <c r="I1383" i="6"/>
  <c r="I1403" i="6"/>
  <c r="I1423" i="6"/>
  <c r="I1443" i="6"/>
  <c r="I1463" i="6"/>
  <c r="I1483" i="6"/>
  <c r="I1503" i="6"/>
  <c r="I1523" i="6"/>
  <c r="I1543" i="6"/>
  <c r="I1563" i="6"/>
  <c r="I1583" i="6"/>
  <c r="I1603" i="6"/>
  <c r="I1623" i="6"/>
  <c r="I1643" i="6"/>
  <c r="I1663" i="6"/>
  <c r="I1683" i="6"/>
  <c r="I1703" i="6"/>
  <c r="I1723" i="6"/>
  <c r="I1743" i="6"/>
  <c r="I1763" i="6"/>
  <c r="I1783" i="6"/>
  <c r="I1803" i="6"/>
  <c r="I1823" i="6"/>
  <c r="I1843" i="6"/>
  <c r="I1863" i="6"/>
  <c r="I1883" i="6"/>
  <c r="I1903" i="6"/>
  <c r="I1923" i="6"/>
  <c r="K1923" i="6" s="1"/>
  <c r="L1923" i="6" s="1"/>
  <c r="I1943" i="6"/>
  <c r="I1963" i="6"/>
  <c r="I1983" i="6"/>
  <c r="J1857" i="6"/>
  <c r="J1841" i="6"/>
  <c r="J1781" i="6"/>
  <c r="K1781" i="6" s="1"/>
  <c r="L1781" i="6" s="1"/>
  <c r="J1741" i="6"/>
  <c r="J1675" i="6"/>
  <c r="J1381" i="6"/>
  <c r="J981" i="6"/>
  <c r="J961" i="6"/>
  <c r="J941" i="6"/>
  <c r="J921" i="6"/>
  <c r="J901" i="6"/>
  <c r="J881" i="6"/>
  <c r="J861" i="6"/>
  <c r="J841" i="6"/>
  <c r="J821" i="6"/>
  <c r="J801" i="6"/>
  <c r="J761" i="6"/>
  <c r="J741" i="6"/>
  <c r="J721" i="6"/>
  <c r="J701" i="6"/>
  <c r="J681" i="6"/>
  <c r="J661" i="6"/>
  <c r="J641" i="6"/>
  <c r="J581" i="6"/>
  <c r="J541" i="6"/>
  <c r="J521" i="6"/>
  <c r="J501" i="6"/>
  <c r="J481" i="6"/>
  <c r="K481" i="6" s="1"/>
  <c r="L481" i="6" s="1"/>
  <c r="J461" i="6"/>
  <c r="J430" i="6"/>
  <c r="J421" i="6"/>
  <c r="J395" i="6"/>
  <c r="J361" i="6"/>
  <c r="J341" i="6"/>
  <c r="J321" i="6"/>
  <c r="J301" i="6"/>
  <c r="J281" i="6"/>
  <c r="J261" i="6"/>
  <c r="J221" i="6"/>
  <c r="J181" i="6"/>
  <c r="J161" i="6"/>
  <c r="J101" i="6"/>
  <c r="J81" i="6"/>
  <c r="J61" i="6"/>
  <c r="J41" i="6"/>
  <c r="J21" i="6"/>
  <c r="I1304" i="6"/>
  <c r="I1324" i="6"/>
  <c r="I1344" i="6"/>
  <c r="I1364" i="6"/>
  <c r="I1384" i="6"/>
  <c r="I1404" i="6"/>
  <c r="I1424" i="6"/>
  <c r="I1444" i="6"/>
  <c r="I1464" i="6"/>
  <c r="I1484" i="6"/>
  <c r="I1504" i="6"/>
  <c r="I1524" i="6"/>
  <c r="K1524" i="6" s="1"/>
  <c r="L1524" i="6" s="1"/>
  <c r="I1544" i="6"/>
  <c r="I1564" i="6"/>
  <c r="I1584" i="6"/>
  <c r="I1604" i="6"/>
  <c r="I1624" i="6"/>
  <c r="I1644" i="6"/>
  <c r="K1644" i="6" s="1"/>
  <c r="L1644" i="6" s="1"/>
  <c r="I1664" i="6"/>
  <c r="I1684" i="6"/>
  <c r="K1684" i="6" s="1"/>
  <c r="L1684" i="6" s="1"/>
  <c r="I1704" i="6"/>
  <c r="I1724" i="6"/>
  <c r="I1744" i="6"/>
  <c r="I1764" i="6"/>
  <c r="I1784" i="6"/>
  <c r="I1804" i="6"/>
  <c r="I1844" i="6"/>
  <c r="I1864" i="6"/>
  <c r="I1884" i="6"/>
  <c r="I1904" i="6"/>
  <c r="I1924" i="6"/>
  <c r="K1924" i="6" s="1"/>
  <c r="L1924" i="6" s="1"/>
  <c r="I1944" i="6"/>
  <c r="I1964" i="6"/>
  <c r="I1984" i="6"/>
  <c r="J1854" i="6"/>
  <c r="J1648" i="6"/>
  <c r="J1399" i="6"/>
  <c r="J1340" i="6"/>
  <c r="J1276" i="6"/>
  <c r="J1260" i="6"/>
  <c r="J1077" i="6"/>
  <c r="I1345" i="6"/>
  <c r="I1365" i="6"/>
  <c r="I1385" i="6"/>
  <c r="I1405" i="6"/>
  <c r="I1425" i="6"/>
  <c r="I1445" i="6"/>
  <c r="I1465" i="6"/>
  <c r="I1485" i="6"/>
  <c r="I1505" i="6"/>
  <c r="I1525" i="6"/>
  <c r="I1545" i="6"/>
  <c r="I1565" i="6"/>
  <c r="I1585" i="6"/>
  <c r="I1605" i="6"/>
  <c r="I1625" i="6"/>
  <c r="I1645" i="6"/>
  <c r="I1725" i="6"/>
  <c r="I1745" i="6"/>
  <c r="I1765" i="6"/>
  <c r="I1805" i="6"/>
  <c r="I1885" i="6"/>
  <c r="I1326" i="6"/>
  <c r="I1346" i="6"/>
  <c r="I1366" i="6"/>
  <c r="I1386" i="6"/>
  <c r="I1406" i="6"/>
  <c r="I1426" i="6"/>
  <c r="I1446" i="6"/>
  <c r="I1486" i="6"/>
  <c r="I1506" i="6"/>
  <c r="I1526" i="6"/>
  <c r="I1546" i="6"/>
  <c r="I1566" i="6"/>
  <c r="I1586" i="6"/>
  <c r="I1606" i="6"/>
  <c r="I1626" i="6"/>
  <c r="I1646" i="6"/>
  <c r="I1666" i="6"/>
  <c r="I1686" i="6"/>
  <c r="K1686" i="6" s="1"/>
  <c r="L1686" i="6" s="1"/>
  <c r="I1706" i="6"/>
  <c r="I1726" i="6"/>
  <c r="I1766" i="6"/>
  <c r="I1786" i="6"/>
  <c r="I1806" i="6"/>
  <c r="I1866" i="6"/>
  <c r="I1886" i="6"/>
  <c r="I1906" i="6"/>
  <c r="I1926" i="6"/>
  <c r="I1946" i="6"/>
  <c r="I1966" i="6"/>
  <c r="I1986" i="6"/>
  <c r="J1986" i="6"/>
  <c r="J1978" i="6"/>
  <c r="J476" i="6"/>
  <c r="I406" i="6"/>
  <c r="I626" i="6"/>
  <c r="I1846" i="6"/>
  <c r="I1845" i="6"/>
  <c r="J1938" i="6"/>
  <c r="J1918" i="6"/>
  <c r="K1918" i="6" s="1"/>
  <c r="L1918" i="6" s="1"/>
  <c r="J1917" i="6"/>
  <c r="J1898" i="6"/>
  <c r="J1878" i="6"/>
  <c r="J1858" i="6"/>
  <c r="J1838" i="6"/>
  <c r="J1818" i="6"/>
  <c r="J1798" i="6"/>
  <c r="J1778" i="6"/>
  <c r="J1777" i="6"/>
  <c r="J1758" i="6"/>
  <c r="J1738" i="6"/>
  <c r="J1718" i="6"/>
  <c r="J1698" i="6"/>
  <c r="J1678" i="6"/>
  <c r="J1658" i="6"/>
  <c r="J1638" i="6"/>
  <c r="J1618" i="6"/>
  <c r="J1598" i="6"/>
  <c r="J1578" i="6"/>
  <c r="J1558" i="6"/>
  <c r="J1298" i="6"/>
  <c r="J1118" i="6"/>
  <c r="J778" i="6"/>
  <c r="J698" i="6"/>
  <c r="J638" i="6"/>
  <c r="J238" i="6"/>
  <c r="J158" i="6"/>
  <c r="K158" i="6" s="1"/>
  <c r="L158" i="6" s="1"/>
  <c r="I1891" i="6"/>
  <c r="I1794" i="6"/>
  <c r="I1677" i="6"/>
  <c r="I1553" i="6"/>
  <c r="I1460" i="6"/>
  <c r="I1329" i="6"/>
  <c r="I1075" i="6"/>
  <c r="I919" i="6"/>
  <c r="I439" i="6"/>
  <c r="I256" i="6"/>
  <c r="J1587" i="6"/>
  <c r="I27" i="6"/>
  <c r="I47" i="6"/>
  <c r="I67" i="6"/>
  <c r="I87" i="6"/>
  <c r="I127" i="6"/>
  <c r="I147" i="6"/>
  <c r="I167" i="6"/>
  <c r="I187" i="6"/>
  <c r="I207" i="6"/>
  <c r="I227" i="6"/>
  <c r="I247" i="6"/>
  <c r="I267" i="6"/>
  <c r="I287" i="6"/>
  <c r="I307" i="6"/>
  <c r="I327" i="6"/>
  <c r="I347" i="6"/>
  <c r="K347" i="6" s="1"/>
  <c r="L347" i="6" s="1"/>
  <c r="I367" i="6"/>
  <c r="I387" i="6"/>
  <c r="I407" i="6"/>
  <c r="I427" i="6"/>
  <c r="I447" i="6"/>
  <c r="I467" i="6"/>
  <c r="I487" i="6"/>
  <c r="I507" i="6"/>
  <c r="I527" i="6"/>
  <c r="I567" i="6"/>
  <c r="I587" i="6"/>
  <c r="I607" i="6"/>
  <c r="I627" i="6"/>
  <c r="I647" i="6"/>
  <c r="I687" i="6"/>
  <c r="I707" i="6"/>
  <c r="I727" i="6"/>
  <c r="I747" i="6"/>
  <c r="I767" i="6"/>
  <c r="I787" i="6"/>
  <c r="K787" i="6" s="1"/>
  <c r="L787" i="6" s="1"/>
  <c r="I807" i="6"/>
  <c r="I847" i="6"/>
  <c r="I867" i="6"/>
  <c r="I907" i="6"/>
  <c r="I947" i="6"/>
  <c r="I967" i="6"/>
  <c r="I1007" i="6"/>
  <c r="I1027" i="6"/>
  <c r="I1047" i="6"/>
  <c r="I1067" i="6"/>
  <c r="I1107" i="6"/>
  <c r="I1167" i="6"/>
  <c r="I1247" i="6"/>
  <c r="I1307" i="6"/>
  <c r="I1387" i="6"/>
  <c r="I1407" i="6"/>
  <c r="I1487" i="6"/>
  <c r="I1647" i="6"/>
  <c r="I1727" i="6"/>
  <c r="I1767" i="6"/>
  <c r="K1767" i="6" s="1"/>
  <c r="L1767" i="6" s="1"/>
  <c r="I1807" i="6"/>
  <c r="I1847" i="6"/>
  <c r="J1977" i="6"/>
  <c r="J1897" i="6"/>
  <c r="J1697" i="6"/>
  <c r="J1617" i="6"/>
  <c r="K1617" i="6" s="1"/>
  <c r="L1617" i="6" s="1"/>
  <c r="J1577" i="6"/>
  <c r="J1437" i="6"/>
  <c r="J1057" i="6"/>
  <c r="J977" i="6"/>
  <c r="J817" i="6"/>
  <c r="J697" i="6"/>
  <c r="J636" i="6"/>
  <c r="J497" i="6"/>
  <c r="J333" i="6"/>
  <c r="J177" i="6"/>
  <c r="J93" i="6"/>
  <c r="I1887" i="6"/>
  <c r="I1676" i="6"/>
  <c r="I1180" i="6"/>
  <c r="I760" i="6"/>
  <c r="J1586" i="6"/>
  <c r="J737" i="6"/>
  <c r="I346" i="6"/>
  <c r="K346" i="6" s="1"/>
  <c r="L346" i="6" s="1"/>
  <c r="I336" i="6"/>
  <c r="I1920" i="6"/>
  <c r="I1597" i="6"/>
  <c r="I479" i="6"/>
  <c r="J1881" i="6"/>
  <c r="J1761" i="6"/>
  <c r="J1641" i="6"/>
  <c r="J1541" i="6"/>
  <c r="J1441" i="6"/>
  <c r="J1341" i="6"/>
  <c r="J1221" i="6"/>
  <c r="K1221" i="6" s="1"/>
  <c r="L1221" i="6" s="1"/>
  <c r="J1101" i="6"/>
  <c r="J561" i="6"/>
  <c r="J556" i="6"/>
  <c r="J558" i="6"/>
  <c r="J121" i="6"/>
  <c r="J110" i="6"/>
  <c r="J118" i="6"/>
  <c r="I1916" i="6"/>
  <c r="I1333" i="6"/>
  <c r="I474" i="6"/>
  <c r="J91" i="6"/>
  <c r="J1840" i="6"/>
  <c r="J1720" i="6"/>
  <c r="J1600" i="6"/>
  <c r="J1500" i="6"/>
  <c r="J1400" i="6"/>
  <c r="J1300" i="6"/>
  <c r="J1200" i="6"/>
  <c r="J1060" i="6"/>
  <c r="I1811" i="6"/>
  <c r="I1077" i="6"/>
  <c r="I301" i="6"/>
  <c r="J796" i="6"/>
  <c r="I45" i="6"/>
  <c r="I205" i="6"/>
  <c r="I325" i="6"/>
  <c r="I405" i="6"/>
  <c r="I505" i="6"/>
  <c r="I605" i="6"/>
  <c r="J1379" i="6"/>
  <c r="I920" i="6"/>
  <c r="I206" i="6"/>
  <c r="I286" i="6"/>
  <c r="I426" i="6"/>
  <c r="I526" i="6"/>
  <c r="I566" i="6"/>
  <c r="I28" i="6"/>
  <c r="I68" i="6"/>
  <c r="I108" i="6"/>
  <c r="I148" i="6"/>
  <c r="I188" i="6"/>
  <c r="I228" i="6"/>
  <c r="I268" i="6"/>
  <c r="I308" i="6"/>
  <c r="I348" i="6"/>
  <c r="I428" i="6"/>
  <c r="I468" i="6"/>
  <c r="I508" i="6"/>
  <c r="I548" i="6"/>
  <c r="I588" i="6"/>
  <c r="I628" i="6"/>
  <c r="I1188" i="6"/>
  <c r="I1187" i="6"/>
  <c r="J1976" i="6"/>
  <c r="J1956" i="6"/>
  <c r="J1936" i="6"/>
  <c r="J1916" i="6"/>
  <c r="J1896" i="6"/>
  <c r="J1895" i="6"/>
  <c r="J1876" i="6"/>
  <c r="J1856" i="6"/>
  <c r="J1836" i="6"/>
  <c r="J1816" i="6"/>
  <c r="J1796" i="6"/>
  <c r="J1776" i="6"/>
  <c r="J1756" i="6"/>
  <c r="J1736" i="6"/>
  <c r="J1716" i="6"/>
  <c r="J1696" i="6"/>
  <c r="J1676" i="6"/>
  <c r="J1656" i="6"/>
  <c r="J1636" i="6"/>
  <c r="J1616" i="6"/>
  <c r="J1596" i="6"/>
  <c r="J1595" i="6"/>
  <c r="J1576" i="6"/>
  <c r="J1556" i="6"/>
  <c r="J1536" i="6"/>
  <c r="J1516" i="6"/>
  <c r="J1515" i="6"/>
  <c r="J1496" i="6"/>
  <c r="J1489" i="6"/>
  <c r="J1495" i="6"/>
  <c r="J1476" i="6"/>
  <c r="J1469" i="6"/>
  <c r="J1456" i="6"/>
  <c r="J1436" i="6"/>
  <c r="J1416" i="6"/>
  <c r="J1396" i="6"/>
  <c r="J1389" i="6"/>
  <c r="J1376" i="6"/>
  <c r="K1376" i="6" s="1"/>
  <c r="L1376" i="6" s="1"/>
  <c r="J1356" i="6"/>
  <c r="J1336" i="6"/>
  <c r="J1333" i="6"/>
  <c r="J1316" i="6"/>
  <c r="J1296" i="6"/>
  <c r="J1256" i="6"/>
  <c r="J1236" i="6"/>
  <c r="K1236" i="6" s="1"/>
  <c r="L1236" i="6" s="1"/>
  <c r="J1216" i="6"/>
  <c r="J1213" i="6"/>
  <c r="J1196" i="6"/>
  <c r="J1189" i="6"/>
  <c r="J1195" i="6"/>
  <c r="J1176" i="6"/>
  <c r="J1175" i="6"/>
  <c r="J1156" i="6"/>
  <c r="J1152" i="6"/>
  <c r="J1153" i="6"/>
  <c r="J1149" i="6"/>
  <c r="J1136" i="6"/>
  <c r="J1096" i="6"/>
  <c r="J1073" i="6"/>
  <c r="J1074" i="6"/>
  <c r="J1076" i="6"/>
  <c r="J1056" i="6"/>
  <c r="J1036" i="6"/>
  <c r="J1016" i="6"/>
  <c r="K1016" i="6" s="1"/>
  <c r="L1016" i="6" s="1"/>
  <c r="J996" i="6"/>
  <c r="J993" i="6"/>
  <c r="J976" i="6"/>
  <c r="J956" i="6"/>
  <c r="J952" i="6"/>
  <c r="J951" i="6"/>
  <c r="J953" i="6"/>
  <c r="J936" i="6"/>
  <c r="J933" i="6"/>
  <c r="J916" i="6"/>
  <c r="J896" i="6"/>
  <c r="J869" i="6"/>
  <c r="J856" i="6"/>
  <c r="J853" i="6"/>
  <c r="J836" i="6"/>
  <c r="J833" i="6"/>
  <c r="J816" i="6"/>
  <c r="J790" i="6"/>
  <c r="J794" i="6"/>
  <c r="J776" i="6"/>
  <c r="J771" i="6"/>
  <c r="J775" i="6"/>
  <c r="J756" i="6"/>
  <c r="J736" i="6"/>
  <c r="J735" i="6"/>
  <c r="J716" i="6"/>
  <c r="J696" i="6"/>
  <c r="J693" i="6"/>
  <c r="J695" i="6"/>
  <c r="J676" i="6"/>
  <c r="J376" i="6"/>
  <c r="J136" i="6"/>
  <c r="J36" i="6"/>
  <c r="I1878" i="6"/>
  <c r="I1790" i="6"/>
  <c r="I1675" i="6"/>
  <c r="I1551" i="6"/>
  <c r="I1447" i="6"/>
  <c r="I1320" i="6"/>
  <c r="I1178" i="6"/>
  <c r="I1041" i="6"/>
  <c r="I915" i="6"/>
  <c r="I757" i="6"/>
  <c r="I434" i="6"/>
  <c r="J1839" i="6"/>
  <c r="J1585" i="6"/>
  <c r="J729" i="6"/>
  <c r="I49" i="6"/>
  <c r="I189" i="6"/>
  <c r="I409" i="6"/>
  <c r="I629" i="6"/>
  <c r="I949" i="6"/>
  <c r="I1009" i="6"/>
  <c r="I1049" i="6"/>
  <c r="I1149" i="6"/>
  <c r="I1249" i="6"/>
  <c r="I1269" i="6"/>
  <c r="I1349" i="6"/>
  <c r="I1389" i="6"/>
  <c r="I1429" i="6"/>
  <c r="K1429" i="6" s="1"/>
  <c r="L1429" i="6" s="1"/>
  <c r="I1569" i="6"/>
  <c r="I1649" i="6"/>
  <c r="I1689" i="6"/>
  <c r="I1729" i="6"/>
  <c r="I1769" i="6"/>
  <c r="I1889" i="6"/>
  <c r="J1795" i="6"/>
  <c r="J1715" i="6"/>
  <c r="J1635" i="6"/>
  <c r="J1395" i="6"/>
  <c r="J1375" i="6"/>
  <c r="J1194" i="6"/>
  <c r="I1981" i="6"/>
  <c r="I1788" i="6"/>
  <c r="I1674" i="6"/>
  <c r="I1550" i="6"/>
  <c r="I1439" i="6"/>
  <c r="I1318" i="6"/>
  <c r="I1039" i="6"/>
  <c r="I600" i="6"/>
  <c r="J1837" i="6"/>
  <c r="J1335" i="6"/>
  <c r="J1075" i="6"/>
  <c r="I153" i="6"/>
  <c r="I136" i="6"/>
  <c r="I492" i="6"/>
  <c r="I21" i="6"/>
  <c r="I306" i="6"/>
  <c r="J1921" i="6"/>
  <c r="J1821" i="6"/>
  <c r="K1821" i="6" s="1"/>
  <c r="L1821" i="6" s="1"/>
  <c r="J1701" i="6"/>
  <c r="J1601" i="6"/>
  <c r="J1481" i="6"/>
  <c r="J1361" i="6"/>
  <c r="J1261" i="6"/>
  <c r="J1161" i="6"/>
  <c r="J1061" i="6"/>
  <c r="J601" i="6"/>
  <c r="J590" i="6"/>
  <c r="J141" i="6"/>
  <c r="J135" i="6"/>
  <c r="I801" i="6"/>
  <c r="J857" i="6"/>
  <c r="I19" i="6"/>
  <c r="J1920" i="6"/>
  <c r="J1800" i="6"/>
  <c r="J1700" i="6"/>
  <c r="J1580" i="6"/>
  <c r="J1440" i="6"/>
  <c r="J1337" i="6"/>
  <c r="J1240" i="6"/>
  <c r="J1140" i="6"/>
  <c r="J1040" i="6"/>
  <c r="I1331" i="6"/>
  <c r="I456" i="6"/>
  <c r="I18" i="6"/>
  <c r="I125" i="6"/>
  <c r="I225" i="6"/>
  <c r="I345" i="6"/>
  <c r="I425" i="6"/>
  <c r="I525" i="6"/>
  <c r="I585" i="6"/>
  <c r="I1897" i="6"/>
  <c r="I66" i="6"/>
  <c r="I146" i="6"/>
  <c r="I226" i="6"/>
  <c r="I386" i="6"/>
  <c r="I446" i="6"/>
  <c r="I546" i="6"/>
  <c r="J1958" i="6"/>
  <c r="K1958" i="6" s="1"/>
  <c r="L1958" i="6" s="1"/>
  <c r="I48" i="6"/>
  <c r="I88" i="6"/>
  <c r="I128" i="6"/>
  <c r="I168" i="6"/>
  <c r="I208" i="6"/>
  <c r="I288" i="6"/>
  <c r="I328" i="6"/>
  <c r="I388" i="6"/>
  <c r="I448" i="6"/>
  <c r="I488" i="6"/>
  <c r="I568" i="6"/>
  <c r="I608" i="6"/>
  <c r="I30" i="6"/>
  <c r="I29" i="6"/>
  <c r="I50" i="6"/>
  <c r="I70" i="6"/>
  <c r="I90" i="6"/>
  <c r="I110" i="6"/>
  <c r="I130" i="6"/>
  <c r="I150" i="6"/>
  <c r="I170" i="6"/>
  <c r="I190" i="6"/>
  <c r="I210" i="6"/>
  <c r="I209" i="6"/>
  <c r="I250" i="6"/>
  <c r="I270" i="6"/>
  <c r="I290" i="6"/>
  <c r="I310" i="6"/>
  <c r="I330" i="6"/>
  <c r="I350" i="6"/>
  <c r="I369" i="6"/>
  <c r="I370" i="6"/>
  <c r="I390" i="6"/>
  <c r="I410" i="6"/>
  <c r="I430" i="6"/>
  <c r="I450" i="6"/>
  <c r="I470" i="6"/>
  <c r="I490" i="6"/>
  <c r="I510" i="6"/>
  <c r="I530" i="6"/>
  <c r="I550" i="6"/>
  <c r="I570" i="6"/>
  <c r="I590" i="6"/>
  <c r="I589" i="6"/>
  <c r="I610" i="6"/>
  <c r="I630" i="6"/>
  <c r="I669" i="6"/>
  <c r="I670" i="6"/>
  <c r="I690" i="6"/>
  <c r="I710" i="6"/>
  <c r="I750" i="6"/>
  <c r="I770" i="6"/>
  <c r="I790" i="6"/>
  <c r="I789" i="6"/>
  <c r="I810" i="6"/>
  <c r="I830" i="6"/>
  <c r="I850" i="6"/>
  <c r="I870" i="6"/>
  <c r="I890" i="6"/>
  <c r="I889" i="6"/>
  <c r="I910" i="6"/>
  <c r="I930" i="6"/>
  <c r="I950" i="6"/>
  <c r="I970" i="6"/>
  <c r="I990" i="6"/>
  <c r="I1010" i="6"/>
  <c r="I1030" i="6"/>
  <c r="I1029" i="6"/>
  <c r="K1029" i="6" s="1"/>
  <c r="L1029" i="6" s="1"/>
  <c r="I1050" i="6"/>
  <c r="I1070" i="6"/>
  <c r="I1090" i="6"/>
  <c r="I1110" i="6"/>
  <c r="I1109" i="6"/>
  <c r="I1129" i="6"/>
  <c r="I1130" i="6"/>
  <c r="I1150" i="6"/>
  <c r="I1170" i="6"/>
  <c r="I1189" i="6"/>
  <c r="I1190" i="6"/>
  <c r="I1210" i="6"/>
  <c r="I1209" i="6"/>
  <c r="I1230" i="6"/>
  <c r="I1250" i="6"/>
  <c r="I1270" i="6"/>
  <c r="I1290" i="6"/>
  <c r="I1310" i="6"/>
  <c r="I1309" i="6"/>
  <c r="I1350" i="6"/>
  <c r="I1370" i="6"/>
  <c r="I1390" i="6"/>
  <c r="I1430" i="6"/>
  <c r="I1450" i="6"/>
  <c r="I1470" i="6"/>
  <c r="I1510" i="6"/>
  <c r="I1509" i="6"/>
  <c r="I1530" i="6"/>
  <c r="I1570" i="6"/>
  <c r="I1590" i="6"/>
  <c r="I1610" i="6"/>
  <c r="I1630" i="6"/>
  <c r="I1650" i="6"/>
  <c r="I1670" i="6"/>
  <c r="I1690" i="6"/>
  <c r="I1710" i="6"/>
  <c r="I1730" i="6"/>
  <c r="I1770" i="6"/>
  <c r="I1789" i="6"/>
  <c r="I1810" i="6"/>
  <c r="I1829" i="6"/>
  <c r="I1830" i="6"/>
  <c r="I1850" i="6"/>
  <c r="I1890" i="6"/>
  <c r="I1910" i="6"/>
  <c r="I1930" i="6"/>
  <c r="I1950" i="6"/>
  <c r="I1970" i="6"/>
  <c r="I1969" i="6"/>
  <c r="J1974" i="6"/>
  <c r="J1954" i="6"/>
  <c r="J1934" i="6"/>
  <c r="J1929" i="6"/>
  <c r="J1914" i="6"/>
  <c r="J1894" i="6"/>
  <c r="J1889" i="6"/>
  <c r="J1874" i="6"/>
  <c r="J1834" i="6"/>
  <c r="J1814" i="6"/>
  <c r="J1794" i="6"/>
  <c r="J1754" i="6"/>
  <c r="J1734" i="6"/>
  <c r="J1714" i="6"/>
  <c r="J1694" i="6"/>
  <c r="J1674" i="6"/>
  <c r="J1654" i="6"/>
  <c r="J1634" i="6"/>
  <c r="J1614" i="6"/>
  <c r="J1589" i="6"/>
  <c r="J1594" i="6"/>
  <c r="J1574" i="6"/>
  <c r="J1554" i="6"/>
  <c r="J1534" i="6"/>
  <c r="J1454" i="6"/>
  <c r="J1234" i="6"/>
  <c r="J1114" i="6"/>
  <c r="J954" i="6"/>
  <c r="J694" i="6"/>
  <c r="J674" i="6"/>
  <c r="J614" i="6"/>
  <c r="J474" i="6"/>
  <c r="J374" i="6"/>
  <c r="J134" i="6"/>
  <c r="J34" i="6"/>
  <c r="I1975" i="6"/>
  <c r="I1673" i="6"/>
  <c r="I1414" i="6"/>
  <c r="I1311" i="6"/>
  <c r="I1169" i="6"/>
  <c r="I1018" i="6"/>
  <c r="I891" i="6"/>
  <c r="I562" i="6"/>
  <c r="I22" i="6"/>
  <c r="J1835" i="6"/>
  <c r="J1583" i="6"/>
  <c r="J1306" i="6"/>
  <c r="J1029" i="6"/>
  <c r="J666" i="6"/>
  <c r="J288" i="6"/>
  <c r="I31" i="6"/>
  <c r="I371" i="6"/>
  <c r="I591" i="6"/>
  <c r="I671" i="6"/>
  <c r="I971" i="6"/>
  <c r="I1761" i="6"/>
  <c r="I1547" i="6"/>
  <c r="I232" i="6"/>
  <c r="I1220" i="6"/>
  <c r="I1461" i="6"/>
  <c r="I74" i="6"/>
  <c r="I114" i="6"/>
  <c r="I154" i="6"/>
  <c r="I174" i="6"/>
  <c r="I214" i="6"/>
  <c r="I234" i="6"/>
  <c r="I274" i="6"/>
  <c r="I294" i="6"/>
  <c r="I314" i="6"/>
  <c r="I334" i="6"/>
  <c r="I354" i="6"/>
  <c r="I374" i="6"/>
  <c r="I394" i="6"/>
  <c r="I494" i="6"/>
  <c r="I514" i="6"/>
  <c r="I534" i="6"/>
  <c r="I554" i="6"/>
  <c r="I594" i="6"/>
  <c r="I614" i="6"/>
  <c r="I634" i="6"/>
  <c r="I674" i="6"/>
  <c r="I694" i="6"/>
  <c r="I714" i="6"/>
  <c r="I734" i="6"/>
  <c r="I754" i="6"/>
  <c r="I774" i="6"/>
  <c r="I794" i="6"/>
  <c r="I814" i="6"/>
  <c r="I854" i="6"/>
  <c r="I894" i="6"/>
  <c r="I954" i="6"/>
  <c r="K954" i="6" s="1"/>
  <c r="L954" i="6" s="1"/>
  <c r="I974" i="6"/>
  <c r="I1074" i="6"/>
  <c r="I1154" i="6"/>
  <c r="I1194" i="6"/>
  <c r="I1294" i="6"/>
  <c r="I1534" i="6"/>
  <c r="I1574" i="6"/>
  <c r="I1694" i="6"/>
  <c r="I1814" i="6"/>
  <c r="I1834" i="6"/>
  <c r="I1874" i="6"/>
  <c r="J1270" i="6"/>
  <c r="J1150" i="6"/>
  <c r="J950" i="6"/>
  <c r="J230" i="6"/>
  <c r="J190" i="6"/>
  <c r="I1937" i="6"/>
  <c r="I1857" i="6"/>
  <c r="I1629" i="6"/>
  <c r="I1540" i="6"/>
  <c r="I1138" i="6"/>
  <c r="I989" i="6"/>
  <c r="I835" i="6"/>
  <c r="I549" i="6"/>
  <c r="I229" i="6"/>
  <c r="J649" i="6"/>
  <c r="J278" i="6"/>
  <c r="I528" i="6"/>
  <c r="I1701" i="6"/>
  <c r="I1079" i="6"/>
  <c r="I654" i="6"/>
  <c r="I107" i="6"/>
  <c r="I20" i="6"/>
  <c r="J1941" i="6"/>
  <c r="J1721" i="6"/>
  <c r="J1621" i="6"/>
  <c r="J1521" i="6"/>
  <c r="J1421" i="6"/>
  <c r="J1321" i="6"/>
  <c r="J1241" i="6"/>
  <c r="J1121" i="6"/>
  <c r="J1021" i="6"/>
  <c r="J1017" i="6"/>
  <c r="J401" i="6"/>
  <c r="J391" i="6"/>
  <c r="I1595" i="6"/>
  <c r="J1960" i="6"/>
  <c r="J1860" i="6"/>
  <c r="J1740" i="6"/>
  <c r="J1640" i="6"/>
  <c r="J1639" i="6"/>
  <c r="J1540" i="6"/>
  <c r="J1420" i="6"/>
  <c r="J1320" i="6"/>
  <c r="J1217" i="6"/>
  <c r="J1100" i="6"/>
  <c r="I1697" i="6"/>
  <c r="I921" i="6"/>
  <c r="K921" i="6" s="1"/>
  <c r="L921" i="6" s="1"/>
  <c r="I85" i="6"/>
  <c r="I285" i="6"/>
  <c r="I445" i="6"/>
  <c r="I565" i="6"/>
  <c r="J1799" i="6"/>
  <c r="I1695" i="6"/>
  <c r="I1214" i="6"/>
  <c r="I454" i="6"/>
  <c r="J1848" i="6"/>
  <c r="J72" i="6"/>
  <c r="I17" i="6"/>
  <c r="I186" i="6"/>
  <c r="I326" i="6"/>
  <c r="I506" i="6"/>
  <c r="K506" i="6" s="1"/>
  <c r="L506" i="6" s="1"/>
  <c r="I32" i="6"/>
  <c r="I72" i="6"/>
  <c r="I92" i="6"/>
  <c r="I112" i="6"/>
  <c r="I152" i="6"/>
  <c r="I172" i="6"/>
  <c r="I192" i="6"/>
  <c r="I212" i="6"/>
  <c r="I272" i="6"/>
  <c r="I292" i="6"/>
  <c r="I312" i="6"/>
  <c r="I332" i="6"/>
  <c r="I352" i="6"/>
  <c r="I372" i="6"/>
  <c r="I392" i="6"/>
  <c r="I452" i="6"/>
  <c r="I632" i="6"/>
  <c r="I652" i="6"/>
  <c r="I692" i="6"/>
  <c r="I1392" i="6"/>
  <c r="I1472" i="6"/>
  <c r="I1572" i="6"/>
  <c r="I1652" i="6"/>
  <c r="I1772" i="6"/>
  <c r="I1812" i="6"/>
  <c r="I1852" i="6"/>
  <c r="I1872" i="6"/>
  <c r="I1912" i="6"/>
  <c r="I1952" i="6"/>
  <c r="I1759" i="6"/>
  <c r="I1669" i="6"/>
  <c r="I1412" i="6"/>
  <c r="I1280" i="6"/>
  <c r="I1160" i="6"/>
  <c r="I1014" i="6"/>
  <c r="I881" i="6"/>
  <c r="I731" i="6"/>
  <c r="I557" i="6"/>
  <c r="I412" i="6"/>
  <c r="J1549" i="6"/>
  <c r="J657" i="6"/>
  <c r="I173" i="6"/>
  <c r="I413" i="6"/>
  <c r="I1960" i="6"/>
  <c r="I1757" i="6"/>
  <c r="I1653" i="6"/>
  <c r="I1541" i="6"/>
  <c r="I1411" i="6"/>
  <c r="I1278" i="6"/>
  <c r="I1158" i="6"/>
  <c r="I1011" i="6"/>
  <c r="I877" i="6"/>
  <c r="I555" i="6"/>
  <c r="J1774" i="6"/>
  <c r="J1545" i="6"/>
  <c r="J655" i="6"/>
  <c r="I34" i="6"/>
  <c r="I54" i="6"/>
  <c r="I194" i="6"/>
  <c r="I574" i="6"/>
  <c r="I1936" i="6"/>
  <c r="I1750" i="6"/>
  <c r="I1627" i="6"/>
  <c r="I1527" i="6"/>
  <c r="I1401" i="6"/>
  <c r="I213" i="6"/>
  <c r="J1975" i="6"/>
  <c r="J1255" i="6"/>
  <c r="J917" i="6"/>
  <c r="J274" i="6"/>
  <c r="I496" i="6"/>
  <c r="I134" i="6"/>
  <c r="I1469" i="6"/>
  <c r="J1961" i="6"/>
  <c r="K1961" i="6" s="1"/>
  <c r="L1961" i="6" s="1"/>
  <c r="J1861" i="6"/>
  <c r="J1661" i="6"/>
  <c r="J1561" i="6"/>
  <c r="J1461" i="6"/>
  <c r="J1281" i="6"/>
  <c r="J1201" i="6"/>
  <c r="J1141" i="6"/>
  <c r="J1041" i="6"/>
  <c r="J1001" i="6"/>
  <c r="J997" i="6"/>
  <c r="J998" i="6"/>
  <c r="J781" i="6"/>
  <c r="J777" i="6"/>
  <c r="J621" i="6"/>
  <c r="J615" i="6"/>
  <c r="J381" i="6"/>
  <c r="J373" i="6"/>
  <c r="J201" i="6"/>
  <c r="J192" i="6"/>
  <c r="I1813" i="6"/>
  <c r="I1078" i="6"/>
  <c r="I106" i="6"/>
  <c r="J1980" i="6"/>
  <c r="J1880" i="6"/>
  <c r="J1780" i="6"/>
  <c r="J1660" i="6"/>
  <c r="J1520" i="6"/>
  <c r="J1460" i="6"/>
  <c r="J1360" i="6"/>
  <c r="J1160" i="6"/>
  <c r="J1120" i="6"/>
  <c r="I1899" i="6"/>
  <c r="I1218" i="6"/>
  <c r="I633" i="6"/>
  <c r="I105" i="6"/>
  <c r="J76" i="6"/>
  <c r="I65" i="6"/>
  <c r="I165" i="6"/>
  <c r="I265" i="6"/>
  <c r="I365" i="6"/>
  <c r="I485" i="6"/>
  <c r="J1439" i="6"/>
  <c r="I1809" i="6"/>
  <c r="I1330" i="6"/>
  <c r="I631" i="6"/>
  <c r="J1116" i="6"/>
  <c r="J792" i="6"/>
  <c r="I126" i="6"/>
  <c r="I246" i="6"/>
  <c r="I486" i="6"/>
  <c r="I586" i="6"/>
  <c r="I52" i="6"/>
  <c r="I36" i="6"/>
  <c r="I76" i="6"/>
  <c r="I116" i="6"/>
  <c r="I176" i="6"/>
  <c r="I216" i="6"/>
  <c r="I296" i="6"/>
  <c r="I356" i="6"/>
  <c r="I396" i="6"/>
  <c r="I476" i="6"/>
  <c r="I516" i="6"/>
  <c r="I536" i="6"/>
  <c r="I576" i="6"/>
  <c r="I596" i="6"/>
  <c r="I616" i="6"/>
  <c r="I636" i="6"/>
  <c r="I656" i="6"/>
  <c r="I716" i="6"/>
  <c r="I715" i="6"/>
  <c r="I736" i="6"/>
  <c r="I756" i="6"/>
  <c r="I776" i="6"/>
  <c r="I772" i="6"/>
  <c r="I773" i="6"/>
  <c r="I796" i="6"/>
  <c r="I816" i="6"/>
  <c r="I836" i="6"/>
  <c r="I856" i="6"/>
  <c r="I876" i="6"/>
  <c r="I875" i="6"/>
  <c r="I896" i="6"/>
  <c r="I916" i="6"/>
  <c r="I936" i="6"/>
  <c r="I956" i="6"/>
  <c r="I955" i="6"/>
  <c r="I996" i="6"/>
  <c r="I1036" i="6"/>
  <c r="I1033" i="6"/>
  <c r="I1035" i="6"/>
  <c r="I1056" i="6"/>
  <c r="I1073" i="6"/>
  <c r="I1116" i="6"/>
  <c r="I1111" i="6"/>
  <c r="I1133" i="6"/>
  <c r="I1135" i="6"/>
  <c r="I1156" i="6"/>
  <c r="I1196" i="6"/>
  <c r="I1191" i="6"/>
  <c r="I1216" i="6"/>
  <c r="I1256" i="6"/>
  <c r="I1273" i="6"/>
  <c r="I1274" i="6"/>
  <c r="I1275" i="6"/>
  <c r="I1276" i="6"/>
  <c r="I1296" i="6"/>
  <c r="I1316" i="6"/>
  <c r="I1336" i="6"/>
  <c r="I1356" i="6"/>
  <c r="I1351" i="6"/>
  <c r="I1355" i="6"/>
  <c r="I1396" i="6"/>
  <c r="I1415" i="6"/>
  <c r="I1416" i="6"/>
  <c r="I1436" i="6"/>
  <c r="I1454" i="6"/>
  <c r="I1476" i="6"/>
  <c r="I1495" i="6"/>
  <c r="I1496" i="6"/>
  <c r="I1516" i="6"/>
  <c r="I1513" i="6"/>
  <c r="I1536" i="6"/>
  <c r="I1556" i="6"/>
  <c r="I1576" i="6"/>
  <c r="I1571" i="6"/>
  <c r="I1573" i="6"/>
  <c r="I1575" i="6"/>
  <c r="I1591" i="6"/>
  <c r="I1594" i="6"/>
  <c r="I1596" i="6"/>
  <c r="I1616" i="6"/>
  <c r="I1636" i="6"/>
  <c r="I1635" i="6"/>
  <c r="I1656" i="6"/>
  <c r="I1651" i="6"/>
  <c r="I1672" i="6"/>
  <c r="I1696" i="6"/>
  <c r="I1716" i="6"/>
  <c r="I1711" i="6"/>
  <c r="I1713" i="6"/>
  <c r="I1715" i="6"/>
  <c r="I1736" i="6"/>
  <c r="I1756" i="6"/>
  <c r="I1776" i="6"/>
  <c r="I1771" i="6"/>
  <c r="I1773" i="6"/>
  <c r="I1796" i="6"/>
  <c r="I1791" i="6"/>
  <c r="I1793" i="6"/>
  <c r="I1816" i="6"/>
  <c r="I1836" i="6"/>
  <c r="I1831" i="6"/>
  <c r="I1832" i="6"/>
  <c r="I1851" i="6"/>
  <c r="I1854" i="6"/>
  <c r="I1856" i="6"/>
  <c r="I1892" i="6"/>
  <c r="I1893" i="6"/>
  <c r="I1894" i="6"/>
  <c r="I1895" i="6"/>
  <c r="I1896" i="6"/>
  <c r="I1914" i="6"/>
  <c r="I1954" i="6"/>
  <c r="I1956" i="6"/>
  <c r="I1976" i="6"/>
  <c r="I1973" i="6"/>
  <c r="J1968" i="6"/>
  <c r="J1948" i="6"/>
  <c r="J1928" i="6"/>
  <c r="J1908" i="6"/>
  <c r="J1888" i="6"/>
  <c r="J1868" i="6"/>
  <c r="K1868" i="6" s="1"/>
  <c r="L1868" i="6" s="1"/>
  <c r="J1828" i="6"/>
  <c r="J1808" i="6"/>
  <c r="J1788" i="6"/>
  <c r="J1768" i="6"/>
  <c r="J1748" i="6"/>
  <c r="J1728" i="6"/>
  <c r="J1708" i="6"/>
  <c r="K1708" i="6" s="1"/>
  <c r="L1708" i="6" s="1"/>
  <c r="J1688" i="6"/>
  <c r="J1668" i="6"/>
  <c r="J1628" i="6"/>
  <c r="K1628" i="6" s="1"/>
  <c r="L1628" i="6" s="1"/>
  <c r="J1608" i="6"/>
  <c r="J1588" i="6"/>
  <c r="J1568" i="6"/>
  <c r="J1548" i="6"/>
  <c r="J1528" i="6"/>
  <c r="J1508" i="6"/>
  <c r="J1488" i="6"/>
  <c r="J1468" i="6"/>
  <c r="J1448" i="6"/>
  <c r="J1388" i="6"/>
  <c r="K1388" i="6" s="1"/>
  <c r="L1388" i="6" s="1"/>
  <c r="J1368" i="6"/>
  <c r="J1348" i="6"/>
  <c r="J1328" i="6"/>
  <c r="J1308" i="6"/>
  <c r="K1308" i="6" s="1"/>
  <c r="L1308" i="6" s="1"/>
  <c r="J1288" i="6"/>
  <c r="J1268" i="6"/>
  <c r="J1248" i="6"/>
  <c r="J1228" i="6"/>
  <c r="J1208" i="6"/>
  <c r="J1188" i="6"/>
  <c r="J1168" i="6"/>
  <c r="J1148" i="6"/>
  <c r="J1128" i="6"/>
  <c r="J1108" i="6"/>
  <c r="J1088" i="6"/>
  <c r="J1068" i="6"/>
  <c r="J1048" i="6"/>
  <c r="J1028" i="6"/>
  <c r="K1028" i="6" s="1"/>
  <c r="L1028" i="6" s="1"/>
  <c r="J1008" i="6"/>
  <c r="J988" i="6"/>
  <c r="J968" i="6"/>
  <c r="J948" i="6"/>
  <c r="J928" i="6"/>
  <c r="J908" i="6"/>
  <c r="J888" i="6"/>
  <c r="K888" i="6" s="1"/>
  <c r="L888" i="6" s="1"/>
  <c r="J868" i="6"/>
  <c r="J848" i="6"/>
  <c r="J828" i="6"/>
  <c r="J808" i="6"/>
  <c r="K808" i="6" s="1"/>
  <c r="L808" i="6" s="1"/>
  <c r="J788" i="6"/>
  <c r="J768" i="6"/>
  <c r="J748" i="6"/>
  <c r="J728" i="6"/>
  <c r="J708" i="6"/>
  <c r="J688" i="6"/>
  <c r="J668" i="6"/>
  <c r="J648" i="6"/>
  <c r="J628" i="6"/>
  <c r="J608" i="6"/>
  <c r="J588" i="6"/>
  <c r="J568" i="6"/>
  <c r="J548" i="6"/>
  <c r="J528" i="6"/>
  <c r="J508" i="6"/>
  <c r="J488" i="6"/>
  <c r="J468" i="6"/>
  <c r="J448" i="6"/>
  <c r="J408" i="6"/>
  <c r="K408" i="6" s="1"/>
  <c r="L408" i="6" s="1"/>
  <c r="J388" i="6"/>
  <c r="J368" i="6"/>
  <c r="J348" i="6"/>
  <c r="J328" i="6"/>
  <c r="J308" i="6"/>
  <c r="J268" i="6"/>
  <c r="J248" i="6"/>
  <c r="J228" i="6"/>
  <c r="J208" i="6"/>
  <c r="J188" i="6"/>
  <c r="J168" i="6"/>
  <c r="J148" i="6"/>
  <c r="J128" i="6"/>
  <c r="J108" i="6"/>
  <c r="J88" i="6"/>
  <c r="J68" i="6"/>
  <c r="J48" i="6"/>
  <c r="J28" i="6"/>
  <c r="I1935" i="6"/>
  <c r="I1853" i="6"/>
  <c r="I1515" i="6"/>
  <c r="I1393" i="6"/>
  <c r="I1254" i="6"/>
  <c r="I1134" i="6"/>
  <c r="I833" i="6"/>
  <c r="I709" i="6"/>
  <c r="J1969" i="6"/>
  <c r="J1737" i="6"/>
  <c r="J1497" i="6"/>
  <c r="J1237" i="6"/>
  <c r="J909" i="6"/>
  <c r="J644" i="6"/>
  <c r="J263" i="6"/>
  <c r="I149" i="6"/>
  <c r="I1815" i="6"/>
  <c r="I1334" i="6"/>
  <c r="I820" i="6"/>
  <c r="J1859" i="6"/>
  <c r="J1981" i="6"/>
  <c r="J1901" i="6"/>
  <c r="J1801" i="6"/>
  <c r="J1681" i="6"/>
  <c r="J1581" i="6"/>
  <c r="J1501" i="6"/>
  <c r="J1401" i="6"/>
  <c r="J1301" i="6"/>
  <c r="J1181" i="6"/>
  <c r="J1081" i="6"/>
  <c r="J441" i="6"/>
  <c r="J429" i="6"/>
  <c r="J241" i="6"/>
  <c r="J232" i="6"/>
  <c r="I1699" i="6"/>
  <c r="I650" i="6"/>
  <c r="J1900" i="6"/>
  <c r="J1820" i="6"/>
  <c r="J1760" i="6"/>
  <c r="J1680" i="6"/>
  <c r="J1679" i="6"/>
  <c r="J1620" i="6"/>
  <c r="J1560" i="6"/>
  <c r="J1480" i="6"/>
  <c r="J1380" i="6"/>
  <c r="J1377" i="6"/>
  <c r="J1280" i="6"/>
  <c r="J1180" i="6"/>
  <c r="J1080" i="6"/>
  <c r="I1593" i="6"/>
  <c r="I793" i="6"/>
  <c r="J1408" i="6"/>
  <c r="I145" i="6"/>
  <c r="I245" i="6"/>
  <c r="I305" i="6"/>
  <c r="I385" i="6"/>
  <c r="I465" i="6"/>
  <c r="J1739" i="6"/>
  <c r="I1589" i="6"/>
  <c r="I1076" i="6"/>
  <c r="I299" i="6"/>
  <c r="I46" i="6"/>
  <c r="I166" i="6"/>
  <c r="I266" i="6"/>
  <c r="I466" i="6"/>
  <c r="I606" i="6"/>
  <c r="I132" i="6"/>
  <c r="I16" i="6"/>
  <c r="K16" i="6" s="1"/>
  <c r="L16" i="6" s="1"/>
  <c r="I96" i="6"/>
  <c r="I156" i="6"/>
  <c r="I196" i="6"/>
  <c r="I236" i="6"/>
  <c r="I276" i="6"/>
  <c r="I316" i="6"/>
  <c r="I376" i="6"/>
  <c r="I415" i="6"/>
  <c r="I556" i="6"/>
  <c r="I676" i="6"/>
  <c r="I1374" i="6"/>
  <c r="I26" i="6"/>
  <c r="K26" i="6" s="1"/>
  <c r="L26" i="6" s="1"/>
  <c r="I37" i="6"/>
  <c r="I57" i="6"/>
  <c r="I77" i="6"/>
  <c r="I97" i="6"/>
  <c r="I117" i="6"/>
  <c r="I137" i="6"/>
  <c r="I157" i="6"/>
  <c r="I177" i="6"/>
  <c r="I197" i="6"/>
  <c r="I217" i="6"/>
  <c r="I237" i="6"/>
  <c r="I257" i="6"/>
  <c r="I277" i="6"/>
  <c r="I297" i="6"/>
  <c r="I317" i="6"/>
  <c r="I337" i="6"/>
  <c r="I357" i="6"/>
  <c r="I377" i="6"/>
  <c r="K377" i="6" s="1"/>
  <c r="L377" i="6" s="1"/>
  <c r="I397" i="6"/>
  <c r="I417" i="6"/>
  <c r="K417" i="6" s="1"/>
  <c r="L417" i="6" s="1"/>
  <c r="I437" i="6"/>
  <c r="I457" i="6"/>
  <c r="I477" i="6"/>
  <c r="I497" i="6"/>
  <c r="K497" i="6" s="1"/>
  <c r="L497" i="6" s="1"/>
  <c r="I517" i="6"/>
  <c r="I537" i="6"/>
  <c r="I577" i="6"/>
  <c r="I597" i="6"/>
  <c r="I617" i="6"/>
  <c r="I637" i="6"/>
  <c r="I657" i="6"/>
  <c r="I677" i="6"/>
  <c r="I697" i="6"/>
  <c r="I737" i="6"/>
  <c r="I777" i="6"/>
  <c r="K777" i="6" s="1"/>
  <c r="L777" i="6" s="1"/>
  <c r="I797" i="6"/>
  <c r="I817" i="6"/>
  <c r="I837" i="6"/>
  <c r="I857" i="6"/>
  <c r="I897" i="6"/>
  <c r="I937" i="6"/>
  <c r="I977" i="6"/>
  <c r="I997" i="6"/>
  <c r="I1017" i="6"/>
  <c r="I1037" i="6"/>
  <c r="I1057" i="6"/>
  <c r="I1097" i="6"/>
  <c r="I1117" i="6"/>
  <c r="I1137" i="6"/>
  <c r="I1157" i="6"/>
  <c r="I1177" i="6"/>
  <c r="I1197" i="6"/>
  <c r="I1277" i="6"/>
  <c r="I1357" i="6"/>
  <c r="I1417" i="6"/>
  <c r="I1437" i="6"/>
  <c r="I1497" i="6"/>
  <c r="I1577" i="6"/>
  <c r="I1637" i="6"/>
  <c r="I1717" i="6"/>
  <c r="I1737" i="6"/>
  <c r="J1887" i="6"/>
  <c r="J1827" i="6"/>
  <c r="J1747" i="6"/>
  <c r="J1667" i="6"/>
  <c r="J1327" i="6"/>
  <c r="J1147" i="6"/>
  <c r="J1027" i="6"/>
  <c r="J427" i="6"/>
  <c r="I1849" i="6"/>
  <c r="I1747" i="6"/>
  <c r="I1511" i="6"/>
  <c r="I1391" i="6"/>
  <c r="I1251" i="6"/>
  <c r="I1131" i="6"/>
  <c r="I981" i="6"/>
  <c r="K981" i="6" s="1"/>
  <c r="L981" i="6" s="1"/>
  <c r="I831" i="6"/>
  <c r="I359" i="6"/>
  <c r="J1965" i="6"/>
  <c r="J1719" i="6"/>
  <c r="J1494" i="6"/>
  <c r="J1235" i="6"/>
  <c r="J907" i="6"/>
  <c r="J594" i="6"/>
  <c r="J257" i="6"/>
  <c r="I51" i="6"/>
  <c r="I71" i="6"/>
  <c r="I91" i="6"/>
  <c r="I111" i="6"/>
  <c r="I131" i="6"/>
  <c r="I151" i="6"/>
  <c r="I171" i="6"/>
  <c r="I191" i="6"/>
  <c r="I211" i="6"/>
  <c r="I251" i="6"/>
  <c r="I271" i="6"/>
  <c r="I291" i="6"/>
  <c r="I311" i="6"/>
  <c r="I331" i="6"/>
  <c r="I351" i="6"/>
  <c r="I391" i="6"/>
  <c r="I411" i="6"/>
  <c r="I431" i="6"/>
  <c r="I451" i="6"/>
  <c r="I471" i="6"/>
  <c r="I491" i="6"/>
  <c r="I511" i="6"/>
  <c r="K511" i="6" s="1"/>
  <c r="L511" i="6" s="1"/>
  <c r="I531" i="6"/>
  <c r="I551" i="6"/>
  <c r="I571" i="6"/>
  <c r="I611" i="6"/>
  <c r="I651" i="6"/>
  <c r="I691" i="6"/>
  <c r="I711" i="6"/>
  <c r="I751" i="6"/>
  <c r="I771" i="6"/>
  <c r="I791" i="6"/>
  <c r="I811" i="6"/>
  <c r="I851" i="6"/>
  <c r="I871" i="6"/>
  <c r="I911" i="6"/>
  <c r="I931" i="6"/>
  <c r="I951" i="6"/>
  <c r="I991" i="6"/>
  <c r="I1051" i="6"/>
  <c r="I1071" i="6"/>
  <c r="I1151" i="6"/>
  <c r="I1211" i="6"/>
  <c r="I1291" i="6"/>
  <c r="I1431" i="6"/>
  <c r="I1471" i="6"/>
  <c r="I1491" i="6"/>
  <c r="I1611" i="6"/>
  <c r="I1691" i="6"/>
  <c r="I1871" i="6"/>
  <c r="I33" i="6"/>
  <c r="I53" i="6"/>
  <c r="I73" i="6"/>
  <c r="I93" i="6"/>
  <c r="I113" i="6"/>
  <c r="I133" i="6"/>
  <c r="I193" i="6"/>
  <c r="I253" i="6"/>
  <c r="I273" i="6"/>
  <c r="I293" i="6"/>
  <c r="I313" i="6"/>
  <c r="I333" i="6"/>
  <c r="I353" i="6"/>
  <c r="I373" i="6"/>
  <c r="I393" i="6"/>
  <c r="I433" i="6"/>
  <c r="I453" i="6"/>
  <c r="I473" i="6"/>
  <c r="I493" i="6"/>
  <c r="I513" i="6"/>
  <c r="I533" i="6"/>
  <c r="I553" i="6"/>
  <c r="I573" i="6"/>
  <c r="I593" i="6"/>
  <c r="I613" i="6"/>
  <c r="I653" i="6"/>
  <c r="I693" i="6"/>
  <c r="I893" i="6"/>
  <c r="I913" i="6"/>
  <c r="I953" i="6"/>
  <c r="K953" i="6" s="1"/>
  <c r="L953" i="6" s="1"/>
  <c r="I1013" i="6"/>
  <c r="I1193" i="6"/>
  <c r="I1253" i="6"/>
  <c r="I1353" i="6"/>
  <c r="I1433" i="6"/>
  <c r="I1473" i="6"/>
  <c r="I1493" i="6"/>
  <c r="I1693" i="6"/>
  <c r="I1833" i="6"/>
  <c r="I1873" i="6"/>
  <c r="I1913" i="6"/>
  <c r="J1191" i="6"/>
  <c r="J1151" i="6"/>
  <c r="J931" i="6"/>
  <c r="J871" i="6"/>
  <c r="J831" i="6"/>
  <c r="J431" i="6"/>
  <c r="J371" i="6"/>
  <c r="J191" i="6"/>
  <c r="J31" i="6"/>
  <c r="I35" i="6"/>
  <c r="I55" i="6"/>
  <c r="I75" i="6"/>
  <c r="I95" i="6"/>
  <c r="I115" i="6"/>
  <c r="I135" i="6"/>
  <c r="I455" i="6"/>
  <c r="I695" i="6"/>
  <c r="I735" i="6"/>
  <c r="I755" i="6"/>
  <c r="I795" i="6"/>
  <c r="I855" i="6"/>
  <c r="I895" i="6"/>
  <c r="K895" i="6" s="1"/>
  <c r="L895" i="6" s="1"/>
  <c r="I1015" i="6"/>
  <c r="I1195" i="6"/>
  <c r="I1215" i="6"/>
  <c r="K1215" i="6" s="1"/>
  <c r="L1215" i="6" s="1"/>
  <c r="I1335" i="6"/>
  <c r="I1435" i="6"/>
  <c r="I1615" i="6"/>
  <c r="I1735" i="6"/>
  <c r="I1835" i="6"/>
  <c r="I1875" i="6"/>
  <c r="I1915" i="6"/>
  <c r="I1955" i="6"/>
  <c r="J1829" i="6"/>
  <c r="J1789" i="6"/>
  <c r="J1529" i="6"/>
  <c r="J1369" i="6"/>
  <c r="J1049" i="6"/>
  <c r="J949" i="6"/>
  <c r="J809" i="6"/>
  <c r="J569" i="6"/>
  <c r="I1217" i="6"/>
  <c r="K1217" i="6" s="1"/>
  <c r="L1217" i="6" s="1"/>
  <c r="I1237" i="6"/>
  <c r="I1257" i="6"/>
  <c r="I1297" i="6"/>
  <c r="I1317" i="6"/>
  <c r="I1337" i="6"/>
  <c r="I1377" i="6"/>
  <c r="I1397" i="6"/>
  <c r="I1457" i="6"/>
  <c r="I1477" i="6"/>
  <c r="I1517" i="6"/>
  <c r="I1537" i="6"/>
  <c r="I1557" i="6"/>
  <c r="I1657" i="6"/>
  <c r="I1777" i="6"/>
  <c r="I1797" i="6"/>
  <c r="I1817" i="6"/>
  <c r="I1837" i="6"/>
  <c r="I1877" i="6"/>
  <c r="I1917" i="6"/>
  <c r="I1957" i="6"/>
  <c r="I1977" i="6"/>
  <c r="K1977" i="6" s="1"/>
  <c r="L1977" i="6" s="1"/>
  <c r="J1987" i="6"/>
  <c r="J1967" i="6"/>
  <c r="J1947" i="6"/>
  <c r="J1927" i="6"/>
  <c r="J1907" i="6"/>
  <c r="J1867" i="6"/>
  <c r="J1847" i="6"/>
  <c r="J1807" i="6"/>
  <c r="J1787" i="6"/>
  <c r="J1767" i="6"/>
  <c r="J1727" i="6"/>
  <c r="J1707" i="6"/>
  <c r="J1687" i="6"/>
  <c r="J1647" i="6"/>
  <c r="J1627" i="6"/>
  <c r="J1607" i="6"/>
  <c r="J1567" i="6"/>
  <c r="J1547" i="6"/>
  <c r="J1527" i="6"/>
  <c r="J1507" i="6"/>
  <c r="J1487" i="6"/>
  <c r="J1467" i="6"/>
  <c r="J1447" i="6"/>
  <c r="J1407" i="6"/>
  <c r="J1387" i="6"/>
  <c r="J1367" i="6"/>
  <c r="K1367" i="6" s="1"/>
  <c r="L1367" i="6" s="1"/>
  <c r="J1347" i="6"/>
  <c r="J1307" i="6"/>
  <c r="J1287" i="6"/>
  <c r="J1267" i="6"/>
  <c r="J1247" i="6"/>
  <c r="J1227" i="6"/>
  <c r="J1207" i="6"/>
  <c r="J1187" i="6"/>
  <c r="J1167" i="6"/>
  <c r="J1107" i="6"/>
  <c r="J1087" i="6"/>
  <c r="J1067" i="6"/>
  <c r="J1047" i="6"/>
  <c r="J1007" i="6"/>
  <c r="J987" i="6"/>
  <c r="J967" i="6"/>
  <c r="J947" i="6"/>
  <c r="J927" i="6"/>
  <c r="J887" i="6"/>
  <c r="J867" i="6"/>
  <c r="J847" i="6"/>
  <c r="J827" i="6"/>
  <c r="J807" i="6"/>
  <c r="J787" i="6"/>
  <c r="J767" i="6"/>
  <c r="J747" i="6"/>
  <c r="J727" i="6"/>
  <c r="J707" i="6"/>
  <c r="J687" i="6"/>
  <c r="J667" i="6"/>
  <c r="K667" i="6" s="1"/>
  <c r="L667" i="6" s="1"/>
  <c r="J627" i="6"/>
  <c r="J607" i="6"/>
  <c r="J587" i="6"/>
  <c r="J567" i="6"/>
  <c r="J547" i="6"/>
  <c r="J527" i="6"/>
  <c r="J507" i="6"/>
  <c r="J487" i="6"/>
  <c r="J467" i="6"/>
  <c r="J447" i="6"/>
  <c r="J407" i="6"/>
  <c r="J387" i="6"/>
  <c r="J367" i="6"/>
  <c r="J347" i="6"/>
  <c r="J327" i="6"/>
  <c r="J307" i="6"/>
  <c r="J287" i="6"/>
  <c r="J267" i="6"/>
  <c r="J247" i="6"/>
  <c r="J227" i="6"/>
  <c r="J207" i="6"/>
  <c r="J187" i="6"/>
  <c r="J167" i="6"/>
  <c r="J147" i="6"/>
  <c r="J127" i="6"/>
  <c r="J107" i="6"/>
  <c r="J87" i="6"/>
  <c r="J67" i="6"/>
  <c r="J47" i="6"/>
  <c r="J27" i="6"/>
  <c r="I658" i="6"/>
  <c r="I678" i="6"/>
  <c r="I698" i="6"/>
  <c r="I718" i="6"/>
  <c r="I738" i="6"/>
  <c r="I758" i="6"/>
  <c r="I778" i="6"/>
  <c r="I798" i="6"/>
  <c r="I818" i="6"/>
  <c r="I838" i="6"/>
  <c r="I878" i="6"/>
  <c r="I898" i="6"/>
  <c r="I918" i="6"/>
  <c r="I958" i="6"/>
  <c r="I998" i="6"/>
  <c r="I1058" i="6"/>
  <c r="I1118" i="6"/>
  <c r="I1198" i="6"/>
  <c r="I1258" i="6"/>
  <c r="I1298" i="6"/>
  <c r="I1338" i="6"/>
  <c r="I1358" i="6"/>
  <c r="I1398" i="6"/>
  <c r="I1438" i="6"/>
  <c r="I1478" i="6"/>
  <c r="I1518" i="6"/>
  <c r="I1538" i="6"/>
  <c r="I1558" i="6"/>
  <c r="I1578" i="6"/>
  <c r="I1598" i="6"/>
  <c r="I1618" i="6"/>
  <c r="I1638" i="6"/>
  <c r="K1638" i="6" s="1"/>
  <c r="L1638" i="6" s="1"/>
  <c r="I1658" i="6"/>
  <c r="I1678" i="6"/>
  <c r="I1698" i="6"/>
  <c r="I1738" i="6"/>
  <c r="I1758" i="6"/>
  <c r="I1778" i="6"/>
  <c r="I1798" i="6"/>
  <c r="I1818" i="6"/>
  <c r="I1838" i="6"/>
  <c r="I1858" i="6"/>
  <c r="I1938" i="6"/>
  <c r="I1978" i="6"/>
  <c r="J1966" i="6"/>
  <c r="J1946" i="6"/>
  <c r="J1926" i="6"/>
  <c r="J1906" i="6"/>
  <c r="J1886" i="6"/>
  <c r="J1866" i="6"/>
  <c r="J1846" i="6"/>
  <c r="J1826" i="6"/>
  <c r="K1826" i="6" s="1"/>
  <c r="L1826" i="6" s="1"/>
  <c r="J1806" i="6"/>
  <c r="K1806" i="6" s="1"/>
  <c r="L1806" i="6" s="1"/>
  <c r="J1786" i="6"/>
  <c r="J1766" i="6"/>
  <c r="J1726" i="6"/>
  <c r="J1706" i="6"/>
  <c r="K1706" i="6" s="1"/>
  <c r="L1706" i="6" s="1"/>
  <c r="J1666" i="6"/>
  <c r="K1666" i="6" s="1"/>
  <c r="L1666" i="6" s="1"/>
  <c r="J1626" i="6"/>
  <c r="K1626" i="6" s="1"/>
  <c r="L1626" i="6" s="1"/>
  <c r="J1606" i="6"/>
  <c r="J1566" i="6"/>
  <c r="J1546" i="6"/>
  <c r="J1506" i="6"/>
  <c r="J1486" i="6"/>
  <c r="J1466" i="6"/>
  <c r="J1446" i="6"/>
  <c r="J1426" i="6"/>
  <c r="J1386" i="6"/>
  <c r="J1366" i="6"/>
  <c r="K1366" i="6" s="1"/>
  <c r="L1366" i="6" s="1"/>
  <c r="J1346" i="6"/>
  <c r="J1326" i="6"/>
  <c r="J1286" i="6"/>
  <c r="K1286" i="6" s="1"/>
  <c r="L1286" i="6" s="1"/>
  <c r="J1266" i="6"/>
  <c r="K1266" i="6" s="1"/>
  <c r="L1266" i="6" s="1"/>
  <c r="J1246" i="6"/>
  <c r="J1226" i="6"/>
  <c r="J1206" i="6"/>
  <c r="J1186" i="6"/>
  <c r="J1166" i="6"/>
  <c r="J1146" i="6"/>
  <c r="J1126" i="6"/>
  <c r="J1106" i="6"/>
  <c r="J1086" i="6"/>
  <c r="J1066" i="6"/>
  <c r="K1066" i="6" s="1"/>
  <c r="L1066" i="6" s="1"/>
  <c r="J1046" i="6"/>
  <c r="J1026" i="6"/>
  <c r="J1006" i="6"/>
  <c r="K1006" i="6" s="1"/>
  <c r="L1006" i="6" s="1"/>
  <c r="J986" i="6"/>
  <c r="J966" i="6"/>
  <c r="J946" i="6"/>
  <c r="J926" i="6"/>
  <c r="K926" i="6" s="1"/>
  <c r="L926" i="6" s="1"/>
  <c r="J906" i="6"/>
  <c r="K906" i="6" s="1"/>
  <c r="L906" i="6" s="1"/>
  <c r="J886" i="6"/>
  <c r="J866" i="6"/>
  <c r="J846" i="6"/>
  <c r="K846" i="6" s="1"/>
  <c r="L846" i="6" s="1"/>
  <c r="J826" i="6"/>
  <c r="K826" i="6" s="1"/>
  <c r="L826" i="6" s="1"/>
  <c r="J806" i="6"/>
  <c r="K806" i="6" s="1"/>
  <c r="L806" i="6" s="1"/>
  <c r="J786" i="6"/>
  <c r="J766" i="6"/>
  <c r="J726" i="6"/>
  <c r="J706" i="6"/>
  <c r="J686" i="6"/>
  <c r="J626" i="6"/>
  <c r="J606" i="6"/>
  <c r="J586" i="6"/>
  <c r="J566" i="6"/>
  <c r="J546" i="6"/>
  <c r="J526" i="6"/>
  <c r="J486" i="6"/>
  <c r="J466" i="6"/>
  <c r="J446" i="6"/>
  <c r="J406" i="6"/>
  <c r="J386" i="6"/>
  <c r="J366" i="6"/>
  <c r="J326" i="6"/>
  <c r="J306" i="6"/>
  <c r="J266" i="6"/>
  <c r="J246" i="6"/>
  <c r="J226" i="6"/>
  <c r="J206" i="6"/>
  <c r="J186" i="6"/>
  <c r="J166" i="6"/>
  <c r="J146" i="6"/>
  <c r="J126" i="6"/>
  <c r="J86" i="6"/>
  <c r="K86" i="6" s="1"/>
  <c r="L86" i="6" s="1"/>
  <c r="J66" i="6"/>
  <c r="J46" i="6"/>
  <c r="J26" i="6"/>
  <c r="I24" i="6"/>
  <c r="I39" i="6"/>
  <c r="I59" i="6"/>
  <c r="I79" i="6"/>
  <c r="I99" i="6"/>
  <c r="I119" i="6"/>
  <c r="I139" i="6"/>
  <c r="I159" i="6"/>
  <c r="I179" i="6"/>
  <c r="I199" i="6"/>
  <c r="I219" i="6"/>
  <c r="I239" i="6"/>
  <c r="I259" i="6"/>
  <c r="I279" i="6"/>
  <c r="I319" i="6"/>
  <c r="I339" i="6"/>
  <c r="I379" i="6"/>
  <c r="I399" i="6"/>
  <c r="I419" i="6"/>
  <c r="I459" i="6"/>
  <c r="I499" i="6"/>
  <c r="I519" i="6"/>
  <c r="I539" i="6"/>
  <c r="I559" i="6"/>
  <c r="I579" i="6"/>
  <c r="I599" i="6"/>
  <c r="I619" i="6"/>
  <c r="K619" i="6" s="1"/>
  <c r="L619" i="6" s="1"/>
  <c r="I639" i="6"/>
  <c r="I659" i="6"/>
  <c r="I679" i="6"/>
  <c r="I699" i="6"/>
  <c r="I719" i="6"/>
  <c r="I739" i="6"/>
  <c r="I759" i="6"/>
  <c r="I779" i="6"/>
  <c r="I819" i="6"/>
  <c r="I839" i="6"/>
  <c r="I859" i="6"/>
  <c r="I899" i="6"/>
  <c r="I939" i="6"/>
  <c r="I959" i="6"/>
  <c r="I999" i="6"/>
  <c r="I1019" i="6"/>
  <c r="I1059" i="6"/>
  <c r="I1099" i="6"/>
  <c r="I1119" i="6"/>
  <c r="I1139" i="6"/>
  <c r="I1159" i="6"/>
  <c r="I1179" i="6"/>
  <c r="I1199" i="6"/>
  <c r="I1239" i="6"/>
  <c r="I1259" i="6"/>
  <c r="I1299" i="6"/>
  <c r="I1319" i="6"/>
  <c r="I1339" i="6"/>
  <c r="I1379" i="6"/>
  <c r="I1399" i="6"/>
  <c r="I1419" i="6"/>
  <c r="I1459" i="6"/>
  <c r="I1479" i="6"/>
  <c r="I1499" i="6"/>
  <c r="I1519" i="6"/>
  <c r="I1539" i="6"/>
  <c r="I1559" i="6"/>
  <c r="I1579" i="6"/>
  <c r="I1599" i="6"/>
  <c r="I1659" i="6"/>
  <c r="I1679" i="6"/>
  <c r="I1739" i="6"/>
  <c r="I1779" i="6"/>
  <c r="I1799" i="6"/>
  <c r="I1819" i="6"/>
  <c r="I1839" i="6"/>
  <c r="I1859" i="6"/>
  <c r="I1879" i="6"/>
  <c r="I1919" i="6"/>
  <c r="I1939" i="6"/>
  <c r="I1979" i="6"/>
  <c r="J1985" i="6"/>
  <c r="J1945" i="6"/>
  <c r="J1925" i="6"/>
  <c r="J1905" i="6"/>
  <c r="J1885" i="6"/>
  <c r="J1865" i="6"/>
  <c r="J1845" i="6"/>
  <c r="J1825" i="6"/>
  <c r="J1805" i="6"/>
  <c r="K1805" i="6" s="1"/>
  <c r="L1805" i="6" s="1"/>
  <c r="J1785" i="6"/>
  <c r="J1765" i="6"/>
  <c r="J1725" i="6"/>
  <c r="J1705" i="6"/>
  <c r="J1665" i="6"/>
  <c r="J1645" i="6"/>
  <c r="J1625" i="6"/>
  <c r="J1605" i="6"/>
  <c r="J1565" i="6"/>
  <c r="J1525" i="6"/>
  <c r="J1505" i="6"/>
  <c r="J1485" i="6"/>
  <c r="J1445" i="6"/>
  <c r="J1425" i="6"/>
  <c r="J1405" i="6"/>
  <c r="K1405" i="6" s="1"/>
  <c r="L1405" i="6" s="1"/>
  <c r="J1385" i="6"/>
  <c r="J1365" i="6"/>
  <c r="J1345" i="6"/>
  <c r="J1305" i="6"/>
  <c r="K1305" i="6" s="1"/>
  <c r="L1305" i="6" s="1"/>
  <c r="J1285" i="6"/>
  <c r="J1265" i="6"/>
  <c r="J1245" i="6"/>
  <c r="K1245" i="6" s="1"/>
  <c r="L1245" i="6" s="1"/>
  <c r="J1225" i="6"/>
  <c r="J1205" i="6"/>
  <c r="J1185" i="6"/>
  <c r="K1185" i="6" s="1"/>
  <c r="L1185" i="6" s="1"/>
  <c r="J1165" i="6"/>
  <c r="K1165" i="6" s="1"/>
  <c r="L1165" i="6" s="1"/>
  <c r="J1125" i="6"/>
  <c r="J1105" i="6"/>
  <c r="J1085" i="6"/>
  <c r="J1065" i="6"/>
  <c r="J1045" i="6"/>
  <c r="J1025" i="6"/>
  <c r="J1005" i="6"/>
  <c r="J985" i="6"/>
  <c r="J965" i="6"/>
  <c r="J945" i="6"/>
  <c r="J925" i="6"/>
  <c r="J905" i="6"/>
  <c r="J885" i="6"/>
  <c r="J865" i="6"/>
  <c r="K865" i="6" s="1"/>
  <c r="L865" i="6" s="1"/>
  <c r="J845" i="6"/>
  <c r="J825" i="6"/>
  <c r="K825" i="6" s="1"/>
  <c r="L825" i="6" s="1"/>
  <c r="J805" i="6"/>
  <c r="J785" i="6"/>
  <c r="J765" i="6"/>
  <c r="J745" i="6"/>
  <c r="J725" i="6"/>
  <c r="J705" i="6"/>
  <c r="K705" i="6" s="1"/>
  <c r="L705" i="6" s="1"/>
  <c r="J685" i="6"/>
  <c r="J665" i="6"/>
  <c r="J645" i="6"/>
  <c r="J625" i="6"/>
  <c r="J605" i="6"/>
  <c r="J585" i="6"/>
  <c r="J565" i="6"/>
  <c r="J545" i="6"/>
  <c r="J525" i="6"/>
  <c r="J505" i="6"/>
  <c r="J485" i="6"/>
  <c r="J465" i="6"/>
  <c r="J445" i="6"/>
  <c r="J425" i="6"/>
  <c r="J405" i="6"/>
  <c r="J385" i="6"/>
  <c r="J365" i="6"/>
  <c r="J345" i="6"/>
  <c r="J325" i="6"/>
  <c r="J305" i="6"/>
  <c r="J285" i="6"/>
  <c r="J265" i="6"/>
  <c r="J245" i="6"/>
  <c r="J225" i="6"/>
  <c r="J205" i="6"/>
  <c r="J185" i="6"/>
  <c r="K185" i="6" s="1"/>
  <c r="L185" i="6" s="1"/>
  <c r="J165" i="6"/>
  <c r="J145" i="6"/>
  <c r="J125" i="6"/>
  <c r="J105" i="6"/>
  <c r="J85" i="6"/>
  <c r="J65" i="6"/>
  <c r="J45" i="6"/>
  <c r="J25" i="6"/>
  <c r="I23" i="6"/>
  <c r="I40" i="6"/>
  <c r="I60" i="6"/>
  <c r="I80" i="6"/>
  <c r="I100" i="6"/>
  <c r="I120" i="6"/>
  <c r="I140" i="6"/>
  <c r="I160" i="6"/>
  <c r="I180" i="6"/>
  <c r="I200" i="6"/>
  <c r="I220" i="6"/>
  <c r="I240" i="6"/>
  <c r="I260" i="6"/>
  <c r="I280" i="6"/>
  <c r="I320" i="6"/>
  <c r="I340" i="6"/>
  <c r="I360" i="6"/>
  <c r="I380" i="6"/>
  <c r="I400" i="6"/>
  <c r="I420" i="6"/>
  <c r="I440" i="6"/>
  <c r="I460" i="6"/>
  <c r="I500" i="6"/>
  <c r="I520" i="6"/>
  <c r="I540" i="6"/>
  <c r="I580" i="6"/>
  <c r="I620" i="6"/>
  <c r="I640" i="6"/>
  <c r="I660" i="6"/>
  <c r="I680" i="6"/>
  <c r="I700" i="6"/>
  <c r="I720" i="6"/>
  <c r="I740" i="6"/>
  <c r="I800" i="6"/>
  <c r="I840" i="6"/>
  <c r="I880" i="6"/>
  <c r="I900" i="6"/>
  <c r="I960" i="6"/>
  <c r="I1000" i="6"/>
  <c r="I1020" i="6"/>
  <c r="I1080" i="6"/>
  <c r="I1100" i="6"/>
  <c r="I1140" i="6"/>
  <c r="I1200" i="6"/>
  <c r="I1260" i="6"/>
  <c r="I1340" i="6"/>
  <c r="I1400" i="6"/>
  <c r="I1420" i="6"/>
  <c r="I1440" i="6"/>
  <c r="I1480" i="6"/>
  <c r="I1500" i="6"/>
  <c r="I1520" i="6"/>
  <c r="I1560" i="6"/>
  <c r="I1580" i="6"/>
  <c r="I1600" i="6"/>
  <c r="I1620" i="6"/>
  <c r="I1640" i="6"/>
  <c r="I1660" i="6"/>
  <c r="I1680" i="6"/>
  <c r="I1700" i="6"/>
  <c r="I1740" i="6"/>
  <c r="I1760" i="6"/>
  <c r="I1780" i="6"/>
  <c r="I1800" i="6"/>
  <c r="I1820" i="6"/>
  <c r="I1840" i="6"/>
  <c r="I1860" i="6"/>
  <c r="I1880" i="6"/>
  <c r="I1900" i="6"/>
  <c r="I1940" i="6"/>
  <c r="K1940" i="6" s="1"/>
  <c r="L1940" i="6" s="1"/>
  <c r="I1980" i="6"/>
  <c r="J1964" i="6"/>
  <c r="J1944" i="6"/>
  <c r="J1924" i="6"/>
  <c r="J1904" i="6"/>
  <c r="J1884" i="6"/>
  <c r="J1864" i="6"/>
  <c r="K1864" i="6" s="1"/>
  <c r="L1864" i="6" s="1"/>
  <c r="J1844" i="6"/>
  <c r="J1824" i="6"/>
  <c r="K1824" i="6" s="1"/>
  <c r="L1824" i="6" s="1"/>
  <c r="J1784" i="6"/>
  <c r="J1764" i="6"/>
  <c r="J1724" i="6"/>
  <c r="J1704" i="6"/>
  <c r="K1704" i="6" s="1"/>
  <c r="L1704" i="6" s="1"/>
  <c r="J1664" i="6"/>
  <c r="J1624" i="6"/>
  <c r="J1604" i="6"/>
  <c r="J1544" i="6"/>
  <c r="J1504" i="6"/>
  <c r="J1464" i="6"/>
  <c r="J1444" i="6"/>
  <c r="K1444" i="6" s="1"/>
  <c r="L1444" i="6" s="1"/>
  <c r="J1424" i="6"/>
  <c r="J1404" i="6"/>
  <c r="J1384" i="6"/>
  <c r="K1384" i="6" s="1"/>
  <c r="L1384" i="6" s="1"/>
  <c r="J1364" i="6"/>
  <c r="J1344" i="6"/>
  <c r="J1324" i="6"/>
  <c r="J1304" i="6"/>
  <c r="K1304" i="6" s="1"/>
  <c r="L1304" i="6" s="1"/>
  <c r="J1284" i="6"/>
  <c r="K1284" i="6" s="1"/>
  <c r="L1284" i="6" s="1"/>
  <c r="J1264" i="6"/>
  <c r="J1244" i="6"/>
  <c r="K1244" i="6" s="1"/>
  <c r="L1244" i="6" s="1"/>
  <c r="J1224" i="6"/>
  <c r="J1204" i="6"/>
  <c r="J1184" i="6"/>
  <c r="J1164" i="6"/>
  <c r="K1164" i="6" s="1"/>
  <c r="L1164" i="6" s="1"/>
  <c r="J1144" i="6"/>
  <c r="J1104" i="6"/>
  <c r="J1064" i="6"/>
  <c r="K1064" i="6" s="1"/>
  <c r="L1064" i="6" s="1"/>
  <c r="J1044" i="6"/>
  <c r="K1044" i="6" s="1"/>
  <c r="L1044" i="6" s="1"/>
  <c r="J964" i="6"/>
  <c r="J944" i="6"/>
  <c r="J904" i="6"/>
  <c r="J884" i="6"/>
  <c r="J864" i="6"/>
  <c r="J844" i="6"/>
  <c r="J824" i="6"/>
  <c r="J804" i="6"/>
  <c r="J784" i="6"/>
  <c r="J764" i="6"/>
  <c r="K764" i="6" s="1"/>
  <c r="L764" i="6" s="1"/>
  <c r="J744" i="6"/>
  <c r="K744" i="6" s="1"/>
  <c r="L744" i="6" s="1"/>
  <c r="J704" i="6"/>
  <c r="K704" i="6" s="1"/>
  <c r="L704" i="6" s="1"/>
  <c r="J684" i="6"/>
  <c r="J664" i="6"/>
  <c r="J624" i="6"/>
  <c r="J604" i="6"/>
  <c r="K604" i="6" s="1"/>
  <c r="L604" i="6" s="1"/>
  <c r="J584" i="6"/>
  <c r="J544" i="6"/>
  <c r="J524" i="6"/>
  <c r="J504" i="6"/>
  <c r="J464" i="6"/>
  <c r="J444" i="6"/>
  <c r="J424" i="6"/>
  <c r="J404" i="6"/>
  <c r="J384" i="6"/>
  <c r="J364" i="6"/>
  <c r="K364" i="6" s="1"/>
  <c r="L364" i="6" s="1"/>
  <c r="J344" i="6"/>
  <c r="J324" i="6"/>
  <c r="J304" i="6"/>
  <c r="J264" i="6"/>
  <c r="J244" i="6"/>
  <c r="J224" i="6"/>
  <c r="J204" i="6"/>
  <c r="J184" i="6"/>
  <c r="J144" i="6"/>
  <c r="J124" i="6"/>
  <c r="K124" i="6" s="1"/>
  <c r="L124" i="6" s="1"/>
  <c r="J104" i="6"/>
  <c r="K104" i="6" s="1"/>
  <c r="L104" i="6" s="1"/>
  <c r="J84" i="6"/>
  <c r="K84" i="6" s="1"/>
  <c r="L84" i="6" s="1"/>
  <c r="J64" i="6"/>
  <c r="J44" i="6"/>
  <c r="J24" i="6"/>
  <c r="I41" i="6"/>
  <c r="I61" i="6"/>
  <c r="K61" i="6" s="1"/>
  <c r="L61" i="6" s="1"/>
  <c r="I81" i="6"/>
  <c r="K81" i="6" s="1"/>
  <c r="L81" i="6" s="1"/>
  <c r="I101" i="6"/>
  <c r="I121" i="6"/>
  <c r="I141" i="6"/>
  <c r="I161" i="6"/>
  <c r="I201" i="6"/>
  <c r="I221" i="6"/>
  <c r="I241" i="6"/>
  <c r="I261" i="6"/>
  <c r="I281" i="6"/>
  <c r="I321" i="6"/>
  <c r="I361" i="6"/>
  <c r="I381" i="6"/>
  <c r="I401" i="6"/>
  <c r="I421" i="6"/>
  <c r="K421" i="6" s="1"/>
  <c r="L421" i="6" s="1"/>
  <c r="I441" i="6"/>
  <c r="I461" i="6"/>
  <c r="I501" i="6"/>
  <c r="K501" i="6" s="1"/>
  <c r="L501" i="6" s="1"/>
  <c r="I541" i="6"/>
  <c r="I561" i="6"/>
  <c r="I581" i="6"/>
  <c r="K581" i="6" s="1"/>
  <c r="L581" i="6" s="1"/>
  <c r="I601" i="6"/>
  <c r="I641" i="6"/>
  <c r="K641" i="6" s="1"/>
  <c r="L641" i="6" s="1"/>
  <c r="I681" i="6"/>
  <c r="I701" i="6"/>
  <c r="I721" i="6"/>
  <c r="I741" i="6"/>
  <c r="I761" i="6"/>
  <c r="I781" i="6"/>
  <c r="K781" i="6" s="1"/>
  <c r="L781" i="6" s="1"/>
  <c r="I841" i="6"/>
  <c r="K841" i="6" s="1"/>
  <c r="L841" i="6" s="1"/>
  <c r="I861" i="6"/>
  <c r="K861" i="6" s="1"/>
  <c r="L861" i="6" s="1"/>
  <c r="I901" i="6"/>
  <c r="I941" i="6"/>
  <c r="I961" i="6"/>
  <c r="I1001" i="6"/>
  <c r="I1021" i="6"/>
  <c r="I1061" i="6"/>
  <c r="I1081" i="6"/>
  <c r="K1081" i="6" s="1"/>
  <c r="L1081" i="6" s="1"/>
  <c r="I1101" i="6"/>
  <c r="I1121" i="6"/>
  <c r="I1141" i="6"/>
  <c r="I1161" i="6"/>
  <c r="I1181" i="6"/>
  <c r="I1201" i="6"/>
  <c r="I1241" i="6"/>
  <c r="I1261" i="6"/>
  <c r="I1281" i="6"/>
  <c r="I1301" i="6"/>
  <c r="I1321" i="6"/>
  <c r="I1341" i="6"/>
  <c r="I1381" i="6"/>
  <c r="I1421" i="6"/>
  <c r="I1501" i="6"/>
  <c r="I1561" i="6"/>
  <c r="I1581" i="6"/>
  <c r="I1601" i="6"/>
  <c r="I1681" i="6"/>
  <c r="I1801" i="6"/>
  <c r="I1841" i="6"/>
  <c r="I1861" i="6"/>
  <c r="I1881" i="6"/>
  <c r="I1901" i="6"/>
  <c r="I1921" i="6"/>
  <c r="I1941" i="6"/>
  <c r="J1983" i="6"/>
  <c r="J1963" i="6"/>
  <c r="J1943" i="6"/>
  <c r="J1903" i="6"/>
  <c r="J1883" i="6"/>
  <c r="J1863" i="6"/>
  <c r="K1863" i="6" s="1"/>
  <c r="L1863" i="6" s="1"/>
  <c r="J1843" i="6"/>
  <c r="K1843" i="6" s="1"/>
  <c r="L1843" i="6" s="1"/>
  <c r="J1823" i="6"/>
  <c r="J1803" i="6"/>
  <c r="K1803" i="6" s="1"/>
  <c r="L1803" i="6" s="1"/>
  <c r="J1783" i="6"/>
  <c r="K1783" i="6" s="1"/>
  <c r="L1783" i="6" s="1"/>
  <c r="J1763" i="6"/>
  <c r="J1723" i="6"/>
  <c r="K1723" i="6" s="1"/>
  <c r="L1723" i="6" s="1"/>
  <c r="J1703" i="6"/>
  <c r="J1663" i="6"/>
  <c r="J1643" i="6"/>
  <c r="J1623" i="6"/>
  <c r="J1603" i="6"/>
  <c r="J1563" i="6"/>
  <c r="J1543" i="6"/>
  <c r="J1523" i="6"/>
  <c r="J1503" i="6"/>
  <c r="J1483" i="6"/>
  <c r="J1463" i="6"/>
  <c r="K1463" i="6" s="1"/>
  <c r="L1463" i="6" s="1"/>
  <c r="J1443" i="6"/>
  <c r="J1403" i="6"/>
  <c r="J1383" i="6"/>
  <c r="J1363" i="6"/>
  <c r="J1343" i="6"/>
  <c r="J1303" i="6"/>
  <c r="J1283" i="6"/>
  <c r="J1263" i="6"/>
  <c r="J1243" i="6"/>
  <c r="J1223" i="6"/>
  <c r="J1203" i="6"/>
  <c r="K1203" i="6" s="1"/>
  <c r="L1203" i="6" s="1"/>
  <c r="J1183" i="6"/>
  <c r="J1163" i="6"/>
  <c r="J1143" i="6"/>
  <c r="J1123" i="6"/>
  <c r="J1103" i="6"/>
  <c r="J1083" i="6"/>
  <c r="J1063" i="6"/>
  <c r="J1043" i="6"/>
  <c r="J1023" i="6"/>
  <c r="J983" i="6"/>
  <c r="K983" i="6" s="1"/>
  <c r="L983" i="6" s="1"/>
  <c r="J963" i="6"/>
  <c r="J943" i="6"/>
  <c r="K943" i="6" s="1"/>
  <c r="L943" i="6" s="1"/>
  <c r="J923" i="6"/>
  <c r="K923" i="6" s="1"/>
  <c r="L923" i="6" s="1"/>
  <c r="J903" i="6"/>
  <c r="J883" i="6"/>
  <c r="J863" i="6"/>
  <c r="J843" i="6"/>
  <c r="J823" i="6"/>
  <c r="J803" i="6"/>
  <c r="J763" i="6"/>
  <c r="J743" i="6"/>
  <c r="J723" i="6"/>
  <c r="J703" i="6"/>
  <c r="K703" i="6" s="1"/>
  <c r="L703" i="6" s="1"/>
  <c r="J683" i="6"/>
  <c r="J643" i="6"/>
  <c r="J623" i="6"/>
  <c r="J603" i="6"/>
  <c r="J583" i="6"/>
  <c r="J563" i="6"/>
  <c r="J523" i="6"/>
  <c r="K523" i="6" s="1"/>
  <c r="L523" i="6" s="1"/>
  <c r="J503" i="6"/>
  <c r="J483" i="6"/>
  <c r="J463" i="6"/>
  <c r="J443" i="6"/>
  <c r="K443" i="6" s="1"/>
  <c r="L443" i="6" s="1"/>
  <c r="J423" i="6"/>
  <c r="J403" i="6"/>
  <c r="J383" i="6"/>
  <c r="J363" i="6"/>
  <c r="J323" i="6"/>
  <c r="J303" i="6"/>
  <c r="J243" i="6"/>
  <c r="J223" i="6"/>
  <c r="J203" i="6"/>
  <c r="J183" i="6"/>
  <c r="J163" i="6"/>
  <c r="J143" i="6"/>
  <c r="J123" i="6"/>
  <c r="J103" i="6"/>
  <c r="J83" i="6"/>
  <c r="K83" i="6" s="1"/>
  <c r="L83" i="6" s="1"/>
  <c r="J63" i="6"/>
  <c r="K63" i="6" s="1"/>
  <c r="L63" i="6" s="1"/>
  <c r="J43" i="6"/>
  <c r="J23" i="6"/>
  <c r="I1665" i="6"/>
  <c r="I1685" i="6"/>
  <c r="I1705" i="6"/>
  <c r="I1785" i="6"/>
  <c r="I1825" i="6"/>
  <c r="I1865" i="6"/>
  <c r="I1905" i="6"/>
  <c r="I1925" i="6"/>
  <c r="I1945" i="6"/>
  <c r="I1965" i="6"/>
  <c r="I1985" i="6"/>
  <c r="J1979" i="6"/>
  <c r="J1959" i="6"/>
  <c r="J1939" i="6"/>
  <c r="J1899" i="6"/>
  <c r="J1879" i="6"/>
  <c r="J1819" i="6"/>
  <c r="J1779" i="6"/>
  <c r="J1759" i="6"/>
  <c r="J1699" i="6"/>
  <c r="J1659" i="6"/>
  <c r="J1619" i="6"/>
  <c r="J1599" i="6"/>
  <c r="J1579" i="6"/>
  <c r="J1559" i="6"/>
  <c r="J1539" i="6"/>
  <c r="J1519" i="6"/>
  <c r="J1499" i="6"/>
  <c r="J1479" i="6"/>
  <c r="J1459" i="6"/>
  <c r="J1419" i="6"/>
  <c r="J1359" i="6"/>
  <c r="K1359" i="6" s="1"/>
  <c r="L1359" i="6" s="1"/>
  <c r="J1339" i="6"/>
  <c r="J1319" i="6"/>
  <c r="J1299" i="6"/>
  <c r="J1279" i="6"/>
  <c r="J1259" i="6"/>
  <c r="J1239" i="6"/>
  <c r="J1219" i="6"/>
  <c r="J1199" i="6"/>
  <c r="J1179" i="6"/>
  <c r="J1159" i="6"/>
  <c r="J1139" i="6"/>
  <c r="J1119" i="6"/>
  <c r="J1099" i="6"/>
  <c r="J1079" i="6"/>
  <c r="J1059" i="6"/>
  <c r="J1039" i="6"/>
  <c r="J1019" i="6"/>
  <c r="J999" i="6"/>
  <c r="J979" i="6"/>
  <c r="J959" i="6"/>
  <c r="J939" i="6"/>
  <c r="J919" i="6"/>
  <c r="J899" i="6"/>
  <c r="J879" i="6"/>
  <c r="K879" i="6" s="1"/>
  <c r="L879" i="6" s="1"/>
  <c r="J859" i="6"/>
  <c r="J839" i="6"/>
  <c r="J819" i="6"/>
  <c r="J799" i="6"/>
  <c r="J779" i="6"/>
  <c r="J759" i="6"/>
  <c r="J739" i="6"/>
  <c r="J719" i="6"/>
  <c r="J699" i="6"/>
  <c r="J679" i="6"/>
  <c r="J659" i="6"/>
  <c r="J639" i="6"/>
  <c r="J619" i="6"/>
  <c r="J599" i="6"/>
  <c r="J579" i="6"/>
  <c r="J559" i="6"/>
  <c r="J539" i="6"/>
  <c r="J519" i="6"/>
  <c r="J499" i="6"/>
  <c r="J479" i="6"/>
  <c r="J459" i="6"/>
  <c r="J439" i="6"/>
  <c r="J419" i="6"/>
  <c r="J399" i="6"/>
  <c r="J379" i="6"/>
  <c r="J359" i="6"/>
  <c r="J339" i="6"/>
  <c r="J319" i="6"/>
  <c r="J299" i="6"/>
  <c r="J279" i="6"/>
  <c r="J259" i="6"/>
  <c r="J239" i="6"/>
  <c r="J219" i="6"/>
  <c r="J199" i="6"/>
  <c r="J179" i="6"/>
  <c r="J159" i="6"/>
  <c r="J139" i="6"/>
  <c r="J119" i="6"/>
  <c r="J99" i="6"/>
  <c r="J79" i="6"/>
  <c r="J59" i="6"/>
  <c r="J39" i="6"/>
  <c r="J19" i="6"/>
  <c r="I1087" i="6"/>
  <c r="I1127" i="6"/>
  <c r="K1127" i="6" s="1"/>
  <c r="L1127" i="6" s="1"/>
  <c r="I1147" i="6"/>
  <c r="I1207" i="6"/>
  <c r="I1227" i="6"/>
  <c r="I1267" i="6"/>
  <c r="I1287" i="6"/>
  <c r="K1287" i="6" s="1"/>
  <c r="L1287" i="6" s="1"/>
  <c r="I1327" i="6"/>
  <c r="I1347" i="6"/>
  <c r="I1427" i="6"/>
  <c r="K1427" i="6" s="1"/>
  <c r="L1427" i="6" s="1"/>
  <c r="I1507" i="6"/>
  <c r="I1567" i="6"/>
  <c r="I1587" i="6"/>
  <c r="I1607" i="6"/>
  <c r="K1607" i="6" s="1"/>
  <c r="L1607" i="6" s="1"/>
  <c r="I1667" i="6"/>
  <c r="I1687" i="6"/>
  <c r="I1707" i="6"/>
  <c r="K1707" i="6" s="1"/>
  <c r="L1707" i="6" s="1"/>
  <c r="I1827" i="6"/>
  <c r="I1867" i="6"/>
  <c r="I1907" i="6"/>
  <c r="I1947" i="6"/>
  <c r="K1947" i="6" s="1"/>
  <c r="L1947" i="6" s="1"/>
  <c r="I1967" i="6"/>
  <c r="I1987" i="6"/>
  <c r="J1957" i="6"/>
  <c r="J1937" i="6"/>
  <c r="J1877" i="6"/>
  <c r="J1817" i="6"/>
  <c r="J1797" i="6"/>
  <c r="J1757" i="6"/>
  <c r="J1717" i="6"/>
  <c r="J1677" i="6"/>
  <c r="J1657" i="6"/>
  <c r="J1637" i="6"/>
  <c r="J1597" i="6"/>
  <c r="J1557" i="6"/>
  <c r="J1537" i="6"/>
  <c r="J1517" i="6"/>
  <c r="J1477" i="6"/>
  <c r="J1457" i="6"/>
  <c r="J1417" i="6"/>
  <c r="J1397" i="6"/>
  <c r="J1357" i="6"/>
  <c r="J1317" i="6"/>
  <c r="J1297" i="6"/>
  <c r="J1277" i="6"/>
  <c r="J1257" i="6"/>
  <c r="J1177" i="6"/>
  <c r="J1157" i="6"/>
  <c r="J1137" i="6"/>
  <c r="J1117" i="6"/>
  <c r="J1097" i="6"/>
  <c r="J1037" i="6"/>
  <c r="J957" i="6"/>
  <c r="K957" i="6" s="1"/>
  <c r="L957" i="6" s="1"/>
  <c r="J937" i="6"/>
  <c r="J897" i="6"/>
  <c r="J837" i="6"/>
  <c r="J797" i="6"/>
  <c r="J757" i="6"/>
  <c r="J717" i="6"/>
  <c r="J677" i="6"/>
  <c r="J637" i="6"/>
  <c r="J617" i="6"/>
  <c r="J597" i="6"/>
  <c r="J577" i="6"/>
  <c r="J557" i="6"/>
  <c r="J537" i="6"/>
  <c r="J517" i="6"/>
  <c r="J477" i="6"/>
  <c r="J457" i="6"/>
  <c r="J437" i="6"/>
  <c r="J417" i="6"/>
  <c r="J397" i="6"/>
  <c r="J377" i="6"/>
  <c r="J357" i="6"/>
  <c r="J317" i="6"/>
  <c r="J297" i="6"/>
  <c r="J277" i="6"/>
  <c r="J237" i="6"/>
  <c r="J217" i="6"/>
  <c r="J197" i="6"/>
  <c r="J157" i="6"/>
  <c r="J117" i="6"/>
  <c r="J97" i="6"/>
  <c r="J77" i="6"/>
  <c r="J57" i="6"/>
  <c r="J37" i="6"/>
  <c r="J17" i="6"/>
  <c r="J1078" i="6"/>
  <c r="J613" i="6"/>
  <c r="I69" i="6"/>
  <c r="I89" i="6"/>
  <c r="I109" i="6"/>
  <c r="I129" i="6"/>
  <c r="I169" i="6"/>
  <c r="I249" i="6"/>
  <c r="I269" i="6"/>
  <c r="I289" i="6"/>
  <c r="I309" i="6"/>
  <c r="I329" i="6"/>
  <c r="I349" i="6"/>
  <c r="I389" i="6"/>
  <c r="I429" i="6"/>
  <c r="K429" i="6" s="1"/>
  <c r="L429" i="6" s="1"/>
  <c r="I449" i="6"/>
  <c r="I469" i="6"/>
  <c r="I489" i="6"/>
  <c r="I509" i="6"/>
  <c r="I529" i="6"/>
  <c r="I569" i="6"/>
  <c r="I609" i="6"/>
  <c r="I649" i="6"/>
  <c r="I689" i="6"/>
  <c r="I729" i="6"/>
  <c r="I749" i="6"/>
  <c r="I769" i="6"/>
  <c r="I809" i="6"/>
  <c r="K809" i="6" s="1"/>
  <c r="L809" i="6" s="1"/>
  <c r="I849" i="6"/>
  <c r="I869" i="6"/>
  <c r="I929" i="6"/>
  <c r="I969" i="6"/>
  <c r="I1089" i="6"/>
  <c r="I1229" i="6"/>
  <c r="I1289" i="6"/>
  <c r="I1369" i="6"/>
  <c r="K1369" i="6" s="1"/>
  <c r="L1369" i="6" s="1"/>
  <c r="I1409" i="6"/>
  <c r="I1449" i="6"/>
  <c r="I1489" i="6"/>
  <c r="I1529" i="6"/>
  <c r="I1609" i="6"/>
  <c r="I1709" i="6"/>
  <c r="I1869" i="6"/>
  <c r="I1909" i="6"/>
  <c r="I1949" i="6"/>
  <c r="J1955" i="6"/>
  <c r="J1915" i="6"/>
  <c r="J1875" i="6"/>
  <c r="J1855" i="6"/>
  <c r="J1815" i="6"/>
  <c r="J1775" i="6"/>
  <c r="J1755" i="6"/>
  <c r="J1735" i="6"/>
  <c r="J1695" i="6"/>
  <c r="J1655" i="6"/>
  <c r="J1615" i="6"/>
  <c r="J1575" i="6"/>
  <c r="J1555" i="6"/>
  <c r="J1535" i="6"/>
  <c r="J1475" i="6"/>
  <c r="J1455" i="6"/>
  <c r="J1415" i="6"/>
  <c r="J1355" i="6"/>
  <c r="J1315" i="6"/>
  <c r="J1295" i="6"/>
  <c r="J1275" i="6"/>
  <c r="J1055" i="6"/>
  <c r="J995" i="6"/>
  <c r="J975" i="6"/>
  <c r="J955" i="6"/>
  <c r="J915" i="6"/>
  <c r="J855" i="6"/>
  <c r="J455" i="6"/>
  <c r="J375" i="6"/>
  <c r="J335" i="6"/>
  <c r="J75" i="6"/>
  <c r="J35" i="6"/>
  <c r="J1274" i="6"/>
  <c r="J592" i="6"/>
  <c r="J478" i="6"/>
  <c r="J193" i="6"/>
  <c r="J74" i="6"/>
  <c r="I1031" i="6"/>
  <c r="I1171" i="6"/>
  <c r="I1231" i="6"/>
  <c r="I1371" i="6"/>
  <c r="I1451" i="6"/>
  <c r="I1531" i="6"/>
  <c r="I1631" i="6"/>
  <c r="I1731" i="6"/>
  <c r="I1911" i="6"/>
  <c r="I1951" i="6"/>
  <c r="J1973" i="6"/>
  <c r="J1953" i="6"/>
  <c r="J1933" i="6"/>
  <c r="J1913" i="6"/>
  <c r="J1893" i="6"/>
  <c r="J1873" i="6"/>
  <c r="J1853" i="6"/>
  <c r="J1833" i="6"/>
  <c r="J1813" i="6"/>
  <c r="J1793" i="6"/>
  <c r="J1773" i="6"/>
  <c r="J1753" i="6"/>
  <c r="J1733" i="6"/>
  <c r="J1713" i="6"/>
  <c r="J1693" i="6"/>
  <c r="J1673" i="6"/>
  <c r="J1653" i="6"/>
  <c r="J1633" i="6"/>
  <c r="J1613" i="6"/>
  <c r="J1293" i="6"/>
  <c r="J1233" i="6"/>
  <c r="J1173" i="6"/>
  <c r="J1033" i="6"/>
  <c r="J893" i="6"/>
  <c r="J773" i="6"/>
  <c r="J453" i="6"/>
  <c r="J393" i="6"/>
  <c r="J313" i="6"/>
  <c r="J293" i="6"/>
  <c r="J213" i="6"/>
  <c r="J133" i="6"/>
  <c r="J73" i="6"/>
  <c r="J718" i="6"/>
  <c r="J472" i="6"/>
  <c r="J338" i="6"/>
  <c r="I472" i="6"/>
  <c r="I512" i="6"/>
  <c r="I532" i="6"/>
  <c r="I552" i="6"/>
  <c r="I572" i="6"/>
  <c r="K572" i="6" s="1"/>
  <c r="L572" i="6" s="1"/>
  <c r="I592" i="6"/>
  <c r="I672" i="6"/>
  <c r="I712" i="6"/>
  <c r="I752" i="6"/>
  <c r="I792" i="6"/>
  <c r="I812" i="6"/>
  <c r="I832" i="6"/>
  <c r="I852" i="6"/>
  <c r="I872" i="6"/>
  <c r="I892" i="6"/>
  <c r="I912" i="6"/>
  <c r="I932" i="6"/>
  <c r="I952" i="6"/>
  <c r="I972" i="6"/>
  <c r="I992" i="6"/>
  <c r="I1012" i="6"/>
  <c r="I1032" i="6"/>
  <c r="I1052" i="6"/>
  <c r="I1072" i="6"/>
  <c r="I1092" i="6"/>
  <c r="I1112" i="6"/>
  <c r="I1132" i="6"/>
  <c r="I1152" i="6"/>
  <c r="I1172" i="6"/>
  <c r="I1192" i="6"/>
  <c r="I1212" i="6"/>
  <c r="I1232" i="6"/>
  <c r="I1252" i="6"/>
  <c r="I1272" i="6"/>
  <c r="I1292" i="6"/>
  <c r="I1312" i="6"/>
  <c r="I1332" i="6"/>
  <c r="I1352" i="6"/>
  <c r="I1372" i="6"/>
  <c r="I1432" i="6"/>
  <c r="I1452" i="6"/>
  <c r="I1512" i="6"/>
  <c r="I1532" i="6"/>
  <c r="I1592" i="6"/>
  <c r="I1612" i="6"/>
  <c r="K1612" i="6" s="1"/>
  <c r="L1612" i="6" s="1"/>
  <c r="I1632" i="6"/>
  <c r="I1692" i="6"/>
  <c r="I1712" i="6"/>
  <c r="I1732" i="6"/>
  <c r="I1752" i="6"/>
  <c r="I1932" i="6"/>
  <c r="I1972" i="6"/>
  <c r="J1972" i="6"/>
  <c r="J1952" i="6"/>
  <c r="J1192" i="6"/>
  <c r="J1032" i="6"/>
  <c r="J832" i="6"/>
  <c r="J692" i="6"/>
  <c r="J672" i="6"/>
  <c r="J632" i="6"/>
  <c r="J612" i="6"/>
  <c r="J552" i="6"/>
  <c r="J292" i="6"/>
  <c r="J132" i="6"/>
  <c r="J434" i="6"/>
  <c r="J337" i="6"/>
  <c r="J33" i="6"/>
  <c r="I673" i="6"/>
  <c r="I713" i="6"/>
  <c r="I813" i="6"/>
  <c r="I853" i="6"/>
  <c r="I873" i="6"/>
  <c r="I933" i="6"/>
  <c r="I973" i="6"/>
  <c r="I993" i="6"/>
  <c r="I1053" i="6"/>
  <c r="I1093" i="6"/>
  <c r="I1113" i="6"/>
  <c r="I1153" i="6"/>
  <c r="I1173" i="6"/>
  <c r="I1213" i="6"/>
  <c r="I1233" i="6"/>
  <c r="I1293" i="6"/>
  <c r="I1313" i="6"/>
  <c r="I1373" i="6"/>
  <c r="I1453" i="6"/>
  <c r="I1533" i="6"/>
  <c r="I1633" i="6"/>
  <c r="I1733" i="6"/>
  <c r="K1733" i="6" s="1"/>
  <c r="L1733" i="6" s="1"/>
  <c r="I1753" i="6"/>
  <c r="I1953" i="6"/>
  <c r="J1971" i="6"/>
  <c r="J1951" i="6"/>
  <c r="J1931" i="6"/>
  <c r="J1911" i="6"/>
  <c r="J1891" i="6"/>
  <c r="J1871" i="6"/>
  <c r="J1851" i="6"/>
  <c r="J1831" i="6"/>
  <c r="J1811" i="6"/>
  <c r="J1791" i="6"/>
  <c r="J1771" i="6"/>
  <c r="J1751" i="6"/>
  <c r="J1731" i="6"/>
  <c r="J1711" i="6"/>
  <c r="J1691" i="6"/>
  <c r="J1671" i="6"/>
  <c r="K1671" i="6" s="1"/>
  <c r="L1671" i="6" s="1"/>
  <c r="J1651" i="6"/>
  <c r="J1631" i="6"/>
  <c r="J1611" i="6"/>
  <c r="J1591" i="6"/>
  <c r="J1571" i="6"/>
  <c r="J1551" i="6"/>
  <c r="J1531" i="6"/>
  <c r="J1511" i="6"/>
  <c r="J1491" i="6"/>
  <c r="J1471" i="6"/>
  <c r="J1451" i="6"/>
  <c r="J1431" i="6"/>
  <c r="J1411" i="6"/>
  <c r="J1391" i="6"/>
  <c r="J1371" i="6"/>
  <c r="J1351" i="6"/>
  <c r="J1331" i="6"/>
  <c r="J1311" i="6"/>
  <c r="J1291" i="6"/>
  <c r="J1271" i="6"/>
  <c r="K1271" i="6" s="1"/>
  <c r="L1271" i="6" s="1"/>
  <c r="J1251" i="6"/>
  <c r="J1231" i="6"/>
  <c r="J1211" i="6"/>
  <c r="J1171" i="6"/>
  <c r="J1131" i="6"/>
  <c r="J1111" i="6"/>
  <c r="J1091" i="6"/>
  <c r="J1071" i="6"/>
  <c r="J1051" i="6"/>
  <c r="J1031" i="6"/>
  <c r="J1011" i="6"/>
  <c r="J991" i="6"/>
  <c r="J971" i="6"/>
  <c r="J911" i="6"/>
  <c r="J891" i="6"/>
  <c r="J851" i="6"/>
  <c r="J811" i="6"/>
  <c r="J791" i="6"/>
  <c r="J751" i="6"/>
  <c r="J731" i="6"/>
  <c r="J711" i="6"/>
  <c r="J691" i="6"/>
  <c r="J671" i="6"/>
  <c r="J651" i="6"/>
  <c r="J631" i="6"/>
  <c r="J611" i="6"/>
  <c r="J591" i="6"/>
  <c r="J571" i="6"/>
  <c r="J551" i="6"/>
  <c r="J531" i="6"/>
  <c r="J491" i="6"/>
  <c r="J471" i="6"/>
  <c r="J451" i="6"/>
  <c r="J411" i="6"/>
  <c r="J351" i="6"/>
  <c r="J331" i="6"/>
  <c r="J311" i="6"/>
  <c r="J291" i="6"/>
  <c r="J271" i="6"/>
  <c r="J231" i="6"/>
  <c r="J211" i="6"/>
  <c r="J151" i="6"/>
  <c r="J131" i="6"/>
  <c r="J111" i="6"/>
  <c r="J71" i="6"/>
  <c r="J51" i="6"/>
  <c r="J433" i="6"/>
  <c r="I874" i="6"/>
  <c r="K874" i="6" s="1"/>
  <c r="L874" i="6" s="1"/>
  <c r="I914" i="6"/>
  <c r="I934" i="6"/>
  <c r="I994" i="6"/>
  <c r="I1034" i="6"/>
  <c r="I1054" i="6"/>
  <c r="I1114" i="6"/>
  <c r="I1174" i="6"/>
  <c r="I1314" i="6"/>
  <c r="I1354" i="6"/>
  <c r="I1394" i="6"/>
  <c r="I1434" i="6"/>
  <c r="I1474" i="6"/>
  <c r="I1514" i="6"/>
  <c r="I1554" i="6"/>
  <c r="I1614" i="6"/>
  <c r="I1634" i="6"/>
  <c r="I1654" i="6"/>
  <c r="I1714" i="6"/>
  <c r="I1734" i="6"/>
  <c r="I1754" i="6"/>
  <c r="I1774" i="6"/>
  <c r="I1974" i="6"/>
  <c r="J1970" i="6"/>
  <c r="J1950" i="6"/>
  <c r="J1930" i="6"/>
  <c r="J1910" i="6"/>
  <c r="J1890" i="6"/>
  <c r="J1870" i="6"/>
  <c r="K1870" i="6" s="1"/>
  <c r="L1870" i="6" s="1"/>
  <c r="J1850" i="6"/>
  <c r="J1830" i="6"/>
  <c r="J1810" i="6"/>
  <c r="J1790" i="6"/>
  <c r="J1770" i="6"/>
  <c r="J1750" i="6"/>
  <c r="J1730" i="6"/>
  <c r="J1710" i="6"/>
  <c r="J1690" i="6"/>
  <c r="J1670" i="6"/>
  <c r="J1650" i="6"/>
  <c r="J1630" i="6"/>
  <c r="J1610" i="6"/>
  <c r="J1590" i="6"/>
  <c r="J1570" i="6"/>
  <c r="J1550" i="6"/>
  <c r="J1530" i="6"/>
  <c r="J1510" i="6"/>
  <c r="J1490" i="6"/>
  <c r="J1470" i="6"/>
  <c r="J1450" i="6"/>
  <c r="J1430" i="6"/>
  <c r="J1410" i="6"/>
  <c r="K1410" i="6" s="1"/>
  <c r="L1410" i="6" s="1"/>
  <c r="J1390" i="6"/>
  <c r="J1370" i="6"/>
  <c r="J1350" i="6"/>
  <c r="J1330" i="6"/>
  <c r="J1310" i="6"/>
  <c r="J1290" i="6"/>
  <c r="J1250" i="6"/>
  <c r="J1230" i="6"/>
  <c r="J1210" i="6"/>
  <c r="J1190" i="6"/>
  <c r="J1170" i="6"/>
  <c r="J1130" i="6"/>
  <c r="J1110" i="6"/>
  <c r="J1090" i="6"/>
  <c r="J1070" i="6"/>
  <c r="J1050" i="6"/>
  <c r="J1030" i="6"/>
  <c r="J1010" i="6"/>
  <c r="J990" i="6"/>
  <c r="J970" i="6"/>
  <c r="J930" i="6"/>
  <c r="J910" i="6"/>
  <c r="J890" i="6"/>
  <c r="J870" i="6"/>
  <c r="J850" i="6"/>
  <c r="J830" i="6"/>
  <c r="J810" i="6"/>
  <c r="J770" i="6"/>
  <c r="J750" i="6"/>
  <c r="J730" i="6"/>
  <c r="J710" i="6"/>
  <c r="J690" i="6"/>
  <c r="J670" i="6"/>
  <c r="J650" i="6"/>
  <c r="J630" i="6"/>
  <c r="J610" i="6"/>
  <c r="J570" i="6"/>
  <c r="J550" i="6"/>
  <c r="J530" i="6"/>
  <c r="J490" i="6"/>
  <c r="J470" i="6"/>
  <c r="J450" i="6"/>
  <c r="J410" i="6"/>
  <c r="J390" i="6"/>
  <c r="J370" i="6"/>
  <c r="J350" i="6"/>
  <c r="J330" i="6"/>
  <c r="J310" i="6"/>
  <c r="J290" i="6"/>
  <c r="J270" i="6"/>
  <c r="J250" i="6"/>
  <c r="J210" i="6"/>
  <c r="J170" i="6"/>
  <c r="J150" i="6"/>
  <c r="J130" i="6"/>
  <c r="J90" i="6"/>
  <c r="J70" i="6"/>
  <c r="J50" i="6"/>
  <c r="J30" i="6"/>
  <c r="J432" i="6"/>
  <c r="I155" i="6"/>
  <c r="I175" i="6"/>
  <c r="I195" i="6"/>
  <c r="I215" i="6"/>
  <c r="I235" i="6"/>
  <c r="I255" i="6"/>
  <c r="I275" i="6"/>
  <c r="I295" i="6"/>
  <c r="I315" i="6"/>
  <c r="I335" i="6"/>
  <c r="I355" i="6"/>
  <c r="I375" i="6"/>
  <c r="I395" i="6"/>
  <c r="I435" i="6"/>
  <c r="I475" i="6"/>
  <c r="I495" i="6"/>
  <c r="I515" i="6"/>
  <c r="I535" i="6"/>
  <c r="I575" i="6"/>
  <c r="I595" i="6"/>
  <c r="I615" i="6"/>
  <c r="I635" i="6"/>
  <c r="I655" i="6"/>
  <c r="I675" i="6"/>
  <c r="I775" i="6"/>
  <c r="I815" i="6"/>
  <c r="I935" i="6"/>
  <c r="I975" i="6"/>
  <c r="I995" i="6"/>
  <c r="I1055" i="6"/>
  <c r="I1095" i="6"/>
  <c r="I1115" i="6"/>
  <c r="I1155" i="6"/>
  <c r="I1175" i="6"/>
  <c r="I1235" i="6"/>
  <c r="I1255" i="6"/>
  <c r="I1295" i="6"/>
  <c r="I1315" i="6"/>
  <c r="K1315" i="6" s="1"/>
  <c r="L1315" i="6" s="1"/>
  <c r="I1375" i="6"/>
  <c r="I1395" i="6"/>
  <c r="I1455" i="6"/>
  <c r="I1475" i="6"/>
  <c r="I1535" i="6"/>
  <c r="I1555" i="6"/>
  <c r="I1655" i="6"/>
  <c r="I1755" i="6"/>
  <c r="I1775" i="6"/>
  <c r="I1795" i="6"/>
  <c r="J1949" i="6"/>
  <c r="J1909" i="6"/>
  <c r="J1869" i="6"/>
  <c r="J1849" i="6"/>
  <c r="J1809" i="6"/>
  <c r="J1769" i="6"/>
  <c r="J1749" i="6"/>
  <c r="J1729" i="6"/>
  <c r="J1709" i="6"/>
  <c r="J1689" i="6"/>
  <c r="J1669" i="6"/>
  <c r="J1649" i="6"/>
  <c r="J1629" i="6"/>
  <c r="J1609" i="6"/>
  <c r="J1569" i="6"/>
  <c r="J1509" i="6"/>
  <c r="J1449" i="6"/>
  <c r="J1409" i="6"/>
  <c r="J1349" i="6"/>
  <c r="J1329" i="6"/>
  <c r="J1309" i="6"/>
  <c r="J1289" i="6"/>
  <c r="J1269" i="6"/>
  <c r="J1249" i="6"/>
  <c r="J1229" i="6"/>
  <c r="J1209" i="6"/>
  <c r="J1169" i="6"/>
  <c r="J1129" i="6"/>
  <c r="J1109" i="6"/>
  <c r="J1089" i="6"/>
  <c r="J1069" i="6"/>
  <c r="J1009" i="6"/>
  <c r="J989" i="6"/>
  <c r="J969" i="6"/>
  <c r="J929" i="6"/>
  <c r="J889" i="6"/>
  <c r="J849" i="6"/>
  <c r="J829" i="6"/>
  <c r="J789" i="6"/>
  <c r="J769" i="6"/>
  <c r="J749" i="6"/>
  <c r="J709" i="6"/>
  <c r="J689" i="6"/>
  <c r="J669" i="6"/>
  <c r="J629" i="6"/>
  <c r="J609" i="6"/>
  <c r="J589" i="6"/>
  <c r="J549" i="6"/>
  <c r="J529" i="6"/>
  <c r="J509" i="6"/>
  <c r="J489" i="6"/>
  <c r="J469" i="6"/>
  <c r="J449" i="6"/>
  <c r="J409" i="6"/>
  <c r="J389" i="6"/>
  <c r="J369" i="6"/>
  <c r="J349" i="6"/>
  <c r="J329" i="6"/>
  <c r="J309" i="6"/>
  <c r="J289" i="6"/>
  <c r="J269" i="6"/>
  <c r="J249" i="6"/>
  <c r="J229" i="6"/>
  <c r="J209" i="6"/>
  <c r="J189" i="6"/>
  <c r="J169" i="6"/>
  <c r="J149" i="6"/>
  <c r="J129" i="6"/>
  <c r="J109" i="6"/>
  <c r="J315" i="6"/>
  <c r="J962" i="6"/>
  <c r="J942" i="6"/>
  <c r="J882" i="6"/>
  <c r="J862" i="6"/>
  <c r="J842" i="6"/>
  <c r="J822" i="6"/>
  <c r="J802" i="6"/>
  <c r="J782" i="6"/>
  <c r="J762" i="6"/>
  <c r="K762" i="6" s="1"/>
  <c r="L762" i="6" s="1"/>
  <c r="J742" i="6"/>
  <c r="J722" i="6"/>
  <c r="J702" i="6"/>
  <c r="K702" i="6" s="1"/>
  <c r="L702" i="6" s="1"/>
  <c r="J682" i="6"/>
  <c r="J662" i="6"/>
  <c r="J642" i="6"/>
  <c r="J622" i="6"/>
  <c r="J602" i="6"/>
  <c r="K602" i="6" s="1"/>
  <c r="L602" i="6" s="1"/>
  <c r="J582" i="6"/>
  <c r="J562" i="6"/>
  <c r="J542" i="6"/>
  <c r="J522" i="6"/>
  <c r="J502" i="6"/>
  <c r="J482" i="6"/>
  <c r="J462" i="6"/>
  <c r="J442" i="6"/>
  <c r="K442" i="6" s="1"/>
  <c r="L442" i="6" s="1"/>
  <c r="J422" i="6"/>
  <c r="K422" i="6" s="1"/>
  <c r="L422" i="6" s="1"/>
  <c r="J402" i="6"/>
  <c r="J382" i="6"/>
  <c r="J362" i="6"/>
  <c r="K362" i="6" s="1"/>
  <c r="L362" i="6" s="1"/>
  <c r="J342" i="6"/>
  <c r="J322" i="6"/>
  <c r="K322" i="6" s="1"/>
  <c r="L322" i="6" s="1"/>
  <c r="J302" i="6"/>
  <c r="K302" i="6" s="1"/>
  <c r="L302" i="6" s="1"/>
  <c r="J282" i="6"/>
  <c r="J262" i="6"/>
  <c r="J242" i="6"/>
  <c r="K242" i="6" s="1"/>
  <c r="L242" i="6" s="1"/>
  <c r="J222" i="6"/>
  <c r="K222" i="6" s="1"/>
  <c r="L222" i="6" s="1"/>
  <c r="J202" i="6"/>
  <c r="K202" i="6" s="1"/>
  <c r="L202" i="6" s="1"/>
  <c r="J182" i="6"/>
  <c r="J162" i="6"/>
  <c r="J142" i="6"/>
  <c r="K142" i="6" s="1"/>
  <c r="L142" i="6" s="1"/>
  <c r="J122" i="6"/>
  <c r="K122" i="6" s="1"/>
  <c r="L122" i="6" s="1"/>
  <c r="J102" i="6"/>
  <c r="J82" i="6"/>
  <c r="J62" i="6"/>
  <c r="J42" i="6"/>
  <c r="K42" i="6" s="1"/>
  <c r="L42" i="6" s="1"/>
  <c r="J22" i="6"/>
  <c r="J1020" i="6"/>
  <c r="J1000" i="6"/>
  <c r="J980" i="6"/>
  <c r="J960" i="6"/>
  <c r="J940" i="6"/>
  <c r="K940" i="6" s="1"/>
  <c r="L940" i="6" s="1"/>
  <c r="J920" i="6"/>
  <c r="J900" i="6"/>
  <c r="J880" i="6"/>
  <c r="J860" i="6"/>
  <c r="J840" i="6"/>
  <c r="J820" i="6"/>
  <c r="J800" i="6"/>
  <c r="J780" i="6"/>
  <c r="J760" i="6"/>
  <c r="J740" i="6"/>
  <c r="J720" i="6"/>
  <c r="J700" i="6"/>
  <c r="J680" i="6"/>
  <c r="J660" i="6"/>
  <c r="J640" i="6"/>
  <c r="J620" i="6"/>
  <c r="J600" i="6"/>
  <c r="J580" i="6"/>
  <c r="J560" i="6"/>
  <c r="K560" i="6" s="1"/>
  <c r="L560" i="6" s="1"/>
  <c r="J540" i="6"/>
  <c r="J520" i="6"/>
  <c r="J500" i="6"/>
  <c r="J480" i="6"/>
  <c r="J460" i="6"/>
  <c r="J440" i="6"/>
  <c r="J420" i="6"/>
  <c r="J400" i="6"/>
  <c r="J380" i="6"/>
  <c r="J360" i="6"/>
  <c r="J340" i="6"/>
  <c r="J320" i="6"/>
  <c r="J300" i="6"/>
  <c r="J280" i="6"/>
  <c r="J260" i="6"/>
  <c r="J240" i="6"/>
  <c r="J220" i="6"/>
  <c r="J200" i="6"/>
  <c r="J180" i="6"/>
  <c r="J160" i="6"/>
  <c r="J140" i="6"/>
  <c r="J120" i="6"/>
  <c r="J100" i="6"/>
  <c r="J80" i="6"/>
  <c r="J60" i="6"/>
  <c r="J40" i="6"/>
  <c r="J20" i="6"/>
  <c r="J1538" i="6"/>
  <c r="J1518" i="6"/>
  <c r="J1498" i="6"/>
  <c r="J1478" i="6"/>
  <c r="J1458" i="6"/>
  <c r="J1438" i="6"/>
  <c r="J1418" i="6"/>
  <c r="J1398" i="6"/>
  <c r="J1378" i="6"/>
  <c r="J1358" i="6"/>
  <c r="J1338" i="6"/>
  <c r="J1318" i="6"/>
  <c r="J1278" i="6"/>
  <c r="J1258" i="6"/>
  <c r="J1238" i="6"/>
  <c r="J1218" i="6"/>
  <c r="J1198" i="6"/>
  <c r="J1178" i="6"/>
  <c r="J1158" i="6"/>
  <c r="J1138" i="6"/>
  <c r="J1098" i="6"/>
  <c r="J1058" i="6"/>
  <c r="J1038" i="6"/>
  <c r="K1038" i="6" s="1"/>
  <c r="L1038" i="6" s="1"/>
  <c r="J1018" i="6"/>
  <c r="J978" i="6"/>
  <c r="J958" i="6"/>
  <c r="J938" i="6"/>
  <c r="J918" i="6"/>
  <c r="J898" i="6"/>
  <c r="J878" i="6"/>
  <c r="J858" i="6"/>
  <c r="K858" i="6" s="1"/>
  <c r="L858" i="6" s="1"/>
  <c r="J838" i="6"/>
  <c r="J818" i="6"/>
  <c r="J798" i="6"/>
  <c r="J758" i="6"/>
  <c r="J738" i="6"/>
  <c r="J678" i="6"/>
  <c r="J658" i="6"/>
  <c r="J618" i="6"/>
  <c r="J598" i="6"/>
  <c r="J578" i="6"/>
  <c r="K578" i="6" s="1"/>
  <c r="L578" i="6" s="1"/>
  <c r="J538" i="6"/>
  <c r="J518" i="6"/>
  <c r="J498" i="6"/>
  <c r="J458" i="6"/>
  <c r="J438" i="6"/>
  <c r="J418" i="6"/>
  <c r="J398" i="6"/>
  <c r="J378" i="6"/>
  <c r="J358" i="6"/>
  <c r="J318" i="6"/>
  <c r="K318" i="6" s="1"/>
  <c r="L318" i="6" s="1"/>
  <c r="J298" i="6"/>
  <c r="K298" i="6" s="1"/>
  <c r="L298" i="6" s="1"/>
  <c r="J258" i="6"/>
  <c r="J218" i="6"/>
  <c r="J198" i="6"/>
  <c r="J178" i="6"/>
  <c r="K178" i="6" s="1"/>
  <c r="L178" i="6" s="1"/>
  <c r="J138" i="6"/>
  <c r="J98" i="6"/>
  <c r="J78" i="6"/>
  <c r="J58" i="6"/>
  <c r="J38" i="6"/>
  <c r="J18" i="6"/>
  <c r="J656" i="6"/>
  <c r="J616" i="6"/>
  <c r="J596" i="6"/>
  <c r="J576" i="6"/>
  <c r="J536" i="6"/>
  <c r="J516" i="6"/>
  <c r="J496" i="6"/>
  <c r="J456" i="6"/>
  <c r="J436" i="6"/>
  <c r="K436" i="6" s="1"/>
  <c r="L436" i="6" s="1"/>
  <c r="J416" i="6"/>
  <c r="J396" i="6"/>
  <c r="J356" i="6"/>
  <c r="J336" i="6"/>
  <c r="J316" i="6"/>
  <c r="J296" i="6"/>
  <c r="J276" i="6"/>
  <c r="J256" i="6"/>
  <c r="J236" i="6"/>
  <c r="J216" i="6"/>
  <c r="J196" i="6"/>
  <c r="J176" i="6"/>
  <c r="J156" i="6"/>
  <c r="J116" i="6"/>
  <c r="J96" i="6"/>
  <c r="J56" i="6"/>
  <c r="J1155" i="6"/>
  <c r="J1135" i="6"/>
  <c r="J1115" i="6"/>
  <c r="J1095" i="6"/>
  <c r="J1035" i="6"/>
  <c r="J1015" i="6"/>
  <c r="J935" i="6"/>
  <c r="J895" i="6"/>
  <c r="J835" i="6"/>
  <c r="J815" i="6"/>
  <c r="J795" i="6"/>
  <c r="J755" i="6"/>
  <c r="J715" i="6"/>
  <c r="J675" i="6"/>
  <c r="J635" i="6"/>
  <c r="J595" i="6"/>
  <c r="J575" i="6"/>
  <c r="J555" i="6"/>
  <c r="J535" i="6"/>
  <c r="J515" i="6"/>
  <c r="J495" i="6"/>
  <c r="J475" i="6"/>
  <c r="J435" i="6"/>
  <c r="J415" i="6"/>
  <c r="J355" i="6"/>
  <c r="J295" i="6"/>
  <c r="J275" i="6"/>
  <c r="J255" i="6"/>
  <c r="J235" i="6"/>
  <c r="J215" i="6"/>
  <c r="J195" i="6"/>
  <c r="J175" i="6"/>
  <c r="J155" i="6"/>
  <c r="J115" i="6"/>
  <c r="J55" i="6"/>
  <c r="J1514" i="6"/>
  <c r="J1474" i="6"/>
  <c r="J1414" i="6"/>
  <c r="J1394" i="6"/>
  <c r="J1374" i="6"/>
  <c r="J1354" i="6"/>
  <c r="J1334" i="6"/>
  <c r="J1314" i="6"/>
  <c r="J1294" i="6"/>
  <c r="J1254" i="6"/>
  <c r="J1214" i="6"/>
  <c r="J1174" i="6"/>
  <c r="J1154" i="6"/>
  <c r="J1134" i="6"/>
  <c r="J1094" i="6"/>
  <c r="J1054" i="6"/>
  <c r="J1034" i="6"/>
  <c r="J1014" i="6"/>
  <c r="J994" i="6"/>
  <c r="J974" i="6"/>
  <c r="J934" i="6"/>
  <c r="J914" i="6"/>
  <c r="J894" i="6"/>
  <c r="J854" i="6"/>
  <c r="J834" i="6"/>
  <c r="K834" i="6" s="1"/>
  <c r="L834" i="6" s="1"/>
  <c r="J814" i="6"/>
  <c r="J774" i="6"/>
  <c r="J754" i="6"/>
  <c r="J734" i="6"/>
  <c r="J714" i="6"/>
  <c r="J654" i="6"/>
  <c r="J634" i="6"/>
  <c r="J574" i="6"/>
  <c r="J554" i="6"/>
  <c r="J534" i="6"/>
  <c r="J494" i="6"/>
  <c r="J454" i="6"/>
  <c r="J414" i="6"/>
  <c r="J394" i="6"/>
  <c r="J354" i="6"/>
  <c r="J334" i="6"/>
  <c r="J314" i="6"/>
  <c r="J294" i="6"/>
  <c r="J254" i="6"/>
  <c r="J234" i="6"/>
  <c r="J214" i="6"/>
  <c r="J174" i="6"/>
  <c r="J154" i="6"/>
  <c r="J114" i="6"/>
  <c r="J94" i="6"/>
  <c r="K94" i="6" s="1"/>
  <c r="L94" i="6" s="1"/>
  <c r="J54" i="6"/>
  <c r="J1593" i="6"/>
  <c r="J1573" i="6"/>
  <c r="J1553" i="6"/>
  <c r="J1533" i="6"/>
  <c r="J1513" i="6"/>
  <c r="J1493" i="6"/>
  <c r="J1473" i="6"/>
  <c r="J1453" i="6"/>
  <c r="J1433" i="6"/>
  <c r="J1413" i="6"/>
  <c r="K1413" i="6" s="1"/>
  <c r="L1413" i="6" s="1"/>
  <c r="J1393" i="6"/>
  <c r="J1373" i="6"/>
  <c r="J1353" i="6"/>
  <c r="J1313" i="6"/>
  <c r="J1273" i="6"/>
  <c r="J1253" i="6"/>
  <c r="J1133" i="6"/>
  <c r="J1113" i="6"/>
  <c r="J1093" i="6"/>
  <c r="J1053" i="6"/>
  <c r="J1013" i="6"/>
  <c r="J973" i="6"/>
  <c r="J913" i="6"/>
  <c r="J813" i="6"/>
  <c r="J793" i="6"/>
  <c r="J753" i="6"/>
  <c r="J733" i="6"/>
  <c r="J713" i="6"/>
  <c r="J673" i="6"/>
  <c r="J653" i="6"/>
  <c r="J633" i="6"/>
  <c r="J593" i="6"/>
  <c r="J573" i="6"/>
  <c r="J553" i="6"/>
  <c r="J533" i="6"/>
  <c r="J493" i="6"/>
  <c r="J473" i="6"/>
  <c r="J413" i="6"/>
  <c r="J353" i="6"/>
  <c r="J273" i="6"/>
  <c r="J253" i="6"/>
  <c r="J233" i="6"/>
  <c r="J173" i="6"/>
  <c r="J153" i="6"/>
  <c r="J113" i="6"/>
  <c r="J53" i="6"/>
  <c r="J1932" i="6"/>
  <c r="J1912" i="6"/>
  <c r="J1892" i="6"/>
  <c r="J1872" i="6"/>
  <c r="J1852" i="6"/>
  <c r="J1832" i="6"/>
  <c r="J1812" i="6"/>
  <c r="J1792" i="6"/>
  <c r="J1772" i="6"/>
  <c r="J1752" i="6"/>
  <c r="J1732" i="6"/>
  <c r="J1712" i="6"/>
  <c r="J1692" i="6"/>
  <c r="J1672" i="6"/>
  <c r="J1652" i="6"/>
  <c r="J1632" i="6"/>
  <c r="J1612" i="6"/>
  <c r="J1592" i="6"/>
  <c r="J1572" i="6"/>
  <c r="J1552" i="6"/>
  <c r="J1532" i="6"/>
  <c r="J1512" i="6"/>
  <c r="J1492" i="6"/>
  <c r="J1472" i="6"/>
  <c r="J1452" i="6"/>
  <c r="J1432" i="6"/>
  <c r="J1412" i="6"/>
  <c r="J1392" i="6"/>
  <c r="J1372" i="6"/>
  <c r="J1352" i="6"/>
  <c r="J1332" i="6"/>
  <c r="J1312" i="6"/>
  <c r="J1292" i="6"/>
  <c r="J1252" i="6"/>
  <c r="J1232" i="6"/>
  <c r="J1212" i="6"/>
  <c r="J1172" i="6"/>
  <c r="J1132" i="6"/>
  <c r="J1112" i="6"/>
  <c r="J1092" i="6"/>
  <c r="J1072" i="6"/>
  <c r="J1052" i="6"/>
  <c r="J1012" i="6"/>
  <c r="J992" i="6"/>
  <c r="J972" i="6"/>
  <c r="J932" i="6"/>
  <c r="J912" i="6"/>
  <c r="J892" i="6"/>
  <c r="J872" i="6"/>
  <c r="J852" i="6"/>
  <c r="J812" i="6"/>
  <c r="J772" i="6"/>
  <c r="J752" i="6"/>
  <c r="J732" i="6"/>
  <c r="J712" i="6"/>
  <c r="J652" i="6"/>
  <c r="J572" i="6"/>
  <c r="J532" i="6"/>
  <c r="J492" i="6"/>
  <c r="J452" i="6"/>
  <c r="J412" i="6"/>
  <c r="J392" i="6"/>
  <c r="J372" i="6"/>
  <c r="J352" i="6"/>
  <c r="J332" i="6"/>
  <c r="J312" i="6"/>
  <c r="J272" i="6"/>
  <c r="J252" i="6"/>
  <c r="J212" i="6"/>
  <c r="J172" i="6"/>
  <c r="J152" i="6"/>
  <c r="J112" i="6"/>
  <c r="J92" i="6"/>
  <c r="J52" i="6"/>
  <c r="J32" i="6"/>
  <c r="J89" i="6"/>
  <c r="J69" i="6"/>
  <c r="J49" i="6"/>
  <c r="J29" i="6"/>
  <c r="K863" i="6" l="1"/>
  <c r="L863" i="6" s="1"/>
  <c r="K842" i="6"/>
  <c r="L842" i="6" s="1"/>
  <c r="K1685" i="6"/>
  <c r="L1685" i="6" s="1"/>
  <c r="K361" i="6"/>
  <c r="L361" i="6" s="1"/>
  <c r="K624" i="6"/>
  <c r="L624" i="6" s="1"/>
  <c r="K765" i="6"/>
  <c r="L765" i="6" s="1"/>
  <c r="K1146" i="6"/>
  <c r="L1146" i="6" s="1"/>
  <c r="K1496" i="6"/>
  <c r="L1496" i="6" s="1"/>
  <c r="K1082" i="6"/>
  <c r="L1082" i="6" s="1"/>
  <c r="K1448" i="6"/>
  <c r="L1448" i="6" s="1"/>
  <c r="K163" i="6"/>
  <c r="L163" i="6" s="1"/>
  <c r="K1921" i="6"/>
  <c r="L1921" i="6" s="1"/>
  <c r="K251" i="6"/>
  <c r="L251" i="6" s="1"/>
  <c r="K1408" i="6"/>
  <c r="L1408" i="6" s="1"/>
  <c r="K1049" i="6"/>
  <c r="L1049" i="6" s="1"/>
  <c r="K1347" i="6"/>
  <c r="L1347" i="6" s="1"/>
  <c r="K1327" i="6"/>
  <c r="L1327" i="6" s="1"/>
  <c r="K1640" i="6"/>
  <c r="L1640" i="6" s="1"/>
  <c r="K1839" i="6"/>
  <c r="L1839" i="6" s="1"/>
  <c r="K1380" i="6"/>
  <c r="L1380" i="6" s="1"/>
  <c r="K205" i="6"/>
  <c r="L205" i="6" s="1"/>
  <c r="K1641" i="6"/>
  <c r="L1641" i="6" s="1"/>
  <c r="K951" i="6"/>
  <c r="L951" i="6" s="1"/>
  <c r="K1585" i="6"/>
  <c r="L1585" i="6" s="1"/>
  <c r="K558" i="6"/>
  <c r="L558" i="6" s="1"/>
  <c r="K683" i="6"/>
  <c r="L683" i="6" s="1"/>
  <c r="K484" i="6"/>
  <c r="L484" i="6" s="1"/>
  <c r="K1024" i="6"/>
  <c r="L1024" i="6" s="1"/>
  <c r="K1300" i="6"/>
  <c r="L1300" i="6" s="1"/>
  <c r="K1465" i="6"/>
  <c r="L1465" i="6" s="1"/>
  <c r="K1042" i="6"/>
  <c r="L1042" i="6" s="1"/>
  <c r="K538" i="6"/>
  <c r="L538" i="6" s="1"/>
  <c r="K780" i="6"/>
  <c r="L780" i="6" s="1"/>
  <c r="K162" i="6"/>
  <c r="L162" i="6" s="1"/>
  <c r="K1052" i="6"/>
  <c r="L1052" i="6" s="1"/>
  <c r="K1279" i="6"/>
  <c r="L1279" i="6" s="1"/>
  <c r="K201" i="6"/>
  <c r="L201" i="6" s="1"/>
  <c r="K304" i="6"/>
  <c r="L304" i="6" s="1"/>
  <c r="K784" i="6"/>
  <c r="L784" i="6" s="1"/>
  <c r="K837" i="6"/>
  <c r="L837" i="6" s="1"/>
  <c r="K1884" i="6"/>
  <c r="L1884" i="6" s="1"/>
  <c r="K821" i="6"/>
  <c r="L821" i="6" s="1"/>
  <c r="K1929" i="6"/>
  <c r="L1929" i="6" s="1"/>
  <c r="K783" i="6"/>
  <c r="L783" i="6" s="1"/>
  <c r="K857" i="6"/>
  <c r="L857" i="6" s="1"/>
  <c r="K905" i="6"/>
  <c r="L905" i="6" s="1"/>
  <c r="K735" i="6"/>
  <c r="L735" i="6" s="1"/>
  <c r="K952" i="6"/>
  <c r="L952" i="6" s="1"/>
  <c r="K1906" i="6"/>
  <c r="L1906" i="6" s="1"/>
  <c r="K1836" i="6"/>
  <c r="L1836" i="6" s="1"/>
  <c r="K736" i="6"/>
  <c r="L736" i="6" s="1"/>
  <c r="K198" i="6"/>
  <c r="L198" i="6" s="1"/>
  <c r="K716" i="6"/>
  <c r="L716" i="6" s="1"/>
  <c r="K1721" i="6"/>
  <c r="L1721" i="6" s="1"/>
  <c r="K1040" i="6"/>
  <c r="L1040" i="6" s="1"/>
  <c r="K1816" i="6"/>
  <c r="L1816" i="6" s="1"/>
  <c r="K722" i="6"/>
  <c r="L722" i="6" s="1"/>
  <c r="K1754" i="6"/>
  <c r="L1754" i="6" s="1"/>
  <c r="K1195" i="6"/>
  <c r="L1195" i="6" s="1"/>
  <c r="K1348" i="6"/>
  <c r="L1348" i="6" s="1"/>
  <c r="K1046" i="6"/>
  <c r="L1046" i="6" s="1"/>
  <c r="K1528" i="6"/>
  <c r="L1528" i="6" s="1"/>
  <c r="K1796" i="6"/>
  <c r="L1796" i="6" s="1"/>
  <c r="K636" i="6"/>
  <c r="L636" i="6" s="1"/>
  <c r="K1021" i="6"/>
  <c r="L1021" i="6" s="1"/>
  <c r="K1919" i="6"/>
  <c r="L1919" i="6" s="1"/>
  <c r="K709" i="6"/>
  <c r="L709" i="6" s="1"/>
  <c r="K708" i="6"/>
  <c r="L708" i="6" s="1"/>
  <c r="K1773" i="6"/>
  <c r="L1773" i="6" s="1"/>
  <c r="K1573" i="6"/>
  <c r="L1573" i="6" s="1"/>
  <c r="K1296" i="6"/>
  <c r="L1296" i="6" s="1"/>
  <c r="K1489" i="6"/>
  <c r="L1489" i="6" s="1"/>
  <c r="K843" i="6"/>
  <c r="L843" i="6" s="1"/>
  <c r="K333" i="6"/>
  <c r="L333" i="6" s="1"/>
  <c r="K833" i="6"/>
  <c r="L833" i="6" s="1"/>
  <c r="K956" i="6"/>
  <c r="L956" i="6" s="1"/>
  <c r="K194" i="6"/>
  <c r="L194" i="6" s="1"/>
  <c r="K402" i="6"/>
  <c r="L402" i="6" s="1"/>
  <c r="K802" i="6"/>
  <c r="L802" i="6" s="1"/>
  <c r="K725" i="6"/>
  <c r="L725" i="6" s="1"/>
  <c r="K1134" i="6"/>
  <c r="L1134" i="6" s="1"/>
  <c r="K1588" i="6"/>
  <c r="L1588" i="6" s="1"/>
  <c r="K1189" i="6"/>
  <c r="L1189" i="6" s="1"/>
  <c r="K1272" i="6"/>
  <c r="L1272" i="6" s="1"/>
  <c r="K803" i="6"/>
  <c r="L803" i="6" s="1"/>
  <c r="K543" i="6"/>
  <c r="L543" i="6" s="1"/>
  <c r="K1144" i="6"/>
  <c r="L1144" i="6" s="1"/>
  <c r="K1720" i="6"/>
  <c r="L1720" i="6" s="1"/>
  <c r="K64" i="6"/>
  <c r="L64" i="6" s="1"/>
  <c r="K1544" i="6"/>
  <c r="L1544" i="6" s="1"/>
  <c r="K685" i="6"/>
  <c r="L685" i="6" s="1"/>
  <c r="K1085" i="6"/>
  <c r="L1085" i="6" s="1"/>
  <c r="K1565" i="6"/>
  <c r="L1565" i="6" s="1"/>
  <c r="K177" i="6"/>
  <c r="L177" i="6" s="1"/>
  <c r="K1718" i="6"/>
  <c r="L1718" i="6" s="1"/>
  <c r="K1984" i="6"/>
  <c r="L1984" i="6" s="1"/>
  <c r="K181" i="6"/>
  <c r="L181" i="6" s="1"/>
  <c r="K1983" i="6"/>
  <c r="L1983" i="6" s="1"/>
  <c r="K1492" i="6"/>
  <c r="L1492" i="6" s="1"/>
  <c r="K724" i="6"/>
  <c r="L724" i="6" s="1"/>
  <c r="K1322" i="6"/>
  <c r="L1322" i="6" s="1"/>
  <c r="K1822" i="6"/>
  <c r="L1822" i="6" s="1"/>
  <c r="K1931" i="6"/>
  <c r="L1931" i="6" s="1"/>
  <c r="K1625" i="6"/>
  <c r="L1625" i="6" s="1"/>
  <c r="K1548" i="6"/>
  <c r="L1548" i="6" s="1"/>
  <c r="K955" i="6"/>
  <c r="L955" i="6" s="1"/>
  <c r="K323" i="6"/>
  <c r="L323" i="6" s="1"/>
  <c r="K1555" i="6"/>
  <c r="L1555" i="6" s="1"/>
  <c r="K1614" i="6"/>
  <c r="L1614" i="6" s="1"/>
  <c r="K1303" i="6"/>
  <c r="L1303" i="6" s="1"/>
  <c r="K1501" i="6"/>
  <c r="L1501" i="6" s="1"/>
  <c r="K1606" i="6"/>
  <c r="L1606" i="6" s="1"/>
  <c r="K728" i="6"/>
  <c r="L728" i="6" s="1"/>
  <c r="K1128" i="6"/>
  <c r="L1128" i="6" s="1"/>
  <c r="K1571" i="6"/>
  <c r="L1571" i="6" s="1"/>
  <c r="K631" i="6"/>
  <c r="L631" i="6" s="1"/>
  <c r="K1361" i="6"/>
  <c r="L1361" i="6" s="1"/>
  <c r="K426" i="6"/>
  <c r="L426" i="6" s="1"/>
  <c r="K1966" i="6"/>
  <c r="L1966" i="6" s="1"/>
  <c r="K1506" i="6"/>
  <c r="L1506" i="6" s="1"/>
  <c r="K1504" i="6"/>
  <c r="L1504" i="6" s="1"/>
  <c r="K1523" i="6"/>
  <c r="L1523" i="6" s="1"/>
  <c r="K1584" i="6"/>
  <c r="L1584" i="6" s="1"/>
  <c r="K524" i="6"/>
  <c r="L524" i="6" s="1"/>
  <c r="K1682" i="6"/>
  <c r="L1682" i="6" s="1"/>
  <c r="K1142" i="6"/>
  <c r="L1142" i="6" s="1"/>
  <c r="K1928" i="6"/>
  <c r="L1928" i="6" s="1"/>
  <c r="K1642" i="6"/>
  <c r="L1642" i="6" s="1"/>
  <c r="K902" i="6"/>
  <c r="L902" i="6" s="1"/>
  <c r="K1732" i="6"/>
  <c r="L1732" i="6" s="1"/>
  <c r="K144" i="6"/>
  <c r="L144" i="6" s="1"/>
  <c r="K418" i="6"/>
  <c r="L418" i="6" s="1"/>
  <c r="K862" i="6"/>
  <c r="L862" i="6" s="1"/>
  <c r="K1933" i="6"/>
  <c r="L1933" i="6" s="1"/>
  <c r="K766" i="6"/>
  <c r="L766" i="6" s="1"/>
  <c r="K1778" i="6"/>
  <c r="L1778" i="6" s="1"/>
  <c r="K768" i="6"/>
  <c r="L768" i="6" s="1"/>
  <c r="K1168" i="6"/>
  <c r="L1168" i="6" s="1"/>
  <c r="K1608" i="6"/>
  <c r="L1608" i="6" s="1"/>
  <c r="K1556" i="6"/>
  <c r="L1556" i="6" s="1"/>
  <c r="K1274" i="6"/>
  <c r="L1274" i="6" s="1"/>
  <c r="K1096" i="6"/>
  <c r="L1096" i="6" s="1"/>
  <c r="K1927" i="6"/>
  <c r="L1927" i="6" s="1"/>
  <c r="K224" i="6"/>
  <c r="L224" i="6" s="1"/>
  <c r="K1048" i="6"/>
  <c r="L1048" i="6" s="1"/>
  <c r="K358" i="6"/>
  <c r="L358" i="6" s="1"/>
  <c r="K300" i="6"/>
  <c r="L300" i="6" s="1"/>
  <c r="K1383" i="6"/>
  <c r="L1383" i="6" s="1"/>
  <c r="K684" i="6"/>
  <c r="L684" i="6" s="1"/>
  <c r="K1224" i="6"/>
  <c r="L1224" i="6" s="1"/>
  <c r="K1764" i="6"/>
  <c r="L1764" i="6" s="1"/>
  <c r="K1758" i="6"/>
  <c r="L1758" i="6" s="1"/>
  <c r="K368" i="6"/>
  <c r="L368" i="6" s="1"/>
  <c r="K788" i="6"/>
  <c r="L788" i="6" s="1"/>
  <c r="K734" i="6"/>
  <c r="L734" i="6" s="1"/>
  <c r="K1240" i="6"/>
  <c r="L1240" i="6" s="1"/>
  <c r="K1722" i="6"/>
  <c r="L1722" i="6" s="1"/>
  <c r="K1604" i="6"/>
  <c r="L1604" i="6" s="1"/>
  <c r="K1488" i="6"/>
  <c r="L1488" i="6" s="1"/>
  <c r="K43" i="6"/>
  <c r="L43" i="6" s="1"/>
  <c r="K1208" i="6"/>
  <c r="L1208" i="6" s="1"/>
  <c r="K638" i="6"/>
  <c r="L638" i="6" s="1"/>
  <c r="K1971" i="6"/>
  <c r="L1971" i="6" s="1"/>
  <c r="K522" i="6"/>
  <c r="L522" i="6" s="1"/>
  <c r="K962" i="6"/>
  <c r="L962" i="6" s="1"/>
  <c r="K969" i="6"/>
  <c r="L969" i="6" s="1"/>
  <c r="K1443" i="6"/>
  <c r="L1443" i="6" s="1"/>
  <c r="K1679" i="6"/>
  <c r="L1679" i="6" s="1"/>
  <c r="K1159" i="6"/>
  <c r="L1159" i="6" s="1"/>
  <c r="K1698" i="6"/>
  <c r="L1698" i="6" s="1"/>
  <c r="K998" i="6"/>
  <c r="L998" i="6" s="1"/>
  <c r="K1874" i="6"/>
  <c r="L1874" i="6" s="1"/>
  <c r="K694" i="6"/>
  <c r="L694" i="6" s="1"/>
  <c r="K629" i="6"/>
  <c r="L629" i="6" s="1"/>
  <c r="K1386" i="6"/>
  <c r="L1386" i="6" s="1"/>
  <c r="K1423" i="6"/>
  <c r="L1423" i="6" s="1"/>
  <c r="K988" i="6"/>
  <c r="L988" i="6" s="1"/>
  <c r="K644" i="6"/>
  <c r="L644" i="6" s="1"/>
  <c r="K645" i="6"/>
  <c r="L645" i="6" s="1"/>
  <c r="K416" i="6"/>
  <c r="L416" i="6" s="1"/>
  <c r="K582" i="6"/>
  <c r="L582" i="6" s="1"/>
  <c r="K1184" i="6"/>
  <c r="L1184" i="6" s="1"/>
  <c r="K719" i="6"/>
  <c r="L719" i="6" s="1"/>
  <c r="K1434" i="6"/>
  <c r="L1434" i="6" s="1"/>
  <c r="K1700" i="6"/>
  <c r="L1700" i="6" s="1"/>
  <c r="K1738" i="6"/>
  <c r="L1738" i="6" s="1"/>
  <c r="K1494" i="6"/>
  <c r="L1494" i="6" s="1"/>
  <c r="K518" i="6"/>
  <c r="L518" i="6" s="1"/>
  <c r="K542" i="6"/>
  <c r="L542" i="6" s="1"/>
  <c r="K1072" i="6"/>
  <c r="L1072" i="6" s="1"/>
  <c r="K552" i="6"/>
  <c r="L552" i="6" s="1"/>
  <c r="K1911" i="6"/>
  <c r="L1911" i="6" s="1"/>
  <c r="K309" i="6"/>
  <c r="L309" i="6" s="1"/>
  <c r="K563" i="6"/>
  <c r="L563" i="6" s="1"/>
  <c r="K1023" i="6"/>
  <c r="L1023" i="6" s="1"/>
  <c r="K221" i="6"/>
  <c r="L221" i="6" s="1"/>
  <c r="K1844" i="6"/>
  <c r="L1844" i="6" s="1"/>
  <c r="K960" i="6"/>
  <c r="L960" i="6" s="1"/>
  <c r="K380" i="6"/>
  <c r="L380" i="6" s="1"/>
  <c r="K139" i="6"/>
  <c r="L139" i="6" s="1"/>
  <c r="K1246" i="6"/>
  <c r="L1246" i="6" s="1"/>
  <c r="K1786" i="6"/>
  <c r="L1786" i="6" s="1"/>
  <c r="K1678" i="6"/>
  <c r="L1678" i="6" s="1"/>
  <c r="K1237" i="6"/>
  <c r="L1237" i="6" s="1"/>
  <c r="K1015" i="6"/>
  <c r="L1015" i="6" s="1"/>
  <c r="K93" i="6"/>
  <c r="L93" i="6" s="1"/>
  <c r="K851" i="6"/>
  <c r="L851" i="6" s="1"/>
  <c r="K331" i="6"/>
  <c r="L331" i="6" s="1"/>
  <c r="K1637" i="6"/>
  <c r="L1637" i="6" s="1"/>
  <c r="K265" i="6"/>
  <c r="L265" i="6" s="1"/>
  <c r="K1813" i="6"/>
  <c r="L1813" i="6" s="1"/>
  <c r="K1848" i="6"/>
  <c r="L1848" i="6" s="1"/>
  <c r="K745" i="6"/>
  <c r="L745" i="6" s="1"/>
  <c r="K1163" i="6"/>
  <c r="L1163" i="6" s="1"/>
  <c r="K1787" i="6"/>
  <c r="L1787" i="6" s="1"/>
  <c r="K1323" i="6"/>
  <c r="L1323" i="6" s="1"/>
  <c r="K1963" i="6"/>
  <c r="L1963" i="6" s="1"/>
  <c r="K1531" i="6"/>
  <c r="L1531" i="6" s="1"/>
  <c r="K681" i="6"/>
  <c r="L681" i="6" s="1"/>
  <c r="K1904" i="6"/>
  <c r="L1904" i="6" s="1"/>
  <c r="K925" i="6"/>
  <c r="L925" i="6" s="1"/>
  <c r="K1768" i="6"/>
  <c r="L1768" i="6" s="1"/>
  <c r="K278" i="6"/>
  <c r="L278" i="6" s="1"/>
  <c r="K430" i="6"/>
  <c r="L430" i="6" s="1"/>
  <c r="K146" i="6"/>
  <c r="L146" i="6" s="1"/>
  <c r="K1003" i="6"/>
  <c r="L1003" i="6" s="1"/>
  <c r="K982" i="6"/>
  <c r="L982" i="6" s="1"/>
  <c r="K289" i="6"/>
  <c r="L289" i="6" s="1"/>
  <c r="K103" i="6"/>
  <c r="L103" i="6" s="1"/>
  <c r="K721" i="6"/>
  <c r="L721" i="6" s="1"/>
  <c r="K512" i="6"/>
  <c r="L512" i="6" s="1"/>
  <c r="K849" i="6"/>
  <c r="L849" i="6" s="1"/>
  <c r="K753" i="6"/>
  <c r="L753" i="6" s="1"/>
  <c r="K618" i="6"/>
  <c r="L618" i="6" s="1"/>
  <c r="K622" i="6"/>
  <c r="L622" i="6" s="1"/>
  <c r="K435" i="6"/>
  <c r="L435" i="6" s="1"/>
  <c r="K1054" i="6"/>
  <c r="L1054" i="6" s="1"/>
  <c r="K769" i="6"/>
  <c r="L769" i="6" s="1"/>
  <c r="K1959" i="6"/>
  <c r="L1959" i="6" s="1"/>
  <c r="K643" i="6"/>
  <c r="L643" i="6" s="1"/>
  <c r="K1103" i="6"/>
  <c r="L1103" i="6" s="1"/>
  <c r="K1181" i="6"/>
  <c r="L1181" i="6" s="1"/>
  <c r="K1364" i="6"/>
  <c r="L1364" i="6" s="1"/>
  <c r="K800" i="6"/>
  <c r="L800" i="6" s="1"/>
  <c r="K945" i="6"/>
  <c r="L945" i="6" s="1"/>
  <c r="K1385" i="6"/>
  <c r="L1385" i="6" s="1"/>
  <c r="K1346" i="6"/>
  <c r="L1346" i="6" s="1"/>
  <c r="K1873" i="6"/>
  <c r="L1873" i="6" s="1"/>
  <c r="K513" i="6"/>
  <c r="L513" i="6" s="1"/>
  <c r="K1131" i="6"/>
  <c r="L1131" i="6" s="1"/>
  <c r="K1854" i="6"/>
  <c r="L1854" i="6" s="1"/>
  <c r="K1314" i="6"/>
  <c r="L1314" i="6" s="1"/>
  <c r="K1855" i="6"/>
  <c r="L1855" i="6" s="1"/>
  <c r="K1579" i="6"/>
  <c r="L1579" i="6" s="1"/>
  <c r="K1744" i="6"/>
  <c r="L1744" i="6" s="1"/>
  <c r="K1422" i="6"/>
  <c r="L1422" i="6" s="1"/>
  <c r="K98" i="6"/>
  <c r="L98" i="6" s="1"/>
  <c r="K860" i="6"/>
  <c r="L860" i="6" s="1"/>
  <c r="K101" i="6"/>
  <c r="L101" i="6" s="1"/>
  <c r="K864" i="6"/>
  <c r="L864" i="6" s="1"/>
  <c r="K1886" i="6"/>
  <c r="L1886" i="6" s="1"/>
  <c r="K948" i="6"/>
  <c r="L948" i="6" s="1"/>
  <c r="K427" i="6"/>
  <c r="L427" i="6" s="1"/>
  <c r="K1703" i="6"/>
  <c r="L1703" i="6" s="1"/>
  <c r="K1222" i="6"/>
  <c r="L1222" i="6" s="1"/>
  <c r="K886" i="6"/>
  <c r="L886" i="6" s="1"/>
  <c r="K976" i="6"/>
  <c r="L976" i="6" s="1"/>
  <c r="K325" i="6"/>
  <c r="L325" i="6" s="1"/>
  <c r="K1124" i="6"/>
  <c r="L1124" i="6" s="1"/>
  <c r="K646" i="6"/>
  <c r="L646" i="6" s="1"/>
  <c r="K1749" i="6"/>
  <c r="L1749" i="6" s="1"/>
  <c r="K138" i="6"/>
  <c r="L138" i="6" s="1"/>
  <c r="K262" i="6"/>
  <c r="L262" i="6" s="1"/>
  <c r="K1115" i="6"/>
  <c r="L1115" i="6" s="1"/>
  <c r="K1603" i="6"/>
  <c r="L1603" i="6" s="1"/>
  <c r="K1368" i="6"/>
  <c r="L1368" i="6" s="1"/>
  <c r="K1828" i="6"/>
  <c r="L1828" i="6" s="1"/>
  <c r="K1218" i="6"/>
  <c r="L1218" i="6" s="1"/>
  <c r="K1278" i="6"/>
  <c r="L1278" i="6" s="1"/>
  <c r="K1952" i="6"/>
  <c r="L1952" i="6" s="1"/>
  <c r="K301" i="6"/>
  <c r="L301" i="6" s="1"/>
  <c r="K407" i="6"/>
  <c r="L407" i="6" s="1"/>
  <c r="K1306" i="6"/>
  <c r="L1306" i="6" s="1"/>
  <c r="K733" i="6"/>
  <c r="L733" i="6" s="1"/>
  <c r="K118" i="6"/>
  <c r="L118" i="6" s="1"/>
  <c r="K282" i="6"/>
  <c r="L282" i="6" s="1"/>
  <c r="K1171" i="6"/>
  <c r="L1171" i="6" s="1"/>
  <c r="K223" i="6"/>
  <c r="L223" i="6" s="1"/>
  <c r="K1623" i="6"/>
  <c r="L1623" i="6" s="1"/>
  <c r="K1424" i="6"/>
  <c r="L1424" i="6" s="1"/>
  <c r="K1445" i="6"/>
  <c r="L1445" i="6" s="1"/>
  <c r="K986" i="6"/>
  <c r="L986" i="6" s="1"/>
  <c r="K1777" i="6"/>
  <c r="L1777" i="6" s="1"/>
  <c r="K171" i="6"/>
  <c r="L171" i="6" s="1"/>
  <c r="K750" i="6"/>
  <c r="L750" i="6" s="1"/>
  <c r="K1077" i="6"/>
  <c r="L1077" i="6" s="1"/>
  <c r="K1119" i="6"/>
  <c r="L1119" i="6" s="1"/>
  <c r="K836" i="6"/>
  <c r="L836" i="6" s="1"/>
  <c r="K161" i="6"/>
  <c r="L161" i="6" s="1"/>
  <c r="K44" i="6"/>
  <c r="L44" i="6" s="1"/>
  <c r="K1063" i="6"/>
  <c r="L1063" i="6" s="1"/>
  <c r="K771" i="6"/>
  <c r="L771" i="6" s="1"/>
  <c r="K233" i="6"/>
  <c r="L233" i="6" s="1"/>
  <c r="K1183" i="6"/>
  <c r="L1183" i="6" s="1"/>
  <c r="K1841" i="6"/>
  <c r="L1841" i="6" s="1"/>
  <c r="K1025" i="6"/>
  <c r="L1025" i="6" s="1"/>
  <c r="K1946" i="6"/>
  <c r="L1946" i="6" s="1"/>
  <c r="K1008" i="6"/>
  <c r="L1008" i="6" s="1"/>
  <c r="K1616" i="6"/>
  <c r="L1616" i="6" s="1"/>
  <c r="K1541" i="6"/>
  <c r="L1541" i="6" s="1"/>
  <c r="K1074" i="6"/>
  <c r="L1074" i="6" s="1"/>
  <c r="K498" i="6"/>
  <c r="L498" i="6" s="1"/>
  <c r="K1069" i="6"/>
  <c r="L1069" i="6" s="1"/>
  <c r="K1092" i="6"/>
  <c r="L1092" i="6" s="1"/>
  <c r="K1951" i="6"/>
  <c r="L1951" i="6" s="1"/>
  <c r="K329" i="6"/>
  <c r="L329" i="6" s="1"/>
  <c r="K717" i="6"/>
  <c r="L717" i="6" s="1"/>
  <c r="K1903" i="6"/>
  <c r="L1903" i="6" s="1"/>
  <c r="K761" i="6"/>
  <c r="L761" i="6" s="1"/>
  <c r="K241" i="6"/>
  <c r="L241" i="6" s="1"/>
  <c r="K244" i="6"/>
  <c r="L244" i="6" s="1"/>
  <c r="K1264" i="6"/>
  <c r="L1264" i="6" s="1"/>
  <c r="K1680" i="6"/>
  <c r="L1680" i="6" s="1"/>
  <c r="K1000" i="6"/>
  <c r="L1000" i="6" s="1"/>
  <c r="K400" i="6"/>
  <c r="L400" i="6" s="1"/>
  <c r="K845" i="6"/>
  <c r="L845" i="6" s="1"/>
  <c r="K1265" i="6"/>
  <c r="L1265" i="6" s="1"/>
  <c r="K639" i="6"/>
  <c r="L639" i="6" s="1"/>
  <c r="K159" i="6"/>
  <c r="L159" i="6" s="1"/>
  <c r="K1226" i="6"/>
  <c r="L1226" i="6" s="1"/>
  <c r="K547" i="6"/>
  <c r="L547" i="6" s="1"/>
  <c r="K987" i="6"/>
  <c r="L987" i="6" s="1"/>
  <c r="K1257" i="6"/>
  <c r="L1257" i="6" s="1"/>
  <c r="K613" i="6"/>
  <c r="L613" i="6" s="1"/>
  <c r="K113" i="6"/>
  <c r="L113" i="6" s="1"/>
  <c r="K351" i="6"/>
  <c r="L351" i="6" s="1"/>
  <c r="K1719" i="6"/>
  <c r="L1719" i="6" s="1"/>
  <c r="K1717" i="6"/>
  <c r="L1717" i="6" s="1"/>
  <c r="K897" i="6"/>
  <c r="L897" i="6" s="1"/>
  <c r="K1076" i="6"/>
  <c r="L1076" i="6" s="1"/>
  <c r="K248" i="6"/>
  <c r="L248" i="6" s="1"/>
  <c r="K688" i="6"/>
  <c r="L688" i="6" s="1"/>
  <c r="K1088" i="6"/>
  <c r="L1088" i="6" s="1"/>
  <c r="K1968" i="6"/>
  <c r="L1968" i="6" s="1"/>
  <c r="K1575" i="6"/>
  <c r="L1575" i="6" s="1"/>
  <c r="K1316" i="6"/>
  <c r="L1316" i="6" s="1"/>
  <c r="K996" i="6"/>
  <c r="L996" i="6" s="1"/>
  <c r="K1583" i="6"/>
  <c r="L1583" i="6" s="1"/>
  <c r="K1690" i="6"/>
  <c r="L1690" i="6" s="1"/>
  <c r="K1250" i="6"/>
  <c r="L1250" i="6" s="1"/>
  <c r="K1876" i="6"/>
  <c r="L1876" i="6" s="1"/>
  <c r="K1605" i="6"/>
  <c r="L1605" i="6" s="1"/>
  <c r="K598" i="6"/>
  <c r="L598" i="6" s="1"/>
  <c r="K1234" i="6"/>
  <c r="L1234" i="6" s="1"/>
  <c r="K917" i="6"/>
  <c r="L917" i="6" s="1"/>
  <c r="K1098" i="6"/>
  <c r="L1098" i="6" s="1"/>
  <c r="K182" i="6"/>
  <c r="L182" i="6" s="1"/>
  <c r="K1032" i="6"/>
  <c r="L1032" i="6" s="1"/>
  <c r="K123" i="6"/>
  <c r="L123" i="6" s="1"/>
  <c r="K1503" i="6"/>
  <c r="L1503" i="6" s="1"/>
  <c r="K1099" i="6"/>
  <c r="L1099" i="6" s="1"/>
  <c r="K748" i="6"/>
  <c r="L748" i="6" s="1"/>
  <c r="K1148" i="6"/>
  <c r="L1148" i="6" s="1"/>
  <c r="K1956" i="6"/>
  <c r="L1956" i="6" s="1"/>
  <c r="K1576" i="6"/>
  <c r="L1576" i="6" s="1"/>
  <c r="K1275" i="6"/>
  <c r="L1275" i="6" s="1"/>
  <c r="K1934" i="6"/>
  <c r="L1934" i="6" s="1"/>
  <c r="K1481" i="6"/>
  <c r="L1481" i="6" s="1"/>
  <c r="K1986" i="6"/>
  <c r="L1986" i="6" s="1"/>
  <c r="K1526" i="6"/>
  <c r="L1526" i="6" s="1"/>
  <c r="K1944" i="6"/>
  <c r="L1944" i="6" s="1"/>
  <c r="K1564" i="6"/>
  <c r="L1564" i="6" s="1"/>
  <c r="K583" i="6"/>
  <c r="L583" i="6" s="1"/>
  <c r="K1108" i="6"/>
  <c r="L1108" i="6" s="1"/>
  <c r="K964" i="6"/>
  <c r="L964" i="6" s="1"/>
  <c r="K1005" i="6"/>
  <c r="L1005" i="6" s="1"/>
  <c r="K732" i="6"/>
  <c r="L732" i="6" s="1"/>
  <c r="K820" i="6"/>
  <c r="L820" i="6" s="1"/>
  <c r="K1539" i="6"/>
  <c r="L1539" i="6" s="1"/>
  <c r="K1866" i="6"/>
  <c r="L1866" i="6" s="1"/>
  <c r="K838" i="6"/>
  <c r="L838" i="6" s="1"/>
  <c r="K317" i="6"/>
  <c r="L317" i="6" s="1"/>
  <c r="K1536" i="6"/>
  <c r="L1536" i="6" s="1"/>
  <c r="K1027" i="6"/>
  <c r="L1027" i="6" s="1"/>
  <c r="K284" i="6"/>
  <c r="L284" i="6" s="1"/>
  <c r="K642" i="6"/>
  <c r="L642" i="6" s="1"/>
  <c r="K1563" i="6"/>
  <c r="L1563" i="6" s="1"/>
  <c r="K305" i="6"/>
  <c r="L305" i="6" s="1"/>
  <c r="K285" i="6"/>
  <c r="L285" i="6" s="1"/>
  <c r="K824" i="6"/>
  <c r="L824" i="6" s="1"/>
  <c r="K1086" i="6"/>
  <c r="L1086" i="6" s="1"/>
  <c r="K1639" i="6"/>
  <c r="L1639" i="6" s="1"/>
  <c r="K1094" i="6"/>
  <c r="L1094" i="6" s="1"/>
  <c r="K480" i="6"/>
  <c r="L480" i="6" s="1"/>
  <c r="K662" i="6"/>
  <c r="L662" i="6" s="1"/>
  <c r="K994" i="6"/>
  <c r="L994" i="6" s="1"/>
  <c r="K1113" i="6"/>
  <c r="L1113" i="6" s="1"/>
  <c r="K1949" i="6"/>
  <c r="L1949" i="6" s="1"/>
  <c r="K1567" i="6"/>
  <c r="L1567" i="6" s="1"/>
  <c r="K979" i="6"/>
  <c r="L979" i="6" s="1"/>
  <c r="K1985" i="6"/>
  <c r="L1985" i="6" s="1"/>
  <c r="K203" i="6"/>
  <c r="L203" i="6" s="1"/>
  <c r="K1881" i="6"/>
  <c r="L1881" i="6" s="1"/>
  <c r="K1141" i="6"/>
  <c r="L1141" i="6" s="1"/>
  <c r="K404" i="6"/>
  <c r="L404" i="6" s="1"/>
  <c r="K1404" i="6"/>
  <c r="L1404" i="6" s="1"/>
  <c r="K1964" i="6"/>
  <c r="L1964" i="6" s="1"/>
  <c r="K1520" i="6"/>
  <c r="L1520" i="6" s="1"/>
  <c r="K985" i="6"/>
  <c r="L985" i="6" s="1"/>
  <c r="K1425" i="6"/>
  <c r="L1425" i="6" s="1"/>
  <c r="K1499" i="6"/>
  <c r="L1499" i="6" s="1"/>
  <c r="K959" i="6"/>
  <c r="L959" i="6" s="1"/>
  <c r="K499" i="6"/>
  <c r="L499" i="6" s="1"/>
  <c r="K24" i="6"/>
  <c r="L24" i="6" s="1"/>
  <c r="K798" i="6"/>
  <c r="L798" i="6" s="1"/>
  <c r="K1797" i="6"/>
  <c r="L1797" i="6" s="1"/>
  <c r="K473" i="6"/>
  <c r="L473" i="6" s="1"/>
  <c r="K1391" i="6"/>
  <c r="L1391" i="6" s="1"/>
  <c r="K1277" i="6"/>
  <c r="L1277" i="6" s="1"/>
  <c r="K276" i="6"/>
  <c r="L276" i="6" s="1"/>
  <c r="K485" i="6"/>
  <c r="L485" i="6" s="1"/>
  <c r="K1220" i="6"/>
  <c r="L1220" i="6" s="1"/>
  <c r="K108" i="6"/>
  <c r="L108" i="6" s="1"/>
  <c r="K1426" i="6"/>
  <c r="L1426" i="6" s="1"/>
  <c r="K283" i="6"/>
  <c r="L283" i="6" s="1"/>
  <c r="K1842" i="6"/>
  <c r="L1842" i="6" s="1"/>
  <c r="K903" i="6"/>
  <c r="L903" i="6" s="1"/>
  <c r="K344" i="6"/>
  <c r="L344" i="6" s="1"/>
  <c r="K1902" i="6"/>
  <c r="L1902" i="6" s="1"/>
  <c r="K1083" i="6"/>
  <c r="L1083" i="6" s="1"/>
  <c r="K1019" i="6"/>
  <c r="L1019" i="6" s="1"/>
  <c r="K1837" i="6"/>
  <c r="L1837" i="6" s="1"/>
  <c r="K395" i="6"/>
  <c r="L395" i="6" s="1"/>
  <c r="K1896" i="6"/>
  <c r="L1896" i="6" s="1"/>
  <c r="K1513" i="6"/>
  <c r="L1513" i="6" s="1"/>
  <c r="K875" i="6"/>
  <c r="L875" i="6" s="1"/>
  <c r="K1464" i="6"/>
  <c r="L1464" i="6" s="1"/>
  <c r="K1804" i="6"/>
  <c r="L1804" i="6" s="1"/>
  <c r="K143" i="6"/>
  <c r="L143" i="6" s="1"/>
  <c r="K682" i="6"/>
  <c r="L682" i="6" s="1"/>
  <c r="K723" i="6"/>
  <c r="L723" i="6" s="1"/>
  <c r="K1926" i="6"/>
  <c r="L1926" i="6" s="1"/>
  <c r="K1935" i="6"/>
  <c r="L1935" i="6" s="1"/>
  <c r="K1191" i="6"/>
  <c r="L1191" i="6" s="1"/>
  <c r="K1661" i="6"/>
  <c r="L1661" i="6" s="1"/>
  <c r="K1406" i="6"/>
  <c r="L1406" i="6" s="1"/>
  <c r="K149" i="6"/>
  <c r="L149" i="6" s="1"/>
  <c r="K995" i="6"/>
  <c r="L995" i="6" s="1"/>
  <c r="K464" i="6"/>
  <c r="L464" i="6" s="1"/>
  <c r="K1045" i="6"/>
  <c r="L1045" i="6" s="1"/>
  <c r="K1505" i="6"/>
  <c r="L1505" i="6" s="1"/>
  <c r="K1026" i="6"/>
  <c r="L1026" i="6" s="1"/>
  <c r="K1521" i="6"/>
  <c r="L1521" i="6" s="1"/>
  <c r="K66" i="6"/>
  <c r="L66" i="6" s="1"/>
  <c r="K1846" i="6"/>
  <c r="L1846" i="6" s="1"/>
  <c r="K342" i="6"/>
  <c r="L342" i="6" s="1"/>
  <c r="K742" i="6"/>
  <c r="L742" i="6" s="1"/>
  <c r="K1091" i="6"/>
  <c r="L1091" i="6" s="1"/>
  <c r="K1223" i="6"/>
  <c r="L1223" i="6" s="1"/>
  <c r="K1420" i="6"/>
  <c r="L1420" i="6" s="1"/>
  <c r="K665" i="6"/>
  <c r="L665" i="6" s="1"/>
  <c r="K1065" i="6"/>
  <c r="L1065" i="6" s="1"/>
  <c r="K1486" i="6"/>
  <c r="L1486" i="6" s="1"/>
  <c r="K908" i="6"/>
  <c r="L908" i="6" s="1"/>
  <c r="K1621" i="6"/>
  <c r="L1621" i="6" s="1"/>
  <c r="K514" i="6"/>
  <c r="L514" i="6" s="1"/>
  <c r="K1897" i="6"/>
  <c r="L1897" i="6" s="1"/>
  <c r="K782" i="6"/>
  <c r="L782" i="6" s="1"/>
  <c r="K1546" i="6"/>
  <c r="L1546" i="6" s="1"/>
  <c r="K1808" i="6"/>
  <c r="L1808" i="6" s="1"/>
  <c r="K1743" i="6"/>
  <c r="L1743" i="6" s="1"/>
  <c r="K1002" i="6"/>
  <c r="L1002" i="6" s="1"/>
  <c r="K444" i="6"/>
  <c r="L444" i="6" s="1"/>
  <c r="K38" i="6"/>
  <c r="L38" i="6" s="1"/>
  <c r="K338" i="6"/>
  <c r="L338" i="6" s="1"/>
  <c r="K403" i="6"/>
  <c r="L403" i="6" s="1"/>
  <c r="K1283" i="6"/>
  <c r="L1283" i="6" s="1"/>
  <c r="K401" i="6"/>
  <c r="L401" i="6" s="1"/>
  <c r="K1106" i="6"/>
  <c r="L1106" i="6" s="1"/>
  <c r="K263" i="6"/>
  <c r="L263" i="6" s="1"/>
  <c r="K968" i="6"/>
  <c r="L968" i="6" s="1"/>
  <c r="K1138" i="6"/>
  <c r="L1138" i="6" s="1"/>
  <c r="K374" i="6"/>
  <c r="L374" i="6" s="1"/>
  <c r="K801" i="6"/>
  <c r="L801" i="6" s="1"/>
  <c r="K189" i="6"/>
  <c r="L189" i="6" s="1"/>
  <c r="K406" i="6"/>
  <c r="L406" i="6" s="1"/>
  <c r="K1742" i="6"/>
  <c r="L1742" i="6" s="1"/>
  <c r="K384" i="6"/>
  <c r="L384" i="6" s="1"/>
  <c r="K822" i="6"/>
  <c r="L822" i="6" s="1"/>
  <c r="K706" i="6"/>
  <c r="L706" i="6" s="1"/>
  <c r="K747" i="6"/>
  <c r="L747" i="6" s="1"/>
  <c r="K868" i="6"/>
  <c r="L868" i="6" s="1"/>
  <c r="K829" i="6"/>
  <c r="L829" i="6" s="1"/>
  <c r="K398" i="6"/>
  <c r="L398" i="6" s="1"/>
  <c r="K1535" i="6"/>
  <c r="L1535" i="6" s="1"/>
  <c r="K195" i="6"/>
  <c r="L195" i="6" s="1"/>
  <c r="K713" i="6"/>
  <c r="L713" i="6" s="1"/>
  <c r="K1172" i="6"/>
  <c r="L1172" i="6" s="1"/>
  <c r="K752" i="6"/>
  <c r="L752" i="6" s="1"/>
  <c r="K1147" i="6"/>
  <c r="L1147" i="6" s="1"/>
  <c r="K1619" i="6"/>
  <c r="L1619" i="6" s="1"/>
  <c r="K1343" i="6"/>
  <c r="L1343" i="6" s="1"/>
  <c r="K1823" i="6"/>
  <c r="L1823" i="6" s="1"/>
  <c r="K901" i="6"/>
  <c r="L901" i="6" s="1"/>
  <c r="K1780" i="6"/>
  <c r="L1780" i="6" s="1"/>
  <c r="K500" i="6"/>
  <c r="L500" i="6" s="1"/>
  <c r="K60" i="6"/>
  <c r="L60" i="6" s="1"/>
  <c r="K239" i="6"/>
  <c r="L239" i="6" s="1"/>
  <c r="K726" i="6"/>
  <c r="L726" i="6" s="1"/>
  <c r="K1798" i="6"/>
  <c r="L1798" i="6" s="1"/>
  <c r="K1258" i="6"/>
  <c r="L1258" i="6" s="1"/>
  <c r="K887" i="6"/>
  <c r="L887" i="6" s="1"/>
  <c r="K913" i="6"/>
  <c r="L913" i="6" s="1"/>
  <c r="K273" i="6"/>
  <c r="L273" i="6" s="1"/>
  <c r="K991" i="6"/>
  <c r="L991" i="6" s="1"/>
  <c r="K451" i="6"/>
  <c r="L451" i="6" s="1"/>
  <c r="K1017" i="6"/>
  <c r="L1017" i="6" s="1"/>
  <c r="K621" i="6"/>
  <c r="L621" i="6" s="1"/>
  <c r="K588" i="6"/>
  <c r="L588" i="6" s="1"/>
  <c r="K1745" i="6"/>
  <c r="L1745" i="6" s="1"/>
  <c r="K1683" i="6"/>
  <c r="L1683" i="6" s="1"/>
  <c r="K1162" i="6"/>
  <c r="L1162" i="6" s="1"/>
  <c r="K1268" i="6"/>
  <c r="L1268" i="6" s="1"/>
  <c r="K545" i="6"/>
  <c r="L545" i="6" s="1"/>
  <c r="K1145" i="6"/>
  <c r="L1145" i="6" s="1"/>
  <c r="K1484" i="6"/>
  <c r="L1484" i="6" s="1"/>
  <c r="K827" i="6"/>
  <c r="L827" i="6" s="1"/>
  <c r="K423" i="6"/>
  <c r="L423" i="6" s="1"/>
  <c r="K252" i="6"/>
  <c r="L252" i="6" s="1"/>
  <c r="K1792" i="6"/>
  <c r="L1792" i="6" s="1"/>
  <c r="K56" i="6"/>
  <c r="L56" i="6" s="1"/>
  <c r="K938" i="6"/>
  <c r="L938" i="6" s="1"/>
  <c r="K62" i="6"/>
  <c r="L62" i="6" s="1"/>
  <c r="K462" i="6"/>
  <c r="L462" i="6" s="1"/>
  <c r="K1475" i="6"/>
  <c r="L1475" i="6" s="1"/>
  <c r="K1712" i="6"/>
  <c r="L1712" i="6" s="1"/>
  <c r="K712" i="6"/>
  <c r="L712" i="6" s="1"/>
  <c r="K1289" i="6"/>
  <c r="L1289" i="6" s="1"/>
  <c r="K463" i="6"/>
  <c r="L463" i="6" s="1"/>
  <c r="K321" i="6"/>
  <c r="L321" i="6" s="1"/>
  <c r="K184" i="6"/>
  <c r="L184" i="6" s="1"/>
  <c r="K664" i="6"/>
  <c r="L664" i="6" s="1"/>
  <c r="K1724" i="6"/>
  <c r="L1724" i="6" s="1"/>
  <c r="K1760" i="6"/>
  <c r="L1760" i="6" s="1"/>
  <c r="K460" i="6"/>
  <c r="L460" i="6" s="1"/>
  <c r="K785" i="6"/>
  <c r="L785" i="6" s="1"/>
  <c r="K1205" i="6"/>
  <c r="L1205" i="6" s="1"/>
  <c r="K1799" i="6"/>
  <c r="L1799" i="6" s="1"/>
  <c r="K699" i="6"/>
  <c r="L699" i="6" s="1"/>
  <c r="K219" i="6"/>
  <c r="L219" i="6" s="1"/>
  <c r="K1166" i="6"/>
  <c r="L1166" i="6" s="1"/>
  <c r="K927" i="6"/>
  <c r="L927" i="6" s="1"/>
  <c r="K1435" i="6"/>
  <c r="L1435" i="6" s="1"/>
  <c r="K253" i="6"/>
  <c r="L253" i="6" s="1"/>
  <c r="K997" i="6"/>
  <c r="L997" i="6" s="1"/>
  <c r="K477" i="6"/>
  <c r="L477" i="6" s="1"/>
  <c r="K166" i="6"/>
  <c r="L166" i="6" s="1"/>
  <c r="K1908" i="6"/>
  <c r="L1908" i="6" s="1"/>
  <c r="K486" i="6"/>
  <c r="L486" i="6" s="1"/>
  <c r="K20" i="6"/>
  <c r="L20" i="6" s="1"/>
  <c r="K666" i="6"/>
  <c r="L666" i="6" s="1"/>
  <c r="K1646" i="6"/>
  <c r="L1646" i="6" s="1"/>
  <c r="K1741" i="6"/>
  <c r="L1741" i="6" s="1"/>
  <c r="K1562" i="6"/>
  <c r="L1562" i="6" s="1"/>
  <c r="K1102" i="6"/>
  <c r="L1102" i="6" s="1"/>
  <c r="K1648" i="6"/>
  <c r="L1648" i="6" s="1"/>
  <c r="K1326" i="6"/>
  <c r="L1326" i="6" s="1"/>
  <c r="K1378" i="6"/>
  <c r="L1378" i="6" s="1"/>
  <c r="K1800" i="6"/>
  <c r="L1800" i="6" s="1"/>
  <c r="K944" i="6"/>
  <c r="L944" i="6" s="1"/>
  <c r="K82" i="6"/>
  <c r="L82" i="6" s="1"/>
  <c r="K482" i="6"/>
  <c r="L482" i="6" s="1"/>
  <c r="K882" i="6"/>
  <c r="L882" i="6" s="1"/>
  <c r="K1455" i="6"/>
  <c r="L1455" i="6" s="1"/>
  <c r="K1692" i="6"/>
  <c r="L1692" i="6" s="1"/>
  <c r="K672" i="6"/>
  <c r="L672" i="6" s="1"/>
  <c r="K1229" i="6"/>
  <c r="L1229" i="6" s="1"/>
  <c r="K1087" i="6"/>
  <c r="L1087" i="6" s="1"/>
  <c r="K1341" i="6"/>
  <c r="L1341" i="6" s="1"/>
  <c r="K1080" i="6"/>
  <c r="L1080" i="6" s="1"/>
  <c r="K805" i="6"/>
  <c r="L805" i="6" s="1"/>
  <c r="K679" i="6"/>
  <c r="L679" i="6" s="1"/>
  <c r="K786" i="6"/>
  <c r="L786" i="6" s="1"/>
  <c r="K693" i="6"/>
  <c r="L693" i="6" s="1"/>
  <c r="K193" i="6"/>
  <c r="L193" i="6" s="1"/>
  <c r="K977" i="6"/>
  <c r="L977" i="6" s="1"/>
  <c r="K57" i="6"/>
  <c r="L57" i="6" s="1"/>
  <c r="K46" i="6"/>
  <c r="L46" i="6" s="1"/>
  <c r="K663" i="6"/>
  <c r="L663" i="6" s="1"/>
  <c r="K924" i="6"/>
  <c r="L924" i="6" s="1"/>
  <c r="K1502" i="6"/>
  <c r="L1502" i="6" s="1"/>
  <c r="K230" i="6"/>
  <c r="L230" i="6" s="1"/>
  <c r="K164" i="6"/>
  <c r="L164" i="6" s="1"/>
  <c r="K183" i="6"/>
  <c r="L183" i="6" s="1"/>
  <c r="K1982" i="6"/>
  <c r="L1982" i="6" s="1"/>
  <c r="K1428" i="6"/>
  <c r="L1428" i="6" s="1"/>
  <c r="K1601" i="6"/>
  <c r="L1601" i="6" s="1"/>
  <c r="K466" i="6"/>
  <c r="L466" i="6" s="1"/>
  <c r="K881" i="6"/>
  <c r="L881" i="6" s="1"/>
  <c r="K307" i="6"/>
  <c r="L307" i="6" s="1"/>
  <c r="K521" i="6"/>
  <c r="L521" i="6" s="1"/>
  <c r="K625" i="6"/>
  <c r="L625" i="6" s="1"/>
  <c r="K458" i="6"/>
  <c r="L458" i="6" s="1"/>
  <c r="K978" i="6"/>
  <c r="L978" i="6" s="1"/>
  <c r="K102" i="6"/>
  <c r="L102" i="6" s="1"/>
  <c r="K502" i="6"/>
  <c r="L502" i="6" s="1"/>
  <c r="K942" i="6"/>
  <c r="L942" i="6" s="1"/>
  <c r="K595" i="6"/>
  <c r="L595" i="6" s="1"/>
  <c r="K432" i="6"/>
  <c r="L432" i="6" s="1"/>
  <c r="K1453" i="6"/>
  <c r="L1453" i="6" s="1"/>
  <c r="K1632" i="6"/>
  <c r="L1632" i="6" s="1"/>
  <c r="K1112" i="6"/>
  <c r="L1112" i="6" s="1"/>
  <c r="K592" i="6"/>
  <c r="L592" i="6" s="1"/>
  <c r="K1089" i="6"/>
  <c r="L1089" i="6" s="1"/>
  <c r="K349" i="6"/>
  <c r="L349" i="6" s="1"/>
  <c r="K1907" i="6"/>
  <c r="L1907" i="6" s="1"/>
  <c r="K1219" i="6"/>
  <c r="L1219" i="6" s="1"/>
  <c r="K503" i="6"/>
  <c r="L503" i="6" s="1"/>
  <c r="K963" i="6"/>
  <c r="L963" i="6" s="1"/>
  <c r="K1403" i="6"/>
  <c r="L1403" i="6" s="1"/>
  <c r="K1883" i="6"/>
  <c r="L1883" i="6" s="1"/>
  <c r="K261" i="6"/>
  <c r="L261" i="6" s="1"/>
  <c r="K1784" i="6"/>
  <c r="L1784" i="6" s="1"/>
  <c r="K1020" i="6"/>
  <c r="L1020" i="6" s="1"/>
  <c r="K420" i="6"/>
  <c r="L420" i="6" s="1"/>
  <c r="K25" i="6"/>
  <c r="L25" i="6" s="1"/>
  <c r="K1739" i="6"/>
  <c r="L1739" i="6" s="1"/>
  <c r="K659" i="6"/>
  <c r="L659" i="6" s="1"/>
  <c r="K179" i="6"/>
  <c r="L179" i="6" s="1"/>
  <c r="K1206" i="6"/>
  <c r="L1206" i="6" s="1"/>
  <c r="K1058" i="6"/>
  <c r="L1058" i="6" s="1"/>
  <c r="K1467" i="6"/>
  <c r="L1467" i="6" s="1"/>
  <c r="K1297" i="6"/>
  <c r="L1297" i="6" s="1"/>
  <c r="K653" i="6"/>
  <c r="L653" i="6" s="1"/>
  <c r="K133" i="6"/>
  <c r="L133" i="6" s="1"/>
  <c r="K911" i="6"/>
  <c r="L911" i="6" s="1"/>
  <c r="K391" i="6"/>
  <c r="L391" i="6" s="1"/>
  <c r="K937" i="6"/>
  <c r="L937" i="6" s="1"/>
  <c r="K437" i="6"/>
  <c r="L437" i="6" s="1"/>
  <c r="K37" i="6"/>
  <c r="L37" i="6" s="1"/>
  <c r="K299" i="6"/>
  <c r="L299" i="6" s="1"/>
  <c r="K668" i="6"/>
  <c r="L668" i="6" s="1"/>
  <c r="K1068" i="6"/>
  <c r="L1068" i="6" s="1"/>
  <c r="K126" i="6"/>
  <c r="L126" i="6" s="1"/>
  <c r="K1360" i="6"/>
  <c r="L1360" i="6" s="1"/>
  <c r="K877" i="6"/>
  <c r="L877" i="6" s="1"/>
  <c r="K661" i="6"/>
  <c r="L661" i="6" s="1"/>
  <c r="K623" i="6"/>
  <c r="L623" i="6" s="1"/>
  <c r="K1942" i="6"/>
  <c r="L1942" i="6" s="1"/>
  <c r="K1377" i="6"/>
  <c r="L1377" i="6" s="1"/>
  <c r="K266" i="6"/>
  <c r="L266" i="6" s="1"/>
  <c r="K1363" i="6"/>
  <c r="L1363" i="6" s="1"/>
  <c r="K1381" i="6"/>
  <c r="L1381" i="6" s="1"/>
  <c r="K1766" i="6"/>
  <c r="L1766" i="6" s="1"/>
  <c r="K1321" i="6"/>
  <c r="L1321" i="6" s="1"/>
  <c r="K1765" i="6"/>
  <c r="L1765" i="6" s="1"/>
  <c r="K1179" i="6"/>
  <c r="L1179" i="6" s="1"/>
  <c r="K1280" i="6"/>
  <c r="L1280" i="6" s="1"/>
  <c r="K1726" i="6"/>
  <c r="L1726" i="6" s="1"/>
  <c r="K1204" i="6"/>
  <c r="L1204" i="6" s="1"/>
  <c r="K1122" i="6"/>
  <c r="L1122" i="6" s="1"/>
  <c r="K1898" i="6"/>
  <c r="L1898" i="6" s="1"/>
  <c r="K884" i="6"/>
  <c r="L884" i="6" s="1"/>
  <c r="K1458" i="6"/>
  <c r="L1458" i="6" s="1"/>
  <c r="K238" i="6"/>
  <c r="L238" i="6" s="1"/>
  <c r="K575" i="6"/>
  <c r="L575" i="6" s="1"/>
  <c r="K1143" i="6"/>
  <c r="L1143" i="6" s="1"/>
  <c r="K1418" i="6"/>
  <c r="L1418" i="6" s="1"/>
  <c r="K1342" i="6"/>
  <c r="L1342" i="6" s="1"/>
  <c r="K254" i="6"/>
  <c r="L254" i="6" s="1"/>
  <c r="K438" i="6"/>
  <c r="L438" i="6" s="1"/>
  <c r="K615" i="6"/>
  <c r="L615" i="6" s="1"/>
  <c r="K155" i="6"/>
  <c r="L155" i="6" s="1"/>
  <c r="K1474" i="6"/>
  <c r="L1474" i="6" s="1"/>
  <c r="K231" i="6"/>
  <c r="L231" i="6" s="1"/>
  <c r="K1533" i="6"/>
  <c r="L1533" i="6" s="1"/>
  <c r="K1132" i="6"/>
  <c r="L1132" i="6" s="1"/>
  <c r="K389" i="6"/>
  <c r="L389" i="6" s="1"/>
  <c r="K799" i="6"/>
  <c r="L799" i="6" s="1"/>
  <c r="K483" i="6"/>
  <c r="L483" i="6" s="1"/>
  <c r="K281" i="6"/>
  <c r="L281" i="6" s="1"/>
  <c r="K204" i="6"/>
  <c r="L204" i="6" s="1"/>
  <c r="K1740" i="6"/>
  <c r="L1740" i="6" s="1"/>
  <c r="K440" i="6"/>
  <c r="L440" i="6" s="1"/>
  <c r="K1225" i="6"/>
  <c r="L1225" i="6" s="1"/>
  <c r="K1725" i="6"/>
  <c r="L1725" i="6" s="1"/>
  <c r="K1779" i="6"/>
  <c r="L1779" i="6" s="1"/>
  <c r="K199" i="6"/>
  <c r="L199" i="6" s="1"/>
  <c r="K1186" i="6"/>
  <c r="L1186" i="6" s="1"/>
  <c r="K1118" i="6"/>
  <c r="L1118" i="6" s="1"/>
  <c r="K1317" i="6"/>
  <c r="L1317" i="6" s="1"/>
  <c r="K1335" i="6"/>
  <c r="L1335" i="6" s="1"/>
  <c r="K931" i="6"/>
  <c r="L931" i="6" s="1"/>
  <c r="K411" i="6"/>
  <c r="L411" i="6" s="1"/>
  <c r="K457" i="6"/>
  <c r="L457" i="6" s="1"/>
  <c r="K1568" i="6"/>
  <c r="L1568" i="6" s="1"/>
  <c r="K1976" i="6"/>
  <c r="L1976" i="6" s="1"/>
  <c r="K1771" i="6"/>
  <c r="L1771" i="6" s="1"/>
  <c r="K1276" i="6"/>
  <c r="L1276" i="6" s="1"/>
  <c r="K835" i="6"/>
  <c r="L835" i="6" s="1"/>
  <c r="K1154" i="6"/>
  <c r="L1154" i="6" s="1"/>
  <c r="K494" i="6"/>
  <c r="L494" i="6" s="1"/>
  <c r="K1761" i="6"/>
  <c r="L1761" i="6" s="1"/>
  <c r="K1975" i="6"/>
  <c r="L1975" i="6" s="1"/>
  <c r="K1910" i="6"/>
  <c r="L1910" i="6" s="1"/>
  <c r="K790" i="6"/>
  <c r="L790" i="6" s="1"/>
  <c r="K226" i="6"/>
  <c r="L226" i="6" s="1"/>
  <c r="K45" i="6"/>
  <c r="L45" i="6" s="1"/>
  <c r="K1067" i="6"/>
  <c r="L1067" i="6" s="1"/>
  <c r="K567" i="6"/>
  <c r="L567" i="6" s="1"/>
  <c r="K147" i="6"/>
  <c r="L147" i="6" s="1"/>
  <c r="K1282" i="6"/>
  <c r="L1282" i="6" s="1"/>
  <c r="K1062" i="6"/>
  <c r="L1062" i="6" s="1"/>
  <c r="K515" i="6"/>
  <c r="L515" i="6" s="1"/>
  <c r="K1532" i="6"/>
  <c r="L1532" i="6" s="1"/>
  <c r="K869" i="6"/>
  <c r="L869" i="6" s="1"/>
  <c r="K1043" i="6"/>
  <c r="L1043" i="6" s="1"/>
  <c r="K1483" i="6"/>
  <c r="L1483" i="6" s="1"/>
  <c r="K900" i="6"/>
  <c r="L900" i="6" s="1"/>
  <c r="K885" i="6"/>
  <c r="L885" i="6" s="1"/>
  <c r="K599" i="6"/>
  <c r="L599" i="6" s="1"/>
  <c r="K119" i="6"/>
  <c r="L119" i="6" s="1"/>
  <c r="K366" i="6"/>
  <c r="L366" i="6" s="1"/>
  <c r="K866" i="6"/>
  <c r="L866" i="6" s="1"/>
  <c r="K1658" i="6"/>
  <c r="L1658" i="6" s="1"/>
  <c r="K73" i="6"/>
  <c r="L73" i="6" s="1"/>
  <c r="K1515" i="6"/>
  <c r="L1515" i="6" s="1"/>
  <c r="K1668" i="6"/>
  <c r="L1668" i="6" s="1"/>
  <c r="K1256" i="6"/>
  <c r="L1256" i="6" s="1"/>
  <c r="K476" i="6"/>
  <c r="L476" i="6" s="1"/>
  <c r="K467" i="6"/>
  <c r="L467" i="6" s="1"/>
  <c r="K47" i="6"/>
  <c r="L47" i="6" s="1"/>
  <c r="K1313" i="6"/>
  <c r="L1313" i="6" s="1"/>
  <c r="K1592" i="6"/>
  <c r="L1592" i="6" s="1"/>
  <c r="K1613" i="6"/>
  <c r="L1613" i="6" s="1"/>
  <c r="K1827" i="6"/>
  <c r="L1827" i="6" s="1"/>
  <c r="K1943" i="6"/>
  <c r="L1943" i="6" s="1"/>
  <c r="K741" i="6"/>
  <c r="L741" i="6" s="1"/>
  <c r="K264" i="6"/>
  <c r="L264" i="6" s="1"/>
  <c r="K1285" i="6"/>
  <c r="L1285" i="6" s="1"/>
  <c r="K1659" i="6"/>
  <c r="L1659" i="6" s="1"/>
  <c r="K397" i="6"/>
  <c r="L397" i="6" s="1"/>
  <c r="K1374" i="6"/>
  <c r="L1374" i="6" s="1"/>
  <c r="K21" i="6"/>
  <c r="L21" i="6" s="1"/>
  <c r="K1007" i="6"/>
  <c r="L1007" i="6" s="1"/>
  <c r="K487" i="6"/>
  <c r="L487" i="6" s="1"/>
  <c r="K67" i="6"/>
  <c r="L67" i="6" s="1"/>
  <c r="K1295" i="6"/>
  <c r="L1295" i="6" s="1"/>
  <c r="K1751" i="6"/>
  <c r="L1751" i="6" s="1"/>
  <c r="K532" i="6"/>
  <c r="L532" i="6" s="1"/>
  <c r="K1255" i="6"/>
  <c r="L1255" i="6" s="1"/>
  <c r="K1490" i="6"/>
  <c r="L1490" i="6" s="1"/>
  <c r="K1174" i="6"/>
  <c r="L1174" i="6" s="1"/>
  <c r="K269" i="6"/>
  <c r="L269" i="6" s="1"/>
  <c r="K1687" i="6"/>
  <c r="L1687" i="6" s="1"/>
  <c r="K701" i="6"/>
  <c r="L701" i="6" s="1"/>
  <c r="K324" i="6"/>
  <c r="L324" i="6" s="1"/>
  <c r="K804" i="6"/>
  <c r="L804" i="6" s="1"/>
  <c r="K1324" i="6"/>
  <c r="L1324" i="6" s="1"/>
  <c r="K1620" i="6"/>
  <c r="L1620" i="6" s="1"/>
  <c r="K1345" i="6"/>
  <c r="L1345" i="6" s="1"/>
  <c r="K817" i="6"/>
  <c r="L817" i="6" s="1"/>
  <c r="K556" i="6"/>
  <c r="L556" i="6" s="1"/>
  <c r="K828" i="6"/>
  <c r="L828" i="6" s="1"/>
  <c r="K1228" i="6"/>
  <c r="L1228" i="6" s="1"/>
  <c r="K1688" i="6"/>
  <c r="L1688" i="6" s="1"/>
  <c r="K876" i="6"/>
  <c r="L876" i="6" s="1"/>
  <c r="K1809" i="6"/>
  <c r="L1809" i="6" s="1"/>
  <c r="K1857" i="6"/>
  <c r="L1857" i="6" s="1"/>
  <c r="K1675" i="6"/>
  <c r="L1675" i="6" s="1"/>
  <c r="K1060" i="6"/>
  <c r="L1060" i="6" s="1"/>
  <c r="K1442" i="6"/>
  <c r="L1442" i="6" s="1"/>
  <c r="K414" i="6"/>
  <c r="L414" i="6" s="1"/>
  <c r="K58" i="6"/>
  <c r="L58" i="6" s="1"/>
  <c r="K1114" i="6"/>
  <c r="L1114" i="6" s="1"/>
  <c r="K1213" i="6"/>
  <c r="L1213" i="6" s="1"/>
  <c r="K612" i="6"/>
  <c r="L612" i="6" s="1"/>
  <c r="K1201" i="6"/>
  <c r="L1201" i="6" s="1"/>
  <c r="K1344" i="6"/>
  <c r="L1344" i="6" s="1"/>
  <c r="K1600" i="6"/>
  <c r="L1600" i="6" s="1"/>
  <c r="K1365" i="6"/>
  <c r="L1365" i="6" s="1"/>
  <c r="K848" i="6"/>
  <c r="L848" i="6" s="1"/>
  <c r="K1248" i="6"/>
  <c r="L1248" i="6" s="1"/>
  <c r="K356" i="6"/>
  <c r="L356" i="6" s="1"/>
  <c r="K566" i="6"/>
  <c r="L566" i="6" s="1"/>
  <c r="K907" i="6"/>
  <c r="L907" i="6" s="1"/>
  <c r="K1382" i="6"/>
  <c r="L1382" i="6" s="1"/>
  <c r="K746" i="6"/>
  <c r="L746" i="6" s="1"/>
  <c r="K1552" i="6"/>
  <c r="L1552" i="6" s="1"/>
  <c r="K78" i="6"/>
  <c r="L78" i="6" s="1"/>
  <c r="K1451" i="6"/>
  <c r="L1451" i="6" s="1"/>
  <c r="K1543" i="6"/>
  <c r="L1543" i="6" s="1"/>
  <c r="K1580" i="6"/>
  <c r="L1580" i="6" s="1"/>
  <c r="K280" i="6"/>
  <c r="L280" i="6" s="1"/>
  <c r="K1885" i="6"/>
  <c r="L1885" i="6" s="1"/>
  <c r="K1871" i="6"/>
  <c r="L1871" i="6" s="1"/>
  <c r="K1728" i="6"/>
  <c r="L1728" i="6" s="1"/>
  <c r="K1960" i="6"/>
  <c r="L1960" i="6" s="1"/>
  <c r="K328" i="6"/>
  <c r="L328" i="6" s="1"/>
  <c r="K1788" i="6"/>
  <c r="L1788" i="6" s="1"/>
  <c r="K1878" i="6"/>
  <c r="L1878" i="6" s="1"/>
  <c r="K526" i="6"/>
  <c r="L526" i="6" s="1"/>
  <c r="K1084" i="6"/>
  <c r="L1084" i="6" s="1"/>
  <c r="K1123" i="6"/>
  <c r="L1123" i="6" s="1"/>
  <c r="K601" i="6"/>
  <c r="L601" i="6" s="1"/>
  <c r="K1560" i="6"/>
  <c r="L1560" i="6" s="1"/>
  <c r="K965" i="6"/>
  <c r="L965" i="6" s="1"/>
  <c r="K1519" i="6"/>
  <c r="L1519" i="6" s="1"/>
  <c r="K999" i="6"/>
  <c r="L999" i="6" s="1"/>
  <c r="K946" i="6"/>
  <c r="L946" i="6" s="1"/>
  <c r="K1288" i="6"/>
  <c r="L1288" i="6" s="1"/>
  <c r="K1748" i="6"/>
  <c r="L1748" i="6" s="1"/>
  <c r="K1696" i="6"/>
  <c r="L1696" i="6" s="1"/>
  <c r="K816" i="6"/>
  <c r="L816" i="6" s="1"/>
  <c r="K565" i="6"/>
  <c r="L565" i="6" s="1"/>
  <c r="K288" i="6"/>
  <c r="L288" i="6" s="1"/>
  <c r="K136" i="6"/>
  <c r="L136" i="6" s="1"/>
  <c r="K1981" i="6"/>
  <c r="L1981" i="6" s="1"/>
  <c r="K1136" i="6"/>
  <c r="L1136" i="6" s="1"/>
  <c r="K1586" i="6"/>
  <c r="L1586" i="6" s="1"/>
  <c r="K1262" i="6"/>
  <c r="L1262" i="6" s="1"/>
  <c r="K1762" i="6"/>
  <c r="L1762" i="6" s="1"/>
  <c r="K966" i="6"/>
  <c r="L966" i="6" s="1"/>
  <c r="K424" i="6"/>
  <c r="L424" i="6" s="1"/>
  <c r="K1500" i="6"/>
  <c r="L1500" i="6" s="1"/>
  <c r="K1197" i="6"/>
  <c r="L1197" i="6" s="1"/>
  <c r="K928" i="6"/>
  <c r="L928" i="6" s="1"/>
  <c r="K1328" i="6"/>
  <c r="L1328" i="6" s="1"/>
  <c r="K1936" i="6"/>
  <c r="L1936" i="6" s="1"/>
  <c r="K1472" i="6"/>
  <c r="L1472" i="6" s="1"/>
  <c r="K32" i="6"/>
  <c r="L32" i="6" s="1"/>
  <c r="K950" i="6"/>
  <c r="L950" i="6" s="1"/>
  <c r="K590" i="6"/>
  <c r="L590" i="6" s="1"/>
  <c r="K210" i="6"/>
  <c r="L210" i="6" s="1"/>
  <c r="K206" i="6"/>
  <c r="L206" i="6" s="1"/>
  <c r="K1075" i="6"/>
  <c r="L1075" i="6" s="1"/>
  <c r="K1238" i="6"/>
  <c r="L1238" i="6" s="1"/>
  <c r="K730" i="6"/>
  <c r="L730" i="6" s="1"/>
  <c r="K1053" i="6"/>
  <c r="L1053" i="6" s="1"/>
  <c r="K1312" i="6"/>
  <c r="L1312" i="6" s="1"/>
  <c r="K1031" i="6"/>
  <c r="L1031" i="6" s="1"/>
  <c r="K1869" i="6"/>
  <c r="L1869" i="6" s="1"/>
  <c r="K69" i="6"/>
  <c r="L69" i="6" s="1"/>
  <c r="K1945" i="6"/>
  <c r="L1945" i="6" s="1"/>
  <c r="K243" i="6"/>
  <c r="L243" i="6" s="1"/>
  <c r="K1643" i="6"/>
  <c r="L1643" i="6" s="1"/>
  <c r="K541" i="6"/>
  <c r="L541" i="6" s="1"/>
  <c r="K41" i="6"/>
  <c r="L41" i="6" s="1"/>
  <c r="K1480" i="6"/>
  <c r="L1480" i="6" s="1"/>
  <c r="K200" i="6"/>
  <c r="L200" i="6" s="1"/>
  <c r="K1485" i="6"/>
  <c r="L1485" i="6" s="1"/>
  <c r="K1459" i="6"/>
  <c r="L1459" i="6" s="1"/>
  <c r="K1446" i="6"/>
  <c r="L1446" i="6" s="1"/>
  <c r="K135" i="6"/>
  <c r="L135" i="6" s="1"/>
  <c r="K433" i="6"/>
  <c r="L433" i="6" s="1"/>
  <c r="K1471" i="6"/>
  <c r="L1471" i="6" s="1"/>
  <c r="K611" i="6"/>
  <c r="L611" i="6" s="1"/>
  <c r="K1177" i="6"/>
  <c r="L1177" i="6" s="1"/>
  <c r="K245" i="6"/>
  <c r="L245" i="6" s="1"/>
  <c r="K365" i="6"/>
  <c r="L365" i="6" s="1"/>
  <c r="K574" i="6"/>
  <c r="L574" i="6" s="1"/>
  <c r="K1549" i="6"/>
  <c r="L1549" i="6" s="1"/>
  <c r="K1392" i="6"/>
  <c r="L1392" i="6" s="1"/>
  <c r="K1595" i="6"/>
  <c r="L1595" i="6" s="1"/>
  <c r="K714" i="6"/>
  <c r="L714" i="6" s="1"/>
  <c r="K154" i="6"/>
  <c r="L154" i="6" s="1"/>
  <c r="K1670" i="6"/>
  <c r="L1670" i="6" s="1"/>
  <c r="K1230" i="6"/>
  <c r="L1230" i="6" s="1"/>
  <c r="K190" i="6"/>
  <c r="L190" i="6" s="1"/>
  <c r="K128" i="6"/>
  <c r="L128" i="6" s="1"/>
  <c r="K409" i="6"/>
  <c r="L409" i="6" s="1"/>
  <c r="K628" i="6"/>
  <c r="L628" i="6" s="1"/>
  <c r="K920" i="6"/>
  <c r="L920" i="6" s="1"/>
  <c r="K336" i="6"/>
  <c r="L336" i="6" s="1"/>
  <c r="K763" i="6"/>
  <c r="L763" i="6" s="1"/>
  <c r="K88" i="6"/>
  <c r="L88" i="6" s="1"/>
  <c r="K1460" i="6"/>
  <c r="L1460" i="6" s="1"/>
  <c r="K1782" i="6"/>
  <c r="L1782" i="6" s="1"/>
  <c r="K258" i="6"/>
  <c r="L258" i="6" s="1"/>
  <c r="K1734" i="6"/>
  <c r="L1734" i="6" s="1"/>
  <c r="K461" i="6"/>
  <c r="L461" i="6" s="1"/>
  <c r="K504" i="6"/>
  <c r="L504" i="6" s="1"/>
  <c r="K1525" i="6"/>
  <c r="L1525" i="6" s="1"/>
  <c r="K1399" i="6"/>
  <c r="L1399" i="6" s="1"/>
  <c r="K1978" i="6"/>
  <c r="L1978" i="6" s="1"/>
  <c r="K95" i="6"/>
  <c r="L95" i="6" s="1"/>
  <c r="K1636" i="6"/>
  <c r="L1636" i="6" s="1"/>
  <c r="K1073" i="6"/>
  <c r="L1073" i="6" s="1"/>
  <c r="K165" i="6"/>
  <c r="L165" i="6" s="1"/>
  <c r="K54" i="6"/>
  <c r="L54" i="6" s="1"/>
  <c r="K557" i="6"/>
  <c r="L557" i="6" s="1"/>
  <c r="K652" i="6"/>
  <c r="L652" i="6" s="1"/>
  <c r="K1834" i="6"/>
  <c r="L1834" i="6" s="1"/>
  <c r="K674" i="6"/>
  <c r="L674" i="6" s="1"/>
  <c r="K74" i="6"/>
  <c r="L74" i="6" s="1"/>
  <c r="K562" i="6"/>
  <c r="L562" i="6" s="1"/>
  <c r="K1630" i="6"/>
  <c r="L1630" i="6" s="1"/>
  <c r="K1210" i="6"/>
  <c r="L1210" i="6" s="1"/>
  <c r="K889" i="6"/>
  <c r="L889" i="6" s="1"/>
  <c r="K530" i="6"/>
  <c r="L530" i="6" s="1"/>
  <c r="K150" i="6"/>
  <c r="L150" i="6" s="1"/>
  <c r="K48" i="6"/>
  <c r="L48" i="6" s="1"/>
  <c r="K49" i="6"/>
  <c r="L49" i="6" s="1"/>
  <c r="K548" i="6"/>
  <c r="L548" i="6" s="1"/>
  <c r="K1462" i="6"/>
  <c r="L1462" i="6" s="1"/>
  <c r="K286" i="6"/>
  <c r="L286" i="6" s="1"/>
  <c r="K1466" i="6"/>
  <c r="L1466" i="6" s="1"/>
  <c r="K1456" i="6"/>
  <c r="L1456" i="6" s="1"/>
  <c r="K980" i="6"/>
  <c r="L980" i="6" s="1"/>
  <c r="K478" i="6"/>
  <c r="L478" i="6" s="1"/>
  <c r="K1529" i="6"/>
  <c r="L1529" i="6" s="1"/>
  <c r="K1865" i="6"/>
  <c r="L1865" i="6" s="1"/>
  <c r="K363" i="6"/>
  <c r="L363" i="6" s="1"/>
  <c r="K823" i="6"/>
  <c r="L823" i="6" s="1"/>
  <c r="K1243" i="6"/>
  <c r="L1243" i="6" s="1"/>
  <c r="K441" i="6"/>
  <c r="L441" i="6" s="1"/>
  <c r="K1860" i="6"/>
  <c r="L1860" i="6" s="1"/>
  <c r="K91" i="6"/>
  <c r="L91" i="6" s="1"/>
  <c r="O16" i="6"/>
  <c r="K793" i="6"/>
  <c r="L793" i="6" s="1"/>
  <c r="K909" i="6"/>
  <c r="L909" i="6" s="1"/>
  <c r="K1888" i="6"/>
  <c r="L1888" i="6" s="1"/>
  <c r="K1355" i="6"/>
  <c r="L1355" i="6" s="1"/>
  <c r="K1056" i="6"/>
  <c r="L1056" i="6" s="1"/>
  <c r="K34" i="6"/>
  <c r="L34" i="6" s="1"/>
  <c r="K632" i="6"/>
  <c r="L632" i="6" s="1"/>
  <c r="K1814" i="6"/>
  <c r="L1814" i="6" s="1"/>
  <c r="K634" i="6"/>
  <c r="L634" i="6" s="1"/>
  <c r="K891" i="6"/>
  <c r="L891" i="6" s="1"/>
  <c r="K1610" i="6"/>
  <c r="L1610" i="6" s="1"/>
  <c r="K1190" i="6"/>
  <c r="L1190" i="6" s="1"/>
  <c r="K890" i="6"/>
  <c r="L890" i="6" s="1"/>
  <c r="K510" i="6"/>
  <c r="L510" i="6" s="1"/>
  <c r="K130" i="6"/>
  <c r="L130" i="6" s="1"/>
  <c r="K125" i="6"/>
  <c r="L125" i="6" s="1"/>
  <c r="K696" i="6"/>
  <c r="L696" i="6" s="1"/>
  <c r="K1176" i="6"/>
  <c r="L1176" i="6" s="1"/>
  <c r="K508" i="6"/>
  <c r="L508" i="6" s="1"/>
  <c r="K1402" i="6"/>
  <c r="L1402" i="6" s="1"/>
  <c r="K1654" i="6"/>
  <c r="L1654" i="6" s="1"/>
  <c r="K873" i="6"/>
  <c r="L873" i="6" s="1"/>
  <c r="K1267" i="6"/>
  <c r="L1267" i="6" s="1"/>
  <c r="K383" i="6"/>
  <c r="L383" i="6" s="1"/>
  <c r="K1263" i="6"/>
  <c r="L1263" i="6" s="1"/>
  <c r="K1763" i="6"/>
  <c r="L1763" i="6" s="1"/>
  <c r="K1001" i="6"/>
  <c r="L1001" i="6" s="1"/>
  <c r="K544" i="6"/>
  <c r="L544" i="6" s="1"/>
  <c r="K1104" i="6"/>
  <c r="L1104" i="6" s="1"/>
  <c r="K1840" i="6"/>
  <c r="L1840" i="6" s="1"/>
  <c r="K1340" i="6"/>
  <c r="L1340" i="6" s="1"/>
  <c r="K1105" i="6"/>
  <c r="L1105" i="6" s="1"/>
  <c r="K1193" i="6"/>
  <c r="L1193" i="6" s="1"/>
  <c r="K1468" i="6"/>
  <c r="L1468" i="6" s="1"/>
  <c r="K1596" i="6"/>
  <c r="L1596" i="6" s="1"/>
  <c r="K1351" i="6"/>
  <c r="L1351" i="6" s="1"/>
  <c r="K1035" i="6"/>
  <c r="L1035" i="6" s="1"/>
  <c r="K715" i="6"/>
  <c r="L715" i="6" s="1"/>
  <c r="K452" i="6"/>
  <c r="L452" i="6" s="1"/>
  <c r="K326" i="6"/>
  <c r="L326" i="6" s="1"/>
  <c r="K1694" i="6"/>
  <c r="L1694" i="6" s="1"/>
  <c r="K614" i="6"/>
  <c r="L614" i="6" s="1"/>
  <c r="K1461" i="6"/>
  <c r="L1461" i="6" s="1"/>
  <c r="K1590" i="6"/>
  <c r="L1590" i="6" s="1"/>
  <c r="K110" i="6"/>
  <c r="L110" i="6" s="1"/>
  <c r="K1889" i="6"/>
  <c r="L1889" i="6" s="1"/>
  <c r="K468" i="6"/>
  <c r="L468" i="6" s="1"/>
  <c r="K1622" i="6"/>
  <c r="L1622" i="6" s="1"/>
  <c r="K1362" i="6"/>
  <c r="L1362" i="6" s="1"/>
  <c r="K1634" i="6"/>
  <c r="L1634" i="6" s="1"/>
  <c r="K961" i="6"/>
  <c r="L961" i="6" s="1"/>
  <c r="K584" i="6"/>
  <c r="L584" i="6" s="1"/>
  <c r="K1624" i="6"/>
  <c r="L1624" i="6" s="1"/>
  <c r="K1260" i="6"/>
  <c r="L1260" i="6" s="1"/>
  <c r="K1125" i="6"/>
  <c r="L1125" i="6" s="1"/>
  <c r="K686" i="6"/>
  <c r="L686" i="6" s="1"/>
  <c r="K1566" i="6"/>
  <c r="L1566" i="6" s="1"/>
  <c r="K1838" i="6"/>
  <c r="L1838" i="6" s="1"/>
  <c r="K137" i="6"/>
  <c r="L137" i="6" s="1"/>
  <c r="K648" i="6"/>
  <c r="L648" i="6" s="1"/>
  <c r="K1793" i="6"/>
  <c r="L1793" i="6" s="1"/>
  <c r="K1356" i="6"/>
  <c r="L1356" i="6" s="1"/>
  <c r="K105" i="6"/>
  <c r="L105" i="6" s="1"/>
  <c r="K106" i="6"/>
  <c r="L106" i="6" s="1"/>
  <c r="K1545" i="6"/>
  <c r="L1545" i="6" s="1"/>
  <c r="K1014" i="6"/>
  <c r="L1014" i="6" s="1"/>
  <c r="K392" i="6"/>
  <c r="L392" i="6" s="1"/>
  <c r="K1701" i="6"/>
  <c r="L1701" i="6" s="1"/>
  <c r="K594" i="6"/>
  <c r="L594" i="6" s="1"/>
  <c r="K1169" i="6"/>
  <c r="L1169" i="6" s="1"/>
  <c r="K1570" i="6"/>
  <c r="L1570" i="6" s="1"/>
  <c r="K1170" i="6"/>
  <c r="L1170" i="6" s="1"/>
  <c r="K850" i="6"/>
  <c r="L850" i="6" s="1"/>
  <c r="K90" i="6"/>
  <c r="L90" i="6" s="1"/>
  <c r="K428" i="6"/>
  <c r="L428" i="6" s="1"/>
  <c r="K505" i="6"/>
  <c r="L505" i="6" s="1"/>
  <c r="K647" i="6"/>
  <c r="L647" i="6" s="1"/>
  <c r="K1542" i="6"/>
  <c r="L1542" i="6" s="1"/>
  <c r="K697" i="6"/>
  <c r="L697" i="6" s="1"/>
  <c r="K1702" i="6"/>
  <c r="L1702" i="6" s="1"/>
  <c r="K218" i="6"/>
  <c r="L218" i="6" s="1"/>
  <c r="K303" i="6"/>
  <c r="L303" i="6" s="1"/>
  <c r="K1663" i="6"/>
  <c r="L1663" i="6" s="1"/>
  <c r="K1440" i="6"/>
  <c r="L1440" i="6" s="1"/>
  <c r="K145" i="6"/>
  <c r="L145" i="6" s="1"/>
  <c r="K378" i="6"/>
  <c r="L378" i="6" s="1"/>
  <c r="K675" i="6"/>
  <c r="L675" i="6" s="1"/>
  <c r="K215" i="6"/>
  <c r="L215" i="6" s="1"/>
  <c r="K1753" i="6"/>
  <c r="L1753" i="6" s="1"/>
  <c r="K813" i="6"/>
  <c r="L813" i="6" s="1"/>
  <c r="K1192" i="6"/>
  <c r="L1192" i="6" s="1"/>
  <c r="K792" i="6"/>
  <c r="L792" i="6" s="1"/>
  <c r="K1409" i="6"/>
  <c r="L1409" i="6" s="1"/>
  <c r="K1207" i="6"/>
  <c r="L1207" i="6" s="1"/>
  <c r="K1705" i="6"/>
  <c r="L1705" i="6" s="1"/>
  <c r="K883" i="6"/>
  <c r="L883" i="6" s="1"/>
  <c r="K941" i="6"/>
  <c r="L941" i="6" s="1"/>
  <c r="K381" i="6"/>
  <c r="L381" i="6" s="1"/>
  <c r="K1664" i="6"/>
  <c r="L1664" i="6" s="1"/>
  <c r="K1200" i="6"/>
  <c r="L1200" i="6" s="1"/>
  <c r="K520" i="6"/>
  <c r="L520" i="6" s="1"/>
  <c r="K80" i="6"/>
  <c r="L80" i="6" s="1"/>
  <c r="K1645" i="6"/>
  <c r="L1645" i="6" s="1"/>
  <c r="K1299" i="6"/>
  <c r="L1299" i="6" s="1"/>
  <c r="K259" i="6"/>
  <c r="L259" i="6" s="1"/>
  <c r="K1126" i="6"/>
  <c r="L1126" i="6" s="1"/>
  <c r="K1818" i="6"/>
  <c r="L1818" i="6" s="1"/>
  <c r="K1298" i="6"/>
  <c r="L1298" i="6" s="1"/>
  <c r="K293" i="6"/>
  <c r="L293" i="6" s="1"/>
  <c r="K1051" i="6"/>
  <c r="L1051" i="6" s="1"/>
  <c r="K471" i="6"/>
  <c r="L471" i="6" s="1"/>
  <c r="K1037" i="6"/>
  <c r="L1037" i="6" s="1"/>
  <c r="K517" i="6"/>
  <c r="L517" i="6" s="1"/>
  <c r="K117" i="6"/>
  <c r="L117" i="6" s="1"/>
  <c r="K606" i="6"/>
  <c r="L606" i="6" s="1"/>
  <c r="K1508" i="6"/>
  <c r="L1508" i="6" s="1"/>
  <c r="K1948" i="6"/>
  <c r="L1948" i="6" s="1"/>
  <c r="K1791" i="6"/>
  <c r="L1791" i="6" s="1"/>
  <c r="K1591" i="6"/>
  <c r="L1591" i="6" s="1"/>
  <c r="K1336" i="6"/>
  <c r="L1336" i="6" s="1"/>
  <c r="K1036" i="6"/>
  <c r="L1036" i="6" s="1"/>
  <c r="K656" i="6"/>
  <c r="L656" i="6" s="1"/>
  <c r="K586" i="6"/>
  <c r="L586" i="6" s="1"/>
  <c r="K1078" i="6"/>
  <c r="L1078" i="6" s="1"/>
  <c r="K1160" i="6"/>
  <c r="L1160" i="6" s="1"/>
  <c r="K17" i="6"/>
  <c r="L17" i="6" s="1"/>
  <c r="K1534" i="6"/>
  <c r="L1534" i="6" s="1"/>
  <c r="K554" i="6"/>
  <c r="L554" i="6" s="1"/>
  <c r="K1970" i="6"/>
  <c r="L1970" i="6" s="1"/>
  <c r="K1530" i="6"/>
  <c r="L1530" i="6" s="1"/>
  <c r="K830" i="6"/>
  <c r="L830" i="6" s="1"/>
  <c r="K450" i="6"/>
  <c r="L450" i="6" s="1"/>
  <c r="K1331" i="6"/>
  <c r="L1331" i="6" s="1"/>
  <c r="K1729" i="6"/>
  <c r="L1729" i="6" s="1"/>
  <c r="K348" i="6"/>
  <c r="L348" i="6" s="1"/>
  <c r="K1922" i="6"/>
  <c r="L1922" i="6" s="1"/>
  <c r="K1482" i="6"/>
  <c r="L1482" i="6" s="1"/>
  <c r="K564" i="6"/>
  <c r="L564" i="6" s="1"/>
  <c r="K1242" i="6"/>
  <c r="L1242" i="6" s="1"/>
  <c r="K1752" i="6"/>
  <c r="L1752" i="6" s="1"/>
  <c r="K469" i="6"/>
  <c r="L469" i="6" s="1"/>
  <c r="K739" i="6"/>
  <c r="L739" i="6" s="1"/>
  <c r="K1397" i="6"/>
  <c r="L1397" i="6" s="1"/>
  <c r="K1735" i="6"/>
  <c r="L1735" i="6" s="1"/>
  <c r="K731" i="6"/>
  <c r="L731" i="6" s="1"/>
  <c r="K23" i="6"/>
  <c r="L23" i="6" s="1"/>
  <c r="K1199" i="6"/>
  <c r="L1199" i="6" s="1"/>
  <c r="K1395" i="6"/>
  <c r="L1395" i="6" s="1"/>
  <c r="K967" i="6"/>
  <c r="L967" i="6" s="1"/>
  <c r="K174" i="6"/>
  <c r="L174" i="6" s="1"/>
  <c r="K168" i="6"/>
  <c r="L168" i="6" s="1"/>
  <c r="K1737" i="6"/>
  <c r="L1737" i="6" s="1"/>
  <c r="K655" i="6"/>
  <c r="L655" i="6" s="1"/>
  <c r="K1554" i="6"/>
  <c r="L1554" i="6" s="1"/>
  <c r="K449" i="6"/>
  <c r="L449" i="6" s="1"/>
  <c r="K1987" i="6"/>
  <c r="L1987" i="6" s="1"/>
  <c r="K1421" i="6"/>
  <c r="L1421" i="6" s="1"/>
  <c r="K1140" i="6"/>
  <c r="L1140" i="6" s="1"/>
  <c r="K1819" i="6"/>
  <c r="L1819" i="6" s="1"/>
  <c r="K1259" i="6"/>
  <c r="L1259" i="6" s="1"/>
  <c r="K1615" i="6"/>
  <c r="L1615" i="6" s="1"/>
  <c r="K97" i="6"/>
  <c r="L97" i="6" s="1"/>
  <c r="K465" i="6"/>
  <c r="L465" i="6" s="1"/>
  <c r="K930" i="6"/>
  <c r="L930" i="6" s="1"/>
  <c r="K570" i="6"/>
  <c r="L570" i="6" s="1"/>
  <c r="K18" i="6"/>
  <c r="L18" i="6" s="1"/>
  <c r="K1009" i="6"/>
  <c r="L1009" i="6" s="1"/>
  <c r="K405" i="6"/>
  <c r="L405" i="6" s="1"/>
  <c r="K1047" i="6"/>
  <c r="L1047" i="6" s="1"/>
  <c r="K527" i="6"/>
  <c r="L527" i="6" s="1"/>
  <c r="K127" i="6"/>
  <c r="L127" i="6" s="1"/>
  <c r="K635" i="6"/>
  <c r="L635" i="6" s="1"/>
  <c r="K175" i="6"/>
  <c r="L175" i="6" s="1"/>
  <c r="K1514" i="6"/>
  <c r="L1514" i="6" s="1"/>
  <c r="K1633" i="6"/>
  <c r="L1633" i="6" s="1"/>
  <c r="K673" i="6"/>
  <c r="L673" i="6" s="1"/>
  <c r="K1152" i="6"/>
  <c r="L1152" i="6" s="1"/>
  <c r="K1967" i="6"/>
  <c r="L1967" i="6" s="1"/>
  <c r="K1665" i="6"/>
  <c r="L1665" i="6" s="1"/>
  <c r="K1100" i="6"/>
  <c r="L1100" i="6" s="1"/>
  <c r="K40" i="6"/>
  <c r="L40" i="6" s="1"/>
  <c r="K1239" i="6"/>
  <c r="L1239" i="6" s="1"/>
  <c r="K1198" i="6"/>
  <c r="L1198" i="6" s="1"/>
  <c r="K1337" i="6"/>
  <c r="L1337" i="6" s="1"/>
  <c r="K893" i="6"/>
  <c r="L893" i="6" s="1"/>
  <c r="K431" i="6"/>
  <c r="L431" i="6" s="1"/>
  <c r="K77" i="6"/>
  <c r="L77" i="6" s="1"/>
  <c r="K385" i="6"/>
  <c r="L385" i="6" s="1"/>
  <c r="K1594" i="6"/>
  <c r="L1594" i="6" s="1"/>
  <c r="K1033" i="6"/>
  <c r="L1033" i="6" s="1"/>
  <c r="K412" i="6"/>
  <c r="L412" i="6" s="1"/>
  <c r="K692" i="6"/>
  <c r="L692" i="6" s="1"/>
  <c r="K114" i="6"/>
  <c r="L114" i="6" s="1"/>
  <c r="K22" i="6"/>
  <c r="L22" i="6" s="1"/>
  <c r="K1650" i="6"/>
  <c r="L1650" i="6" s="1"/>
  <c r="K1209" i="6"/>
  <c r="L1209" i="6" s="1"/>
  <c r="K910" i="6"/>
  <c r="L910" i="6" s="1"/>
  <c r="K550" i="6"/>
  <c r="L550" i="6" s="1"/>
  <c r="K170" i="6"/>
  <c r="L170" i="6" s="1"/>
  <c r="K208" i="6"/>
  <c r="L208" i="6" s="1"/>
  <c r="K456" i="6"/>
  <c r="L456" i="6" s="1"/>
  <c r="K492" i="6"/>
  <c r="L492" i="6" s="1"/>
  <c r="K949" i="6"/>
  <c r="L949" i="6" s="1"/>
  <c r="K507" i="6"/>
  <c r="L507" i="6" s="1"/>
  <c r="K87" i="6"/>
  <c r="L87" i="6" s="1"/>
  <c r="K1293" i="6"/>
  <c r="L1293" i="6" s="1"/>
  <c r="K1599" i="6"/>
  <c r="L1599" i="6" s="1"/>
  <c r="K495" i="6"/>
  <c r="L495" i="6" s="1"/>
  <c r="K1233" i="6"/>
  <c r="L1233" i="6" s="1"/>
  <c r="K1512" i="6"/>
  <c r="L1512" i="6" s="1"/>
  <c r="K1631" i="6"/>
  <c r="L1631" i="6" s="1"/>
  <c r="K1241" i="6"/>
  <c r="L1241" i="6" s="1"/>
  <c r="K880" i="6"/>
  <c r="L880" i="6" s="1"/>
  <c r="K340" i="6"/>
  <c r="L340" i="6" s="1"/>
  <c r="K579" i="6"/>
  <c r="L579" i="6" s="1"/>
  <c r="K99" i="6"/>
  <c r="L99" i="6" s="1"/>
  <c r="K898" i="6"/>
  <c r="L898" i="6" s="1"/>
  <c r="K1917" i="6"/>
  <c r="L1917" i="6" s="1"/>
  <c r="K855" i="6"/>
  <c r="L855" i="6" s="1"/>
  <c r="K553" i="6"/>
  <c r="L553" i="6" s="1"/>
  <c r="K53" i="6"/>
  <c r="L53" i="6" s="1"/>
  <c r="K791" i="6"/>
  <c r="L791" i="6" s="1"/>
  <c r="K291" i="6"/>
  <c r="L291" i="6" s="1"/>
  <c r="K831" i="6"/>
  <c r="L831" i="6" s="1"/>
  <c r="K1497" i="6"/>
  <c r="L1497" i="6" s="1"/>
  <c r="K357" i="6"/>
  <c r="L357" i="6" s="1"/>
  <c r="K1593" i="6"/>
  <c r="L1593" i="6" s="1"/>
  <c r="K1815" i="6"/>
  <c r="L1815" i="6" s="1"/>
  <c r="K1254" i="6"/>
  <c r="L1254" i="6" s="1"/>
  <c r="K1954" i="6"/>
  <c r="L1954" i="6" s="1"/>
  <c r="K1756" i="6"/>
  <c r="L1756" i="6" s="1"/>
  <c r="K916" i="6"/>
  <c r="L916" i="6" s="1"/>
  <c r="K536" i="6"/>
  <c r="L536" i="6" s="1"/>
  <c r="K65" i="6"/>
  <c r="L65" i="6" s="1"/>
  <c r="K134" i="6"/>
  <c r="L134" i="6" s="1"/>
  <c r="K555" i="6"/>
  <c r="L555" i="6" s="1"/>
  <c r="K352" i="6"/>
  <c r="L352" i="6" s="1"/>
  <c r="K654" i="6"/>
  <c r="L654" i="6" s="1"/>
  <c r="K229" i="6"/>
  <c r="L229" i="6" s="1"/>
  <c r="K1294" i="6"/>
  <c r="L1294" i="6" s="1"/>
  <c r="K534" i="6"/>
  <c r="L534" i="6" s="1"/>
  <c r="K232" i="6"/>
  <c r="L232" i="6" s="1"/>
  <c r="K1414" i="6"/>
  <c r="L1414" i="6" s="1"/>
  <c r="K1950" i="6"/>
  <c r="L1950" i="6" s="1"/>
  <c r="K1509" i="6"/>
  <c r="L1509" i="6" s="1"/>
  <c r="K1130" i="6"/>
  <c r="L1130" i="6" s="1"/>
  <c r="K810" i="6"/>
  <c r="L810" i="6" s="1"/>
  <c r="K50" i="6"/>
  <c r="L50" i="6" s="1"/>
  <c r="K268" i="6"/>
  <c r="L268" i="6" s="1"/>
  <c r="K1811" i="6"/>
  <c r="L1811" i="6" s="1"/>
  <c r="K1847" i="6"/>
  <c r="L1847" i="6" s="1"/>
  <c r="K847" i="6"/>
  <c r="L847" i="6" s="1"/>
  <c r="K387" i="6"/>
  <c r="L387" i="6" s="1"/>
  <c r="K439" i="6"/>
  <c r="L439" i="6" s="1"/>
  <c r="K1867" i="6"/>
  <c r="L1867" i="6" s="1"/>
  <c r="K1731" i="6"/>
  <c r="L1731" i="6" s="1"/>
  <c r="K1261" i="6"/>
  <c r="L1261" i="6" s="1"/>
  <c r="K360" i="6"/>
  <c r="L360" i="6" s="1"/>
  <c r="K918" i="6"/>
  <c r="L918" i="6" s="1"/>
  <c r="K573" i="6"/>
  <c r="L573" i="6" s="1"/>
  <c r="K311" i="6"/>
  <c r="L311" i="6" s="1"/>
  <c r="K359" i="6"/>
  <c r="L359" i="6" s="1"/>
  <c r="K1577" i="6"/>
  <c r="L1577" i="6" s="1"/>
  <c r="K676" i="6"/>
  <c r="L676" i="6" s="1"/>
  <c r="K1334" i="6"/>
  <c r="L1334" i="6" s="1"/>
  <c r="K1776" i="6"/>
  <c r="L1776" i="6" s="1"/>
  <c r="K936" i="6"/>
  <c r="L936" i="6" s="1"/>
  <c r="K576" i="6"/>
  <c r="L576" i="6" s="1"/>
  <c r="K372" i="6"/>
  <c r="L372" i="6" s="1"/>
  <c r="K85" i="6"/>
  <c r="L85" i="6" s="1"/>
  <c r="K107" i="6"/>
  <c r="L107" i="6" s="1"/>
  <c r="K1311" i="6"/>
  <c r="L1311" i="6" s="1"/>
  <c r="K1150" i="6"/>
  <c r="L1150" i="6" s="1"/>
  <c r="K70" i="6"/>
  <c r="L70" i="6" s="1"/>
  <c r="K308" i="6"/>
  <c r="L308" i="6" s="1"/>
  <c r="K867" i="6"/>
  <c r="L867" i="6" s="1"/>
  <c r="K256" i="6"/>
  <c r="L256" i="6" s="1"/>
  <c r="K1235" i="6"/>
  <c r="L1235" i="6" s="1"/>
  <c r="K475" i="6"/>
  <c r="L475" i="6" s="1"/>
  <c r="K1452" i="6"/>
  <c r="L1452" i="6" s="1"/>
  <c r="K1012" i="6"/>
  <c r="L1012" i="6" s="1"/>
  <c r="K472" i="6"/>
  <c r="L472" i="6" s="1"/>
  <c r="K249" i="6"/>
  <c r="L249" i="6" s="1"/>
  <c r="K1667" i="6"/>
  <c r="L1667" i="6" s="1"/>
  <c r="K1941" i="6"/>
  <c r="L1941" i="6" s="1"/>
  <c r="K141" i="6"/>
  <c r="L141" i="6" s="1"/>
  <c r="K840" i="6"/>
  <c r="L840" i="6" s="1"/>
  <c r="K320" i="6"/>
  <c r="L320" i="6" s="1"/>
  <c r="K1559" i="6"/>
  <c r="L1559" i="6" s="1"/>
  <c r="K1059" i="6"/>
  <c r="L1059" i="6" s="1"/>
  <c r="K559" i="6"/>
  <c r="L559" i="6" s="1"/>
  <c r="K79" i="6"/>
  <c r="L79" i="6" s="1"/>
  <c r="K1618" i="6"/>
  <c r="L1618" i="6" s="1"/>
  <c r="K878" i="6"/>
  <c r="L878" i="6" s="1"/>
  <c r="K1877" i="6"/>
  <c r="L1877" i="6" s="1"/>
  <c r="K795" i="6"/>
  <c r="L795" i="6" s="1"/>
  <c r="K1913" i="6"/>
  <c r="L1913" i="6" s="1"/>
  <c r="K533" i="6"/>
  <c r="L533" i="6" s="1"/>
  <c r="K33" i="6"/>
  <c r="L33" i="6" s="1"/>
  <c r="K271" i="6"/>
  <c r="L271" i="6" s="1"/>
  <c r="K1437" i="6"/>
  <c r="L1437" i="6" s="1"/>
  <c r="K797" i="6"/>
  <c r="L797" i="6" s="1"/>
  <c r="K337" i="6"/>
  <c r="L337" i="6" s="1"/>
  <c r="K415" i="6"/>
  <c r="L415" i="6" s="1"/>
  <c r="K1589" i="6"/>
  <c r="L1589" i="6" s="1"/>
  <c r="K1393" i="6"/>
  <c r="L1393" i="6" s="1"/>
  <c r="K1914" i="6"/>
  <c r="L1914" i="6" s="1"/>
  <c r="K1736" i="6"/>
  <c r="L1736" i="6" s="1"/>
  <c r="K1273" i="6"/>
  <c r="L1273" i="6" s="1"/>
  <c r="K896" i="6"/>
  <c r="L896" i="6" s="1"/>
  <c r="K516" i="6"/>
  <c r="L516" i="6" s="1"/>
  <c r="K1412" i="6"/>
  <c r="L1412" i="6" s="1"/>
  <c r="K332" i="6"/>
  <c r="L332" i="6" s="1"/>
  <c r="K1697" i="6"/>
  <c r="L1697" i="6" s="1"/>
  <c r="K1079" i="6"/>
  <c r="L1079" i="6" s="1"/>
  <c r="K549" i="6"/>
  <c r="L549" i="6" s="1"/>
  <c r="K1194" i="6"/>
  <c r="L1194" i="6" s="1"/>
  <c r="K1547" i="6"/>
  <c r="L1547" i="6" s="1"/>
  <c r="K1673" i="6"/>
  <c r="L1673" i="6" s="1"/>
  <c r="K1930" i="6"/>
  <c r="L1930" i="6" s="1"/>
  <c r="K1510" i="6"/>
  <c r="L1510" i="6" s="1"/>
  <c r="K1129" i="6"/>
  <c r="L1129" i="6" s="1"/>
  <c r="K789" i="6"/>
  <c r="L789" i="6" s="1"/>
  <c r="K410" i="6"/>
  <c r="L410" i="6" s="1"/>
  <c r="K29" i="6"/>
  <c r="L29" i="6" s="1"/>
  <c r="K1769" i="6"/>
  <c r="L1769" i="6" s="1"/>
  <c r="K228" i="6"/>
  <c r="L228" i="6" s="1"/>
  <c r="K760" i="6"/>
  <c r="L760" i="6" s="1"/>
  <c r="K1807" i="6"/>
  <c r="L1807" i="6" s="1"/>
  <c r="K807" i="6"/>
  <c r="L807" i="6" s="1"/>
  <c r="K367" i="6"/>
  <c r="L367" i="6" s="1"/>
  <c r="K919" i="6"/>
  <c r="L919" i="6" s="1"/>
  <c r="K871" i="6"/>
  <c r="L871" i="6" s="1"/>
  <c r="K447" i="6"/>
  <c r="L447" i="6" s="1"/>
  <c r="K958" i="6"/>
  <c r="L958" i="6" s="1"/>
  <c r="K593" i="6"/>
  <c r="L593" i="6" s="1"/>
  <c r="K811" i="6"/>
  <c r="L811" i="6" s="1"/>
  <c r="K1175" i="6"/>
  <c r="L1175" i="6" s="1"/>
  <c r="K1173" i="6"/>
  <c r="L1173" i="6" s="1"/>
  <c r="K1432" i="6"/>
  <c r="L1432" i="6" s="1"/>
  <c r="K992" i="6"/>
  <c r="L992" i="6" s="1"/>
  <c r="K169" i="6"/>
  <c r="L169" i="6" s="1"/>
  <c r="K121" i="6"/>
  <c r="L121" i="6" s="1"/>
  <c r="K539" i="6"/>
  <c r="L539" i="6" s="1"/>
  <c r="K59" i="6"/>
  <c r="L59" i="6" s="1"/>
  <c r="K1598" i="6"/>
  <c r="L1598" i="6" s="1"/>
  <c r="K755" i="6"/>
  <c r="L755" i="6" s="1"/>
  <c r="K751" i="6"/>
  <c r="L751" i="6" s="1"/>
  <c r="K1417" i="6"/>
  <c r="L1417" i="6" s="1"/>
  <c r="K376" i="6"/>
  <c r="L376" i="6" s="1"/>
  <c r="K1715" i="6"/>
  <c r="L1715" i="6" s="1"/>
  <c r="K1011" i="6"/>
  <c r="L1011" i="6" s="1"/>
  <c r="K1669" i="6"/>
  <c r="L1669" i="6" s="1"/>
  <c r="K312" i="6"/>
  <c r="L312" i="6" s="1"/>
  <c r="K454" i="6"/>
  <c r="L454" i="6" s="1"/>
  <c r="K1470" i="6"/>
  <c r="L1470" i="6" s="1"/>
  <c r="K1109" i="6"/>
  <c r="L1109" i="6" s="1"/>
  <c r="K390" i="6"/>
  <c r="L390" i="6" s="1"/>
  <c r="K30" i="6"/>
  <c r="L30" i="6" s="1"/>
  <c r="K434" i="6"/>
  <c r="L434" i="6" s="1"/>
  <c r="K188" i="6"/>
  <c r="L188" i="6" s="1"/>
  <c r="K1180" i="6"/>
  <c r="L1180" i="6" s="1"/>
  <c r="K1155" i="6"/>
  <c r="L1155" i="6" s="1"/>
  <c r="K1034" i="6"/>
  <c r="L1034" i="6" s="1"/>
  <c r="K1153" i="6"/>
  <c r="L1153" i="6" s="1"/>
  <c r="K1372" i="6"/>
  <c r="L1372" i="6" s="1"/>
  <c r="K972" i="6"/>
  <c r="L972" i="6" s="1"/>
  <c r="K1371" i="6"/>
  <c r="L1371" i="6" s="1"/>
  <c r="K749" i="6"/>
  <c r="L749" i="6" s="1"/>
  <c r="K129" i="6"/>
  <c r="L129" i="6" s="1"/>
  <c r="K1587" i="6"/>
  <c r="L1587" i="6" s="1"/>
  <c r="K1901" i="6"/>
  <c r="L1901" i="6" s="1"/>
  <c r="K1161" i="6"/>
  <c r="L1161" i="6" s="1"/>
  <c r="K740" i="6"/>
  <c r="L740" i="6" s="1"/>
  <c r="K260" i="6"/>
  <c r="L260" i="6" s="1"/>
  <c r="K519" i="6"/>
  <c r="L519" i="6" s="1"/>
  <c r="K39" i="6"/>
  <c r="L39" i="6" s="1"/>
  <c r="K1578" i="6"/>
  <c r="L1578" i="6" s="1"/>
  <c r="K818" i="6"/>
  <c r="L818" i="6" s="1"/>
  <c r="K1817" i="6"/>
  <c r="L1817" i="6" s="1"/>
  <c r="K1833" i="6"/>
  <c r="L1833" i="6" s="1"/>
  <c r="K493" i="6"/>
  <c r="L493" i="6" s="1"/>
  <c r="K1691" i="6"/>
  <c r="L1691" i="6" s="1"/>
  <c r="K711" i="6"/>
  <c r="L711" i="6" s="1"/>
  <c r="K211" i="6"/>
  <c r="L211" i="6" s="1"/>
  <c r="K1251" i="6"/>
  <c r="L1251" i="6" s="1"/>
  <c r="K1357" i="6"/>
  <c r="L1357" i="6" s="1"/>
  <c r="K737" i="6"/>
  <c r="L737" i="6" s="1"/>
  <c r="K297" i="6"/>
  <c r="L297" i="6" s="1"/>
  <c r="K316" i="6"/>
  <c r="L316" i="6" s="1"/>
  <c r="K1853" i="6"/>
  <c r="L1853" i="6" s="1"/>
  <c r="K1895" i="6"/>
  <c r="L1895" i="6" s="1"/>
  <c r="K1713" i="6"/>
  <c r="L1713" i="6" s="1"/>
  <c r="K1516" i="6"/>
  <c r="L1516" i="6" s="1"/>
  <c r="K1216" i="6"/>
  <c r="L1216" i="6" s="1"/>
  <c r="K396" i="6"/>
  <c r="L396" i="6" s="1"/>
  <c r="K1330" i="6"/>
  <c r="L1330" i="6" s="1"/>
  <c r="K633" i="6"/>
  <c r="L633" i="6" s="1"/>
  <c r="K1158" i="6"/>
  <c r="L1158" i="6" s="1"/>
  <c r="K1759" i="6"/>
  <c r="L1759" i="6" s="1"/>
  <c r="K292" i="6"/>
  <c r="L292" i="6" s="1"/>
  <c r="K1214" i="6"/>
  <c r="L1214" i="6" s="1"/>
  <c r="K989" i="6"/>
  <c r="L989" i="6" s="1"/>
  <c r="K394" i="6"/>
  <c r="L394" i="6" s="1"/>
  <c r="K971" i="6"/>
  <c r="L971" i="6" s="1"/>
  <c r="K1890" i="6"/>
  <c r="L1890" i="6" s="1"/>
  <c r="K1450" i="6"/>
  <c r="L1450" i="6" s="1"/>
  <c r="K1110" i="6"/>
  <c r="L1110" i="6" s="1"/>
  <c r="K770" i="6"/>
  <c r="L770" i="6" s="1"/>
  <c r="K370" i="6"/>
  <c r="L370" i="6" s="1"/>
  <c r="K306" i="6"/>
  <c r="L306" i="6" s="1"/>
  <c r="K1689" i="6"/>
  <c r="L1689" i="6" s="1"/>
  <c r="K757" i="6"/>
  <c r="L757" i="6" s="1"/>
  <c r="K148" i="6"/>
  <c r="L148" i="6" s="1"/>
  <c r="K1676" i="6"/>
  <c r="L1676" i="6" s="1"/>
  <c r="K1727" i="6"/>
  <c r="L1727" i="6" s="1"/>
  <c r="K767" i="6"/>
  <c r="L767" i="6" s="1"/>
  <c r="K327" i="6"/>
  <c r="L327" i="6" s="1"/>
  <c r="K1329" i="6"/>
  <c r="L1329" i="6" s="1"/>
  <c r="K1845" i="6"/>
  <c r="L1845" i="6" s="1"/>
  <c r="K626" i="6"/>
  <c r="L626" i="6" s="1"/>
  <c r="K1375" i="6"/>
  <c r="L1375" i="6" s="1"/>
  <c r="K1301" i="6"/>
  <c r="L1301" i="6" s="1"/>
  <c r="K490" i="6"/>
  <c r="L490" i="6" s="1"/>
  <c r="K1354" i="6"/>
  <c r="L1354" i="6" s="1"/>
  <c r="K929" i="6"/>
  <c r="L929" i="6" s="1"/>
  <c r="K1574" i="6"/>
  <c r="L1574" i="6" s="1"/>
  <c r="K1969" i="6"/>
  <c r="L1969" i="6" s="1"/>
  <c r="K1957" i="6"/>
  <c r="L1957" i="6" s="1"/>
  <c r="K375" i="6"/>
  <c r="L375" i="6" s="1"/>
  <c r="K1352" i="6"/>
  <c r="L1352" i="6" s="1"/>
  <c r="K1231" i="6"/>
  <c r="L1231" i="6" s="1"/>
  <c r="K729" i="6"/>
  <c r="L729" i="6" s="1"/>
  <c r="K109" i="6"/>
  <c r="L109" i="6" s="1"/>
  <c r="K720" i="6"/>
  <c r="L720" i="6" s="1"/>
  <c r="K240" i="6"/>
  <c r="L240" i="6" s="1"/>
  <c r="K1558" i="6"/>
  <c r="L1558" i="6" s="1"/>
  <c r="K695" i="6"/>
  <c r="L695" i="6" s="1"/>
  <c r="K1693" i="6"/>
  <c r="L1693" i="6" s="1"/>
  <c r="K1611" i="6"/>
  <c r="L1611" i="6" s="1"/>
  <c r="K691" i="6"/>
  <c r="L691" i="6" s="1"/>
  <c r="K191" i="6"/>
  <c r="L191" i="6" s="1"/>
  <c r="K277" i="6"/>
  <c r="L277" i="6" s="1"/>
  <c r="K650" i="6"/>
  <c r="L650" i="6" s="1"/>
  <c r="K1894" i="6"/>
  <c r="L1894" i="6" s="1"/>
  <c r="K1711" i="6"/>
  <c r="L1711" i="6" s="1"/>
  <c r="K856" i="6"/>
  <c r="L856" i="6" s="1"/>
  <c r="K496" i="6"/>
  <c r="L496" i="6" s="1"/>
  <c r="K1695" i="6"/>
  <c r="L1695" i="6" s="1"/>
  <c r="K974" i="6"/>
  <c r="L974" i="6" s="1"/>
  <c r="K671" i="6"/>
  <c r="L671" i="6" s="1"/>
  <c r="K1850" i="6"/>
  <c r="L1850" i="6" s="1"/>
  <c r="K1430" i="6"/>
  <c r="L1430" i="6" s="1"/>
  <c r="K1090" i="6"/>
  <c r="L1090" i="6" s="1"/>
  <c r="K369" i="6"/>
  <c r="L369" i="6" s="1"/>
  <c r="K1649" i="6"/>
  <c r="L1649" i="6" s="1"/>
  <c r="K915" i="6"/>
  <c r="L915" i="6" s="1"/>
  <c r="K479" i="6"/>
  <c r="L479" i="6" s="1"/>
  <c r="K1887" i="6"/>
  <c r="L1887" i="6" s="1"/>
  <c r="K1647" i="6"/>
  <c r="L1647" i="6" s="1"/>
  <c r="K1095" i="6"/>
  <c r="L1095" i="6" s="1"/>
  <c r="K355" i="6"/>
  <c r="L355" i="6" s="1"/>
  <c r="K1974" i="6"/>
  <c r="L1974" i="6" s="1"/>
  <c r="K934" i="6"/>
  <c r="L934" i="6" s="1"/>
  <c r="K1093" i="6"/>
  <c r="L1093" i="6" s="1"/>
  <c r="K1332" i="6"/>
  <c r="L1332" i="6" s="1"/>
  <c r="K932" i="6"/>
  <c r="L932" i="6" s="1"/>
  <c r="K1909" i="6"/>
  <c r="L1909" i="6" s="1"/>
  <c r="K689" i="6"/>
  <c r="L689" i="6" s="1"/>
  <c r="K89" i="6"/>
  <c r="L89" i="6" s="1"/>
  <c r="K1507" i="6"/>
  <c r="L1507" i="6" s="1"/>
  <c r="K1965" i="6"/>
  <c r="L1965" i="6" s="1"/>
  <c r="K1861" i="6"/>
  <c r="L1861" i="6" s="1"/>
  <c r="K1121" i="6"/>
  <c r="L1121" i="6" s="1"/>
  <c r="K561" i="6"/>
  <c r="L561" i="6" s="1"/>
  <c r="K1980" i="6"/>
  <c r="L1980" i="6" s="1"/>
  <c r="K700" i="6"/>
  <c r="L700" i="6" s="1"/>
  <c r="K220" i="6"/>
  <c r="L220" i="6" s="1"/>
  <c r="K1479" i="6"/>
  <c r="L1479" i="6" s="1"/>
  <c r="K939" i="6"/>
  <c r="L939" i="6" s="1"/>
  <c r="K459" i="6"/>
  <c r="L459" i="6" s="1"/>
  <c r="K1538" i="6"/>
  <c r="L1538" i="6" s="1"/>
  <c r="K778" i="6"/>
  <c r="L778" i="6" s="1"/>
  <c r="K455" i="6"/>
  <c r="L455" i="6" s="1"/>
  <c r="K1493" i="6"/>
  <c r="L1493" i="6" s="1"/>
  <c r="K453" i="6"/>
  <c r="L453" i="6" s="1"/>
  <c r="K1491" i="6"/>
  <c r="L1491" i="6" s="1"/>
  <c r="K651" i="6"/>
  <c r="L651" i="6" s="1"/>
  <c r="K1511" i="6"/>
  <c r="L1511" i="6" s="1"/>
  <c r="K677" i="6"/>
  <c r="L677" i="6" s="1"/>
  <c r="K257" i="6"/>
  <c r="L257" i="6" s="1"/>
  <c r="K236" i="6"/>
  <c r="L236" i="6" s="1"/>
  <c r="K1699" i="6"/>
  <c r="L1699" i="6" s="1"/>
  <c r="K1893" i="6"/>
  <c r="L1893" i="6" s="1"/>
  <c r="K1716" i="6"/>
  <c r="L1716" i="6" s="1"/>
  <c r="K1495" i="6"/>
  <c r="L1495" i="6" s="1"/>
  <c r="K1196" i="6"/>
  <c r="L1196" i="6" s="1"/>
  <c r="K296" i="6"/>
  <c r="L296" i="6" s="1"/>
  <c r="K1411" i="6"/>
  <c r="L1411" i="6" s="1"/>
  <c r="K1912" i="6"/>
  <c r="L1912" i="6" s="1"/>
  <c r="K212" i="6"/>
  <c r="L212" i="6" s="1"/>
  <c r="K528" i="6"/>
  <c r="L528" i="6" s="1"/>
  <c r="K1540" i="6"/>
  <c r="L1540" i="6" s="1"/>
  <c r="K354" i="6"/>
  <c r="L354" i="6" s="1"/>
  <c r="K591" i="6"/>
  <c r="L591" i="6" s="1"/>
  <c r="K1830" i="6"/>
  <c r="L1830" i="6" s="1"/>
  <c r="K1390" i="6"/>
  <c r="L1390" i="6" s="1"/>
  <c r="K1070" i="6"/>
  <c r="L1070" i="6" s="1"/>
  <c r="K710" i="6"/>
  <c r="L710" i="6" s="1"/>
  <c r="K350" i="6"/>
  <c r="L350" i="6" s="1"/>
  <c r="K1569" i="6"/>
  <c r="L1569" i="6" s="1"/>
  <c r="K1041" i="6"/>
  <c r="L1041" i="6" s="1"/>
  <c r="K68" i="6"/>
  <c r="L68" i="6" s="1"/>
  <c r="K1487" i="6"/>
  <c r="L1487" i="6" s="1"/>
  <c r="K727" i="6"/>
  <c r="L727" i="6" s="1"/>
  <c r="K287" i="6"/>
  <c r="L287" i="6" s="1"/>
  <c r="K1553" i="6"/>
  <c r="L1553" i="6" s="1"/>
  <c r="K1055" i="6"/>
  <c r="L1055" i="6" s="1"/>
  <c r="K335" i="6"/>
  <c r="L335" i="6" s="1"/>
  <c r="K1774" i="6"/>
  <c r="L1774" i="6" s="1"/>
  <c r="K914" i="6"/>
  <c r="L914" i="6" s="1"/>
  <c r="K912" i="6"/>
  <c r="L912" i="6" s="1"/>
  <c r="K649" i="6"/>
  <c r="L649" i="6" s="1"/>
  <c r="K1101" i="6"/>
  <c r="L1101" i="6" s="1"/>
  <c r="K680" i="6"/>
  <c r="L680" i="6" s="1"/>
  <c r="K899" i="6"/>
  <c r="L899" i="6" s="1"/>
  <c r="K419" i="6"/>
  <c r="L419" i="6" s="1"/>
  <c r="K1518" i="6"/>
  <c r="L1518" i="6" s="1"/>
  <c r="K758" i="6"/>
  <c r="L758" i="6" s="1"/>
  <c r="K1657" i="6"/>
  <c r="L1657" i="6" s="1"/>
  <c r="K1473" i="6"/>
  <c r="L1473" i="6" s="1"/>
  <c r="K151" i="6"/>
  <c r="L151" i="6" s="1"/>
  <c r="K1747" i="6"/>
  <c r="L1747" i="6" s="1"/>
  <c r="K657" i="6"/>
  <c r="L657" i="6" s="1"/>
  <c r="K237" i="6"/>
  <c r="L237" i="6" s="1"/>
  <c r="K196" i="6"/>
  <c r="L196" i="6" s="1"/>
  <c r="K1892" i="6"/>
  <c r="L1892" i="6" s="1"/>
  <c r="K1476" i="6"/>
  <c r="L1476" i="6" s="1"/>
  <c r="K1156" i="6"/>
  <c r="L1156" i="6" s="1"/>
  <c r="K216" i="6"/>
  <c r="L216" i="6" s="1"/>
  <c r="K1899" i="6"/>
  <c r="L1899" i="6" s="1"/>
  <c r="K1872" i="6"/>
  <c r="L1872" i="6" s="1"/>
  <c r="K192" i="6"/>
  <c r="L192" i="6" s="1"/>
  <c r="K1629" i="6"/>
  <c r="L1629" i="6" s="1"/>
  <c r="K894" i="6"/>
  <c r="L894" i="6" s="1"/>
  <c r="K334" i="6"/>
  <c r="L334" i="6" s="1"/>
  <c r="K371" i="6"/>
  <c r="L371" i="6" s="1"/>
  <c r="K1829" i="6"/>
  <c r="L1829" i="6" s="1"/>
  <c r="K1370" i="6"/>
  <c r="L1370" i="6" s="1"/>
  <c r="K1050" i="6"/>
  <c r="L1050" i="6" s="1"/>
  <c r="K690" i="6"/>
  <c r="L690" i="6" s="1"/>
  <c r="K330" i="6"/>
  <c r="L330" i="6" s="1"/>
  <c r="K600" i="6"/>
  <c r="L600" i="6" s="1"/>
  <c r="K1178" i="6"/>
  <c r="L1178" i="6" s="1"/>
  <c r="K28" i="6"/>
  <c r="L28" i="6" s="1"/>
  <c r="K1597" i="6"/>
  <c r="L1597" i="6" s="1"/>
  <c r="K1407" i="6"/>
  <c r="L1407" i="6" s="1"/>
  <c r="K707" i="6"/>
  <c r="L707" i="6" s="1"/>
  <c r="K267" i="6"/>
  <c r="L267" i="6" s="1"/>
  <c r="K1677" i="6"/>
  <c r="L1677" i="6" s="1"/>
  <c r="K27" i="6"/>
  <c r="L27" i="6" s="1"/>
  <c r="K272" i="6"/>
  <c r="L272" i="6" s="1"/>
  <c r="K315" i="6"/>
  <c r="L315" i="6" s="1"/>
  <c r="K993" i="6"/>
  <c r="L993" i="6" s="1"/>
  <c r="K1292" i="6"/>
  <c r="L1292" i="6" s="1"/>
  <c r="K892" i="6"/>
  <c r="L892" i="6" s="1"/>
  <c r="K1709" i="6"/>
  <c r="L1709" i="6" s="1"/>
  <c r="K609" i="6"/>
  <c r="L609" i="6" s="1"/>
  <c r="K1925" i="6"/>
  <c r="L1925" i="6" s="1"/>
  <c r="K1801" i="6"/>
  <c r="L1801" i="6" s="1"/>
  <c r="K1900" i="6"/>
  <c r="L1900" i="6" s="1"/>
  <c r="K660" i="6"/>
  <c r="L660" i="6" s="1"/>
  <c r="K180" i="6"/>
  <c r="L180" i="6" s="1"/>
  <c r="K1979" i="6"/>
  <c r="L1979" i="6" s="1"/>
  <c r="K1419" i="6"/>
  <c r="L1419" i="6" s="1"/>
  <c r="K859" i="6"/>
  <c r="L859" i="6" s="1"/>
  <c r="K399" i="6"/>
  <c r="L399" i="6" s="1"/>
  <c r="K1478" i="6"/>
  <c r="L1478" i="6" s="1"/>
  <c r="K738" i="6"/>
  <c r="L738" i="6" s="1"/>
  <c r="K1557" i="6"/>
  <c r="L1557" i="6" s="1"/>
  <c r="K115" i="6"/>
  <c r="L115" i="6" s="1"/>
  <c r="K1433" i="6"/>
  <c r="L1433" i="6" s="1"/>
  <c r="K393" i="6"/>
  <c r="L393" i="6" s="1"/>
  <c r="K1431" i="6"/>
  <c r="L1431" i="6" s="1"/>
  <c r="K571" i="6"/>
  <c r="L571" i="6" s="1"/>
  <c r="K131" i="6"/>
  <c r="L131" i="6" s="1"/>
  <c r="K1849" i="6"/>
  <c r="L1849" i="6" s="1"/>
  <c r="K1157" i="6"/>
  <c r="L1157" i="6" s="1"/>
  <c r="K637" i="6"/>
  <c r="L637" i="6" s="1"/>
  <c r="K217" i="6"/>
  <c r="L217" i="6" s="1"/>
  <c r="K156" i="6"/>
  <c r="L156" i="6" s="1"/>
  <c r="K1856" i="6"/>
  <c r="L1856" i="6" s="1"/>
  <c r="K1672" i="6"/>
  <c r="L1672" i="6" s="1"/>
  <c r="K1454" i="6"/>
  <c r="L1454" i="6" s="1"/>
  <c r="K1135" i="6"/>
  <c r="L1135" i="6" s="1"/>
  <c r="K796" i="6"/>
  <c r="L796" i="6" s="1"/>
  <c r="K176" i="6"/>
  <c r="L176" i="6" s="1"/>
  <c r="K213" i="6"/>
  <c r="L213" i="6" s="1"/>
  <c r="K1653" i="6"/>
  <c r="L1653" i="6" s="1"/>
  <c r="K1852" i="6"/>
  <c r="L1852" i="6" s="1"/>
  <c r="K172" i="6"/>
  <c r="L172" i="6" s="1"/>
  <c r="K854" i="6"/>
  <c r="L854" i="6" s="1"/>
  <c r="K314" i="6"/>
  <c r="L314" i="6" s="1"/>
  <c r="K31" i="6"/>
  <c r="L31" i="6" s="1"/>
  <c r="K1810" i="6"/>
  <c r="L1810" i="6" s="1"/>
  <c r="K1350" i="6"/>
  <c r="L1350" i="6" s="1"/>
  <c r="K670" i="6"/>
  <c r="L670" i="6" s="1"/>
  <c r="K310" i="6"/>
  <c r="L310" i="6" s="1"/>
  <c r="K608" i="6"/>
  <c r="L608" i="6" s="1"/>
  <c r="K585" i="6"/>
  <c r="L585" i="6" s="1"/>
  <c r="K19" i="6"/>
  <c r="L19" i="6" s="1"/>
  <c r="K1039" i="6"/>
  <c r="L1039" i="6" s="1"/>
  <c r="K1389" i="6"/>
  <c r="L1389" i="6" s="1"/>
  <c r="K1320" i="6"/>
  <c r="L1320" i="6" s="1"/>
  <c r="K1187" i="6"/>
  <c r="L1187" i="6" s="1"/>
  <c r="K474" i="6"/>
  <c r="L474" i="6" s="1"/>
  <c r="K1920" i="6"/>
  <c r="L1920" i="6" s="1"/>
  <c r="K1387" i="6"/>
  <c r="L1387" i="6" s="1"/>
  <c r="K687" i="6"/>
  <c r="L687" i="6" s="1"/>
  <c r="K247" i="6"/>
  <c r="L247" i="6" s="1"/>
  <c r="K1794" i="6"/>
  <c r="L1794" i="6" s="1"/>
  <c r="K1795" i="6"/>
  <c r="L1795" i="6" s="1"/>
  <c r="K975" i="6"/>
  <c r="L975" i="6" s="1"/>
  <c r="K295" i="6"/>
  <c r="L295" i="6" s="1"/>
  <c r="K973" i="6"/>
  <c r="L973" i="6" s="1"/>
  <c r="K872" i="6"/>
  <c r="L872" i="6" s="1"/>
  <c r="K1609" i="6"/>
  <c r="L1609" i="6" s="1"/>
  <c r="K569" i="6"/>
  <c r="L569" i="6" s="1"/>
  <c r="K1905" i="6"/>
  <c r="L1905" i="6" s="1"/>
  <c r="K1681" i="6"/>
  <c r="L1681" i="6" s="1"/>
  <c r="K1061" i="6"/>
  <c r="L1061" i="6" s="1"/>
  <c r="K1880" i="6"/>
  <c r="L1880" i="6" s="1"/>
  <c r="K640" i="6"/>
  <c r="L640" i="6" s="1"/>
  <c r="K160" i="6"/>
  <c r="L160" i="6" s="1"/>
  <c r="K1939" i="6"/>
  <c r="L1939" i="6" s="1"/>
  <c r="K839" i="6"/>
  <c r="L839" i="6" s="1"/>
  <c r="K379" i="6"/>
  <c r="L379" i="6" s="1"/>
  <c r="K1438" i="6"/>
  <c r="L1438" i="6" s="1"/>
  <c r="K718" i="6"/>
  <c r="L718" i="6" s="1"/>
  <c r="K1537" i="6"/>
  <c r="L1537" i="6" s="1"/>
  <c r="K1955" i="6"/>
  <c r="L1955" i="6" s="1"/>
  <c r="K1353" i="6"/>
  <c r="L1353" i="6" s="1"/>
  <c r="K373" i="6"/>
  <c r="L373" i="6" s="1"/>
  <c r="K1291" i="6"/>
  <c r="L1291" i="6" s="1"/>
  <c r="K551" i="6"/>
  <c r="L551" i="6" s="1"/>
  <c r="K111" i="6"/>
  <c r="L111" i="6" s="1"/>
  <c r="K1137" i="6"/>
  <c r="L1137" i="6" s="1"/>
  <c r="K617" i="6"/>
  <c r="L617" i="6" s="1"/>
  <c r="K197" i="6"/>
  <c r="L197" i="6" s="1"/>
  <c r="K96" i="6"/>
  <c r="L96" i="6" s="1"/>
  <c r="K1651" i="6"/>
  <c r="L1651" i="6" s="1"/>
  <c r="K1436" i="6"/>
  <c r="L1436" i="6" s="1"/>
  <c r="K1133" i="6"/>
  <c r="L1133" i="6" s="1"/>
  <c r="K773" i="6"/>
  <c r="L773" i="6" s="1"/>
  <c r="K116" i="6"/>
  <c r="L116" i="6" s="1"/>
  <c r="K1401" i="6"/>
  <c r="L1401" i="6" s="1"/>
  <c r="K1757" i="6"/>
  <c r="L1757" i="6" s="1"/>
  <c r="K1812" i="6"/>
  <c r="L1812" i="6" s="1"/>
  <c r="K152" i="6"/>
  <c r="L152" i="6" s="1"/>
  <c r="K1937" i="6"/>
  <c r="L1937" i="6" s="1"/>
  <c r="K814" i="6"/>
  <c r="L814" i="6" s="1"/>
  <c r="K294" i="6"/>
  <c r="L294" i="6" s="1"/>
  <c r="K1789" i="6"/>
  <c r="L1789" i="6" s="1"/>
  <c r="K1309" i="6"/>
  <c r="L1309" i="6" s="1"/>
  <c r="K1030" i="6"/>
  <c r="L1030" i="6" s="1"/>
  <c r="K669" i="6"/>
  <c r="L669" i="6" s="1"/>
  <c r="K290" i="6"/>
  <c r="L290" i="6" s="1"/>
  <c r="K568" i="6"/>
  <c r="L568" i="6" s="1"/>
  <c r="K525" i="6"/>
  <c r="L525" i="6" s="1"/>
  <c r="K1318" i="6"/>
  <c r="L1318" i="6" s="1"/>
  <c r="K1349" i="6"/>
  <c r="L1349" i="6" s="1"/>
  <c r="K1447" i="6"/>
  <c r="L1447" i="6" s="1"/>
  <c r="K1188" i="6"/>
  <c r="L1188" i="6" s="1"/>
  <c r="K1333" i="6"/>
  <c r="L1333" i="6" s="1"/>
  <c r="K1307" i="6"/>
  <c r="L1307" i="6" s="1"/>
  <c r="K227" i="6"/>
  <c r="L227" i="6" s="1"/>
  <c r="K1891" i="6"/>
  <c r="L1891" i="6" s="1"/>
  <c r="K1373" i="6"/>
  <c r="L1373" i="6" s="1"/>
  <c r="K870" i="6"/>
  <c r="L870" i="6" s="1"/>
  <c r="K947" i="6"/>
  <c r="L947" i="6" s="1"/>
  <c r="K535" i="6"/>
  <c r="L535" i="6" s="1"/>
  <c r="K1139" i="6"/>
  <c r="L1139" i="6" s="1"/>
  <c r="K1775" i="6"/>
  <c r="L1775" i="6" s="1"/>
  <c r="K935" i="6"/>
  <c r="L935" i="6" s="1"/>
  <c r="K275" i="6"/>
  <c r="L275" i="6" s="1"/>
  <c r="K1714" i="6"/>
  <c r="L1714" i="6" s="1"/>
  <c r="K933" i="6"/>
  <c r="L933" i="6" s="1"/>
  <c r="K1252" i="6"/>
  <c r="L1252" i="6" s="1"/>
  <c r="K852" i="6"/>
  <c r="L852" i="6" s="1"/>
  <c r="K529" i="6"/>
  <c r="L529" i="6" s="1"/>
  <c r="K1400" i="6"/>
  <c r="L1400" i="6" s="1"/>
  <c r="K620" i="6"/>
  <c r="L620" i="6" s="1"/>
  <c r="K140" i="6"/>
  <c r="L140" i="6" s="1"/>
  <c r="K1379" i="6"/>
  <c r="L1379" i="6" s="1"/>
  <c r="K819" i="6"/>
  <c r="L819" i="6" s="1"/>
  <c r="K339" i="6"/>
  <c r="L339" i="6" s="1"/>
  <c r="K1938" i="6"/>
  <c r="L1938" i="6" s="1"/>
  <c r="K1398" i="6"/>
  <c r="L1398" i="6" s="1"/>
  <c r="K698" i="6"/>
  <c r="L698" i="6" s="1"/>
  <c r="K1517" i="6"/>
  <c r="L1517" i="6" s="1"/>
  <c r="K1915" i="6"/>
  <c r="L1915" i="6" s="1"/>
  <c r="K75" i="6"/>
  <c r="L75" i="6" s="1"/>
  <c r="K1253" i="6"/>
  <c r="L1253" i="6" s="1"/>
  <c r="K353" i="6"/>
  <c r="L353" i="6" s="1"/>
  <c r="K1211" i="6"/>
  <c r="L1211" i="6" s="1"/>
  <c r="K531" i="6"/>
  <c r="L531" i="6" s="1"/>
  <c r="K1117" i="6"/>
  <c r="L1117" i="6" s="1"/>
  <c r="K597" i="6"/>
  <c r="L597" i="6" s="1"/>
  <c r="K1851" i="6"/>
  <c r="L1851" i="6" s="1"/>
  <c r="K1656" i="6"/>
  <c r="L1656" i="6" s="1"/>
  <c r="K1416" i="6"/>
  <c r="L1416" i="6" s="1"/>
  <c r="K1111" i="6"/>
  <c r="L1111" i="6" s="1"/>
  <c r="K772" i="6"/>
  <c r="L772" i="6" s="1"/>
  <c r="K76" i="6"/>
  <c r="L76" i="6" s="1"/>
  <c r="K1527" i="6"/>
  <c r="L1527" i="6" s="1"/>
  <c r="K1772" i="6"/>
  <c r="L1772" i="6" s="1"/>
  <c r="K112" i="6"/>
  <c r="L112" i="6" s="1"/>
  <c r="K794" i="6"/>
  <c r="L794" i="6" s="1"/>
  <c r="K274" i="6"/>
  <c r="L274" i="6" s="1"/>
  <c r="K1770" i="6"/>
  <c r="L1770" i="6" s="1"/>
  <c r="K1310" i="6"/>
  <c r="L1310" i="6" s="1"/>
  <c r="K1010" i="6"/>
  <c r="L1010" i="6" s="1"/>
  <c r="K630" i="6"/>
  <c r="L630" i="6" s="1"/>
  <c r="K270" i="6"/>
  <c r="L270" i="6" s="1"/>
  <c r="K488" i="6"/>
  <c r="L488" i="6" s="1"/>
  <c r="K546" i="6"/>
  <c r="L546" i="6" s="1"/>
  <c r="K425" i="6"/>
  <c r="L425" i="6" s="1"/>
  <c r="K1439" i="6"/>
  <c r="L1439" i="6" s="1"/>
  <c r="K1269" i="6"/>
  <c r="L1269" i="6" s="1"/>
  <c r="K1551" i="6"/>
  <c r="L1551" i="6" s="1"/>
  <c r="K1916" i="6"/>
  <c r="L1916" i="6" s="1"/>
  <c r="K1247" i="6"/>
  <c r="L1247" i="6" s="1"/>
  <c r="K627" i="6"/>
  <c r="L627" i="6" s="1"/>
  <c r="K207" i="6"/>
  <c r="L207" i="6" s="1"/>
  <c r="K1973" i="6"/>
  <c r="L1973" i="6" s="1"/>
  <c r="K445" i="6"/>
  <c r="L445" i="6" s="1"/>
  <c r="K1660" i="6"/>
  <c r="L1660" i="6" s="1"/>
  <c r="K246" i="6"/>
  <c r="L246" i="6" s="1"/>
  <c r="K1755" i="6"/>
  <c r="L1755" i="6" s="1"/>
  <c r="K815" i="6"/>
  <c r="L815" i="6" s="1"/>
  <c r="K255" i="6"/>
  <c r="L255" i="6" s="1"/>
  <c r="K1972" i="6"/>
  <c r="L1972" i="6" s="1"/>
  <c r="K1232" i="6"/>
  <c r="L1232" i="6" s="1"/>
  <c r="K832" i="6"/>
  <c r="L832" i="6" s="1"/>
  <c r="K509" i="6"/>
  <c r="L509" i="6" s="1"/>
  <c r="K1825" i="6"/>
  <c r="L1825" i="6" s="1"/>
  <c r="K1581" i="6"/>
  <c r="L1581" i="6" s="1"/>
  <c r="K580" i="6"/>
  <c r="L580" i="6" s="1"/>
  <c r="K120" i="6"/>
  <c r="L120" i="6" s="1"/>
  <c r="K1879" i="6"/>
  <c r="L1879" i="6" s="1"/>
  <c r="K1339" i="6"/>
  <c r="L1339" i="6" s="1"/>
  <c r="K779" i="6"/>
  <c r="L779" i="6" s="1"/>
  <c r="K319" i="6"/>
  <c r="L319" i="6" s="1"/>
  <c r="K1858" i="6"/>
  <c r="L1858" i="6" s="1"/>
  <c r="K1358" i="6"/>
  <c r="L1358" i="6" s="1"/>
  <c r="K678" i="6"/>
  <c r="L678" i="6" s="1"/>
  <c r="K1477" i="6"/>
  <c r="L1477" i="6" s="1"/>
  <c r="K1875" i="6"/>
  <c r="L1875" i="6" s="1"/>
  <c r="K55" i="6"/>
  <c r="L55" i="6" s="1"/>
  <c r="K1151" i="6"/>
  <c r="L1151" i="6" s="1"/>
  <c r="K71" i="6"/>
  <c r="L71" i="6" s="1"/>
  <c r="K1097" i="6"/>
  <c r="L1097" i="6" s="1"/>
  <c r="K577" i="6"/>
  <c r="L577" i="6" s="1"/>
  <c r="K157" i="6"/>
  <c r="L157" i="6" s="1"/>
  <c r="K132" i="6"/>
  <c r="L132" i="6" s="1"/>
  <c r="K1832" i="6"/>
  <c r="L1832" i="6" s="1"/>
  <c r="K1635" i="6"/>
  <c r="L1635" i="6" s="1"/>
  <c r="K1415" i="6"/>
  <c r="L1415" i="6" s="1"/>
  <c r="K1116" i="6"/>
  <c r="L1116" i="6" s="1"/>
  <c r="K776" i="6"/>
  <c r="L776" i="6" s="1"/>
  <c r="K36" i="6"/>
  <c r="L36" i="6" s="1"/>
  <c r="K1469" i="6"/>
  <c r="L1469" i="6" s="1"/>
  <c r="K1627" i="6"/>
  <c r="L1627" i="6" s="1"/>
  <c r="K413" i="6"/>
  <c r="L413" i="6" s="1"/>
  <c r="K1652" i="6"/>
  <c r="L1652" i="6" s="1"/>
  <c r="K92" i="6"/>
  <c r="L92" i="6" s="1"/>
  <c r="K774" i="6"/>
  <c r="L774" i="6" s="1"/>
  <c r="K234" i="6"/>
  <c r="L234" i="6" s="1"/>
  <c r="K1730" i="6"/>
  <c r="L1730" i="6" s="1"/>
  <c r="K1290" i="6"/>
  <c r="L1290" i="6" s="1"/>
  <c r="K990" i="6"/>
  <c r="L990" i="6" s="1"/>
  <c r="K610" i="6"/>
  <c r="L610" i="6" s="1"/>
  <c r="K250" i="6"/>
  <c r="L250" i="6" s="1"/>
  <c r="K448" i="6"/>
  <c r="L448" i="6" s="1"/>
  <c r="K446" i="6"/>
  <c r="L446" i="6" s="1"/>
  <c r="K345" i="6"/>
  <c r="L345" i="6" s="1"/>
  <c r="K1550" i="6"/>
  <c r="L1550" i="6" s="1"/>
  <c r="K1249" i="6"/>
  <c r="L1249" i="6" s="1"/>
  <c r="K1167" i="6"/>
  <c r="L1167" i="6" s="1"/>
  <c r="K607" i="6"/>
  <c r="L607" i="6" s="1"/>
  <c r="K187" i="6"/>
  <c r="L187" i="6" s="1"/>
  <c r="K1394" i="6"/>
  <c r="L1394" i="6" s="1"/>
  <c r="K616" i="6"/>
  <c r="L616" i="6" s="1"/>
  <c r="K1018" i="6"/>
  <c r="L1018" i="6" s="1"/>
  <c r="K1281" i="6"/>
  <c r="L1281" i="6" s="1"/>
  <c r="K596" i="6"/>
  <c r="L596" i="6" s="1"/>
  <c r="K186" i="6"/>
  <c r="L186" i="6" s="1"/>
  <c r="K470" i="6"/>
  <c r="L470" i="6" s="1"/>
  <c r="K1655" i="6"/>
  <c r="L1655" i="6" s="1"/>
  <c r="K775" i="6"/>
  <c r="L775" i="6" s="1"/>
  <c r="K235" i="6"/>
  <c r="L235" i="6" s="1"/>
  <c r="K1953" i="6"/>
  <c r="L1953" i="6" s="1"/>
  <c r="K853" i="6"/>
  <c r="L853" i="6" s="1"/>
  <c r="K1932" i="6"/>
  <c r="L1932" i="6" s="1"/>
  <c r="K1212" i="6"/>
  <c r="L1212" i="6" s="1"/>
  <c r="K812" i="6"/>
  <c r="L812" i="6" s="1"/>
  <c r="K1449" i="6"/>
  <c r="L1449" i="6" s="1"/>
  <c r="K489" i="6"/>
  <c r="L489" i="6" s="1"/>
  <c r="K1227" i="6"/>
  <c r="L1227" i="6" s="1"/>
  <c r="K1785" i="6"/>
  <c r="L1785" i="6" s="1"/>
  <c r="K1561" i="6"/>
  <c r="L1561" i="6" s="1"/>
  <c r="K1820" i="6"/>
  <c r="L1820" i="6" s="1"/>
  <c r="K540" i="6"/>
  <c r="L540" i="6" s="1"/>
  <c r="K100" i="6"/>
  <c r="L100" i="6" s="1"/>
  <c r="K1859" i="6"/>
  <c r="L1859" i="6" s="1"/>
  <c r="K1319" i="6"/>
  <c r="L1319" i="6" s="1"/>
  <c r="K759" i="6"/>
  <c r="L759" i="6" s="1"/>
  <c r="K279" i="6"/>
  <c r="L279" i="6" s="1"/>
  <c r="K1338" i="6"/>
  <c r="L1338" i="6" s="1"/>
  <c r="K658" i="6"/>
  <c r="L658" i="6" s="1"/>
  <c r="K1457" i="6"/>
  <c r="L1457" i="6" s="1"/>
  <c r="K1835" i="6"/>
  <c r="L1835" i="6" s="1"/>
  <c r="K35" i="6"/>
  <c r="L35" i="6" s="1"/>
  <c r="K1013" i="6"/>
  <c r="L1013" i="6" s="1"/>
  <c r="K313" i="6"/>
  <c r="L313" i="6" s="1"/>
  <c r="K1071" i="6"/>
  <c r="L1071" i="6" s="1"/>
  <c r="K491" i="6"/>
  <c r="L491" i="6" s="1"/>
  <c r="K51" i="6"/>
  <c r="L51" i="6" s="1"/>
  <c r="K1057" i="6"/>
  <c r="L1057" i="6" s="1"/>
  <c r="K537" i="6"/>
  <c r="L537" i="6" s="1"/>
  <c r="K1831" i="6"/>
  <c r="L1831" i="6" s="1"/>
  <c r="K1396" i="6"/>
  <c r="L1396" i="6" s="1"/>
  <c r="K756" i="6"/>
  <c r="L756" i="6" s="1"/>
  <c r="K52" i="6"/>
  <c r="L52" i="6" s="1"/>
  <c r="K1750" i="6"/>
  <c r="L1750" i="6" s="1"/>
  <c r="K173" i="6"/>
  <c r="L173" i="6" s="1"/>
  <c r="K1572" i="6"/>
  <c r="L1572" i="6" s="1"/>
  <c r="K72" i="6"/>
  <c r="L72" i="6" s="1"/>
  <c r="K754" i="6"/>
  <c r="L754" i="6" s="1"/>
  <c r="K214" i="6"/>
  <c r="L214" i="6" s="1"/>
  <c r="K1710" i="6"/>
  <c r="L1710" i="6" s="1"/>
  <c r="K1270" i="6"/>
  <c r="L1270" i="6" s="1"/>
  <c r="K970" i="6"/>
  <c r="L970" i="6" s="1"/>
  <c r="K589" i="6"/>
  <c r="L589" i="6" s="1"/>
  <c r="K209" i="6"/>
  <c r="L209" i="6" s="1"/>
  <c r="K388" i="6"/>
  <c r="L388" i="6" s="1"/>
  <c r="K386" i="6"/>
  <c r="L386" i="6" s="1"/>
  <c r="K225" i="6"/>
  <c r="L225" i="6" s="1"/>
  <c r="K153" i="6"/>
  <c r="L153" i="6" s="1"/>
  <c r="K1674" i="6"/>
  <c r="L1674" i="6" s="1"/>
  <c r="K1149" i="6"/>
  <c r="L1149" i="6" s="1"/>
  <c r="K1790" i="6"/>
  <c r="L1790" i="6" s="1"/>
  <c r="K605" i="6"/>
  <c r="L605" i="6" s="1"/>
  <c r="K1107" i="6"/>
  <c r="L1107" i="6" s="1"/>
  <c r="K587" i="6"/>
  <c r="L587" i="6" s="1"/>
  <c r="K167" i="6"/>
  <c r="L167" i="6" s="1"/>
  <c r="R16" i="6" l="1"/>
  <c r="Q16" i="6"/>
  <c r="P16" i="6"/>
  <c r="S16" i="6"/>
  <c r="T16" i="6"/>
  <c r="O17" i="6" l="1"/>
  <c r="R17" i="6" l="1"/>
  <c r="Q17" i="6"/>
  <c r="P17" i="6"/>
  <c r="O18" i="6" s="1"/>
  <c r="T17" i="6"/>
  <c r="S17" i="6"/>
  <c r="R18" i="6" l="1"/>
  <c r="Q18" i="6"/>
  <c r="P18" i="6"/>
  <c r="O19" i="6" s="1"/>
  <c r="T18" i="6"/>
  <c r="S18" i="6"/>
  <c r="R19" i="6" l="1"/>
  <c r="Q19" i="6"/>
  <c r="P19" i="6"/>
  <c r="O20" i="6" s="1"/>
  <c r="T19" i="6"/>
  <c r="S19" i="6"/>
  <c r="S20" i="6" s="1"/>
  <c r="R20" i="6" l="1"/>
  <c r="Q20" i="6"/>
  <c r="P20" i="6"/>
  <c r="O21" i="6" s="1"/>
  <c r="T20" i="6"/>
  <c r="R21" i="6" l="1"/>
  <c r="Q21" i="6"/>
  <c r="P21" i="6"/>
  <c r="O22" i="6" s="1"/>
  <c r="T21" i="6"/>
  <c r="S21" i="6"/>
  <c r="S22" i="6" s="1"/>
  <c r="R22" i="6" l="1"/>
  <c r="Q22" i="6"/>
  <c r="P22" i="6"/>
  <c r="O23" i="6" s="1"/>
  <c r="T22" i="6"/>
  <c r="Q23" i="6" l="1"/>
  <c r="R23" i="6"/>
  <c r="P23" i="6"/>
  <c r="O24" i="6" s="1"/>
  <c r="T23" i="6"/>
  <c r="S23" i="6"/>
  <c r="S24" i="6" s="1"/>
  <c r="R24" i="6" l="1"/>
  <c r="Q24" i="6"/>
  <c r="P24" i="6"/>
  <c r="O25" i="6" s="1"/>
  <c r="T24" i="6"/>
  <c r="R25" i="6" l="1"/>
  <c r="Q25" i="6"/>
  <c r="P25" i="6"/>
  <c r="O26" i="6" s="1"/>
  <c r="T26" i="6" s="1"/>
  <c r="S25" i="6"/>
  <c r="S26" i="6" l="1"/>
  <c r="Q26" i="6"/>
  <c r="R26" i="6"/>
  <c r="P26" i="6"/>
  <c r="O27" i="6" s="1"/>
  <c r="T27" i="6" s="1"/>
  <c r="R27" i="6" l="1"/>
  <c r="Q27" i="6"/>
  <c r="P27" i="6"/>
  <c r="O28" i="6" s="1"/>
  <c r="T28" i="6" s="1"/>
  <c r="S27" i="6"/>
  <c r="S28" i="6" l="1"/>
  <c r="Q28" i="6"/>
  <c r="R28" i="6"/>
  <c r="P28" i="6"/>
  <c r="O29" i="6" s="1"/>
  <c r="T29" i="6" s="1"/>
  <c r="R29" i="6" l="1"/>
  <c r="Q29" i="6"/>
  <c r="P29" i="6"/>
  <c r="O30" i="6" s="1"/>
  <c r="T30" i="6" s="1"/>
  <c r="S29" i="6"/>
  <c r="S30" i="6" l="1"/>
  <c r="R30" i="6"/>
  <c r="Q30" i="6"/>
  <c r="P30" i="6"/>
  <c r="O31" i="6" s="1"/>
  <c r="T31" i="6" s="1"/>
  <c r="R31" i="6" l="1"/>
  <c r="Q31" i="6"/>
  <c r="P31" i="6"/>
  <c r="O32" i="6" s="1"/>
  <c r="T32" i="6" s="1"/>
  <c r="S31" i="6"/>
  <c r="S32" i="6" s="1"/>
  <c r="Q32" i="6" l="1"/>
  <c r="R32" i="6"/>
  <c r="P32" i="6"/>
  <c r="O33" i="6" s="1"/>
  <c r="T33" i="6" s="1"/>
  <c r="R33" i="6" l="1"/>
  <c r="Q33" i="6"/>
  <c r="P33" i="6"/>
  <c r="O34" i="6" s="1"/>
  <c r="T34" i="6" s="1"/>
  <c r="S33" i="6"/>
  <c r="S34" i="6" s="1"/>
  <c r="R34" i="6" l="1"/>
  <c r="Q34" i="6"/>
  <c r="P34" i="6"/>
  <c r="O35" i="6" s="1"/>
  <c r="T35" i="6" s="1"/>
  <c r="Q35" i="6" l="1"/>
  <c r="R35" i="6"/>
  <c r="P35" i="6"/>
  <c r="O36" i="6" s="1"/>
  <c r="T36" i="6" s="1"/>
  <c r="S35" i="6"/>
  <c r="S36" i="6" s="1"/>
  <c r="R36" i="6" l="1"/>
  <c r="Q36" i="6"/>
  <c r="P36" i="6"/>
  <c r="O37" i="6" s="1"/>
  <c r="T37" i="6" s="1"/>
  <c r="R37" i="6" l="1"/>
  <c r="Q37" i="6"/>
  <c r="P37" i="6"/>
  <c r="O38" i="6" s="1"/>
  <c r="T38" i="6" s="1"/>
  <c r="S37" i="6"/>
  <c r="S38" i="6" s="1"/>
  <c r="R38" i="6" l="1"/>
  <c r="Q38" i="6"/>
  <c r="P38" i="6"/>
  <c r="O39" i="6" s="1"/>
  <c r="Q39" i="6" l="1"/>
  <c r="R39" i="6"/>
  <c r="P39" i="6"/>
  <c r="O40" i="6" s="1"/>
  <c r="T40" i="6" s="1"/>
  <c r="S39" i="6"/>
  <c r="T39" i="6" s="1"/>
  <c r="R40" i="6" l="1"/>
  <c r="Q40" i="6"/>
  <c r="S40" i="6"/>
  <c r="P40" i="6"/>
  <c r="O41" i="6" s="1"/>
  <c r="T41" i="6" s="1"/>
  <c r="R41" i="6" l="1"/>
  <c r="Q41" i="6"/>
  <c r="P41" i="6"/>
  <c r="O42" i="6" s="1"/>
  <c r="T42" i="6" s="1"/>
  <c r="S41" i="6"/>
  <c r="S42" i="6" s="1"/>
  <c r="R42" i="6" l="1"/>
  <c r="Q42" i="6"/>
  <c r="P42" i="6"/>
  <c r="O43" i="6" s="1"/>
  <c r="T43" i="6" s="1"/>
  <c r="Q43" i="6" l="1"/>
  <c r="R43" i="6"/>
  <c r="P43" i="6"/>
  <c r="O44" i="6" s="1"/>
  <c r="T44" i="6" s="1"/>
  <c r="S43" i="6"/>
  <c r="S44" i="6" s="1"/>
  <c r="R44" i="6" l="1"/>
  <c r="Q44" i="6"/>
  <c r="P44" i="6"/>
  <c r="O45" i="6" s="1"/>
  <c r="T45" i="6" s="1"/>
  <c r="R45" i="6" l="1"/>
  <c r="Q45" i="6"/>
  <c r="P45" i="6"/>
  <c r="O46" i="6" s="1"/>
  <c r="T46" i="6" s="1"/>
  <c r="S45" i="6"/>
  <c r="S46" i="6" s="1"/>
  <c r="R46" i="6" l="1"/>
  <c r="Q46" i="6"/>
  <c r="P46" i="6"/>
  <c r="O47" i="6" s="1"/>
  <c r="T47" i="6" s="1"/>
  <c r="Q47" i="6" l="1"/>
  <c r="R47" i="6"/>
  <c r="P47" i="6"/>
  <c r="O48" i="6" s="1"/>
  <c r="T48" i="6" s="1"/>
  <c r="S47" i="6"/>
  <c r="S48" i="6" s="1"/>
  <c r="R48" i="6" l="1"/>
  <c r="Q48" i="6"/>
  <c r="P48" i="6"/>
  <c r="O49" i="6" s="1"/>
  <c r="T49" i="6" s="1"/>
  <c r="R49" i="6" l="1"/>
  <c r="Q49" i="6"/>
  <c r="P49" i="6"/>
  <c r="O50" i="6" s="1"/>
  <c r="T50" i="6" s="1"/>
  <c r="S49" i="6"/>
  <c r="S50" i="6" s="1"/>
  <c r="R50" i="6" l="1"/>
  <c r="Q50" i="6"/>
  <c r="P50" i="6"/>
  <c r="O51" i="6" s="1"/>
  <c r="T51" i="6" s="1"/>
  <c r="R51" i="6" l="1"/>
  <c r="Q51" i="6"/>
  <c r="P51" i="6"/>
  <c r="O52" i="6" s="1"/>
  <c r="T52" i="6" s="1"/>
  <c r="S51" i="6"/>
  <c r="S52" i="6" s="1"/>
  <c r="Q52" i="6" l="1"/>
  <c r="R52" i="6"/>
  <c r="P52" i="6"/>
  <c r="O53" i="6" s="1"/>
  <c r="T53" i="6" s="1"/>
  <c r="R53" i="6" l="1"/>
  <c r="Q53" i="6"/>
  <c r="P53" i="6"/>
  <c r="O54" i="6" s="1"/>
  <c r="T54" i="6" s="1"/>
  <c r="S53" i="6"/>
  <c r="S54" i="6" s="1"/>
  <c r="R54" i="6" l="1"/>
  <c r="Q54" i="6"/>
  <c r="P54" i="6"/>
  <c r="O55" i="6" s="1"/>
  <c r="T55" i="6" s="1"/>
  <c r="R55" i="6" l="1"/>
  <c r="Q55" i="6"/>
  <c r="P55" i="6"/>
  <c r="O56" i="6" s="1"/>
  <c r="T56" i="6" s="1"/>
  <c r="S55" i="6"/>
  <c r="S56" i="6" s="1"/>
  <c r="R56" i="6" l="1"/>
  <c r="Q56" i="6"/>
  <c r="P56" i="6"/>
  <c r="O57" i="6" s="1"/>
  <c r="T57" i="6" s="1"/>
  <c r="Q57" i="6" l="1"/>
  <c r="R57" i="6"/>
  <c r="P57" i="6"/>
  <c r="O58" i="6" s="1"/>
  <c r="T58" i="6" s="1"/>
  <c r="S57" i="6"/>
  <c r="S58" i="6" s="1"/>
  <c r="R58" i="6" l="1"/>
  <c r="Q58" i="6"/>
  <c r="P58" i="6"/>
  <c r="O59" i="6" s="1"/>
  <c r="T59" i="6" s="1"/>
  <c r="Q59" i="6" l="1"/>
  <c r="R59" i="6"/>
  <c r="P59" i="6"/>
  <c r="O60" i="6" s="1"/>
  <c r="T60" i="6" s="1"/>
  <c r="S59" i="6"/>
  <c r="S60" i="6" s="1"/>
  <c r="R60" i="6" l="1"/>
  <c r="Q60" i="6"/>
  <c r="P60" i="6"/>
  <c r="O61" i="6" s="1"/>
  <c r="T61" i="6" s="1"/>
  <c r="R61" i="6" l="1"/>
  <c r="Q61" i="6"/>
  <c r="P61" i="6"/>
  <c r="O62" i="6" s="1"/>
  <c r="T62" i="6" s="1"/>
  <c r="S61" i="6"/>
  <c r="R62" i="6" l="1"/>
  <c r="Q62" i="6"/>
  <c r="P62" i="6"/>
  <c r="O63" i="6" s="1"/>
  <c r="T63" i="6" s="1"/>
  <c r="S62" i="6"/>
  <c r="S63" i="6" s="1"/>
  <c r="R63" i="6" l="1"/>
  <c r="Q63" i="6"/>
  <c r="P63" i="6"/>
  <c r="O64" i="6" s="1"/>
  <c r="T64" i="6" s="1"/>
  <c r="R64" i="6" l="1"/>
  <c r="Q64" i="6"/>
  <c r="P64" i="6"/>
  <c r="O65" i="6" s="1"/>
  <c r="T65" i="6" s="1"/>
  <c r="S64" i="6"/>
  <c r="S65" i="6" s="1"/>
  <c r="Q65" i="6" l="1"/>
  <c r="R65" i="6"/>
  <c r="P65" i="6"/>
  <c r="O66" i="6" s="1"/>
  <c r="T66" i="6" s="1"/>
  <c r="Q66" i="6" l="1"/>
  <c r="R66" i="6"/>
  <c r="P66" i="6"/>
  <c r="O67" i="6" s="1"/>
  <c r="T67" i="6" s="1"/>
  <c r="S66" i="6"/>
  <c r="S67" i="6" s="1"/>
  <c r="Q67" i="6" l="1"/>
  <c r="R67" i="6"/>
  <c r="P67" i="6"/>
  <c r="O68" i="6" s="1"/>
  <c r="T68" i="6" s="1"/>
  <c r="R68" i="6" l="1"/>
  <c r="Q68" i="6"/>
  <c r="P68" i="6"/>
  <c r="O69" i="6" s="1"/>
  <c r="T69" i="6" s="1"/>
  <c r="S68" i="6"/>
  <c r="S69" i="6" s="1"/>
  <c r="Q69" i="6" l="1"/>
  <c r="R69" i="6"/>
  <c r="P69" i="6"/>
  <c r="O70" i="6" s="1"/>
  <c r="T70" i="6" s="1"/>
  <c r="R70" i="6" l="1"/>
  <c r="Q70" i="6"/>
  <c r="P70" i="6"/>
  <c r="O71" i="6" s="1"/>
  <c r="T71" i="6" s="1"/>
  <c r="S70" i="6"/>
  <c r="S71" i="6" l="1"/>
  <c r="Q71" i="6"/>
  <c r="R71" i="6"/>
  <c r="P71" i="6"/>
  <c r="O72" i="6" s="1"/>
  <c r="T72" i="6" s="1"/>
  <c r="R72" i="6" l="1"/>
  <c r="Q72" i="6"/>
  <c r="P72" i="6"/>
  <c r="O73" i="6" s="1"/>
  <c r="T73" i="6" s="1"/>
  <c r="S72" i="6"/>
  <c r="S73" i="6" s="1"/>
  <c r="R73" i="6" l="1"/>
  <c r="Q73" i="6"/>
  <c r="P73" i="6"/>
  <c r="O74" i="6" s="1"/>
  <c r="T74" i="6" s="1"/>
  <c r="R74" i="6" l="1"/>
  <c r="Q74" i="6"/>
  <c r="P74" i="6"/>
  <c r="O75" i="6" s="1"/>
  <c r="T75" i="6" s="1"/>
  <c r="S74" i="6"/>
  <c r="S75" i="6" l="1"/>
  <c r="R75" i="6"/>
  <c r="Q75" i="6"/>
  <c r="P75" i="6"/>
  <c r="O76" i="6" s="1"/>
  <c r="T76" i="6" s="1"/>
  <c r="R76" i="6" l="1"/>
  <c r="Q76" i="6"/>
  <c r="P76" i="6"/>
  <c r="O77" i="6" s="1"/>
  <c r="T77" i="6" s="1"/>
  <c r="S76" i="6"/>
  <c r="S77" i="6" l="1"/>
  <c r="R77" i="6"/>
  <c r="Q77" i="6"/>
  <c r="P77" i="6"/>
  <c r="O78" i="6" s="1"/>
  <c r="T78" i="6" s="1"/>
  <c r="R78" i="6" l="1"/>
  <c r="Q78" i="6"/>
  <c r="P78" i="6"/>
  <c r="O79" i="6" s="1"/>
  <c r="T79" i="6" s="1"/>
  <c r="S78" i="6"/>
  <c r="S79" i="6" s="1"/>
  <c r="R79" i="6" l="1"/>
  <c r="Q79" i="6"/>
  <c r="P79" i="6"/>
  <c r="O80" i="6" s="1"/>
  <c r="T80" i="6" s="1"/>
  <c r="R80" i="6" l="1"/>
  <c r="Q80" i="6"/>
  <c r="P80" i="6"/>
  <c r="O81" i="6" s="1"/>
  <c r="T81" i="6" s="1"/>
  <c r="S80" i="6"/>
  <c r="S81" i="6" s="1"/>
  <c r="R81" i="6" l="1"/>
  <c r="Q81" i="6"/>
  <c r="P81" i="6"/>
  <c r="O82" i="6" s="1"/>
  <c r="T82" i="6" s="1"/>
  <c r="R82" i="6" l="1"/>
  <c r="Q82" i="6"/>
  <c r="P82" i="6"/>
  <c r="O83" i="6" s="1"/>
  <c r="S82" i="6"/>
  <c r="R83" i="6" l="1"/>
  <c r="Q83" i="6"/>
  <c r="P83" i="6"/>
  <c r="O84" i="6" s="1"/>
  <c r="T84" i="6" s="1"/>
  <c r="S83" i="6"/>
  <c r="T83" i="6" s="1"/>
  <c r="Q84" i="6" l="1"/>
  <c r="R84" i="6"/>
  <c r="P84" i="6"/>
  <c r="O85" i="6" s="1"/>
  <c r="T85" i="6" s="1"/>
  <c r="S84" i="6"/>
  <c r="R85" i="6" l="1"/>
  <c r="Q85" i="6"/>
  <c r="P85" i="6"/>
  <c r="O86" i="6" s="1"/>
  <c r="T86" i="6" s="1"/>
  <c r="S85" i="6"/>
  <c r="S86" i="6" s="1"/>
  <c r="R86" i="6" l="1"/>
  <c r="Q86" i="6"/>
  <c r="P86" i="6"/>
  <c r="O87" i="6" s="1"/>
  <c r="T87" i="6" s="1"/>
  <c r="R87" i="6" l="1"/>
  <c r="Q87" i="6"/>
  <c r="P87" i="6"/>
  <c r="O88" i="6" s="1"/>
  <c r="T88" i="6" s="1"/>
  <c r="S87" i="6"/>
  <c r="R88" i="6" l="1"/>
  <c r="Q88" i="6"/>
  <c r="P88" i="6"/>
  <c r="O89" i="6" s="1"/>
  <c r="T89" i="6" s="1"/>
  <c r="S88" i="6"/>
  <c r="S89" i="6" s="1"/>
  <c r="R89" i="6" l="1"/>
  <c r="Q89" i="6"/>
  <c r="P89" i="6"/>
  <c r="O90" i="6" s="1"/>
  <c r="T90" i="6" s="1"/>
  <c r="Q90" i="6" l="1"/>
  <c r="R90" i="6"/>
  <c r="P90" i="6"/>
  <c r="O91" i="6" s="1"/>
  <c r="T91" i="6" s="1"/>
  <c r="S90" i="6"/>
  <c r="R91" i="6" l="1"/>
  <c r="Q91" i="6"/>
  <c r="P91" i="6"/>
  <c r="O92" i="6" s="1"/>
  <c r="T92" i="6" s="1"/>
  <c r="S91" i="6"/>
  <c r="S92" i="6" s="1"/>
  <c r="Q92" i="6" l="1"/>
  <c r="R92" i="6"/>
  <c r="P92" i="6"/>
  <c r="O93" i="6" s="1"/>
  <c r="T93" i="6" s="1"/>
  <c r="R93" i="6" l="1"/>
  <c r="Q93" i="6"/>
  <c r="P93" i="6"/>
  <c r="O94" i="6" s="1"/>
  <c r="T94" i="6" s="1"/>
  <c r="S93" i="6"/>
  <c r="S94" i="6" s="1"/>
  <c r="R94" i="6" l="1"/>
  <c r="Q94" i="6"/>
  <c r="P94" i="6"/>
  <c r="O95" i="6" s="1"/>
  <c r="T95" i="6" s="1"/>
  <c r="Q95" i="6" l="1"/>
  <c r="R95" i="6"/>
  <c r="P95" i="6"/>
  <c r="O96" i="6" s="1"/>
  <c r="T96" i="6" s="1"/>
  <c r="S95" i="6"/>
  <c r="S96" i="6" s="1"/>
  <c r="R96" i="6" l="1"/>
  <c r="Q96" i="6"/>
  <c r="P96" i="6"/>
  <c r="O97" i="6" s="1"/>
  <c r="T97" i="6" s="1"/>
  <c r="R97" i="6" l="1"/>
  <c r="Q97" i="6"/>
  <c r="P97" i="6"/>
  <c r="O98" i="6" s="1"/>
  <c r="T98" i="6" s="1"/>
  <c r="S97" i="6"/>
  <c r="S98" i="6" s="1"/>
  <c r="R98" i="6" l="1"/>
  <c r="Q98" i="6"/>
  <c r="P98" i="6"/>
  <c r="O99" i="6" s="1"/>
  <c r="T99" i="6" s="1"/>
  <c r="R99" i="6" l="1"/>
  <c r="Q99" i="6"/>
  <c r="P99" i="6"/>
  <c r="O100" i="6" s="1"/>
  <c r="T100" i="6" s="1"/>
  <c r="S99" i="6"/>
  <c r="S100" i="6" s="1"/>
  <c r="R100" i="6" l="1"/>
  <c r="Q100" i="6"/>
  <c r="P100" i="6"/>
  <c r="O101" i="6" s="1"/>
  <c r="T101" i="6" s="1"/>
  <c r="R101" i="6" l="1"/>
  <c r="Q101" i="6"/>
  <c r="P101" i="6"/>
  <c r="O102" i="6" s="1"/>
  <c r="T102" i="6" s="1"/>
  <c r="S101" i="6"/>
  <c r="S102" i="6" s="1"/>
  <c r="R102" i="6" l="1"/>
  <c r="Q102" i="6"/>
  <c r="P102" i="6"/>
  <c r="O103" i="6" s="1"/>
  <c r="T103" i="6" s="1"/>
  <c r="Q103" i="6" l="1"/>
  <c r="R103" i="6"/>
  <c r="P103" i="6"/>
  <c r="O104" i="6" s="1"/>
  <c r="T104" i="6" s="1"/>
  <c r="S103" i="6"/>
  <c r="S104" i="6" s="1"/>
  <c r="R104" i="6" l="1"/>
  <c r="Q104" i="6"/>
  <c r="P104" i="6"/>
  <c r="O105" i="6" s="1"/>
  <c r="T105" i="6" s="1"/>
  <c r="R105" i="6" l="1"/>
  <c r="Q105" i="6"/>
  <c r="P105" i="6"/>
  <c r="O106" i="6" s="1"/>
  <c r="T106" i="6" s="1"/>
  <c r="S105" i="6"/>
  <c r="S106" i="6" s="1"/>
  <c r="R106" i="6" l="1"/>
  <c r="Q106" i="6"/>
  <c r="P106" i="6"/>
  <c r="O107" i="6" s="1"/>
  <c r="T107" i="6" s="1"/>
  <c r="R107" i="6" l="1"/>
  <c r="Q107" i="6"/>
  <c r="P107" i="6"/>
  <c r="O108" i="6" s="1"/>
  <c r="T108" i="6" s="1"/>
  <c r="S107" i="6"/>
  <c r="S108" i="6" s="1"/>
  <c r="R108" i="6" l="1"/>
  <c r="Q108" i="6"/>
  <c r="P108" i="6"/>
  <c r="O109" i="6" s="1"/>
  <c r="T109" i="6" s="1"/>
  <c r="R109" i="6" l="1"/>
  <c r="Q109" i="6"/>
  <c r="P109" i="6"/>
  <c r="O110" i="6" s="1"/>
  <c r="T110" i="6" s="1"/>
  <c r="S109" i="6"/>
  <c r="S110" i="6" s="1"/>
  <c r="Q110" i="6" l="1"/>
  <c r="R110" i="6"/>
  <c r="P110" i="6"/>
  <c r="O111" i="6" s="1"/>
  <c r="T111" i="6" s="1"/>
  <c r="R111" i="6" l="1"/>
  <c r="Q111" i="6"/>
  <c r="P111" i="6"/>
  <c r="O112" i="6" s="1"/>
  <c r="S111" i="6"/>
  <c r="Q112" i="6" l="1"/>
  <c r="R112" i="6"/>
  <c r="P112" i="6"/>
  <c r="O113" i="6" s="1"/>
  <c r="T113" i="6" s="1"/>
  <c r="S112" i="6"/>
  <c r="T112" i="6" s="1"/>
  <c r="Q113" i="6" l="1"/>
  <c r="R113" i="6"/>
  <c r="P113" i="6"/>
  <c r="O114" i="6" s="1"/>
  <c r="T114" i="6" s="1"/>
  <c r="S113" i="6"/>
  <c r="R114" i="6" l="1"/>
  <c r="Q114" i="6"/>
  <c r="P114" i="6"/>
  <c r="O115" i="6" s="1"/>
  <c r="T115" i="6" s="1"/>
  <c r="S114" i="6"/>
  <c r="R115" i="6" l="1"/>
  <c r="Q115" i="6"/>
  <c r="P115" i="6"/>
  <c r="O116" i="6" s="1"/>
  <c r="T116" i="6" s="1"/>
  <c r="S115" i="6"/>
  <c r="S116" i="6" s="1"/>
  <c r="R116" i="6" l="1"/>
  <c r="Q116" i="6"/>
  <c r="P116" i="6"/>
  <c r="O117" i="6" s="1"/>
  <c r="T117" i="6" s="1"/>
  <c r="R117" i="6" l="1"/>
  <c r="Q117" i="6"/>
  <c r="P117" i="6"/>
  <c r="O118" i="6" s="1"/>
  <c r="T118" i="6" s="1"/>
  <c r="S117" i="6"/>
  <c r="S118" i="6" s="1"/>
  <c r="R118" i="6" l="1"/>
  <c r="Q118" i="6"/>
  <c r="P118" i="6"/>
  <c r="O119" i="6" s="1"/>
  <c r="T119" i="6" s="1"/>
  <c r="R119" i="6" l="1"/>
  <c r="Q119" i="6"/>
  <c r="P119" i="6"/>
  <c r="O120" i="6" s="1"/>
  <c r="T120" i="6" s="1"/>
  <c r="S119" i="6"/>
  <c r="S120" i="6" s="1"/>
  <c r="R120" i="6" l="1"/>
  <c r="Q120" i="6"/>
  <c r="P120" i="6"/>
  <c r="O121" i="6" s="1"/>
  <c r="T121" i="6" s="1"/>
  <c r="R121" i="6" l="1"/>
  <c r="Q121" i="6"/>
  <c r="P121" i="6"/>
  <c r="O122" i="6" s="1"/>
  <c r="T122" i="6" s="1"/>
  <c r="S121" i="6"/>
  <c r="S122" i="6" s="1"/>
  <c r="R122" i="6" l="1"/>
  <c r="Q122" i="6"/>
  <c r="P122" i="6"/>
  <c r="O123" i="6" s="1"/>
  <c r="T123" i="6" s="1"/>
  <c r="R123" i="6" l="1"/>
  <c r="Q123" i="6"/>
  <c r="P123" i="6"/>
  <c r="O124" i="6" s="1"/>
  <c r="T124" i="6" s="1"/>
  <c r="S123" i="6"/>
  <c r="S124" i="6" s="1"/>
  <c r="R124" i="6" l="1"/>
  <c r="Q124" i="6"/>
  <c r="P124" i="6"/>
  <c r="O125" i="6" s="1"/>
  <c r="T125" i="6" s="1"/>
  <c r="R125" i="6" l="1"/>
  <c r="Q125" i="6"/>
  <c r="P125" i="6"/>
  <c r="O126" i="6" s="1"/>
  <c r="T126" i="6" s="1"/>
  <c r="S125" i="6"/>
  <c r="S126" i="6" s="1"/>
  <c r="R126" i="6" l="1"/>
  <c r="Q126" i="6"/>
  <c r="P126" i="6"/>
  <c r="O127" i="6" s="1"/>
  <c r="T127" i="6" s="1"/>
  <c r="R127" i="6" l="1"/>
  <c r="Q127" i="6"/>
  <c r="P127" i="6"/>
  <c r="O128" i="6" s="1"/>
  <c r="T128" i="6" s="1"/>
  <c r="S127" i="6"/>
  <c r="S128" i="6" s="1"/>
  <c r="R128" i="6" l="1"/>
  <c r="Q128" i="6"/>
  <c r="P128" i="6"/>
  <c r="O129" i="6" s="1"/>
  <c r="T129" i="6" s="1"/>
  <c r="R129" i="6" l="1"/>
  <c r="Q129" i="6"/>
  <c r="P129" i="6"/>
  <c r="O130" i="6" s="1"/>
  <c r="T130" i="6" s="1"/>
  <c r="S129" i="6"/>
  <c r="S130" i="6" s="1"/>
  <c r="R130" i="6" l="1"/>
  <c r="Q130" i="6"/>
  <c r="P130" i="6"/>
  <c r="O131" i="6" s="1"/>
  <c r="T131" i="6" s="1"/>
  <c r="R131" i="6" l="1"/>
  <c r="Q131" i="6"/>
  <c r="P131" i="6"/>
  <c r="O132" i="6" s="1"/>
  <c r="T132" i="6" s="1"/>
  <c r="S131" i="6"/>
  <c r="S132" i="6" s="1"/>
  <c r="Q132" i="6" l="1"/>
  <c r="R132" i="6"/>
  <c r="P132" i="6"/>
  <c r="O133" i="6" s="1"/>
  <c r="T133" i="6" s="1"/>
  <c r="Q133" i="6" l="1"/>
  <c r="R133" i="6"/>
  <c r="P133" i="6"/>
  <c r="O134" i="6" s="1"/>
  <c r="T134" i="6" s="1"/>
  <c r="S133" i="6"/>
  <c r="R134" i="6" l="1"/>
  <c r="Q134" i="6"/>
  <c r="S134" i="6"/>
  <c r="P134" i="6"/>
  <c r="O135" i="6" s="1"/>
  <c r="T135" i="6" s="1"/>
  <c r="R135" i="6" l="1"/>
  <c r="Q135" i="6"/>
  <c r="P135" i="6"/>
  <c r="O136" i="6" s="1"/>
  <c r="T136" i="6" s="1"/>
  <c r="S135" i="6"/>
  <c r="S136" i="6" s="1"/>
  <c r="R136" i="6" l="1"/>
  <c r="Q136" i="6"/>
  <c r="P136" i="6"/>
  <c r="O137" i="6" s="1"/>
  <c r="T137" i="6" s="1"/>
  <c r="R137" i="6" l="1"/>
  <c r="Q137" i="6"/>
  <c r="P137" i="6"/>
  <c r="O138" i="6" s="1"/>
  <c r="T138" i="6" s="1"/>
  <c r="S137" i="6"/>
  <c r="S138" i="6" s="1"/>
  <c r="R138" i="6" l="1"/>
  <c r="Q138" i="6"/>
  <c r="P138" i="6"/>
  <c r="O139" i="6" s="1"/>
  <c r="T139" i="6" s="1"/>
  <c r="Q139" i="6" l="1"/>
  <c r="R139" i="6"/>
  <c r="P139" i="6"/>
  <c r="O140" i="6" s="1"/>
  <c r="T140" i="6" s="1"/>
  <c r="S139" i="6"/>
  <c r="S140" i="6" s="1"/>
  <c r="R140" i="6" l="1"/>
  <c r="Q140" i="6"/>
  <c r="P140" i="6"/>
  <c r="O141" i="6" s="1"/>
  <c r="T141" i="6" s="1"/>
  <c r="R141" i="6" l="1"/>
  <c r="Q141" i="6"/>
  <c r="P141" i="6"/>
  <c r="O142" i="6" s="1"/>
  <c r="T142" i="6" s="1"/>
  <c r="S141" i="6"/>
  <c r="S142" i="6" s="1"/>
  <c r="R142" i="6" l="1"/>
  <c r="Q142" i="6"/>
  <c r="P142" i="6"/>
  <c r="O143" i="6" s="1"/>
  <c r="T143" i="6" s="1"/>
  <c r="R143" i="6" l="1"/>
  <c r="Q143" i="6"/>
  <c r="P143" i="6"/>
  <c r="O144" i="6" s="1"/>
  <c r="T144" i="6" s="1"/>
  <c r="S143" i="6"/>
  <c r="S144" i="6" s="1"/>
  <c r="R144" i="6" l="1"/>
  <c r="Q144" i="6"/>
  <c r="P144" i="6"/>
  <c r="O145" i="6" s="1"/>
  <c r="T145" i="6" s="1"/>
  <c r="R145" i="6" l="1"/>
  <c r="Q145" i="6"/>
  <c r="P145" i="6"/>
  <c r="O146" i="6" s="1"/>
  <c r="T146" i="6" s="1"/>
  <c r="S145" i="6"/>
  <c r="S146" i="6" s="1"/>
  <c r="Q146" i="6" l="1"/>
  <c r="R146" i="6"/>
  <c r="P146" i="6"/>
  <c r="O147" i="6" s="1"/>
  <c r="T147" i="6" s="1"/>
  <c r="R147" i="6" l="1"/>
  <c r="Q147" i="6"/>
  <c r="P147" i="6"/>
  <c r="O148" i="6" s="1"/>
  <c r="T148" i="6" s="1"/>
  <c r="S147" i="6"/>
  <c r="S148" i="6" s="1"/>
  <c r="R148" i="6" l="1"/>
  <c r="Q148" i="6"/>
  <c r="P148" i="6"/>
  <c r="O149" i="6" s="1"/>
  <c r="T149" i="6" s="1"/>
  <c r="R149" i="6" l="1"/>
  <c r="Q149" i="6"/>
  <c r="P149" i="6"/>
  <c r="O150" i="6" s="1"/>
  <c r="T150" i="6" s="1"/>
  <c r="S149" i="6"/>
  <c r="S150" i="6" s="1"/>
  <c r="R150" i="6" l="1"/>
  <c r="Q150" i="6"/>
  <c r="P150" i="6"/>
  <c r="O151" i="6" s="1"/>
  <c r="T151" i="6" s="1"/>
  <c r="R151" i="6" l="1"/>
  <c r="Q151" i="6"/>
  <c r="P151" i="6"/>
  <c r="O152" i="6" s="1"/>
  <c r="T152" i="6" s="1"/>
  <c r="S151" i="6"/>
  <c r="S152" i="6" s="1"/>
  <c r="Q152" i="6" l="1"/>
  <c r="R152" i="6"/>
  <c r="P152" i="6"/>
  <c r="O153" i="6" s="1"/>
  <c r="T153" i="6" s="1"/>
  <c r="R153" i="6" l="1"/>
  <c r="Q153" i="6"/>
  <c r="P153" i="6"/>
  <c r="O154" i="6" s="1"/>
  <c r="T154" i="6" s="1"/>
  <c r="S153" i="6"/>
  <c r="S154" i="6" s="1"/>
  <c r="R154" i="6" l="1"/>
  <c r="Q154" i="6"/>
  <c r="P154" i="6"/>
  <c r="O155" i="6" s="1"/>
  <c r="T155" i="6" s="1"/>
  <c r="R155" i="6" l="1"/>
  <c r="Q155" i="6"/>
  <c r="P155" i="6"/>
  <c r="O156" i="6" s="1"/>
  <c r="T156" i="6" s="1"/>
  <c r="S155" i="6"/>
  <c r="S156" i="6" s="1"/>
  <c r="Q156" i="6" l="1"/>
  <c r="R156" i="6"/>
  <c r="P156" i="6"/>
  <c r="O157" i="6" s="1"/>
  <c r="T157" i="6" s="1"/>
  <c r="Q157" i="6" l="1"/>
  <c r="R157" i="6"/>
  <c r="P157" i="6"/>
  <c r="O158" i="6" s="1"/>
  <c r="T158" i="6" s="1"/>
  <c r="S157" i="6"/>
  <c r="S158" i="6" s="1"/>
  <c r="R158" i="6" l="1"/>
  <c r="Q158" i="6"/>
  <c r="P158" i="6"/>
  <c r="O159" i="6" s="1"/>
  <c r="T159" i="6" s="1"/>
  <c r="R159" i="6" l="1"/>
  <c r="Q159" i="6"/>
  <c r="P159" i="6"/>
  <c r="O160" i="6" s="1"/>
  <c r="T160" i="6" s="1"/>
  <c r="S159" i="6"/>
  <c r="S160" i="6" s="1"/>
  <c r="R160" i="6" l="1"/>
  <c r="Q160" i="6"/>
  <c r="P160" i="6"/>
  <c r="O161" i="6" s="1"/>
  <c r="T161" i="6" s="1"/>
  <c r="Q161" i="6" l="1"/>
  <c r="R161" i="6"/>
  <c r="P161" i="6"/>
  <c r="O162" i="6" s="1"/>
  <c r="T162" i="6" s="1"/>
  <c r="S161" i="6"/>
  <c r="S162" i="6" s="1"/>
  <c r="R162" i="6" l="1"/>
  <c r="Q162" i="6"/>
  <c r="P162" i="6"/>
  <c r="O163" i="6" s="1"/>
  <c r="T163" i="6" s="1"/>
  <c r="S163" i="6" l="1"/>
  <c r="R163" i="6"/>
  <c r="Q163" i="6"/>
  <c r="P163" i="6"/>
  <c r="O164" i="6" s="1"/>
  <c r="T164" i="6" s="1"/>
  <c r="S164" i="6" l="1"/>
  <c r="Q164" i="6"/>
  <c r="R164" i="6"/>
  <c r="P164" i="6"/>
  <c r="O165" i="6" s="1"/>
  <c r="T165" i="6" s="1"/>
  <c r="Q165" i="6" l="1"/>
  <c r="R165" i="6"/>
  <c r="P165" i="6"/>
  <c r="O166" i="6" s="1"/>
  <c r="T166" i="6" s="1"/>
  <c r="S165" i="6"/>
  <c r="S166" i="6" s="1"/>
  <c r="Q166" i="6" l="1"/>
  <c r="R166" i="6"/>
  <c r="P166" i="6"/>
  <c r="O167" i="6" s="1"/>
  <c r="T167" i="6" s="1"/>
  <c r="Q167" i="6" l="1"/>
  <c r="R167" i="6"/>
  <c r="P167" i="6"/>
  <c r="O168" i="6" s="1"/>
  <c r="T168" i="6" s="1"/>
  <c r="S167" i="6"/>
  <c r="S168" i="6" s="1"/>
  <c r="R168" i="6" l="1"/>
  <c r="Q168" i="6"/>
  <c r="P168" i="6"/>
  <c r="O169" i="6" s="1"/>
  <c r="T169" i="6" s="1"/>
  <c r="Q169" i="6" l="1"/>
  <c r="R169" i="6"/>
  <c r="P169" i="6"/>
  <c r="O170" i="6" s="1"/>
  <c r="T170" i="6" s="1"/>
  <c r="S169" i="6"/>
  <c r="S170" i="6" s="1"/>
  <c r="Q170" i="6" l="1"/>
  <c r="R170" i="6"/>
  <c r="P170" i="6"/>
  <c r="O171" i="6" s="1"/>
  <c r="T171" i="6" s="1"/>
  <c r="R171" i="6" l="1"/>
  <c r="Q171" i="6"/>
  <c r="P171" i="6"/>
  <c r="O172" i="6" s="1"/>
  <c r="T172" i="6" s="1"/>
  <c r="S171" i="6"/>
  <c r="S172" i="6" s="1"/>
  <c r="Q172" i="6" l="1"/>
  <c r="R172" i="6"/>
  <c r="P172" i="6"/>
  <c r="O173" i="6" s="1"/>
  <c r="T173" i="6" s="1"/>
  <c r="R173" i="6" l="1"/>
  <c r="Q173" i="6"/>
  <c r="P173" i="6"/>
  <c r="O174" i="6" s="1"/>
  <c r="T174" i="6" s="1"/>
  <c r="S173" i="6"/>
  <c r="S174" i="6" s="1"/>
  <c r="R174" i="6" l="1"/>
  <c r="Q174" i="6"/>
  <c r="P174" i="6"/>
  <c r="O175" i="6" s="1"/>
  <c r="T175" i="6" s="1"/>
  <c r="R175" i="6" l="1"/>
  <c r="Q175" i="6"/>
  <c r="P175" i="6"/>
  <c r="O176" i="6" s="1"/>
  <c r="T176" i="6" s="1"/>
  <c r="S175" i="6"/>
  <c r="S176" i="6" s="1"/>
  <c r="R176" i="6" l="1"/>
  <c r="Q176" i="6"/>
  <c r="P176" i="6"/>
  <c r="O177" i="6" s="1"/>
  <c r="T177" i="6" s="1"/>
  <c r="R177" i="6" l="1"/>
  <c r="Q177" i="6"/>
  <c r="P177" i="6"/>
  <c r="O178" i="6" s="1"/>
  <c r="T178" i="6" s="1"/>
  <c r="S177" i="6"/>
  <c r="S178" i="6" s="1"/>
  <c r="R178" i="6" l="1"/>
  <c r="Q178" i="6"/>
  <c r="P178" i="6"/>
  <c r="O179" i="6" s="1"/>
  <c r="T179" i="6" s="1"/>
  <c r="R179" i="6" l="1"/>
  <c r="Q179" i="6"/>
  <c r="P179" i="6"/>
  <c r="O180" i="6" s="1"/>
  <c r="T180" i="6" s="1"/>
  <c r="S179" i="6"/>
  <c r="S180" i="6" s="1"/>
  <c r="R180" i="6" l="1"/>
  <c r="Q180" i="6"/>
  <c r="P180" i="6"/>
  <c r="O181" i="6" s="1"/>
  <c r="T181" i="6" s="1"/>
  <c r="R181" i="6" l="1"/>
  <c r="Q181" i="6"/>
  <c r="P181" i="6"/>
  <c r="O182" i="6" s="1"/>
  <c r="T182" i="6" s="1"/>
  <c r="S181" i="6"/>
  <c r="S182" i="6" s="1"/>
  <c r="R182" i="6" l="1"/>
  <c r="Q182" i="6"/>
  <c r="P182" i="6"/>
  <c r="O183" i="6" s="1"/>
  <c r="T183" i="6" s="1"/>
  <c r="R183" i="6" l="1"/>
  <c r="Q183" i="6"/>
  <c r="P183" i="6"/>
  <c r="O184" i="6" s="1"/>
  <c r="T184" i="6" s="1"/>
  <c r="S183" i="6"/>
  <c r="S184" i="6" s="1"/>
  <c r="R184" i="6" l="1"/>
  <c r="Q184" i="6"/>
  <c r="P184" i="6"/>
  <c r="O185" i="6" s="1"/>
  <c r="T185" i="6" s="1"/>
  <c r="R185" i="6" l="1"/>
  <c r="Q185" i="6"/>
  <c r="P185" i="6"/>
  <c r="O186" i="6" s="1"/>
  <c r="T186" i="6" s="1"/>
  <c r="S185" i="6"/>
  <c r="S186" i="6" s="1"/>
  <c r="R186" i="6" l="1"/>
  <c r="Q186" i="6"/>
  <c r="P186" i="6"/>
  <c r="O187" i="6" s="1"/>
  <c r="T187" i="6" s="1"/>
  <c r="R187" i="6" l="1"/>
  <c r="Q187" i="6"/>
  <c r="P187" i="6"/>
  <c r="O188" i="6" s="1"/>
  <c r="T188" i="6" s="1"/>
  <c r="S187" i="6"/>
  <c r="S188" i="6" s="1"/>
  <c r="R188" i="6" l="1"/>
  <c r="Q188" i="6"/>
  <c r="P188" i="6"/>
  <c r="O189" i="6" s="1"/>
  <c r="T189" i="6" s="1"/>
  <c r="Q189" i="6" l="1"/>
  <c r="R189" i="6"/>
  <c r="P189" i="6"/>
  <c r="O190" i="6" s="1"/>
  <c r="T190" i="6" s="1"/>
  <c r="S189" i="6"/>
  <c r="S190" i="6" s="1"/>
  <c r="R190" i="6" l="1"/>
  <c r="Q190" i="6"/>
  <c r="P190" i="6"/>
  <c r="O191" i="6" s="1"/>
  <c r="T191" i="6" s="1"/>
  <c r="R191" i="6" l="1"/>
  <c r="Q191" i="6"/>
  <c r="P191" i="6"/>
  <c r="O192" i="6" s="1"/>
  <c r="T192" i="6" s="1"/>
  <c r="S191" i="6"/>
  <c r="S192" i="6" s="1"/>
  <c r="Q192" i="6" l="1"/>
  <c r="R192" i="6"/>
  <c r="P192" i="6"/>
  <c r="O193" i="6" s="1"/>
  <c r="T193" i="6" s="1"/>
  <c r="Q193" i="6" l="1"/>
  <c r="R193" i="6"/>
  <c r="P193" i="6"/>
  <c r="O194" i="6" s="1"/>
  <c r="T194" i="6" s="1"/>
  <c r="S193" i="6"/>
  <c r="S194" i="6" s="1"/>
  <c r="R194" i="6" l="1"/>
  <c r="Q194" i="6"/>
  <c r="P194" i="6"/>
  <c r="O195" i="6" s="1"/>
  <c r="T195" i="6" s="1"/>
  <c r="R195" i="6" l="1"/>
  <c r="Q195" i="6"/>
  <c r="P195" i="6"/>
  <c r="O196" i="6" s="1"/>
  <c r="T196" i="6" s="1"/>
  <c r="S195" i="6"/>
  <c r="S196" i="6" s="1"/>
  <c r="Q196" i="6" l="1"/>
  <c r="R196" i="6"/>
  <c r="P196" i="6"/>
  <c r="O197" i="6" s="1"/>
  <c r="T197" i="6" s="1"/>
  <c r="R197" i="6" l="1"/>
  <c r="Q197" i="6"/>
  <c r="P197" i="6"/>
  <c r="O198" i="6" s="1"/>
  <c r="T198" i="6" s="1"/>
  <c r="S197" i="6"/>
  <c r="S198" i="6" s="1"/>
  <c r="R198" i="6" l="1"/>
  <c r="Q198" i="6"/>
  <c r="P198" i="6"/>
  <c r="O199" i="6" s="1"/>
  <c r="T199" i="6" s="1"/>
  <c r="R199" i="6" l="1"/>
  <c r="Q199" i="6"/>
  <c r="P199" i="6"/>
  <c r="O200" i="6" s="1"/>
  <c r="T200" i="6" s="1"/>
  <c r="S199" i="6"/>
  <c r="S200" i="6" s="1"/>
  <c r="R200" i="6" l="1"/>
  <c r="Q200" i="6"/>
  <c r="P200" i="6"/>
  <c r="O201" i="6" s="1"/>
  <c r="T201" i="6" s="1"/>
  <c r="R201" i="6" l="1"/>
  <c r="Q201" i="6"/>
  <c r="P201" i="6"/>
  <c r="O202" i="6" s="1"/>
  <c r="T202" i="6" s="1"/>
  <c r="S201" i="6"/>
  <c r="S202" i="6" s="1"/>
  <c r="R202" i="6" l="1"/>
  <c r="Q202" i="6"/>
  <c r="P202" i="6"/>
  <c r="O203" i="6" s="1"/>
  <c r="T203" i="6" s="1"/>
  <c r="R203" i="6" l="1"/>
  <c r="Q203" i="6"/>
  <c r="P203" i="6"/>
  <c r="O204" i="6" s="1"/>
  <c r="T204" i="6" s="1"/>
  <c r="S203" i="6"/>
  <c r="S204" i="6" s="1"/>
  <c r="R204" i="6" l="1"/>
  <c r="Q204" i="6"/>
  <c r="P204" i="6"/>
  <c r="O205" i="6" s="1"/>
  <c r="T205" i="6" s="1"/>
  <c r="R205" i="6" l="1"/>
  <c r="Q205" i="6"/>
  <c r="P205" i="6"/>
  <c r="O206" i="6" s="1"/>
  <c r="T206" i="6" s="1"/>
  <c r="S205" i="6"/>
  <c r="S206" i="6" s="1"/>
  <c r="R206" i="6" l="1"/>
  <c r="Q206" i="6"/>
  <c r="P206" i="6"/>
  <c r="O207" i="6" s="1"/>
  <c r="T207" i="6" s="1"/>
  <c r="R207" i="6" l="1"/>
  <c r="Q207" i="6"/>
  <c r="P207" i="6"/>
  <c r="O208" i="6" s="1"/>
  <c r="T208" i="6" s="1"/>
  <c r="S207" i="6"/>
  <c r="S208" i="6" s="1"/>
  <c r="R208" i="6" l="1"/>
  <c r="Q208" i="6"/>
  <c r="P208" i="6"/>
  <c r="O209" i="6" s="1"/>
  <c r="T209" i="6" s="1"/>
  <c r="R209" i="6" l="1"/>
  <c r="Q209" i="6"/>
  <c r="P209" i="6"/>
  <c r="O210" i="6" s="1"/>
  <c r="T210" i="6" s="1"/>
  <c r="S209" i="6"/>
  <c r="S210" i="6" s="1"/>
  <c r="Q210" i="6" l="1"/>
  <c r="R210" i="6"/>
  <c r="P210" i="6"/>
  <c r="O211" i="6" s="1"/>
  <c r="T211" i="6" s="1"/>
  <c r="R211" i="6" l="1"/>
  <c r="Q211" i="6"/>
  <c r="P211" i="6"/>
  <c r="O212" i="6" s="1"/>
  <c r="T212" i="6" s="1"/>
  <c r="S211" i="6"/>
  <c r="S212" i="6" s="1"/>
  <c r="Q212" i="6" l="1"/>
  <c r="R212" i="6"/>
  <c r="P212" i="6"/>
  <c r="O213" i="6" s="1"/>
  <c r="T213" i="6" s="1"/>
  <c r="R213" i="6" l="1"/>
  <c r="Q213" i="6"/>
  <c r="P213" i="6"/>
  <c r="O214" i="6" s="1"/>
  <c r="T214" i="6" s="1"/>
  <c r="S213" i="6"/>
  <c r="S214" i="6" s="1"/>
  <c r="R214" i="6" l="1"/>
  <c r="Q214" i="6"/>
  <c r="P214" i="6"/>
  <c r="O215" i="6" s="1"/>
  <c r="T215" i="6" s="1"/>
  <c r="R215" i="6" l="1"/>
  <c r="Q215" i="6"/>
  <c r="P215" i="6"/>
  <c r="O216" i="6" s="1"/>
  <c r="T216" i="6" s="1"/>
  <c r="S215" i="6"/>
  <c r="S216" i="6" l="1"/>
  <c r="R216" i="6"/>
  <c r="Q216" i="6"/>
  <c r="P216" i="6"/>
  <c r="O217" i="6" s="1"/>
  <c r="T217" i="6" s="1"/>
  <c r="Q217" i="6" l="1"/>
  <c r="R217" i="6"/>
  <c r="P217" i="6"/>
  <c r="O218" i="6" s="1"/>
  <c r="T218" i="6" s="1"/>
  <c r="S217" i="6"/>
  <c r="S218" i="6" s="1"/>
  <c r="R218" i="6" l="1"/>
  <c r="Q218" i="6"/>
  <c r="P218" i="6"/>
  <c r="O219" i="6" s="1"/>
  <c r="T219" i="6" s="1"/>
  <c r="Q219" i="6" l="1"/>
  <c r="R219" i="6"/>
  <c r="P219" i="6"/>
  <c r="O220" i="6" s="1"/>
  <c r="T220" i="6" s="1"/>
  <c r="S219" i="6"/>
  <c r="S220" i="6" s="1"/>
  <c r="R220" i="6" l="1"/>
  <c r="Q220" i="6"/>
  <c r="P220" i="6"/>
  <c r="O221" i="6" s="1"/>
  <c r="T221" i="6" s="1"/>
  <c r="R221" i="6" l="1"/>
  <c r="Q221" i="6"/>
  <c r="P221" i="6"/>
  <c r="O222" i="6" s="1"/>
  <c r="T222" i="6" s="1"/>
  <c r="S221" i="6"/>
  <c r="S222" i="6" s="1"/>
  <c r="R222" i="6" l="1"/>
  <c r="Q222" i="6"/>
  <c r="P222" i="6"/>
  <c r="O223" i="6" s="1"/>
  <c r="T223" i="6" s="1"/>
  <c r="R223" i="6" l="1"/>
  <c r="Q223" i="6"/>
  <c r="P223" i="6"/>
  <c r="O224" i="6" s="1"/>
  <c r="T224" i="6" s="1"/>
  <c r="S223" i="6"/>
  <c r="S224" i="6" s="1"/>
  <c r="Q224" i="6" l="1"/>
  <c r="R224" i="6"/>
  <c r="P224" i="6"/>
  <c r="O225" i="6" s="1"/>
  <c r="T225" i="6" s="1"/>
  <c r="R225" i="6" l="1"/>
  <c r="Q225" i="6"/>
  <c r="P225" i="6"/>
  <c r="O226" i="6" s="1"/>
  <c r="T226" i="6" s="1"/>
  <c r="S225" i="6"/>
  <c r="S226" i="6" s="1"/>
  <c r="Q226" i="6" l="1"/>
  <c r="R226" i="6"/>
  <c r="P226" i="6"/>
  <c r="O227" i="6" s="1"/>
  <c r="T227" i="6" s="1"/>
  <c r="R227" i="6" l="1"/>
  <c r="Q227" i="6"/>
  <c r="P227" i="6"/>
  <c r="O228" i="6" s="1"/>
  <c r="T228" i="6" s="1"/>
  <c r="S227" i="6"/>
  <c r="S228" i="6" s="1"/>
  <c r="R228" i="6" l="1"/>
  <c r="Q228" i="6"/>
  <c r="P228" i="6"/>
  <c r="O229" i="6" s="1"/>
  <c r="T229" i="6" s="1"/>
  <c r="R229" i="6" l="1"/>
  <c r="Q229" i="6"/>
  <c r="P229" i="6"/>
  <c r="O230" i="6" s="1"/>
  <c r="T230" i="6" s="1"/>
  <c r="S229" i="6"/>
  <c r="S230" i="6" s="1"/>
  <c r="R230" i="6" l="1"/>
  <c r="Q230" i="6"/>
  <c r="P230" i="6"/>
  <c r="O231" i="6" s="1"/>
  <c r="T231" i="6" s="1"/>
  <c r="R231" i="6" l="1"/>
  <c r="Q231" i="6"/>
  <c r="P231" i="6"/>
  <c r="O232" i="6" s="1"/>
  <c r="T232" i="6" s="1"/>
  <c r="S231" i="6"/>
  <c r="S232" i="6" s="1"/>
  <c r="R232" i="6" l="1"/>
  <c r="Q232" i="6"/>
  <c r="P232" i="6"/>
  <c r="O233" i="6" s="1"/>
  <c r="T233" i="6" s="1"/>
  <c r="R233" i="6" l="1"/>
  <c r="Q233" i="6"/>
  <c r="P233" i="6"/>
  <c r="O234" i="6" s="1"/>
  <c r="T234" i="6" s="1"/>
  <c r="S233" i="6"/>
  <c r="S234" i="6" s="1"/>
  <c r="Q234" i="6" l="1"/>
  <c r="R234" i="6"/>
  <c r="P234" i="6"/>
  <c r="O235" i="6" s="1"/>
  <c r="T235" i="6" s="1"/>
  <c r="R235" i="6" l="1"/>
  <c r="Q235" i="6"/>
  <c r="P235" i="6"/>
  <c r="O236" i="6" s="1"/>
  <c r="T236" i="6" s="1"/>
  <c r="S235" i="6"/>
  <c r="S236" i="6" s="1"/>
  <c r="R236" i="6" l="1"/>
  <c r="Q236" i="6"/>
  <c r="P236" i="6"/>
  <c r="O237" i="6" s="1"/>
  <c r="T237" i="6" s="1"/>
  <c r="Q237" i="6" l="1"/>
  <c r="R237" i="6"/>
  <c r="P237" i="6"/>
  <c r="O238" i="6" s="1"/>
  <c r="T238" i="6" s="1"/>
  <c r="S237" i="6"/>
  <c r="S238" i="6" s="1"/>
  <c r="R238" i="6" l="1"/>
  <c r="Q238" i="6"/>
  <c r="P238" i="6"/>
  <c r="O239" i="6" s="1"/>
  <c r="T239" i="6" s="1"/>
  <c r="R239" i="6" l="1"/>
  <c r="Q239" i="6"/>
  <c r="P239" i="6"/>
  <c r="O240" i="6" s="1"/>
  <c r="T240" i="6" s="1"/>
  <c r="S239" i="6"/>
  <c r="S240" i="6" s="1"/>
  <c r="R240" i="6" l="1"/>
  <c r="Q240" i="6"/>
  <c r="P240" i="6"/>
  <c r="O241" i="6" s="1"/>
  <c r="T241" i="6" s="1"/>
  <c r="R241" i="6" l="1"/>
  <c r="Q241" i="6"/>
  <c r="P241" i="6"/>
  <c r="O242" i="6" s="1"/>
  <c r="T242" i="6" s="1"/>
  <c r="S241" i="6"/>
  <c r="S242" i="6" s="1"/>
  <c r="R242" i="6" l="1"/>
  <c r="Q242" i="6"/>
  <c r="P242" i="6"/>
  <c r="O243" i="6" s="1"/>
  <c r="T243" i="6" s="1"/>
  <c r="R243" i="6" l="1"/>
  <c r="Q243" i="6"/>
  <c r="P243" i="6"/>
  <c r="O244" i="6" s="1"/>
  <c r="T244" i="6" s="1"/>
  <c r="S243" i="6"/>
  <c r="S244" i="6" s="1"/>
  <c r="R244" i="6" l="1"/>
  <c r="Q244" i="6"/>
  <c r="P244" i="6"/>
  <c r="O245" i="6" s="1"/>
  <c r="T245" i="6" s="1"/>
  <c r="R245" i="6" l="1"/>
  <c r="Q245" i="6"/>
  <c r="P245" i="6"/>
  <c r="O246" i="6" s="1"/>
  <c r="T246" i="6" s="1"/>
  <c r="S245" i="6"/>
  <c r="S246" i="6" s="1"/>
  <c r="R246" i="6" l="1"/>
  <c r="Q246" i="6"/>
  <c r="P246" i="6"/>
  <c r="O247" i="6" s="1"/>
  <c r="T247" i="6" s="1"/>
  <c r="Q247" i="6" l="1"/>
  <c r="R247" i="6"/>
  <c r="P247" i="6"/>
  <c r="O248" i="6" s="1"/>
  <c r="T248" i="6" s="1"/>
  <c r="S247" i="6"/>
  <c r="S248" i="6" s="1"/>
  <c r="R248" i="6" l="1"/>
  <c r="Q248" i="6"/>
  <c r="P248" i="6"/>
  <c r="O249" i="6" s="1"/>
  <c r="T249" i="6" s="1"/>
  <c r="R249" i="6" l="1"/>
  <c r="Q249" i="6"/>
  <c r="P249" i="6"/>
  <c r="O250" i="6" s="1"/>
  <c r="T250" i="6" s="1"/>
  <c r="S249" i="6"/>
  <c r="S250" i="6" s="1"/>
  <c r="R250" i="6" l="1"/>
  <c r="Q250" i="6"/>
  <c r="P250" i="6"/>
  <c r="O251" i="6" s="1"/>
  <c r="T251" i="6" s="1"/>
  <c r="R251" i="6" l="1"/>
  <c r="Q251" i="6"/>
  <c r="P251" i="6"/>
  <c r="O252" i="6" s="1"/>
  <c r="T252" i="6" s="1"/>
  <c r="S251" i="6"/>
  <c r="S252" i="6" s="1"/>
  <c r="Q252" i="6" l="1"/>
  <c r="R252" i="6"/>
  <c r="P252" i="6"/>
  <c r="O253" i="6" s="1"/>
  <c r="T253" i="6" s="1"/>
  <c r="R253" i="6" l="1"/>
  <c r="Q253" i="6"/>
  <c r="P253" i="6"/>
  <c r="O254" i="6" s="1"/>
  <c r="T254" i="6" s="1"/>
  <c r="S253" i="6"/>
  <c r="S254" i="6" s="1"/>
  <c r="R254" i="6" l="1"/>
  <c r="Q254" i="6"/>
  <c r="P254" i="6"/>
  <c r="O255" i="6" s="1"/>
  <c r="T255" i="6" s="1"/>
  <c r="R255" i="6" l="1"/>
  <c r="Q255" i="6"/>
  <c r="P255" i="6"/>
  <c r="O256" i="6" s="1"/>
  <c r="T256" i="6" s="1"/>
  <c r="S255" i="6"/>
  <c r="S256" i="6" s="1"/>
  <c r="Q256" i="6" l="1"/>
  <c r="R256" i="6"/>
  <c r="P256" i="6"/>
  <c r="O257" i="6" s="1"/>
  <c r="T257" i="6" s="1"/>
  <c r="Q257" i="6" l="1"/>
  <c r="R257" i="6"/>
  <c r="P257" i="6"/>
  <c r="O258" i="6" s="1"/>
  <c r="T258" i="6" s="1"/>
  <c r="S257" i="6"/>
  <c r="S258" i="6" s="1"/>
  <c r="R258" i="6" l="1"/>
  <c r="Q258" i="6"/>
  <c r="P258" i="6"/>
  <c r="O259" i="6" s="1"/>
  <c r="T259" i="6" s="1"/>
  <c r="Q259" i="6" l="1"/>
  <c r="R259" i="6"/>
  <c r="P259" i="6"/>
  <c r="O260" i="6" s="1"/>
  <c r="T260" i="6" s="1"/>
  <c r="S259" i="6"/>
  <c r="S260" i="6" s="1"/>
  <c r="R260" i="6" l="1"/>
  <c r="Q260" i="6"/>
  <c r="P260" i="6"/>
  <c r="O261" i="6" s="1"/>
  <c r="T261" i="6" s="1"/>
  <c r="R261" i="6" l="1"/>
  <c r="Q261" i="6"/>
  <c r="P261" i="6"/>
  <c r="O262" i="6" s="1"/>
  <c r="T262" i="6" s="1"/>
  <c r="S261" i="6"/>
  <c r="S262" i="6" s="1"/>
  <c r="R262" i="6" l="1"/>
  <c r="Q262" i="6"/>
  <c r="P262" i="6"/>
  <c r="O263" i="6" s="1"/>
  <c r="T263" i="6" s="1"/>
  <c r="R263" i="6" l="1"/>
  <c r="Q263" i="6"/>
  <c r="P263" i="6"/>
  <c r="O264" i="6" s="1"/>
  <c r="T264" i="6" s="1"/>
  <c r="S263" i="6"/>
  <c r="S264" i="6" s="1"/>
  <c r="Q264" i="6" l="1"/>
  <c r="R264" i="6"/>
  <c r="P264" i="6"/>
  <c r="O265" i="6" s="1"/>
  <c r="T265" i="6" s="1"/>
  <c r="Q265" i="6" l="1"/>
  <c r="R265" i="6"/>
  <c r="P265" i="6"/>
  <c r="O266" i="6" s="1"/>
  <c r="T266" i="6" s="1"/>
  <c r="S265" i="6"/>
  <c r="S266" i="6" s="1"/>
  <c r="R266" i="6" l="1"/>
  <c r="Q266" i="6"/>
  <c r="P266" i="6"/>
  <c r="O267" i="6" s="1"/>
  <c r="T267" i="6" s="1"/>
  <c r="R267" i="6" l="1"/>
  <c r="Q267" i="6"/>
  <c r="P267" i="6"/>
  <c r="O268" i="6" s="1"/>
  <c r="T268" i="6" s="1"/>
  <c r="S267" i="6"/>
  <c r="S268" i="6" s="1"/>
  <c r="R268" i="6" l="1"/>
  <c r="Q268" i="6"/>
  <c r="P268" i="6"/>
  <c r="O269" i="6" s="1"/>
  <c r="T269" i="6" s="1"/>
  <c r="R269" i="6" l="1"/>
  <c r="Q269" i="6"/>
  <c r="P269" i="6"/>
  <c r="O270" i="6" s="1"/>
  <c r="T270" i="6" s="1"/>
  <c r="S269" i="6"/>
  <c r="S270" i="6" s="1"/>
  <c r="R270" i="6" l="1"/>
  <c r="Q270" i="6"/>
  <c r="P270" i="6"/>
  <c r="O271" i="6" s="1"/>
  <c r="T271" i="6" s="1"/>
  <c r="R271" i="6" l="1"/>
  <c r="Q271" i="6"/>
  <c r="P271" i="6"/>
  <c r="O272" i="6" s="1"/>
  <c r="T272" i="6" s="1"/>
  <c r="S271" i="6"/>
  <c r="S272" i="6" s="1"/>
  <c r="Q272" i="6" l="1"/>
  <c r="R272" i="6"/>
  <c r="P272" i="6"/>
  <c r="O273" i="6" s="1"/>
  <c r="T273" i="6" s="1"/>
  <c r="R273" i="6" l="1"/>
  <c r="Q273" i="6"/>
  <c r="P273" i="6"/>
  <c r="O274" i="6" s="1"/>
  <c r="T274" i="6" s="1"/>
  <c r="S273" i="6"/>
  <c r="S274" i="6" s="1"/>
  <c r="R274" i="6" l="1"/>
  <c r="Q274" i="6"/>
  <c r="P274" i="6"/>
  <c r="O275" i="6" s="1"/>
  <c r="T275" i="6" s="1"/>
  <c r="R275" i="6" l="1"/>
  <c r="Q275" i="6"/>
  <c r="P275" i="6"/>
  <c r="O276" i="6" s="1"/>
  <c r="T276" i="6" s="1"/>
  <c r="S275" i="6"/>
  <c r="S276" i="6" s="1"/>
  <c r="R276" i="6" l="1"/>
  <c r="Q276" i="6"/>
  <c r="P276" i="6"/>
  <c r="O277" i="6" s="1"/>
  <c r="T277" i="6" s="1"/>
  <c r="R277" i="6" l="1"/>
  <c r="Q277" i="6"/>
  <c r="P277" i="6"/>
  <c r="O278" i="6" s="1"/>
  <c r="T278" i="6" s="1"/>
  <c r="S277" i="6"/>
  <c r="S278" i="6" l="1"/>
  <c r="R278" i="6"/>
  <c r="Q278" i="6"/>
  <c r="P278" i="6"/>
  <c r="O279" i="6" s="1"/>
  <c r="T279" i="6" s="1"/>
  <c r="R279" i="6" l="1"/>
  <c r="Q279" i="6"/>
  <c r="P279" i="6"/>
  <c r="O280" i="6" s="1"/>
  <c r="S279" i="6"/>
  <c r="R280" i="6" l="1"/>
  <c r="Q280" i="6"/>
  <c r="P280" i="6"/>
  <c r="O281" i="6" s="1"/>
  <c r="T281" i="6" s="1"/>
  <c r="S280" i="6"/>
  <c r="T280" i="6" s="1"/>
  <c r="R281" i="6" l="1"/>
  <c r="Q281" i="6"/>
  <c r="P281" i="6"/>
  <c r="O282" i="6" s="1"/>
  <c r="T282" i="6" s="1"/>
  <c r="S281" i="6"/>
  <c r="S282" i="6" s="1"/>
  <c r="R282" i="6" l="1"/>
  <c r="Q282" i="6"/>
  <c r="P282" i="6"/>
  <c r="O283" i="6" s="1"/>
  <c r="T283" i="6" s="1"/>
  <c r="R283" i="6" l="1"/>
  <c r="Q283" i="6"/>
  <c r="P283" i="6"/>
  <c r="O284" i="6" s="1"/>
  <c r="T284" i="6" s="1"/>
  <c r="S283" i="6"/>
  <c r="S284" i="6" s="1"/>
  <c r="Q284" i="6" l="1"/>
  <c r="R284" i="6"/>
  <c r="P284" i="6"/>
  <c r="O285" i="6" s="1"/>
  <c r="T285" i="6" s="1"/>
  <c r="R285" i="6" l="1"/>
  <c r="Q285" i="6"/>
  <c r="P285" i="6"/>
  <c r="O286" i="6" s="1"/>
  <c r="T286" i="6" s="1"/>
  <c r="S285" i="6"/>
  <c r="S286" i="6" s="1"/>
  <c r="R286" i="6" l="1"/>
  <c r="Q286" i="6"/>
  <c r="P286" i="6"/>
  <c r="O287" i="6" s="1"/>
  <c r="T287" i="6" s="1"/>
  <c r="R287" i="6" l="1"/>
  <c r="Q287" i="6"/>
  <c r="P287" i="6"/>
  <c r="O288" i="6" s="1"/>
  <c r="T288" i="6" s="1"/>
  <c r="S287" i="6"/>
  <c r="S288" i="6" s="1"/>
  <c r="R288" i="6" l="1"/>
  <c r="Q288" i="6"/>
  <c r="P288" i="6"/>
  <c r="O289" i="6" s="1"/>
  <c r="T289" i="6" s="1"/>
  <c r="R289" i="6" l="1"/>
  <c r="Q289" i="6"/>
  <c r="P289" i="6"/>
  <c r="O290" i="6" s="1"/>
  <c r="T290" i="6" s="1"/>
  <c r="S289" i="6"/>
  <c r="S290" i="6" s="1"/>
  <c r="R290" i="6" l="1"/>
  <c r="Q290" i="6"/>
  <c r="P290" i="6"/>
  <c r="O291" i="6" s="1"/>
  <c r="T291" i="6" s="1"/>
  <c r="Q291" i="6" l="1"/>
  <c r="R291" i="6"/>
  <c r="P291" i="6"/>
  <c r="O292" i="6" s="1"/>
  <c r="T292" i="6" s="1"/>
  <c r="S291" i="6"/>
  <c r="S292" i="6" s="1"/>
  <c r="Q292" i="6" l="1"/>
  <c r="R292" i="6"/>
  <c r="P292" i="6"/>
  <c r="O293" i="6" s="1"/>
  <c r="T293" i="6" s="1"/>
  <c r="Q293" i="6" l="1"/>
  <c r="R293" i="6"/>
  <c r="P293" i="6"/>
  <c r="O294" i="6" s="1"/>
  <c r="T294" i="6" s="1"/>
  <c r="S293" i="6"/>
  <c r="S294" i="6" s="1"/>
  <c r="R294" i="6" l="1"/>
  <c r="Q294" i="6"/>
  <c r="P294" i="6"/>
  <c r="O295" i="6" s="1"/>
  <c r="T295" i="6" s="1"/>
  <c r="R295" i="6" l="1"/>
  <c r="Q295" i="6"/>
  <c r="P295" i="6"/>
  <c r="O296" i="6" s="1"/>
  <c r="T296" i="6" s="1"/>
  <c r="S295" i="6"/>
  <c r="S296" i="6" s="1"/>
  <c r="R296" i="6" l="1"/>
  <c r="Q296" i="6"/>
  <c r="P296" i="6"/>
  <c r="O297" i="6" s="1"/>
  <c r="T297" i="6" s="1"/>
  <c r="R297" i="6" l="1"/>
  <c r="Q297" i="6"/>
  <c r="P297" i="6"/>
  <c r="O298" i="6" s="1"/>
  <c r="T298" i="6" s="1"/>
  <c r="S297" i="6"/>
  <c r="S298" i="6" s="1"/>
  <c r="R298" i="6" l="1"/>
  <c r="Q298" i="6"/>
  <c r="P298" i="6"/>
  <c r="O299" i="6" s="1"/>
  <c r="T299" i="6" s="1"/>
  <c r="R299" i="6" l="1"/>
  <c r="Q299" i="6"/>
  <c r="P299" i="6"/>
  <c r="O300" i="6" s="1"/>
  <c r="T300" i="6" s="1"/>
  <c r="S299" i="6"/>
  <c r="S300" i="6" s="1"/>
  <c r="R300" i="6" l="1"/>
  <c r="Q300" i="6"/>
  <c r="P300" i="6"/>
  <c r="O301" i="6" s="1"/>
  <c r="T301" i="6" s="1"/>
  <c r="R301" i="6" l="1"/>
  <c r="Q301" i="6"/>
  <c r="P301" i="6"/>
  <c r="O302" i="6" s="1"/>
  <c r="T302" i="6" s="1"/>
  <c r="S301" i="6"/>
  <c r="S302" i="6" s="1"/>
  <c r="R302" i="6" l="1"/>
  <c r="Q302" i="6"/>
  <c r="P302" i="6"/>
  <c r="O303" i="6" s="1"/>
  <c r="T303" i="6" s="1"/>
  <c r="Q303" i="6" l="1"/>
  <c r="R303" i="6"/>
  <c r="P303" i="6"/>
  <c r="O304" i="6" s="1"/>
  <c r="T304" i="6" s="1"/>
  <c r="S303" i="6"/>
  <c r="S304" i="6" s="1"/>
  <c r="R304" i="6" l="1"/>
  <c r="Q304" i="6"/>
  <c r="P304" i="6"/>
  <c r="O305" i="6" s="1"/>
  <c r="T305" i="6" s="1"/>
  <c r="R305" i="6" l="1"/>
  <c r="Q305" i="6"/>
  <c r="P305" i="6"/>
  <c r="O306" i="6" s="1"/>
  <c r="T306" i="6" s="1"/>
  <c r="S305" i="6"/>
  <c r="S306" i="6" s="1"/>
  <c r="R306" i="6" l="1"/>
  <c r="Q306" i="6"/>
  <c r="P306" i="6"/>
  <c r="O307" i="6" s="1"/>
  <c r="T307" i="6" s="1"/>
  <c r="R307" i="6" l="1"/>
  <c r="Q307" i="6"/>
  <c r="P307" i="6"/>
  <c r="O308" i="6" s="1"/>
  <c r="T308" i="6" s="1"/>
  <c r="S307" i="6"/>
  <c r="S308" i="6" s="1"/>
  <c r="R308" i="6" l="1"/>
  <c r="Q308" i="6"/>
  <c r="P308" i="6"/>
  <c r="O309" i="6" s="1"/>
  <c r="T309" i="6" s="1"/>
  <c r="Q309" i="6" l="1"/>
  <c r="R309" i="6"/>
  <c r="P309" i="6"/>
  <c r="O310" i="6" s="1"/>
  <c r="T310" i="6" s="1"/>
  <c r="S309" i="6"/>
  <c r="S310" i="6" s="1"/>
  <c r="R310" i="6" l="1"/>
  <c r="Q310" i="6"/>
  <c r="P310" i="6"/>
  <c r="O311" i="6" s="1"/>
  <c r="T311" i="6" s="1"/>
  <c r="R311" i="6" l="1"/>
  <c r="Q311" i="6"/>
  <c r="P311" i="6"/>
  <c r="O312" i="6" s="1"/>
  <c r="T312" i="6" s="1"/>
  <c r="S311" i="6"/>
  <c r="S312" i="6" s="1"/>
  <c r="Q312" i="6" l="1"/>
  <c r="R312" i="6"/>
  <c r="P312" i="6"/>
  <c r="O313" i="6" s="1"/>
  <c r="T313" i="6" s="1"/>
  <c r="R313" i="6" l="1"/>
  <c r="Q313" i="6"/>
  <c r="P313" i="6"/>
  <c r="O314" i="6" s="1"/>
  <c r="T314" i="6" s="1"/>
  <c r="S313" i="6"/>
  <c r="S314" i="6" s="1"/>
  <c r="R314" i="6" l="1"/>
  <c r="Q314" i="6"/>
  <c r="P314" i="6"/>
  <c r="O315" i="6" s="1"/>
  <c r="R315" i="6" l="1"/>
  <c r="Q315" i="6"/>
  <c r="P315" i="6"/>
  <c r="O316" i="6" s="1"/>
  <c r="T316" i="6" s="1"/>
  <c r="S315" i="6"/>
  <c r="T315" i="6" s="1"/>
  <c r="R316" i="6" l="1"/>
  <c r="Q316" i="6"/>
  <c r="P316" i="6"/>
  <c r="O317" i="6" s="1"/>
  <c r="T317" i="6" s="1"/>
  <c r="S316" i="6"/>
  <c r="S317" i="6" s="1"/>
  <c r="R317" i="6" l="1"/>
  <c r="Q317" i="6"/>
  <c r="P317" i="6"/>
  <c r="O318" i="6" s="1"/>
  <c r="T318" i="6" s="1"/>
  <c r="R318" i="6" l="1"/>
  <c r="Q318" i="6"/>
  <c r="P318" i="6"/>
  <c r="O319" i="6" s="1"/>
  <c r="T319" i="6" s="1"/>
  <c r="S318" i="6"/>
  <c r="S319" i="6" s="1"/>
  <c r="R319" i="6" l="1"/>
  <c r="Q319" i="6"/>
  <c r="P319" i="6"/>
  <c r="O320" i="6" s="1"/>
  <c r="T320" i="6" s="1"/>
  <c r="R320" i="6" l="1"/>
  <c r="Q320" i="6"/>
  <c r="P320" i="6"/>
  <c r="O321" i="6" s="1"/>
  <c r="T321" i="6" s="1"/>
  <c r="S320" i="6"/>
  <c r="S321" i="6" s="1"/>
  <c r="R321" i="6" l="1"/>
  <c r="Q321" i="6"/>
  <c r="P321" i="6"/>
  <c r="O322" i="6" s="1"/>
  <c r="T322" i="6" s="1"/>
  <c r="R322" i="6" l="1"/>
  <c r="Q322" i="6"/>
  <c r="P322" i="6"/>
  <c r="O323" i="6" s="1"/>
  <c r="T323" i="6" s="1"/>
  <c r="S322" i="6"/>
  <c r="S323" i="6" l="1"/>
  <c r="Q323" i="6"/>
  <c r="R323" i="6"/>
  <c r="P323" i="6"/>
  <c r="O324" i="6" s="1"/>
  <c r="T324" i="6" s="1"/>
  <c r="R324" i="6" l="1"/>
  <c r="Q324" i="6"/>
  <c r="P324" i="6"/>
  <c r="O325" i="6" s="1"/>
  <c r="T325" i="6" s="1"/>
  <c r="S324" i="6"/>
  <c r="S325" i="6" s="1"/>
  <c r="R325" i="6" l="1"/>
  <c r="Q325" i="6"/>
  <c r="P325" i="6"/>
  <c r="O326" i="6" s="1"/>
  <c r="T326" i="6" s="1"/>
  <c r="R326" i="6" l="1"/>
  <c r="Q326" i="6"/>
  <c r="P326" i="6"/>
  <c r="O327" i="6" s="1"/>
  <c r="T327" i="6" s="1"/>
  <c r="S326" i="6"/>
  <c r="S327" i="6" s="1"/>
  <c r="R327" i="6" l="1"/>
  <c r="Q327" i="6"/>
  <c r="P327" i="6"/>
  <c r="O328" i="6" s="1"/>
  <c r="T328" i="6" s="1"/>
  <c r="Q328" i="6" l="1"/>
  <c r="R328" i="6"/>
  <c r="P328" i="6"/>
  <c r="O329" i="6" s="1"/>
  <c r="T329" i="6" s="1"/>
  <c r="S328" i="6"/>
  <c r="S329" i="6" s="1"/>
  <c r="R329" i="6" l="1"/>
  <c r="Q329" i="6"/>
  <c r="P329" i="6"/>
  <c r="O330" i="6" s="1"/>
  <c r="T330" i="6" s="1"/>
  <c r="R330" i="6" l="1"/>
  <c r="Q330" i="6"/>
  <c r="P330" i="6"/>
  <c r="O331" i="6" s="1"/>
  <c r="T331" i="6" s="1"/>
  <c r="S330" i="6"/>
  <c r="S331" i="6" s="1"/>
  <c r="R331" i="6" l="1"/>
  <c r="Q331" i="6"/>
  <c r="P331" i="6"/>
  <c r="O332" i="6" s="1"/>
  <c r="T332" i="6" s="1"/>
  <c r="Q332" i="6" l="1"/>
  <c r="R332" i="6"/>
  <c r="P332" i="6"/>
  <c r="O333" i="6" s="1"/>
  <c r="T333" i="6" s="1"/>
  <c r="S332" i="6"/>
  <c r="S333" i="6" s="1"/>
  <c r="R333" i="6" l="1"/>
  <c r="Q333" i="6"/>
  <c r="P333" i="6"/>
  <c r="O334" i="6" s="1"/>
  <c r="T334" i="6" s="1"/>
  <c r="R334" i="6" l="1"/>
  <c r="Q334" i="6"/>
  <c r="P334" i="6"/>
  <c r="O335" i="6" s="1"/>
  <c r="T335" i="6" s="1"/>
  <c r="S334" i="6"/>
  <c r="S335" i="6" s="1"/>
  <c r="R335" i="6" l="1"/>
  <c r="Q335" i="6"/>
  <c r="P335" i="6"/>
  <c r="O336" i="6" s="1"/>
  <c r="T336" i="6" s="1"/>
  <c r="R336" i="6" l="1"/>
  <c r="Q336" i="6"/>
  <c r="P336" i="6"/>
  <c r="O337" i="6" s="1"/>
  <c r="T337" i="6" s="1"/>
  <c r="S336" i="6"/>
  <c r="S337" i="6" s="1"/>
  <c r="R337" i="6" l="1"/>
  <c r="Q337" i="6"/>
  <c r="P337" i="6"/>
  <c r="O338" i="6" s="1"/>
  <c r="T338" i="6" s="1"/>
  <c r="R338" i="6" l="1"/>
  <c r="Q338" i="6"/>
  <c r="P338" i="6"/>
  <c r="O339" i="6" s="1"/>
  <c r="T339" i="6" s="1"/>
  <c r="S338" i="6"/>
  <c r="S339" i="6" s="1"/>
  <c r="Q339" i="6" l="1"/>
  <c r="R339" i="6"/>
  <c r="P339" i="6"/>
  <c r="O340" i="6" s="1"/>
  <c r="T340" i="6" s="1"/>
  <c r="R340" i="6" l="1"/>
  <c r="Q340" i="6"/>
  <c r="P340" i="6"/>
  <c r="O341" i="6" s="1"/>
  <c r="S340" i="6"/>
  <c r="R341" i="6" l="1"/>
  <c r="Q341" i="6"/>
  <c r="P341" i="6"/>
  <c r="O342" i="6" s="1"/>
  <c r="T342" i="6" s="1"/>
  <c r="S341" i="6"/>
  <c r="T341" i="6" s="1"/>
  <c r="R342" i="6" l="1"/>
  <c r="Q342" i="6"/>
  <c r="P342" i="6"/>
  <c r="O343" i="6" s="1"/>
  <c r="T343" i="6" s="1"/>
  <c r="S342" i="6"/>
  <c r="S343" i="6" s="1"/>
  <c r="Q343" i="6" l="1"/>
  <c r="R343" i="6"/>
  <c r="P343" i="6"/>
  <c r="O344" i="6" s="1"/>
  <c r="T344" i="6" s="1"/>
  <c r="R344" i="6" l="1"/>
  <c r="Q344" i="6"/>
  <c r="P344" i="6"/>
  <c r="O345" i="6" s="1"/>
  <c r="T345" i="6" s="1"/>
  <c r="S344" i="6"/>
  <c r="S345" i="6" s="1"/>
  <c r="R345" i="6" l="1"/>
  <c r="Q345" i="6"/>
  <c r="P345" i="6"/>
  <c r="O346" i="6" s="1"/>
  <c r="T346" i="6" s="1"/>
  <c r="Q346" i="6" l="1"/>
  <c r="R346" i="6"/>
  <c r="P346" i="6"/>
  <c r="O347" i="6" s="1"/>
  <c r="T347" i="6" s="1"/>
  <c r="S346" i="6"/>
  <c r="S347" i="6" s="1"/>
  <c r="R347" i="6" l="1"/>
  <c r="Q347" i="6"/>
  <c r="P347" i="6"/>
  <c r="O348" i="6" s="1"/>
  <c r="T348" i="6" s="1"/>
  <c r="R348" i="6" l="1"/>
  <c r="Q348" i="6"/>
  <c r="P348" i="6"/>
  <c r="O349" i="6" s="1"/>
  <c r="T349" i="6" s="1"/>
  <c r="S348" i="6"/>
  <c r="S349" i="6" s="1"/>
  <c r="Q349" i="6" l="1"/>
  <c r="R349" i="6"/>
  <c r="P349" i="6"/>
  <c r="O350" i="6" s="1"/>
  <c r="T350" i="6" s="1"/>
  <c r="R350" i="6" l="1"/>
  <c r="Q350" i="6"/>
  <c r="P350" i="6"/>
  <c r="O351" i="6" s="1"/>
  <c r="T351" i="6" s="1"/>
  <c r="S350" i="6"/>
  <c r="S351" i="6" s="1"/>
  <c r="R351" i="6" l="1"/>
  <c r="Q351" i="6"/>
  <c r="P351" i="6"/>
  <c r="O352" i="6" s="1"/>
  <c r="T352" i="6" s="1"/>
  <c r="Q352" i="6" l="1"/>
  <c r="R352" i="6"/>
  <c r="P352" i="6"/>
  <c r="O353" i="6" s="1"/>
  <c r="T353" i="6" s="1"/>
  <c r="S352" i="6"/>
  <c r="S353" i="6" s="1"/>
  <c r="R353" i="6" l="1"/>
  <c r="Q353" i="6"/>
  <c r="P353" i="6"/>
  <c r="O354" i="6" s="1"/>
  <c r="T354" i="6" s="1"/>
  <c r="R354" i="6" l="1"/>
  <c r="Q354" i="6"/>
  <c r="P354" i="6"/>
  <c r="O355" i="6" s="1"/>
  <c r="T355" i="6" s="1"/>
  <c r="S354" i="6"/>
  <c r="S355" i="6" s="1"/>
  <c r="Q355" i="6" l="1"/>
  <c r="R355" i="6"/>
  <c r="P355" i="6"/>
  <c r="O356" i="6" s="1"/>
  <c r="Q356" i="6" l="1"/>
  <c r="R356" i="6"/>
  <c r="P356" i="6"/>
  <c r="O357" i="6" s="1"/>
  <c r="T357" i="6" s="1"/>
  <c r="S356" i="6"/>
  <c r="S357" i="6" s="1"/>
  <c r="T356" i="6" l="1"/>
  <c r="Q357" i="6"/>
  <c r="R357" i="6"/>
  <c r="P357" i="6"/>
  <c r="O358" i="6" s="1"/>
  <c r="T358" i="6" s="1"/>
  <c r="R358" i="6" l="1"/>
  <c r="Q358" i="6"/>
  <c r="P358" i="6"/>
  <c r="O359" i="6" s="1"/>
  <c r="T359" i="6" s="1"/>
  <c r="S358" i="6"/>
  <c r="R359" i="6" l="1"/>
  <c r="Q359" i="6"/>
  <c r="P359" i="6"/>
  <c r="O360" i="6" s="1"/>
  <c r="T360" i="6" s="1"/>
  <c r="S359" i="6"/>
  <c r="S360" i="6" s="1"/>
  <c r="R360" i="6" l="1"/>
  <c r="Q360" i="6"/>
  <c r="P360" i="6"/>
  <c r="O361" i="6" s="1"/>
  <c r="T361" i="6" s="1"/>
  <c r="R361" i="6" l="1"/>
  <c r="Q361" i="6"/>
  <c r="P361" i="6"/>
  <c r="O362" i="6" s="1"/>
  <c r="T362" i="6" s="1"/>
  <c r="S361" i="6"/>
  <c r="S362" i="6" s="1"/>
  <c r="R362" i="6" l="1"/>
  <c r="Q362" i="6"/>
  <c r="P362" i="6"/>
  <c r="O363" i="6" s="1"/>
  <c r="T363" i="6" s="1"/>
  <c r="R363" i="6" l="1"/>
  <c r="Q363" i="6"/>
  <c r="P363" i="6"/>
  <c r="O364" i="6" s="1"/>
  <c r="T364" i="6" s="1"/>
  <c r="S363" i="6"/>
  <c r="S364" i="6" s="1"/>
  <c r="Q364" i="6" l="1"/>
  <c r="R364" i="6"/>
  <c r="P364" i="6"/>
  <c r="O365" i="6" s="1"/>
  <c r="T365" i="6" s="1"/>
  <c r="R365" i="6" l="1"/>
  <c r="Q365" i="6"/>
  <c r="P365" i="6"/>
  <c r="O366" i="6" s="1"/>
  <c r="T366" i="6" s="1"/>
  <c r="S365" i="6"/>
  <c r="S366" i="6" s="1"/>
  <c r="Q366" i="6" l="1"/>
  <c r="R366" i="6"/>
  <c r="P366" i="6"/>
  <c r="O367" i="6" s="1"/>
  <c r="T367" i="6" s="1"/>
  <c r="Q367" i="6" l="1"/>
  <c r="R367" i="6"/>
  <c r="P367" i="6"/>
  <c r="O368" i="6" s="1"/>
  <c r="T368" i="6" s="1"/>
  <c r="S367" i="6"/>
  <c r="S368" i="6" s="1"/>
  <c r="Q368" i="6" l="1"/>
  <c r="R368" i="6"/>
  <c r="P368" i="6"/>
  <c r="O369" i="6" s="1"/>
  <c r="T369" i="6" s="1"/>
  <c r="R369" i="6" l="1"/>
  <c r="Q369" i="6"/>
  <c r="P369" i="6"/>
  <c r="O370" i="6" s="1"/>
  <c r="T370" i="6" s="1"/>
  <c r="S369" i="6"/>
  <c r="S370" i="6" s="1"/>
  <c r="R370" i="6" l="1"/>
  <c r="Q370" i="6"/>
  <c r="P370" i="6"/>
  <c r="O371" i="6" s="1"/>
  <c r="T371" i="6" s="1"/>
  <c r="R371" i="6" l="1"/>
  <c r="Q371" i="6"/>
  <c r="P371" i="6"/>
  <c r="O372" i="6" s="1"/>
  <c r="T372" i="6" s="1"/>
  <c r="S371" i="6"/>
  <c r="S372" i="6" s="1"/>
  <c r="R372" i="6" l="1"/>
  <c r="Q372" i="6"/>
  <c r="P372" i="6"/>
  <c r="O373" i="6" s="1"/>
  <c r="T373" i="6" s="1"/>
  <c r="R373" i="6" l="1"/>
  <c r="Q373" i="6"/>
  <c r="P373" i="6"/>
  <c r="O374" i="6" s="1"/>
  <c r="T374" i="6" s="1"/>
  <c r="S373" i="6"/>
  <c r="S374" i="6" s="1"/>
  <c r="R374" i="6" l="1"/>
  <c r="Q374" i="6"/>
  <c r="P374" i="6"/>
  <c r="O375" i="6" s="1"/>
  <c r="T375" i="6" s="1"/>
  <c r="R375" i="6" l="1"/>
  <c r="Q375" i="6"/>
  <c r="P375" i="6"/>
  <c r="O376" i="6" s="1"/>
  <c r="T376" i="6" s="1"/>
  <c r="S375" i="6"/>
  <c r="S376" i="6" s="1"/>
  <c r="R376" i="6" l="1"/>
  <c r="Q376" i="6"/>
  <c r="P376" i="6"/>
  <c r="O377" i="6" s="1"/>
  <c r="T377" i="6" s="1"/>
  <c r="R377" i="6" l="1"/>
  <c r="Q377" i="6"/>
  <c r="P377" i="6"/>
  <c r="O378" i="6" s="1"/>
  <c r="T378" i="6" s="1"/>
  <c r="S377" i="6"/>
  <c r="S378" i="6" s="1"/>
  <c r="R378" i="6" l="1"/>
  <c r="Q378" i="6"/>
  <c r="P378" i="6"/>
  <c r="O379" i="6" s="1"/>
  <c r="T379" i="6" s="1"/>
  <c r="R379" i="6" l="1"/>
  <c r="Q379" i="6"/>
  <c r="P379" i="6"/>
  <c r="O380" i="6" s="1"/>
  <c r="T380" i="6" s="1"/>
  <c r="S379" i="6"/>
  <c r="S380" i="6" s="1"/>
  <c r="R380" i="6" l="1"/>
  <c r="Q380" i="6"/>
  <c r="P380" i="6"/>
  <c r="O381" i="6" s="1"/>
  <c r="T381" i="6" s="1"/>
  <c r="R381" i="6" l="1"/>
  <c r="Q381" i="6"/>
  <c r="P381" i="6"/>
  <c r="O382" i="6" s="1"/>
  <c r="T382" i="6" s="1"/>
  <c r="S381" i="6"/>
  <c r="S382" i="6" s="1"/>
  <c r="R382" i="6" l="1"/>
  <c r="Q382" i="6"/>
  <c r="P382" i="6"/>
  <c r="O383" i="6" s="1"/>
  <c r="T383" i="6" s="1"/>
  <c r="R383" i="6" l="1"/>
  <c r="Q383" i="6"/>
  <c r="P383" i="6"/>
  <c r="O384" i="6" s="1"/>
  <c r="T384" i="6" s="1"/>
  <c r="S383" i="6"/>
  <c r="Q384" i="6" l="1"/>
  <c r="R384" i="6"/>
  <c r="P384" i="6"/>
  <c r="O385" i="6" s="1"/>
  <c r="T385" i="6" s="1"/>
  <c r="S384" i="6"/>
  <c r="S385" i="6" s="1"/>
  <c r="R385" i="6" l="1"/>
  <c r="Q385" i="6"/>
  <c r="P385" i="6"/>
  <c r="O386" i="6" s="1"/>
  <c r="T386" i="6" s="1"/>
  <c r="R386" i="6" l="1"/>
  <c r="Q386" i="6"/>
  <c r="P386" i="6"/>
  <c r="O387" i="6" s="1"/>
  <c r="T387" i="6" s="1"/>
  <c r="S386" i="6"/>
  <c r="S387" i="6" s="1"/>
  <c r="R387" i="6" l="1"/>
  <c r="Q387" i="6"/>
  <c r="P387" i="6"/>
  <c r="O388" i="6" s="1"/>
  <c r="T388" i="6" s="1"/>
  <c r="Q388" i="6" l="1"/>
  <c r="R388" i="6"/>
  <c r="P388" i="6"/>
  <c r="O389" i="6" s="1"/>
  <c r="T389" i="6" s="1"/>
  <c r="S388" i="6"/>
  <c r="S389" i="6" s="1"/>
  <c r="Q389" i="6" l="1"/>
  <c r="R389" i="6"/>
  <c r="P389" i="6"/>
  <c r="O390" i="6" s="1"/>
  <c r="T390" i="6" s="1"/>
  <c r="R390" i="6" l="1"/>
  <c r="Q390" i="6"/>
  <c r="P390" i="6"/>
  <c r="O391" i="6" s="1"/>
  <c r="T391" i="6" s="1"/>
  <c r="S390" i="6"/>
  <c r="S391" i="6" s="1"/>
  <c r="Q391" i="6" l="1"/>
  <c r="R391" i="6"/>
  <c r="P391" i="6"/>
  <c r="O392" i="6" s="1"/>
  <c r="T392" i="6" s="1"/>
  <c r="R392" i="6" l="1"/>
  <c r="Q392" i="6"/>
  <c r="P392" i="6"/>
  <c r="O393" i="6" s="1"/>
  <c r="T393" i="6" s="1"/>
  <c r="S392" i="6"/>
  <c r="S393" i="6" s="1"/>
  <c r="Q393" i="6" l="1"/>
  <c r="R393" i="6"/>
  <c r="P393" i="6"/>
  <c r="O394" i="6" s="1"/>
  <c r="T394" i="6" s="1"/>
  <c r="R394" i="6" l="1"/>
  <c r="Q394" i="6"/>
  <c r="P394" i="6"/>
  <c r="O395" i="6" s="1"/>
  <c r="T395" i="6" s="1"/>
  <c r="S394" i="6"/>
  <c r="S395" i="6" s="1"/>
  <c r="R395" i="6" l="1"/>
  <c r="Q395" i="6"/>
  <c r="P395" i="6"/>
  <c r="O396" i="6" s="1"/>
  <c r="T396" i="6" s="1"/>
  <c r="R396" i="6" l="1"/>
  <c r="Q396" i="6"/>
  <c r="P396" i="6"/>
  <c r="O397" i="6" s="1"/>
  <c r="T397" i="6" s="1"/>
  <c r="S396" i="6"/>
  <c r="S397" i="6" s="1"/>
  <c r="R397" i="6" l="1"/>
  <c r="Q397" i="6"/>
  <c r="P397" i="6"/>
  <c r="O398" i="6" s="1"/>
  <c r="T398" i="6" s="1"/>
  <c r="R398" i="6" l="1"/>
  <c r="Q398" i="6"/>
  <c r="P398" i="6"/>
  <c r="O399" i="6" s="1"/>
  <c r="T399" i="6" s="1"/>
  <c r="S398" i="6"/>
  <c r="R399" i="6" l="1"/>
  <c r="Q399" i="6"/>
  <c r="P399" i="6"/>
  <c r="O400" i="6" s="1"/>
  <c r="T400" i="6" s="1"/>
  <c r="S399" i="6"/>
  <c r="S400" i="6" s="1"/>
  <c r="R400" i="6" l="1"/>
  <c r="Q400" i="6"/>
  <c r="P400" i="6"/>
  <c r="O401" i="6" s="1"/>
  <c r="T401" i="6" s="1"/>
  <c r="Q401" i="6" l="1"/>
  <c r="R401" i="6"/>
  <c r="P401" i="6"/>
  <c r="O402" i="6" s="1"/>
  <c r="T402" i="6" s="1"/>
  <c r="S401" i="6"/>
  <c r="S402" i="6" s="1"/>
  <c r="R402" i="6" l="1"/>
  <c r="Q402" i="6"/>
  <c r="P402" i="6"/>
  <c r="O403" i="6" s="1"/>
  <c r="R403" i="6" l="1"/>
  <c r="Q403" i="6"/>
  <c r="P403" i="6"/>
  <c r="O404" i="6" s="1"/>
  <c r="T404" i="6" s="1"/>
  <c r="S403" i="6"/>
  <c r="T403" i="6" s="1"/>
  <c r="Q404" i="6" l="1"/>
  <c r="R404" i="6"/>
  <c r="P404" i="6"/>
  <c r="O405" i="6" s="1"/>
  <c r="T405" i="6" s="1"/>
  <c r="S404" i="6"/>
  <c r="R405" i="6" l="1"/>
  <c r="Q405" i="6"/>
  <c r="P405" i="6"/>
  <c r="O406" i="6" s="1"/>
  <c r="T406" i="6" s="1"/>
  <c r="S405" i="6"/>
  <c r="S406" i="6" s="1"/>
  <c r="Q406" i="6" l="1"/>
  <c r="R406" i="6"/>
  <c r="P406" i="6"/>
  <c r="O407" i="6" s="1"/>
  <c r="T407" i="6" s="1"/>
  <c r="R407" i="6" l="1"/>
  <c r="Q407" i="6"/>
  <c r="P407" i="6"/>
  <c r="O408" i="6" s="1"/>
  <c r="T408" i="6" s="1"/>
  <c r="S407" i="6"/>
  <c r="R408" i="6" l="1"/>
  <c r="Q408" i="6"/>
  <c r="P408" i="6"/>
  <c r="O409" i="6" s="1"/>
  <c r="T409" i="6" s="1"/>
  <c r="S408" i="6"/>
  <c r="S409" i="6" l="1"/>
  <c r="Q409" i="6"/>
  <c r="R409" i="6"/>
  <c r="P409" i="6"/>
  <c r="O410" i="6" s="1"/>
  <c r="T410" i="6" s="1"/>
  <c r="R410" i="6" l="1"/>
  <c r="Q410" i="6"/>
  <c r="P410" i="6"/>
  <c r="O411" i="6" s="1"/>
  <c r="T411" i="6" s="1"/>
  <c r="S410" i="6"/>
  <c r="S411" i="6" s="1"/>
  <c r="R411" i="6" l="1"/>
  <c r="Q411" i="6"/>
  <c r="P411" i="6"/>
  <c r="O412" i="6" s="1"/>
  <c r="T412" i="6" s="1"/>
  <c r="Q412" i="6" l="1"/>
  <c r="R412" i="6"/>
  <c r="P412" i="6"/>
  <c r="O413" i="6" s="1"/>
  <c r="T413" i="6" s="1"/>
  <c r="S412" i="6"/>
  <c r="S413" i="6" s="1"/>
  <c r="R413" i="6" l="1"/>
  <c r="Q413" i="6"/>
  <c r="P413" i="6"/>
  <c r="O414" i="6" s="1"/>
  <c r="T414" i="6" s="1"/>
  <c r="R414" i="6" l="1"/>
  <c r="Q414" i="6"/>
  <c r="P414" i="6"/>
  <c r="O415" i="6" s="1"/>
  <c r="T415" i="6" s="1"/>
  <c r="S414" i="6"/>
  <c r="S415" i="6" s="1"/>
  <c r="R415" i="6" l="1"/>
  <c r="Q415" i="6"/>
  <c r="P415" i="6"/>
  <c r="O416" i="6" s="1"/>
  <c r="T416" i="6" s="1"/>
  <c r="Q416" i="6" l="1"/>
  <c r="R416" i="6"/>
  <c r="P416" i="6"/>
  <c r="O417" i="6" s="1"/>
  <c r="T417" i="6" s="1"/>
  <c r="S416" i="6"/>
  <c r="S417" i="6" s="1"/>
  <c r="R417" i="6" l="1"/>
  <c r="Q417" i="6"/>
  <c r="P417" i="6"/>
  <c r="O418" i="6" s="1"/>
  <c r="T418" i="6" s="1"/>
  <c r="R418" i="6" l="1"/>
  <c r="Q418" i="6"/>
  <c r="P418" i="6"/>
  <c r="O419" i="6" s="1"/>
  <c r="T419" i="6" s="1"/>
  <c r="S418" i="6"/>
  <c r="S419" i="6" s="1"/>
  <c r="R419" i="6" l="1"/>
  <c r="Q419" i="6"/>
  <c r="P419" i="6"/>
  <c r="O420" i="6" s="1"/>
  <c r="T420" i="6" s="1"/>
  <c r="R420" i="6" l="1"/>
  <c r="Q420" i="6"/>
  <c r="P420" i="6"/>
  <c r="O421" i="6" s="1"/>
  <c r="T421" i="6" s="1"/>
  <c r="S420" i="6"/>
  <c r="S421" i="6" s="1"/>
  <c r="R421" i="6" l="1"/>
  <c r="Q421" i="6"/>
  <c r="P421" i="6"/>
  <c r="O422" i="6" s="1"/>
  <c r="T422" i="6" s="1"/>
  <c r="R422" i="6" l="1"/>
  <c r="Q422" i="6"/>
  <c r="P422" i="6"/>
  <c r="O423" i="6" s="1"/>
  <c r="T423" i="6" s="1"/>
  <c r="S422" i="6"/>
  <c r="S423" i="6" s="1"/>
  <c r="R423" i="6" l="1"/>
  <c r="Q423" i="6"/>
  <c r="P423" i="6"/>
  <c r="O424" i="6" s="1"/>
  <c r="T424" i="6" s="1"/>
  <c r="Q424" i="6" l="1"/>
  <c r="R424" i="6"/>
  <c r="P424" i="6"/>
  <c r="O425" i="6" s="1"/>
  <c r="T425" i="6" s="1"/>
  <c r="S424" i="6"/>
  <c r="S425" i="6" s="1"/>
  <c r="R425" i="6" l="1"/>
  <c r="Q425" i="6"/>
  <c r="P425" i="6"/>
  <c r="O426" i="6" s="1"/>
  <c r="T426" i="6" s="1"/>
  <c r="R426" i="6" l="1"/>
  <c r="Q426" i="6"/>
  <c r="P426" i="6"/>
  <c r="O427" i="6" s="1"/>
  <c r="T427" i="6" s="1"/>
  <c r="S426" i="6"/>
  <c r="S427" i="6" s="1"/>
  <c r="R427" i="6" l="1"/>
  <c r="Q427" i="6"/>
  <c r="P427" i="6"/>
  <c r="O428" i="6" s="1"/>
  <c r="T428" i="6" s="1"/>
  <c r="R428" i="6" l="1"/>
  <c r="Q428" i="6"/>
  <c r="P428" i="6"/>
  <c r="O429" i="6" s="1"/>
  <c r="T429" i="6" s="1"/>
  <c r="S428" i="6"/>
  <c r="S429" i="6" s="1"/>
  <c r="Q429" i="6" l="1"/>
  <c r="R429" i="6"/>
  <c r="P429" i="6"/>
  <c r="O430" i="6" s="1"/>
  <c r="T430" i="6" s="1"/>
  <c r="Q430" i="6" l="1"/>
  <c r="R430" i="6"/>
  <c r="P430" i="6"/>
  <c r="O431" i="6" s="1"/>
  <c r="T431" i="6" s="1"/>
  <c r="S430" i="6"/>
  <c r="S431" i="6" l="1"/>
  <c r="R431" i="6"/>
  <c r="Q431" i="6"/>
  <c r="P431" i="6"/>
  <c r="O432" i="6" s="1"/>
  <c r="T432" i="6" s="1"/>
  <c r="R432" i="6" l="1"/>
  <c r="Q432" i="6"/>
  <c r="P432" i="6"/>
  <c r="O433" i="6" s="1"/>
  <c r="T433" i="6" s="1"/>
  <c r="S432" i="6"/>
  <c r="R433" i="6" l="1"/>
  <c r="Q433" i="6"/>
  <c r="P433" i="6"/>
  <c r="O434" i="6" s="1"/>
  <c r="T434" i="6" s="1"/>
  <c r="S433" i="6"/>
  <c r="S434" i="6" s="1"/>
  <c r="R434" i="6" l="1"/>
  <c r="Q434" i="6"/>
  <c r="P434" i="6"/>
  <c r="O435" i="6" s="1"/>
  <c r="T435" i="6" s="1"/>
  <c r="R435" i="6" l="1"/>
  <c r="Q435" i="6"/>
  <c r="P435" i="6"/>
  <c r="O436" i="6" s="1"/>
  <c r="T436" i="6" s="1"/>
  <c r="S435" i="6"/>
  <c r="S436" i="6" s="1"/>
  <c r="R436" i="6" l="1"/>
  <c r="Q436" i="6"/>
  <c r="P436" i="6"/>
  <c r="O437" i="6" s="1"/>
  <c r="T437" i="6" s="1"/>
  <c r="Q437" i="6" l="1"/>
  <c r="R437" i="6"/>
  <c r="P437" i="6"/>
  <c r="O438" i="6" s="1"/>
  <c r="T438" i="6" s="1"/>
  <c r="S437" i="6"/>
  <c r="S438" i="6" s="1"/>
  <c r="R438" i="6" l="1"/>
  <c r="Q438" i="6"/>
  <c r="P438" i="6"/>
  <c r="O439" i="6" s="1"/>
  <c r="T439" i="6" s="1"/>
  <c r="R439" i="6" l="1"/>
  <c r="Q439" i="6"/>
  <c r="P439" i="6"/>
  <c r="O440" i="6" s="1"/>
  <c r="T440" i="6" s="1"/>
  <c r="S439" i="6"/>
  <c r="S440" i="6" s="1"/>
  <c r="R440" i="6" l="1"/>
  <c r="Q440" i="6"/>
  <c r="P440" i="6"/>
  <c r="O441" i="6" s="1"/>
  <c r="T441" i="6" s="1"/>
  <c r="R441" i="6" l="1"/>
  <c r="Q441" i="6"/>
  <c r="P441" i="6"/>
  <c r="O442" i="6" s="1"/>
  <c r="T442" i="6" s="1"/>
  <c r="S441" i="6"/>
  <c r="S442" i="6" s="1"/>
  <c r="Q442" i="6" l="1"/>
  <c r="R442" i="6"/>
  <c r="P442" i="6"/>
  <c r="O443" i="6" s="1"/>
  <c r="T443" i="6" s="1"/>
  <c r="R443" i="6" l="1"/>
  <c r="Q443" i="6"/>
  <c r="P443" i="6"/>
  <c r="O444" i="6" s="1"/>
  <c r="T444" i="6" s="1"/>
  <c r="S443" i="6"/>
  <c r="S444" i="6" s="1"/>
  <c r="R444" i="6" l="1"/>
  <c r="Q444" i="6"/>
  <c r="P444" i="6"/>
  <c r="O445" i="6" s="1"/>
  <c r="T445" i="6" s="1"/>
  <c r="R445" i="6" l="1"/>
  <c r="Q445" i="6"/>
  <c r="P445" i="6"/>
  <c r="O446" i="6" s="1"/>
  <c r="T446" i="6" s="1"/>
  <c r="S445" i="6"/>
  <c r="S446" i="6" s="1"/>
  <c r="R446" i="6" l="1"/>
  <c r="Q446" i="6"/>
  <c r="P446" i="6"/>
  <c r="O447" i="6" s="1"/>
  <c r="T447" i="6" s="1"/>
  <c r="R447" i="6" l="1"/>
  <c r="Q447" i="6"/>
  <c r="P447" i="6"/>
  <c r="O448" i="6" s="1"/>
  <c r="S447" i="6"/>
  <c r="R448" i="6" l="1"/>
  <c r="Q448" i="6"/>
  <c r="P448" i="6"/>
  <c r="O449" i="6" s="1"/>
  <c r="T449" i="6" s="1"/>
  <c r="S448" i="6"/>
  <c r="T448" i="6" s="1"/>
  <c r="R449" i="6" l="1"/>
  <c r="Q449" i="6"/>
  <c r="P449" i="6"/>
  <c r="O450" i="6" s="1"/>
  <c r="T450" i="6" s="1"/>
  <c r="S449" i="6"/>
  <c r="S450" i="6" s="1"/>
  <c r="Q450" i="6" l="1"/>
  <c r="R450" i="6"/>
  <c r="P450" i="6"/>
  <c r="O451" i="6" s="1"/>
  <c r="T451" i="6" s="1"/>
  <c r="R451" i="6" l="1"/>
  <c r="Q451" i="6"/>
  <c r="P451" i="6"/>
  <c r="O452" i="6" s="1"/>
  <c r="T452" i="6" s="1"/>
  <c r="S451" i="6"/>
  <c r="S452" i="6" s="1"/>
  <c r="Q452" i="6" l="1"/>
  <c r="R452" i="6"/>
  <c r="P452" i="6"/>
  <c r="O453" i="6" s="1"/>
  <c r="T453" i="6" s="1"/>
  <c r="Q453" i="6" l="1"/>
  <c r="R453" i="6"/>
  <c r="P453" i="6"/>
  <c r="O454" i="6" s="1"/>
  <c r="T454" i="6" s="1"/>
  <c r="S453" i="6"/>
  <c r="S454" i="6" s="1"/>
  <c r="R454" i="6" l="1"/>
  <c r="Q454" i="6"/>
  <c r="P454" i="6"/>
  <c r="O455" i="6" s="1"/>
  <c r="T455" i="6" s="1"/>
  <c r="R455" i="6" l="1"/>
  <c r="Q455" i="6"/>
  <c r="P455" i="6"/>
  <c r="O456" i="6" s="1"/>
  <c r="T456" i="6" s="1"/>
  <c r="S455" i="6"/>
  <c r="S456" i="6" s="1"/>
  <c r="R456" i="6" l="1"/>
  <c r="Q456" i="6"/>
  <c r="P456" i="6"/>
  <c r="O457" i="6" s="1"/>
  <c r="T457" i="6" s="1"/>
  <c r="Q457" i="6" l="1"/>
  <c r="R457" i="6"/>
  <c r="P457" i="6"/>
  <c r="O458" i="6" s="1"/>
  <c r="T458" i="6" s="1"/>
  <c r="S457" i="6"/>
  <c r="S458" i="6" s="1"/>
  <c r="R458" i="6" l="1"/>
  <c r="Q458" i="6"/>
  <c r="P458" i="6"/>
  <c r="O459" i="6" s="1"/>
  <c r="T459" i="6" s="1"/>
  <c r="R459" i="6" l="1"/>
  <c r="Q459" i="6"/>
  <c r="P459" i="6"/>
  <c r="O460" i="6" s="1"/>
  <c r="T460" i="6" s="1"/>
  <c r="S459" i="6"/>
  <c r="S460" i="6" s="1"/>
  <c r="R460" i="6" l="1"/>
  <c r="Q460" i="6"/>
  <c r="P460" i="6"/>
  <c r="O461" i="6" s="1"/>
  <c r="T461" i="6" s="1"/>
  <c r="R461" i="6" l="1"/>
  <c r="Q461" i="6"/>
  <c r="P461" i="6"/>
  <c r="O462" i="6" s="1"/>
  <c r="T462" i="6" s="1"/>
  <c r="S461" i="6"/>
  <c r="S462" i="6" s="1"/>
  <c r="R462" i="6" l="1"/>
  <c r="Q462" i="6"/>
  <c r="P462" i="6"/>
  <c r="O463" i="6" s="1"/>
  <c r="T463" i="6" s="1"/>
  <c r="R463" i="6" l="1"/>
  <c r="Q463" i="6"/>
  <c r="P463" i="6"/>
  <c r="O464" i="6" s="1"/>
  <c r="T464" i="6" s="1"/>
  <c r="S463" i="6"/>
  <c r="S464" i="6" s="1"/>
  <c r="R464" i="6" l="1"/>
  <c r="Q464" i="6"/>
  <c r="P464" i="6"/>
  <c r="O465" i="6" s="1"/>
  <c r="T465" i="6" s="1"/>
  <c r="R465" i="6" l="1"/>
  <c r="Q465" i="6"/>
  <c r="P465" i="6"/>
  <c r="O466" i="6" s="1"/>
  <c r="T466" i="6" s="1"/>
  <c r="S465" i="6"/>
  <c r="S466" i="6" s="1"/>
  <c r="R466" i="6" l="1"/>
  <c r="Q466" i="6"/>
  <c r="P466" i="6"/>
  <c r="O467" i="6" s="1"/>
  <c r="T467" i="6" s="1"/>
  <c r="R467" i="6" l="1"/>
  <c r="Q467" i="6"/>
  <c r="P467" i="6"/>
  <c r="O468" i="6" s="1"/>
  <c r="T468" i="6" s="1"/>
  <c r="S467" i="6"/>
  <c r="S468" i="6" s="1"/>
  <c r="R468" i="6" l="1"/>
  <c r="Q468" i="6"/>
  <c r="P468" i="6"/>
  <c r="O469" i="6" s="1"/>
  <c r="T469" i="6" s="1"/>
  <c r="R469" i="6" l="1"/>
  <c r="Q469" i="6"/>
  <c r="P469" i="6"/>
  <c r="O470" i="6" s="1"/>
  <c r="T470" i="6" s="1"/>
  <c r="S469" i="6"/>
  <c r="S470" i="6" s="1"/>
  <c r="R470" i="6" l="1"/>
  <c r="Q470" i="6"/>
  <c r="P470" i="6"/>
  <c r="O471" i="6" s="1"/>
  <c r="T471" i="6" s="1"/>
  <c r="R471" i="6" l="1"/>
  <c r="Q471" i="6"/>
  <c r="P471" i="6"/>
  <c r="O472" i="6" s="1"/>
  <c r="S471" i="6"/>
  <c r="R472" i="6" l="1"/>
  <c r="Q472" i="6"/>
  <c r="P472" i="6"/>
  <c r="O473" i="6" s="1"/>
  <c r="T473" i="6" s="1"/>
  <c r="S472" i="6"/>
  <c r="T472" i="6" s="1"/>
  <c r="R473" i="6" l="1"/>
  <c r="Q473" i="6"/>
  <c r="P473" i="6"/>
  <c r="O474" i="6" s="1"/>
  <c r="T474" i="6" s="1"/>
  <c r="S473" i="6"/>
  <c r="S474" i="6" s="1"/>
  <c r="R474" i="6" l="1"/>
  <c r="Q474" i="6"/>
  <c r="P474" i="6"/>
  <c r="O475" i="6" s="1"/>
  <c r="T475" i="6" s="1"/>
  <c r="R475" i="6" l="1"/>
  <c r="Q475" i="6"/>
  <c r="P475" i="6"/>
  <c r="O476" i="6" s="1"/>
  <c r="T476" i="6" s="1"/>
  <c r="S475" i="6"/>
  <c r="S476" i="6" s="1"/>
  <c r="R476" i="6" l="1"/>
  <c r="Q476" i="6"/>
  <c r="P476" i="6"/>
  <c r="O477" i="6" s="1"/>
  <c r="T477" i="6" s="1"/>
  <c r="R477" i="6" l="1"/>
  <c r="Q477" i="6"/>
  <c r="P477" i="6"/>
  <c r="O478" i="6" s="1"/>
  <c r="T478" i="6" s="1"/>
  <c r="S477" i="6"/>
  <c r="S478" i="6" s="1"/>
  <c r="R478" i="6" l="1"/>
  <c r="Q478" i="6"/>
  <c r="P478" i="6"/>
  <c r="O479" i="6" s="1"/>
  <c r="T479" i="6" s="1"/>
  <c r="Q479" i="6" l="1"/>
  <c r="R479" i="6"/>
  <c r="P479" i="6"/>
  <c r="O480" i="6" s="1"/>
  <c r="T480" i="6" s="1"/>
  <c r="S479" i="6"/>
  <c r="S480" i="6" s="1"/>
  <c r="R480" i="6" l="1"/>
  <c r="Q480" i="6"/>
  <c r="P480" i="6"/>
  <c r="O481" i="6" s="1"/>
  <c r="T481" i="6" s="1"/>
  <c r="R481" i="6" l="1"/>
  <c r="Q481" i="6"/>
  <c r="P481" i="6"/>
  <c r="O482" i="6" s="1"/>
  <c r="T482" i="6" s="1"/>
  <c r="S481" i="6"/>
  <c r="Q482" i="6" l="1"/>
  <c r="R482" i="6"/>
  <c r="P482" i="6"/>
  <c r="O483" i="6" s="1"/>
  <c r="T483" i="6" s="1"/>
  <c r="S482" i="6"/>
  <c r="S483" i="6" s="1"/>
  <c r="Q483" i="6" l="1"/>
  <c r="R483" i="6"/>
  <c r="P483" i="6"/>
  <c r="O484" i="6" s="1"/>
  <c r="T484" i="6" s="1"/>
  <c r="Q484" i="6" l="1"/>
  <c r="R484" i="6"/>
  <c r="P484" i="6"/>
  <c r="O485" i="6" s="1"/>
  <c r="T485" i="6" s="1"/>
  <c r="S484" i="6"/>
  <c r="S485" i="6" s="1"/>
  <c r="R485" i="6" l="1"/>
  <c r="Q485" i="6"/>
  <c r="P485" i="6"/>
  <c r="O486" i="6" s="1"/>
  <c r="Q486" i="6" l="1"/>
  <c r="R486" i="6"/>
  <c r="P486" i="6"/>
  <c r="O487" i="6" s="1"/>
  <c r="T487" i="6" s="1"/>
  <c r="S486" i="6"/>
  <c r="T486" i="6" s="1"/>
  <c r="R487" i="6" l="1"/>
  <c r="Q487" i="6"/>
  <c r="P487" i="6"/>
  <c r="O488" i="6" s="1"/>
  <c r="T488" i="6" s="1"/>
  <c r="S487" i="6"/>
  <c r="R488" i="6" l="1"/>
  <c r="Q488" i="6"/>
  <c r="P488" i="6"/>
  <c r="O489" i="6" s="1"/>
  <c r="T489" i="6" s="1"/>
  <c r="S488" i="6"/>
  <c r="S489" i="6" s="1"/>
  <c r="R489" i="6" l="1"/>
  <c r="Q489" i="6"/>
  <c r="P489" i="6"/>
  <c r="O490" i="6" s="1"/>
  <c r="T490" i="6" s="1"/>
  <c r="R490" i="6" l="1"/>
  <c r="Q490" i="6"/>
  <c r="P490" i="6"/>
  <c r="O491" i="6" s="1"/>
  <c r="T491" i="6" s="1"/>
  <c r="S490" i="6"/>
  <c r="S491" i="6" s="1"/>
  <c r="R491" i="6" l="1"/>
  <c r="Q491" i="6"/>
  <c r="P491" i="6"/>
  <c r="O492" i="6" s="1"/>
  <c r="T492" i="6" s="1"/>
  <c r="R492" i="6" l="1"/>
  <c r="Q492" i="6"/>
  <c r="P492" i="6"/>
  <c r="O493" i="6" s="1"/>
  <c r="T493" i="6" s="1"/>
  <c r="S492" i="6"/>
  <c r="S493" i="6" s="1"/>
  <c r="Q493" i="6" l="1"/>
  <c r="R493" i="6"/>
  <c r="P493" i="6"/>
  <c r="O494" i="6" s="1"/>
  <c r="T494" i="6" s="1"/>
  <c r="R494" i="6" l="1"/>
  <c r="Q494" i="6"/>
  <c r="P494" i="6"/>
  <c r="O495" i="6" s="1"/>
  <c r="T495" i="6" s="1"/>
  <c r="S494" i="6"/>
  <c r="S495" i="6" s="1"/>
  <c r="R495" i="6" l="1"/>
  <c r="Q495" i="6"/>
  <c r="P495" i="6"/>
  <c r="O496" i="6" s="1"/>
  <c r="T496" i="6" s="1"/>
  <c r="R496" i="6" l="1"/>
  <c r="Q496" i="6"/>
  <c r="P496" i="6"/>
  <c r="O497" i="6" s="1"/>
  <c r="T497" i="6" s="1"/>
  <c r="S496" i="6"/>
  <c r="S497" i="6" s="1"/>
  <c r="R497" i="6" l="1"/>
  <c r="Q497" i="6"/>
  <c r="P497" i="6"/>
  <c r="O498" i="6" s="1"/>
  <c r="T498" i="6" s="1"/>
  <c r="R498" i="6" l="1"/>
  <c r="Q498" i="6"/>
  <c r="P498" i="6"/>
  <c r="O499" i="6" s="1"/>
  <c r="T499" i="6" s="1"/>
  <c r="S498" i="6"/>
  <c r="S499" i="6" s="1"/>
  <c r="Q499" i="6" l="1"/>
  <c r="R499" i="6"/>
  <c r="P499" i="6"/>
  <c r="O500" i="6" s="1"/>
  <c r="T500" i="6" s="1"/>
  <c r="R500" i="6" l="1"/>
  <c r="Q500" i="6"/>
  <c r="P500" i="6"/>
  <c r="O501" i="6" s="1"/>
  <c r="T501" i="6" s="1"/>
  <c r="S500" i="6"/>
  <c r="S501" i="6" s="1"/>
  <c r="R501" i="6" l="1"/>
  <c r="Q501" i="6"/>
  <c r="P501" i="6"/>
  <c r="O502" i="6" s="1"/>
  <c r="T502" i="6" s="1"/>
  <c r="R502" i="6" l="1"/>
  <c r="Q502" i="6"/>
  <c r="P502" i="6"/>
  <c r="O503" i="6" s="1"/>
  <c r="T503" i="6" s="1"/>
  <c r="S502" i="6"/>
  <c r="S503" i="6" s="1"/>
  <c r="R503" i="6" l="1"/>
  <c r="Q503" i="6"/>
  <c r="P503" i="6"/>
  <c r="O504" i="6" s="1"/>
  <c r="T504" i="6" s="1"/>
  <c r="Q504" i="6" l="1"/>
  <c r="R504" i="6"/>
  <c r="P504" i="6"/>
  <c r="O505" i="6" s="1"/>
  <c r="T505" i="6" s="1"/>
  <c r="S504" i="6"/>
  <c r="S505" i="6" s="1"/>
  <c r="R505" i="6" l="1"/>
  <c r="Q505" i="6"/>
  <c r="P505" i="6"/>
  <c r="O506" i="6" s="1"/>
  <c r="T506" i="6" s="1"/>
  <c r="R506" i="6" l="1"/>
  <c r="Q506" i="6"/>
  <c r="P506" i="6"/>
  <c r="O507" i="6" s="1"/>
  <c r="T507" i="6" s="1"/>
  <c r="S506" i="6"/>
  <c r="S507" i="6" s="1"/>
  <c r="R507" i="6" l="1"/>
  <c r="Q507" i="6"/>
  <c r="P507" i="6"/>
  <c r="O508" i="6" s="1"/>
  <c r="T508" i="6" s="1"/>
  <c r="R508" i="6" l="1"/>
  <c r="Q508" i="6"/>
  <c r="P508" i="6"/>
  <c r="O509" i="6" s="1"/>
  <c r="T509" i="6" s="1"/>
  <c r="S508" i="6"/>
  <c r="R509" i="6" l="1"/>
  <c r="Q509" i="6"/>
  <c r="P509" i="6"/>
  <c r="O510" i="6" s="1"/>
  <c r="S509" i="6"/>
  <c r="R510" i="6" l="1"/>
  <c r="Q510" i="6"/>
  <c r="P510" i="6"/>
  <c r="O511" i="6" s="1"/>
  <c r="T511" i="6" s="1"/>
  <c r="S510" i="6"/>
  <c r="T510" i="6" s="1"/>
  <c r="S511" i="6" l="1"/>
  <c r="R511" i="6"/>
  <c r="Q511" i="6"/>
  <c r="P511" i="6"/>
  <c r="O512" i="6" s="1"/>
  <c r="T512" i="6" s="1"/>
  <c r="Q512" i="6" l="1"/>
  <c r="R512" i="6"/>
  <c r="P512" i="6"/>
  <c r="O513" i="6" s="1"/>
  <c r="T513" i="6" s="1"/>
  <c r="S512" i="6"/>
  <c r="S513" i="6" s="1"/>
  <c r="R513" i="6" l="1"/>
  <c r="Q513" i="6"/>
  <c r="P513" i="6"/>
  <c r="O514" i="6" s="1"/>
  <c r="T514" i="6" s="1"/>
  <c r="Q514" i="6" l="1"/>
  <c r="R514" i="6"/>
  <c r="P514" i="6"/>
  <c r="O515" i="6" s="1"/>
  <c r="T515" i="6" s="1"/>
  <c r="S514" i="6"/>
  <c r="S515" i="6" s="1"/>
  <c r="R515" i="6" l="1"/>
  <c r="Q515" i="6"/>
  <c r="P515" i="6"/>
  <c r="O516" i="6" s="1"/>
  <c r="T516" i="6" s="1"/>
  <c r="Q516" i="6" l="1"/>
  <c r="R516" i="6"/>
  <c r="P516" i="6"/>
  <c r="O517" i="6" s="1"/>
  <c r="T517" i="6" s="1"/>
  <c r="S516" i="6"/>
  <c r="S517" i="6" s="1"/>
  <c r="R517" i="6" l="1"/>
  <c r="Q517" i="6"/>
  <c r="P517" i="6"/>
  <c r="O518" i="6" s="1"/>
  <c r="T518" i="6" s="1"/>
  <c r="R518" i="6" l="1"/>
  <c r="Q518" i="6"/>
  <c r="P518" i="6"/>
  <c r="O519" i="6" s="1"/>
  <c r="T519" i="6" s="1"/>
  <c r="S518" i="6"/>
  <c r="S519" i="6" s="1"/>
  <c r="R519" i="6" l="1"/>
  <c r="Q519" i="6"/>
  <c r="P519" i="6"/>
  <c r="O520" i="6" s="1"/>
  <c r="T520" i="6" s="1"/>
  <c r="R520" i="6" l="1"/>
  <c r="Q520" i="6"/>
  <c r="P520" i="6"/>
  <c r="O521" i="6" s="1"/>
  <c r="T521" i="6" s="1"/>
  <c r="S520" i="6"/>
  <c r="S521" i="6" s="1"/>
  <c r="Q521" i="6" l="1"/>
  <c r="R521" i="6"/>
  <c r="P521" i="6"/>
  <c r="O522" i="6" s="1"/>
  <c r="T522" i="6" s="1"/>
  <c r="Q522" i="6" l="1"/>
  <c r="R522" i="6"/>
  <c r="P522" i="6"/>
  <c r="O523" i="6" s="1"/>
  <c r="T523" i="6" s="1"/>
  <c r="S522" i="6"/>
  <c r="S523" i="6" s="1"/>
  <c r="Q523" i="6" l="1"/>
  <c r="R523" i="6"/>
  <c r="P523" i="6"/>
  <c r="O524" i="6" s="1"/>
  <c r="Q524" i="6" l="1"/>
  <c r="R524" i="6"/>
  <c r="P524" i="6"/>
  <c r="O525" i="6" s="1"/>
  <c r="T525" i="6" s="1"/>
  <c r="S524" i="6"/>
  <c r="T524" i="6" s="1"/>
  <c r="Q525" i="6" l="1"/>
  <c r="R525" i="6"/>
  <c r="P525" i="6"/>
  <c r="O526" i="6" s="1"/>
  <c r="T526" i="6" s="1"/>
  <c r="S525" i="6"/>
  <c r="S526" i="6" s="1"/>
  <c r="R526" i="6" l="1"/>
  <c r="Q526" i="6"/>
  <c r="P526" i="6"/>
  <c r="O527" i="6" s="1"/>
  <c r="T527" i="6" s="1"/>
  <c r="Q527" i="6" l="1"/>
  <c r="R527" i="6"/>
  <c r="P527" i="6"/>
  <c r="O528" i="6" s="1"/>
  <c r="T528" i="6" s="1"/>
  <c r="S527" i="6"/>
  <c r="S528" i="6" s="1"/>
  <c r="R528" i="6" l="1"/>
  <c r="Q528" i="6"/>
  <c r="P528" i="6"/>
  <c r="O529" i="6" s="1"/>
  <c r="T529" i="6" s="1"/>
  <c r="R529" i="6" l="1"/>
  <c r="Q529" i="6"/>
  <c r="P529" i="6"/>
  <c r="O530" i="6" s="1"/>
  <c r="T530" i="6" s="1"/>
  <c r="S529" i="6"/>
  <c r="S530" i="6" s="1"/>
  <c r="R530" i="6" l="1"/>
  <c r="Q530" i="6"/>
  <c r="P530" i="6"/>
  <c r="O531" i="6" s="1"/>
  <c r="T531" i="6" s="1"/>
  <c r="R531" i="6" l="1"/>
  <c r="Q531" i="6"/>
  <c r="P531" i="6"/>
  <c r="O532" i="6" s="1"/>
  <c r="T532" i="6" s="1"/>
  <c r="S531" i="6"/>
  <c r="S532" i="6" s="1"/>
  <c r="R532" i="6" l="1"/>
  <c r="Q532" i="6"/>
  <c r="P532" i="6"/>
  <c r="O533" i="6" s="1"/>
  <c r="T533" i="6" s="1"/>
  <c r="R533" i="6" l="1"/>
  <c r="Q533" i="6"/>
  <c r="P533" i="6"/>
  <c r="O534" i="6" s="1"/>
  <c r="T534" i="6" s="1"/>
  <c r="S533" i="6"/>
  <c r="S534" i="6" s="1"/>
  <c r="R534" i="6" l="1"/>
  <c r="Q534" i="6"/>
  <c r="P534" i="6"/>
  <c r="O535" i="6" s="1"/>
  <c r="T535" i="6" s="1"/>
  <c r="R535" i="6" l="1"/>
  <c r="Q535" i="6"/>
  <c r="P535" i="6"/>
  <c r="O536" i="6" s="1"/>
  <c r="T536" i="6" s="1"/>
  <c r="S535" i="6"/>
  <c r="S536" i="6" l="1"/>
  <c r="Q536" i="6"/>
  <c r="R536" i="6"/>
  <c r="P536" i="6"/>
  <c r="O537" i="6" s="1"/>
  <c r="T537" i="6" s="1"/>
  <c r="R537" i="6" l="1"/>
  <c r="Q537" i="6"/>
  <c r="P537" i="6"/>
  <c r="O538" i="6" s="1"/>
  <c r="T538" i="6" s="1"/>
  <c r="S537" i="6"/>
  <c r="S538" i="6" s="1"/>
  <c r="R538" i="6" l="1"/>
  <c r="Q538" i="6"/>
  <c r="P538" i="6"/>
  <c r="O539" i="6" s="1"/>
  <c r="T539" i="6" s="1"/>
  <c r="R539" i="6" l="1"/>
  <c r="Q539" i="6"/>
  <c r="P539" i="6"/>
  <c r="O540" i="6" s="1"/>
  <c r="T540" i="6" s="1"/>
  <c r="S539" i="6"/>
  <c r="S540" i="6" s="1"/>
  <c r="R540" i="6" l="1"/>
  <c r="Q540" i="6"/>
  <c r="P540" i="6"/>
  <c r="O541" i="6" s="1"/>
  <c r="T541" i="6" s="1"/>
  <c r="R541" i="6" l="1"/>
  <c r="Q541" i="6"/>
  <c r="P541" i="6"/>
  <c r="O542" i="6" s="1"/>
  <c r="T542" i="6" s="1"/>
  <c r="S541" i="6"/>
  <c r="S542" i="6" s="1"/>
  <c r="Q542" i="6" l="1"/>
  <c r="R542" i="6"/>
  <c r="P542" i="6"/>
  <c r="O543" i="6" s="1"/>
  <c r="T543" i="6" s="1"/>
  <c r="R543" i="6" l="1"/>
  <c r="Q543" i="6"/>
  <c r="P543" i="6"/>
  <c r="O544" i="6" s="1"/>
  <c r="T544" i="6" s="1"/>
  <c r="S543" i="6"/>
  <c r="S544" i="6" s="1"/>
  <c r="Q544" i="6" l="1"/>
  <c r="R544" i="6"/>
  <c r="P544" i="6"/>
  <c r="O545" i="6" s="1"/>
  <c r="T545" i="6" s="1"/>
  <c r="R545" i="6" l="1"/>
  <c r="Q545" i="6"/>
  <c r="P545" i="6"/>
  <c r="O546" i="6" s="1"/>
  <c r="T546" i="6" s="1"/>
  <c r="S545" i="6"/>
  <c r="S546" i="6" s="1"/>
  <c r="R546" i="6" l="1"/>
  <c r="Q546" i="6"/>
  <c r="P546" i="6"/>
  <c r="O547" i="6" s="1"/>
  <c r="T547" i="6" s="1"/>
  <c r="R547" i="6" l="1"/>
  <c r="Q547" i="6"/>
  <c r="P547" i="6"/>
  <c r="O548" i="6" s="1"/>
  <c r="T548" i="6" s="1"/>
  <c r="S547" i="6"/>
  <c r="R548" i="6" l="1"/>
  <c r="Q548" i="6"/>
  <c r="P548" i="6"/>
  <c r="O549" i="6" s="1"/>
  <c r="T549" i="6" s="1"/>
  <c r="S548" i="6"/>
  <c r="S549" i="6" s="1"/>
  <c r="R549" i="6" l="1"/>
  <c r="Q549" i="6"/>
  <c r="P549" i="6"/>
  <c r="O550" i="6" s="1"/>
  <c r="T550" i="6" s="1"/>
  <c r="R550" i="6" l="1"/>
  <c r="Q550" i="6"/>
  <c r="P550" i="6"/>
  <c r="O551" i="6" s="1"/>
  <c r="T551" i="6" s="1"/>
  <c r="S550" i="6"/>
  <c r="S551" i="6" s="1"/>
  <c r="Q551" i="6" l="1"/>
  <c r="R551" i="6"/>
  <c r="P551" i="6"/>
  <c r="O552" i="6" s="1"/>
  <c r="R552" i="6" l="1"/>
  <c r="Q552" i="6"/>
  <c r="P552" i="6"/>
  <c r="O553" i="6" s="1"/>
  <c r="T553" i="6" s="1"/>
  <c r="S552" i="6"/>
  <c r="T552" i="6" s="1"/>
  <c r="R553" i="6" l="1"/>
  <c r="Q553" i="6"/>
  <c r="P553" i="6"/>
  <c r="O554" i="6" s="1"/>
  <c r="T554" i="6" s="1"/>
  <c r="S553" i="6"/>
  <c r="S554" i="6" s="1"/>
  <c r="R554" i="6" l="1"/>
  <c r="Q554" i="6"/>
  <c r="P554" i="6"/>
  <c r="O555" i="6" s="1"/>
  <c r="T555" i="6" s="1"/>
  <c r="R555" i="6" l="1"/>
  <c r="Q555" i="6"/>
  <c r="P555" i="6"/>
  <c r="O556" i="6" s="1"/>
  <c r="T556" i="6" s="1"/>
  <c r="S555" i="6"/>
  <c r="Q556" i="6" l="1"/>
  <c r="R556" i="6"/>
  <c r="P556" i="6"/>
  <c r="O557" i="6" s="1"/>
  <c r="T557" i="6" s="1"/>
  <c r="S556" i="6"/>
  <c r="S557" i="6" s="1"/>
  <c r="R557" i="6" l="1"/>
  <c r="Q557" i="6"/>
  <c r="P557" i="6"/>
  <c r="O558" i="6" s="1"/>
  <c r="T558" i="6" s="1"/>
  <c r="R558" i="6" l="1"/>
  <c r="Q558" i="6"/>
  <c r="P558" i="6"/>
  <c r="O559" i="6" s="1"/>
  <c r="T559" i="6" s="1"/>
  <c r="S558" i="6"/>
  <c r="S559" i="6" s="1"/>
  <c r="R559" i="6" l="1"/>
  <c r="Q559" i="6"/>
  <c r="P559" i="6"/>
  <c r="O560" i="6" s="1"/>
  <c r="T560" i="6" s="1"/>
  <c r="R560" i="6" l="1"/>
  <c r="Q560" i="6"/>
  <c r="P560" i="6"/>
  <c r="O561" i="6" s="1"/>
  <c r="T561" i="6" s="1"/>
  <c r="S560" i="6"/>
  <c r="S561" i="6" s="1"/>
  <c r="R561" i="6" l="1"/>
  <c r="Q561" i="6"/>
  <c r="P561" i="6"/>
  <c r="O562" i="6" s="1"/>
  <c r="T562" i="6" s="1"/>
  <c r="R562" i="6" l="1"/>
  <c r="Q562" i="6"/>
  <c r="P562" i="6"/>
  <c r="O563" i="6" s="1"/>
  <c r="T563" i="6" s="1"/>
  <c r="S562" i="6"/>
  <c r="S563" i="6" s="1"/>
  <c r="R563" i="6" l="1"/>
  <c r="Q563" i="6"/>
  <c r="P563" i="6"/>
  <c r="O564" i="6" s="1"/>
  <c r="T564" i="6" s="1"/>
  <c r="Q564" i="6" l="1"/>
  <c r="R564" i="6"/>
  <c r="P564" i="6"/>
  <c r="O565" i="6" s="1"/>
  <c r="T565" i="6" s="1"/>
  <c r="S564" i="6"/>
  <c r="S565" i="6" s="1"/>
  <c r="Q565" i="6" l="1"/>
  <c r="R565" i="6"/>
  <c r="P565" i="6"/>
  <c r="O566" i="6" s="1"/>
  <c r="T566" i="6" s="1"/>
  <c r="R566" i="6" l="1"/>
  <c r="Q566" i="6"/>
  <c r="P566" i="6"/>
  <c r="O567" i="6" s="1"/>
  <c r="T567" i="6" s="1"/>
  <c r="S566" i="6"/>
  <c r="S567" i="6" s="1"/>
  <c r="Q567" i="6" l="1"/>
  <c r="R567" i="6"/>
  <c r="P567" i="6"/>
  <c r="O568" i="6" s="1"/>
  <c r="T568" i="6" s="1"/>
  <c r="R568" i="6" l="1"/>
  <c r="Q568" i="6"/>
  <c r="P568" i="6"/>
  <c r="O569" i="6" s="1"/>
  <c r="T569" i="6" s="1"/>
  <c r="S568" i="6"/>
  <c r="S569" i="6" s="1"/>
  <c r="R569" i="6" l="1"/>
  <c r="Q569" i="6"/>
  <c r="P569" i="6"/>
  <c r="O570" i="6" s="1"/>
  <c r="T570" i="6" s="1"/>
  <c r="R570" i="6" l="1"/>
  <c r="Q570" i="6"/>
  <c r="P570" i="6"/>
  <c r="O571" i="6" s="1"/>
  <c r="T571" i="6" s="1"/>
  <c r="S570" i="6"/>
  <c r="S571" i="6" s="1"/>
  <c r="R571" i="6" l="1"/>
  <c r="Q571" i="6"/>
  <c r="P571" i="6"/>
  <c r="O572" i="6" s="1"/>
  <c r="T572" i="6" s="1"/>
  <c r="R572" i="6" l="1"/>
  <c r="Q572" i="6"/>
  <c r="P572" i="6"/>
  <c r="O573" i="6" s="1"/>
  <c r="T573" i="6" s="1"/>
  <c r="S572" i="6"/>
  <c r="S573" i="6" s="1"/>
  <c r="R573" i="6" l="1"/>
  <c r="Q573" i="6"/>
  <c r="P573" i="6"/>
  <c r="O574" i="6" s="1"/>
  <c r="T574" i="6" s="1"/>
  <c r="Q574" i="6" l="1"/>
  <c r="R574" i="6"/>
  <c r="P574" i="6"/>
  <c r="O575" i="6" s="1"/>
  <c r="T575" i="6" s="1"/>
  <c r="S574" i="6"/>
  <c r="S575" i="6" s="1"/>
  <c r="R575" i="6" l="1"/>
  <c r="Q575" i="6"/>
  <c r="P575" i="6"/>
  <c r="O576" i="6" s="1"/>
  <c r="T576" i="6" s="1"/>
  <c r="Q576" i="6" l="1"/>
  <c r="R576" i="6"/>
  <c r="P576" i="6"/>
  <c r="O577" i="6" s="1"/>
  <c r="T577" i="6" s="1"/>
  <c r="S576" i="6"/>
  <c r="S577" i="6" s="1"/>
  <c r="Q577" i="6" l="1"/>
  <c r="R577" i="6"/>
  <c r="P577" i="6"/>
  <c r="O578" i="6" s="1"/>
  <c r="T578" i="6" s="1"/>
  <c r="R578" i="6" l="1"/>
  <c r="Q578" i="6"/>
  <c r="P578" i="6"/>
  <c r="O579" i="6" s="1"/>
  <c r="T579" i="6" s="1"/>
  <c r="S578" i="6"/>
  <c r="S579" i="6" s="1"/>
  <c r="R579" i="6" l="1"/>
  <c r="Q579" i="6"/>
  <c r="P579" i="6"/>
  <c r="O580" i="6" s="1"/>
  <c r="T580" i="6" s="1"/>
  <c r="Q580" i="6" l="1"/>
  <c r="R580" i="6"/>
  <c r="P580" i="6"/>
  <c r="O581" i="6" s="1"/>
  <c r="T581" i="6" s="1"/>
  <c r="S580" i="6"/>
  <c r="S581" i="6" s="1"/>
  <c r="R581" i="6" l="1"/>
  <c r="Q581" i="6"/>
  <c r="P581" i="6"/>
  <c r="O582" i="6" s="1"/>
  <c r="T582" i="6" s="1"/>
  <c r="R582" i="6" l="1"/>
  <c r="Q582" i="6"/>
  <c r="P582" i="6"/>
  <c r="O583" i="6" s="1"/>
  <c r="T583" i="6" s="1"/>
  <c r="S582" i="6"/>
  <c r="S583" i="6" s="1"/>
  <c r="R583" i="6" l="1"/>
  <c r="Q583" i="6"/>
  <c r="P583" i="6"/>
  <c r="O584" i="6" s="1"/>
  <c r="T584" i="6" s="1"/>
  <c r="R584" i="6" l="1"/>
  <c r="Q584" i="6"/>
  <c r="P584" i="6"/>
  <c r="O585" i="6" s="1"/>
  <c r="T585" i="6" s="1"/>
  <c r="S584" i="6"/>
  <c r="S585" i="6" s="1"/>
  <c r="R585" i="6" l="1"/>
  <c r="Q585" i="6"/>
  <c r="P585" i="6"/>
  <c r="O586" i="6" s="1"/>
  <c r="R586" i="6" l="1"/>
  <c r="Q586" i="6"/>
  <c r="P586" i="6"/>
  <c r="O587" i="6" s="1"/>
  <c r="T587" i="6" s="1"/>
  <c r="S586" i="6"/>
  <c r="T586" i="6" s="1"/>
  <c r="Q587" i="6" l="1"/>
  <c r="R587" i="6"/>
  <c r="P587" i="6"/>
  <c r="O588" i="6" s="1"/>
  <c r="T588" i="6" s="1"/>
  <c r="S587" i="6"/>
  <c r="S588" i="6" s="1"/>
  <c r="R588" i="6" l="1"/>
  <c r="Q588" i="6"/>
  <c r="P588" i="6"/>
  <c r="O589" i="6" s="1"/>
  <c r="T589" i="6" s="1"/>
  <c r="R589" i="6" l="1"/>
  <c r="Q589" i="6"/>
  <c r="P589" i="6"/>
  <c r="O590" i="6" s="1"/>
  <c r="T590" i="6" s="1"/>
  <c r="S589" i="6"/>
  <c r="S590" i="6" s="1"/>
  <c r="R590" i="6" l="1"/>
  <c r="Q590" i="6"/>
  <c r="P590" i="6"/>
  <c r="O591" i="6" s="1"/>
  <c r="T591" i="6" s="1"/>
  <c r="R591" i="6" l="1"/>
  <c r="Q591" i="6"/>
  <c r="P591" i="6"/>
  <c r="O592" i="6" s="1"/>
  <c r="T592" i="6" s="1"/>
  <c r="S591" i="6"/>
  <c r="S592" i="6" s="1"/>
  <c r="R592" i="6" l="1"/>
  <c r="Q592" i="6"/>
  <c r="P592" i="6"/>
  <c r="O593" i="6" s="1"/>
  <c r="T593" i="6" s="1"/>
  <c r="Q593" i="6" l="1"/>
  <c r="R593" i="6"/>
  <c r="P593" i="6"/>
  <c r="O594" i="6" s="1"/>
  <c r="T594" i="6" s="1"/>
  <c r="S593" i="6"/>
  <c r="S594" i="6" l="1"/>
  <c r="R594" i="6"/>
  <c r="Q594" i="6"/>
  <c r="P594" i="6"/>
  <c r="O595" i="6" s="1"/>
  <c r="T595" i="6" s="1"/>
  <c r="R595" i="6" l="1"/>
  <c r="Q595" i="6"/>
  <c r="P595" i="6"/>
  <c r="O596" i="6" s="1"/>
  <c r="T596" i="6" s="1"/>
  <c r="S595" i="6"/>
  <c r="S596" i="6" l="1"/>
  <c r="R596" i="6"/>
  <c r="Q596" i="6"/>
  <c r="P596" i="6"/>
  <c r="O597" i="6" s="1"/>
  <c r="T597" i="6" s="1"/>
  <c r="R597" i="6" l="1"/>
  <c r="Q597" i="6"/>
  <c r="P597" i="6"/>
  <c r="O598" i="6" s="1"/>
  <c r="T598" i="6" s="1"/>
  <c r="S597" i="6"/>
  <c r="S598" i="6" l="1"/>
  <c r="R598" i="6"/>
  <c r="Q598" i="6"/>
  <c r="P598" i="6"/>
  <c r="O599" i="6" s="1"/>
  <c r="T599" i="6" s="1"/>
  <c r="Q599" i="6" l="1"/>
  <c r="R599" i="6"/>
  <c r="P599" i="6"/>
  <c r="O600" i="6" s="1"/>
  <c r="T600" i="6" s="1"/>
  <c r="S599" i="6"/>
  <c r="S600" i="6" l="1"/>
  <c r="R600" i="6"/>
  <c r="Q600" i="6"/>
  <c r="P600" i="6"/>
  <c r="O601" i="6" s="1"/>
  <c r="T601" i="6" s="1"/>
  <c r="Q601" i="6" l="1"/>
  <c r="R601" i="6"/>
  <c r="P601" i="6"/>
  <c r="O602" i="6" s="1"/>
  <c r="T602" i="6" s="1"/>
  <c r="S601" i="6"/>
  <c r="S602" i="6" s="1"/>
  <c r="R602" i="6" l="1"/>
  <c r="Q602" i="6"/>
  <c r="P602" i="6"/>
  <c r="O603" i="6" s="1"/>
  <c r="T603" i="6" s="1"/>
  <c r="Q603" i="6" l="1"/>
  <c r="R603" i="6"/>
  <c r="P603" i="6"/>
  <c r="O604" i="6" s="1"/>
  <c r="T604" i="6" s="1"/>
  <c r="S603" i="6"/>
  <c r="S604" i="6" s="1"/>
  <c r="R604" i="6" l="1"/>
  <c r="Q604" i="6"/>
  <c r="P604" i="6"/>
  <c r="O605" i="6" s="1"/>
  <c r="T605" i="6" s="1"/>
  <c r="R605" i="6" l="1"/>
  <c r="Q605" i="6"/>
  <c r="P605" i="6"/>
  <c r="O606" i="6" s="1"/>
  <c r="T606" i="6" s="1"/>
  <c r="S605" i="6"/>
  <c r="S606" i="6" l="1"/>
  <c r="Q606" i="6"/>
  <c r="R606" i="6"/>
  <c r="P606" i="6"/>
  <c r="O607" i="6" s="1"/>
  <c r="T607" i="6" s="1"/>
  <c r="Q607" i="6" l="1"/>
  <c r="R607" i="6"/>
  <c r="P607" i="6"/>
  <c r="O608" i="6" s="1"/>
  <c r="T608" i="6" s="1"/>
  <c r="S607" i="6"/>
  <c r="S608" i="6" l="1"/>
  <c r="Q608" i="6"/>
  <c r="R608" i="6"/>
  <c r="P608" i="6"/>
  <c r="O609" i="6" s="1"/>
  <c r="T609" i="6" s="1"/>
  <c r="Q609" i="6" l="1"/>
  <c r="R609" i="6"/>
  <c r="P609" i="6"/>
  <c r="O610" i="6" s="1"/>
  <c r="T610" i="6" s="1"/>
  <c r="S609" i="6"/>
  <c r="S610" i="6" l="1"/>
  <c r="R610" i="6"/>
  <c r="Q610" i="6"/>
  <c r="P610" i="6"/>
  <c r="O611" i="6" s="1"/>
  <c r="T611" i="6" s="1"/>
  <c r="R611" i="6" l="1"/>
  <c r="Q611" i="6"/>
  <c r="P611" i="6"/>
  <c r="O612" i="6" s="1"/>
  <c r="T612" i="6" s="1"/>
  <c r="S611" i="6"/>
  <c r="S612" i="6" s="1"/>
  <c r="R612" i="6" l="1"/>
  <c r="Q612" i="6"/>
  <c r="P612" i="6"/>
  <c r="O613" i="6" s="1"/>
  <c r="T613" i="6" s="1"/>
  <c r="R613" i="6" l="1"/>
  <c r="Q613" i="6"/>
  <c r="P613" i="6"/>
  <c r="O614" i="6" s="1"/>
  <c r="T614" i="6" s="1"/>
  <c r="S613" i="6"/>
  <c r="S614" i="6" s="1"/>
  <c r="R614" i="6" l="1"/>
  <c r="Q614" i="6"/>
  <c r="P614" i="6"/>
  <c r="O615" i="6" s="1"/>
  <c r="T615" i="6" s="1"/>
  <c r="R615" i="6" l="1"/>
  <c r="Q615" i="6"/>
  <c r="P615" i="6"/>
  <c r="O616" i="6" s="1"/>
  <c r="T616" i="6" s="1"/>
  <c r="S615" i="6"/>
  <c r="S616" i="6" s="1"/>
  <c r="Q616" i="6" l="1"/>
  <c r="R616" i="6"/>
  <c r="P616" i="6"/>
  <c r="O617" i="6" s="1"/>
  <c r="T617" i="6" s="1"/>
  <c r="R617" i="6" l="1"/>
  <c r="Q617" i="6"/>
  <c r="P617" i="6"/>
  <c r="O618" i="6" s="1"/>
  <c r="T618" i="6" s="1"/>
  <c r="S617" i="6"/>
  <c r="S618" i="6" s="1"/>
  <c r="R618" i="6" l="1"/>
  <c r="Q618" i="6"/>
  <c r="P618" i="6"/>
  <c r="O619" i="6" s="1"/>
  <c r="T619" i="6" s="1"/>
  <c r="Q619" i="6" l="1"/>
  <c r="R619" i="6"/>
  <c r="P619" i="6"/>
  <c r="O620" i="6" s="1"/>
  <c r="T620" i="6" s="1"/>
  <c r="S619" i="6"/>
  <c r="S620" i="6" s="1"/>
  <c r="R620" i="6" l="1"/>
  <c r="Q620" i="6"/>
  <c r="P620" i="6"/>
  <c r="O621" i="6" s="1"/>
  <c r="T621" i="6" s="1"/>
  <c r="R621" i="6" l="1"/>
  <c r="Q621" i="6"/>
  <c r="P621" i="6"/>
  <c r="O622" i="6" s="1"/>
  <c r="T622" i="6" s="1"/>
  <c r="S621" i="6"/>
  <c r="S622" i="6" l="1"/>
  <c r="R622" i="6"/>
  <c r="Q622" i="6"/>
  <c r="P622" i="6"/>
  <c r="O623" i="6" s="1"/>
  <c r="T623" i="6" s="1"/>
  <c r="R623" i="6" l="1"/>
  <c r="Q623" i="6"/>
  <c r="P623" i="6"/>
  <c r="O624" i="6" s="1"/>
  <c r="T624" i="6" s="1"/>
  <c r="S623" i="6"/>
  <c r="S624" i="6" l="1"/>
  <c r="Q624" i="6"/>
  <c r="R624" i="6"/>
  <c r="P624" i="6"/>
  <c r="O625" i="6" s="1"/>
  <c r="T625" i="6" s="1"/>
  <c r="R625" i="6" l="1"/>
  <c r="Q625" i="6"/>
  <c r="P625" i="6"/>
  <c r="O626" i="6" s="1"/>
  <c r="T626" i="6" s="1"/>
  <c r="S625" i="6"/>
  <c r="S626" i="6" s="1"/>
  <c r="R626" i="6" l="1"/>
  <c r="Q626" i="6"/>
  <c r="P626" i="6"/>
  <c r="O627" i="6" s="1"/>
  <c r="T627" i="6" s="1"/>
  <c r="Q627" i="6" l="1"/>
  <c r="R627" i="6"/>
  <c r="P627" i="6"/>
  <c r="O628" i="6" s="1"/>
  <c r="T628" i="6" s="1"/>
  <c r="S627" i="6"/>
  <c r="S628" i="6" s="1"/>
  <c r="R628" i="6" l="1"/>
  <c r="Q628" i="6"/>
  <c r="P628" i="6"/>
  <c r="O629" i="6" s="1"/>
  <c r="T629" i="6" s="1"/>
  <c r="R629" i="6" l="1"/>
  <c r="Q629" i="6"/>
  <c r="P629" i="6"/>
  <c r="O630" i="6" s="1"/>
  <c r="T630" i="6" s="1"/>
  <c r="S629" i="6"/>
  <c r="S630" i="6" s="1"/>
  <c r="R630" i="6" l="1"/>
  <c r="Q630" i="6"/>
  <c r="P630" i="6"/>
  <c r="O631" i="6" s="1"/>
  <c r="T631" i="6" s="1"/>
  <c r="R631" i="6" l="1"/>
  <c r="Q631" i="6"/>
  <c r="P631" i="6"/>
  <c r="O632" i="6" s="1"/>
  <c r="T632" i="6" s="1"/>
  <c r="S631" i="6"/>
  <c r="S632" i="6" s="1"/>
  <c r="Q632" i="6" l="1"/>
  <c r="R632" i="6"/>
  <c r="P632" i="6"/>
  <c r="O633" i="6" s="1"/>
  <c r="T633" i="6" s="1"/>
  <c r="R633" i="6" l="1"/>
  <c r="Q633" i="6"/>
  <c r="P633" i="6"/>
  <c r="O634" i="6" s="1"/>
  <c r="T634" i="6" s="1"/>
  <c r="S633" i="6"/>
  <c r="S634" i="6" s="1"/>
  <c r="R634" i="6" l="1"/>
  <c r="Q634" i="6"/>
  <c r="P634" i="6"/>
  <c r="O635" i="6" s="1"/>
  <c r="T635" i="6" s="1"/>
  <c r="Q635" i="6" l="1"/>
  <c r="R635" i="6"/>
  <c r="P635" i="6"/>
  <c r="O636" i="6" s="1"/>
  <c r="T636" i="6" s="1"/>
  <c r="S635" i="6"/>
  <c r="S636" i="6" s="1"/>
  <c r="R636" i="6" l="1"/>
  <c r="Q636" i="6"/>
  <c r="P636" i="6"/>
  <c r="O637" i="6" s="1"/>
  <c r="T637" i="6" s="1"/>
  <c r="R637" i="6" l="1"/>
  <c r="Q637" i="6"/>
  <c r="P637" i="6"/>
  <c r="O638" i="6" s="1"/>
  <c r="T638" i="6" s="1"/>
  <c r="S637" i="6"/>
  <c r="S638" i="6" s="1"/>
  <c r="R638" i="6" l="1"/>
  <c r="Q638" i="6"/>
  <c r="P638" i="6"/>
  <c r="O639" i="6" s="1"/>
  <c r="T639" i="6" s="1"/>
  <c r="R639" i="6" l="1"/>
  <c r="Q639" i="6"/>
  <c r="P639" i="6"/>
  <c r="O640" i="6" s="1"/>
  <c r="T640" i="6" s="1"/>
  <c r="S639" i="6"/>
  <c r="S640" i="6" s="1"/>
  <c r="R640" i="6" l="1"/>
  <c r="Q640" i="6"/>
  <c r="P640" i="6"/>
  <c r="O641" i="6" s="1"/>
  <c r="T641" i="6" s="1"/>
  <c r="Q641" i="6" l="1"/>
  <c r="R641" i="6"/>
  <c r="P641" i="6"/>
  <c r="O642" i="6" s="1"/>
  <c r="T642" i="6" s="1"/>
  <c r="S641" i="6"/>
  <c r="S642" i="6" s="1"/>
  <c r="R642" i="6" l="1"/>
  <c r="Q642" i="6"/>
  <c r="P642" i="6"/>
  <c r="O643" i="6" s="1"/>
  <c r="T643" i="6" s="1"/>
  <c r="R643" i="6" l="1"/>
  <c r="Q643" i="6"/>
  <c r="P643" i="6"/>
  <c r="O644" i="6" s="1"/>
  <c r="T644" i="6" s="1"/>
  <c r="S643" i="6"/>
  <c r="S644" i="6" s="1"/>
  <c r="R644" i="6" l="1"/>
  <c r="Q644" i="6"/>
  <c r="P644" i="6"/>
  <c r="O645" i="6" s="1"/>
  <c r="T645" i="6" s="1"/>
  <c r="R645" i="6" l="1"/>
  <c r="Q645" i="6"/>
  <c r="P645" i="6"/>
  <c r="O646" i="6" s="1"/>
  <c r="T646" i="6" s="1"/>
  <c r="S645" i="6"/>
  <c r="S646" i="6" s="1"/>
  <c r="R646" i="6" l="1"/>
  <c r="Q646" i="6"/>
  <c r="P646" i="6"/>
  <c r="O647" i="6" s="1"/>
  <c r="T647" i="6" s="1"/>
  <c r="R647" i="6" l="1"/>
  <c r="Q647" i="6"/>
  <c r="P647" i="6"/>
  <c r="O648" i="6" s="1"/>
  <c r="T648" i="6" s="1"/>
  <c r="S647" i="6"/>
  <c r="S648" i="6" s="1"/>
  <c r="Q648" i="6" l="1"/>
  <c r="R648" i="6"/>
  <c r="P648" i="6"/>
  <c r="O649" i="6" s="1"/>
  <c r="T649" i="6" s="1"/>
  <c r="Q649" i="6" l="1"/>
  <c r="R649" i="6"/>
  <c r="P649" i="6"/>
  <c r="O650" i="6" s="1"/>
  <c r="T650" i="6" s="1"/>
  <c r="S649" i="6"/>
  <c r="S650" i="6" s="1"/>
  <c r="R650" i="6" l="1"/>
  <c r="Q650" i="6"/>
  <c r="P650" i="6"/>
  <c r="O651" i="6" s="1"/>
  <c r="T651" i="6" s="1"/>
  <c r="Q651" i="6" l="1"/>
  <c r="R651" i="6"/>
  <c r="P651" i="6"/>
  <c r="O652" i="6" s="1"/>
  <c r="T652" i="6" s="1"/>
  <c r="S651" i="6"/>
  <c r="S652" i="6" s="1"/>
  <c r="R652" i="6" l="1"/>
  <c r="Q652" i="6"/>
  <c r="P652" i="6"/>
  <c r="O653" i="6" s="1"/>
  <c r="T653" i="6" s="1"/>
  <c r="R653" i="6" l="1"/>
  <c r="Q653" i="6"/>
  <c r="P653" i="6"/>
  <c r="O654" i="6" s="1"/>
  <c r="T654" i="6" s="1"/>
  <c r="S653" i="6"/>
  <c r="S654" i="6" s="1"/>
  <c r="R654" i="6" l="1"/>
  <c r="Q654" i="6"/>
  <c r="P654" i="6"/>
  <c r="O655" i="6" s="1"/>
  <c r="T655" i="6" s="1"/>
  <c r="R655" i="6" l="1"/>
  <c r="Q655" i="6"/>
  <c r="P655" i="6"/>
  <c r="O656" i="6" s="1"/>
  <c r="T656" i="6" s="1"/>
  <c r="S655" i="6"/>
  <c r="S656" i="6" s="1"/>
  <c r="R656" i="6" l="1"/>
  <c r="Q656" i="6"/>
  <c r="P656" i="6"/>
  <c r="O657" i="6" s="1"/>
  <c r="T657" i="6" s="1"/>
  <c r="R657" i="6" l="1"/>
  <c r="Q657" i="6"/>
  <c r="P657" i="6"/>
  <c r="O658" i="6" s="1"/>
  <c r="T658" i="6" s="1"/>
  <c r="S657" i="6"/>
  <c r="S658" i="6" s="1"/>
  <c r="R658" i="6" l="1"/>
  <c r="Q658" i="6"/>
  <c r="P658" i="6"/>
  <c r="O659" i="6" s="1"/>
  <c r="T659" i="6" s="1"/>
  <c r="R659" i="6" l="1"/>
  <c r="Q659" i="6"/>
  <c r="P659" i="6"/>
  <c r="O660" i="6" s="1"/>
  <c r="T660" i="6" s="1"/>
  <c r="S659" i="6"/>
  <c r="S660" i="6" s="1"/>
  <c r="R660" i="6" l="1"/>
  <c r="Q660" i="6"/>
  <c r="P660" i="6"/>
  <c r="O661" i="6" s="1"/>
  <c r="T661" i="6" s="1"/>
  <c r="Q661" i="6" l="1"/>
  <c r="R661" i="6"/>
  <c r="P661" i="6"/>
  <c r="O662" i="6" s="1"/>
  <c r="T662" i="6" s="1"/>
  <c r="S661" i="6"/>
  <c r="S662" i="6" s="1"/>
  <c r="Q662" i="6" l="1"/>
  <c r="R662" i="6"/>
  <c r="P662" i="6"/>
  <c r="O663" i="6" s="1"/>
  <c r="T663" i="6" s="1"/>
  <c r="R663" i="6" l="1"/>
  <c r="Q663" i="6"/>
  <c r="P663" i="6"/>
  <c r="O664" i="6" s="1"/>
  <c r="T664" i="6" s="1"/>
  <c r="S663" i="6"/>
  <c r="S664" i="6" s="1"/>
  <c r="Q664" i="6" l="1"/>
  <c r="R664" i="6"/>
  <c r="P664" i="6"/>
  <c r="O665" i="6" s="1"/>
  <c r="T665" i="6" s="1"/>
  <c r="R665" i="6" l="1"/>
  <c r="Q665" i="6"/>
  <c r="P665" i="6"/>
  <c r="O666" i="6" s="1"/>
  <c r="T666" i="6" s="1"/>
  <c r="S665" i="6"/>
  <c r="S666" i="6" s="1"/>
  <c r="R666" i="6" l="1"/>
  <c r="Q666" i="6"/>
  <c r="P666" i="6"/>
  <c r="O667" i="6" s="1"/>
  <c r="T667" i="6" s="1"/>
  <c r="R667" i="6" l="1"/>
  <c r="Q667" i="6"/>
  <c r="P667" i="6"/>
  <c r="O668" i="6" s="1"/>
  <c r="T668" i="6" s="1"/>
  <c r="S667" i="6"/>
  <c r="S668" i="6" l="1"/>
  <c r="R668" i="6"/>
  <c r="Q668" i="6"/>
  <c r="P668" i="6"/>
  <c r="O669" i="6" s="1"/>
  <c r="T669" i="6" s="1"/>
  <c r="Q669" i="6" l="1"/>
  <c r="R669" i="6"/>
  <c r="P669" i="6"/>
  <c r="O670" i="6" s="1"/>
  <c r="T670" i="6" s="1"/>
  <c r="S669" i="6"/>
  <c r="S670" i="6" s="1"/>
  <c r="R670" i="6" l="1"/>
  <c r="Q670" i="6"/>
  <c r="P670" i="6"/>
  <c r="O671" i="6" s="1"/>
  <c r="T671" i="6" s="1"/>
  <c r="R671" i="6" l="1"/>
  <c r="Q671" i="6"/>
  <c r="P671" i="6"/>
  <c r="O672" i="6" s="1"/>
  <c r="T672" i="6" s="1"/>
  <c r="S671" i="6"/>
  <c r="S672" i="6" l="1"/>
  <c r="R672" i="6"/>
  <c r="Q672" i="6"/>
  <c r="P672" i="6"/>
  <c r="O673" i="6" s="1"/>
  <c r="T673" i="6" s="1"/>
  <c r="R673" i="6" l="1"/>
  <c r="Q673" i="6"/>
  <c r="P673" i="6"/>
  <c r="O674" i="6" s="1"/>
  <c r="T674" i="6" s="1"/>
  <c r="S673" i="6"/>
  <c r="S674" i="6" s="1"/>
  <c r="Q674" i="6" l="1"/>
  <c r="R674" i="6"/>
  <c r="P674" i="6"/>
  <c r="O675" i="6" s="1"/>
  <c r="T675" i="6" s="1"/>
  <c r="R675" i="6" l="1"/>
  <c r="Q675" i="6"/>
  <c r="P675" i="6"/>
  <c r="O676" i="6" s="1"/>
  <c r="T676" i="6" s="1"/>
  <c r="S675" i="6"/>
  <c r="S676" i="6" s="1"/>
  <c r="Q676" i="6" l="1"/>
  <c r="R676" i="6"/>
  <c r="P676" i="6"/>
  <c r="O677" i="6" s="1"/>
  <c r="T677" i="6" s="1"/>
  <c r="Q677" i="6" l="1"/>
  <c r="R677" i="6"/>
  <c r="P677" i="6"/>
  <c r="O678" i="6" s="1"/>
  <c r="T678" i="6" s="1"/>
  <c r="S677" i="6"/>
  <c r="S678" i="6" s="1"/>
  <c r="R678" i="6" l="1"/>
  <c r="Q678" i="6"/>
  <c r="P678" i="6"/>
  <c r="O679" i="6" s="1"/>
  <c r="T679" i="6" s="1"/>
  <c r="R679" i="6" l="1"/>
  <c r="Q679" i="6"/>
  <c r="P679" i="6"/>
  <c r="O680" i="6" s="1"/>
  <c r="T680" i="6" s="1"/>
  <c r="S679" i="6"/>
  <c r="S680" i="6" s="1"/>
  <c r="R680" i="6" l="1"/>
  <c r="Q680" i="6"/>
  <c r="P680" i="6"/>
  <c r="O681" i="6" s="1"/>
  <c r="T681" i="6" s="1"/>
  <c r="R681" i="6" l="1"/>
  <c r="Q681" i="6"/>
  <c r="P681" i="6"/>
  <c r="O682" i="6" s="1"/>
  <c r="T682" i="6" s="1"/>
  <c r="S681" i="6"/>
  <c r="S682" i="6" s="1"/>
  <c r="Q682" i="6" l="1"/>
  <c r="R682" i="6"/>
  <c r="P682" i="6"/>
  <c r="O683" i="6" s="1"/>
  <c r="T683" i="6" s="1"/>
  <c r="R683" i="6" l="1"/>
  <c r="Q683" i="6"/>
  <c r="P683" i="6"/>
  <c r="O684" i="6" s="1"/>
  <c r="T684" i="6" s="1"/>
  <c r="S683" i="6"/>
  <c r="S684" i="6" s="1"/>
  <c r="R684" i="6" l="1"/>
  <c r="Q684" i="6"/>
  <c r="P684" i="6"/>
  <c r="O685" i="6" s="1"/>
  <c r="T685" i="6" s="1"/>
  <c r="R685" i="6" l="1"/>
  <c r="Q685" i="6"/>
  <c r="P685" i="6"/>
  <c r="O686" i="6" s="1"/>
  <c r="T686" i="6" s="1"/>
  <c r="S685" i="6"/>
  <c r="S686" i="6" s="1"/>
  <c r="Q686" i="6" l="1"/>
  <c r="R686" i="6"/>
  <c r="P686" i="6"/>
  <c r="O687" i="6" s="1"/>
  <c r="T687" i="6" s="1"/>
  <c r="R687" i="6" l="1"/>
  <c r="Q687" i="6"/>
  <c r="P687" i="6"/>
  <c r="O688" i="6" s="1"/>
  <c r="T688" i="6" s="1"/>
  <c r="S687" i="6"/>
  <c r="S688" i="6" s="1"/>
  <c r="R688" i="6" l="1"/>
  <c r="Q688" i="6"/>
  <c r="P688" i="6"/>
  <c r="O689" i="6" s="1"/>
  <c r="R689" i="6" l="1"/>
  <c r="Q689" i="6"/>
  <c r="P689" i="6"/>
  <c r="O690" i="6" s="1"/>
  <c r="T690" i="6" s="1"/>
  <c r="S689" i="6"/>
  <c r="T689" i="6" s="1"/>
  <c r="Q690" i="6" l="1"/>
  <c r="R690" i="6"/>
  <c r="P690" i="6"/>
  <c r="O691" i="6" s="1"/>
  <c r="T691" i="6" s="1"/>
  <c r="S690" i="6"/>
  <c r="S691" i="6" s="1"/>
  <c r="R691" i="6" l="1"/>
  <c r="Q691" i="6"/>
  <c r="P691" i="6"/>
  <c r="O692" i="6" s="1"/>
  <c r="T692" i="6" s="1"/>
  <c r="Q692" i="6" l="1"/>
  <c r="R692" i="6"/>
  <c r="P692" i="6"/>
  <c r="O693" i="6" s="1"/>
  <c r="T693" i="6" s="1"/>
  <c r="S692" i="6"/>
  <c r="S693" i="6" s="1"/>
  <c r="R693" i="6" l="1"/>
  <c r="Q693" i="6"/>
  <c r="P693" i="6"/>
  <c r="O694" i="6" s="1"/>
  <c r="T694" i="6" s="1"/>
  <c r="R694" i="6" l="1"/>
  <c r="Q694" i="6"/>
  <c r="P694" i="6"/>
  <c r="O695" i="6" s="1"/>
  <c r="T695" i="6" s="1"/>
  <c r="S694" i="6"/>
  <c r="S695" i="6" s="1"/>
  <c r="R695" i="6" l="1"/>
  <c r="Q695" i="6"/>
  <c r="P695" i="6"/>
  <c r="O696" i="6" s="1"/>
  <c r="T696" i="6" s="1"/>
  <c r="R696" i="6" l="1"/>
  <c r="Q696" i="6"/>
  <c r="P696" i="6"/>
  <c r="O697" i="6" s="1"/>
  <c r="T697" i="6" s="1"/>
  <c r="S696" i="6"/>
  <c r="S697" i="6" s="1"/>
  <c r="R697" i="6" l="1"/>
  <c r="Q697" i="6"/>
  <c r="P697" i="6"/>
  <c r="O698" i="6" s="1"/>
  <c r="T698" i="6" s="1"/>
  <c r="R698" i="6" l="1"/>
  <c r="Q698" i="6"/>
  <c r="P698" i="6"/>
  <c r="O699" i="6" s="1"/>
  <c r="T699" i="6" s="1"/>
  <c r="S698" i="6"/>
  <c r="R699" i="6" l="1"/>
  <c r="Q699" i="6"/>
  <c r="S699" i="6"/>
  <c r="P699" i="6"/>
  <c r="O700" i="6" s="1"/>
  <c r="T700" i="6" s="1"/>
  <c r="Q700" i="6" l="1"/>
  <c r="R700" i="6"/>
  <c r="P700" i="6"/>
  <c r="O701" i="6" s="1"/>
  <c r="T701" i="6" s="1"/>
  <c r="S700" i="6"/>
  <c r="S701" i="6" s="1"/>
  <c r="R701" i="6" l="1"/>
  <c r="Q701" i="6"/>
  <c r="P701" i="6"/>
  <c r="O702" i="6" s="1"/>
  <c r="T702" i="6" s="1"/>
  <c r="R702" i="6" l="1"/>
  <c r="Q702" i="6"/>
  <c r="P702" i="6"/>
  <c r="O703" i="6" s="1"/>
  <c r="T703" i="6" s="1"/>
  <c r="S702" i="6"/>
  <c r="S703" i="6" s="1"/>
  <c r="Q703" i="6" l="1"/>
  <c r="R703" i="6"/>
  <c r="P703" i="6"/>
  <c r="O704" i="6" s="1"/>
  <c r="T704" i="6" s="1"/>
  <c r="Q704" i="6" l="1"/>
  <c r="R704" i="6"/>
  <c r="P704" i="6"/>
  <c r="O705" i="6" s="1"/>
  <c r="T705" i="6" s="1"/>
  <c r="S704" i="6"/>
  <c r="S705" i="6" s="1"/>
  <c r="R705" i="6" l="1"/>
  <c r="Q705" i="6"/>
  <c r="P705" i="6"/>
  <c r="O706" i="6" s="1"/>
  <c r="T706" i="6" s="1"/>
  <c r="R706" i="6" l="1"/>
  <c r="Q706" i="6"/>
  <c r="P706" i="6"/>
  <c r="O707" i="6" s="1"/>
  <c r="T707" i="6" s="1"/>
  <c r="S706" i="6"/>
  <c r="S707" i="6" s="1"/>
  <c r="Q707" i="6" l="1"/>
  <c r="R707" i="6"/>
  <c r="P707" i="6"/>
  <c r="O708" i="6" s="1"/>
  <c r="T708" i="6" s="1"/>
  <c r="R708" i="6" l="1"/>
  <c r="Q708" i="6"/>
  <c r="P708" i="6"/>
  <c r="O709" i="6" s="1"/>
  <c r="T709" i="6" s="1"/>
  <c r="S708" i="6"/>
  <c r="S709" i="6" s="1"/>
  <c r="R709" i="6" l="1"/>
  <c r="Q709" i="6"/>
  <c r="P709" i="6"/>
  <c r="O710" i="6" s="1"/>
  <c r="T710" i="6" s="1"/>
  <c r="R710" i="6" l="1"/>
  <c r="Q710" i="6"/>
  <c r="P710" i="6"/>
  <c r="O711" i="6" s="1"/>
  <c r="T711" i="6" s="1"/>
  <c r="S710" i="6"/>
  <c r="S711" i="6" s="1"/>
  <c r="Q711" i="6" l="1"/>
  <c r="R711" i="6"/>
  <c r="P711" i="6"/>
  <c r="O712" i="6" s="1"/>
  <c r="T712" i="6" s="1"/>
  <c r="Q712" i="6" l="1"/>
  <c r="R712" i="6"/>
  <c r="P712" i="6"/>
  <c r="O713" i="6" s="1"/>
  <c r="T713" i="6" s="1"/>
  <c r="S712" i="6"/>
  <c r="S713" i="6" l="1"/>
  <c r="Q713" i="6"/>
  <c r="R713" i="6"/>
  <c r="P713" i="6"/>
  <c r="O714" i="6" s="1"/>
  <c r="T714" i="6" s="1"/>
  <c r="R714" i="6" l="1"/>
  <c r="Q714" i="6"/>
  <c r="P714" i="6"/>
  <c r="O715" i="6" s="1"/>
  <c r="T715" i="6" s="1"/>
  <c r="S714" i="6"/>
  <c r="S715" i="6" s="1"/>
  <c r="Q715" i="6" l="1"/>
  <c r="R715" i="6"/>
  <c r="P715" i="6"/>
  <c r="O716" i="6" s="1"/>
  <c r="T716" i="6" s="1"/>
  <c r="R716" i="6" l="1"/>
  <c r="Q716" i="6"/>
  <c r="P716" i="6"/>
  <c r="O717" i="6" s="1"/>
  <c r="T717" i="6" s="1"/>
  <c r="S716" i="6"/>
  <c r="S717" i="6" s="1"/>
  <c r="R717" i="6" l="1"/>
  <c r="Q717" i="6"/>
  <c r="P717" i="6"/>
  <c r="O718" i="6" s="1"/>
  <c r="T718" i="6" s="1"/>
  <c r="R718" i="6" l="1"/>
  <c r="Q718" i="6"/>
  <c r="P718" i="6"/>
  <c r="O719" i="6" s="1"/>
  <c r="T719" i="6" s="1"/>
  <c r="S718" i="6"/>
  <c r="S719" i="6" s="1"/>
  <c r="Q719" i="6" l="1"/>
  <c r="R719" i="6"/>
  <c r="P719" i="6"/>
  <c r="O720" i="6" s="1"/>
  <c r="T720" i="6" s="1"/>
  <c r="R720" i="6" l="1"/>
  <c r="Q720" i="6"/>
  <c r="P720" i="6"/>
  <c r="O721" i="6" s="1"/>
  <c r="T721" i="6" s="1"/>
  <c r="S720" i="6"/>
  <c r="R721" i="6" l="1"/>
  <c r="Q721" i="6"/>
  <c r="P721" i="6"/>
  <c r="O722" i="6" s="1"/>
  <c r="T722" i="6" s="1"/>
  <c r="S721" i="6"/>
  <c r="S722" i="6" s="1"/>
  <c r="R722" i="6" l="1"/>
  <c r="Q722" i="6"/>
  <c r="P722" i="6"/>
  <c r="O723" i="6" s="1"/>
  <c r="T723" i="6" s="1"/>
  <c r="R723" i="6" l="1"/>
  <c r="Q723" i="6"/>
  <c r="P723" i="6"/>
  <c r="O724" i="6" s="1"/>
  <c r="T724" i="6" s="1"/>
  <c r="S723" i="6"/>
  <c r="S724" i="6" s="1"/>
  <c r="R724" i="6" l="1"/>
  <c r="Q724" i="6"/>
  <c r="P724" i="6"/>
  <c r="O725" i="6" s="1"/>
  <c r="T725" i="6" s="1"/>
  <c r="R725" i="6" l="1"/>
  <c r="Q725" i="6"/>
  <c r="P725" i="6"/>
  <c r="O726" i="6" s="1"/>
  <c r="T726" i="6" s="1"/>
  <c r="S725" i="6"/>
  <c r="S726" i="6" s="1"/>
  <c r="R726" i="6" l="1"/>
  <c r="Q726" i="6"/>
  <c r="P726" i="6"/>
  <c r="O727" i="6" s="1"/>
  <c r="T727" i="6" s="1"/>
  <c r="Q727" i="6" l="1"/>
  <c r="R727" i="6"/>
  <c r="P727" i="6"/>
  <c r="O728" i="6" s="1"/>
  <c r="T728" i="6" s="1"/>
  <c r="S727" i="6"/>
  <c r="S728" i="6" s="1"/>
  <c r="Q728" i="6" l="1"/>
  <c r="R728" i="6"/>
  <c r="P728" i="6"/>
  <c r="O729" i="6" s="1"/>
  <c r="T729" i="6" s="1"/>
  <c r="R729" i="6" l="1"/>
  <c r="Q729" i="6"/>
  <c r="P729" i="6"/>
  <c r="O730" i="6" s="1"/>
  <c r="T730" i="6" s="1"/>
  <c r="S729" i="6"/>
  <c r="S730" i="6" l="1"/>
  <c r="R730" i="6"/>
  <c r="Q730" i="6"/>
  <c r="P730" i="6"/>
  <c r="O731" i="6" s="1"/>
  <c r="T731" i="6" s="1"/>
  <c r="R731" i="6" l="1"/>
  <c r="Q731" i="6"/>
  <c r="P731" i="6"/>
  <c r="O732" i="6" s="1"/>
  <c r="T732" i="6" s="1"/>
  <c r="S731" i="6"/>
  <c r="S732" i="6" s="1"/>
  <c r="Q732" i="6" l="1"/>
  <c r="R732" i="6"/>
  <c r="P732" i="6"/>
  <c r="O733" i="6" s="1"/>
  <c r="T733" i="6" s="1"/>
  <c r="R733" i="6" l="1"/>
  <c r="Q733" i="6"/>
  <c r="P733" i="6"/>
  <c r="O734" i="6" s="1"/>
  <c r="T734" i="6" s="1"/>
  <c r="S733" i="6"/>
  <c r="S734" i="6" s="1"/>
  <c r="R734" i="6" l="1"/>
  <c r="Q734" i="6"/>
  <c r="P734" i="6"/>
  <c r="O735" i="6" s="1"/>
  <c r="T735" i="6" s="1"/>
  <c r="Q735" i="6" l="1"/>
  <c r="R735" i="6"/>
  <c r="P735" i="6"/>
  <c r="O736" i="6" s="1"/>
  <c r="T736" i="6" s="1"/>
  <c r="S735" i="6"/>
  <c r="S736" i="6" s="1"/>
  <c r="R736" i="6" l="1"/>
  <c r="Q736" i="6"/>
  <c r="P736" i="6"/>
  <c r="O737" i="6" s="1"/>
  <c r="T737" i="6" s="1"/>
  <c r="R737" i="6" l="1"/>
  <c r="Q737" i="6"/>
  <c r="P737" i="6"/>
  <c r="O738" i="6" s="1"/>
  <c r="T738" i="6" s="1"/>
  <c r="S737" i="6"/>
  <c r="S738" i="6" s="1"/>
  <c r="R738" i="6" l="1"/>
  <c r="Q738" i="6"/>
  <c r="P738" i="6"/>
  <c r="O739" i="6" s="1"/>
  <c r="T739" i="6" s="1"/>
  <c r="R739" i="6" l="1"/>
  <c r="Q739" i="6"/>
  <c r="P739" i="6"/>
  <c r="O740" i="6" s="1"/>
  <c r="T740" i="6" s="1"/>
  <c r="S739" i="6"/>
  <c r="S740" i="6" s="1"/>
  <c r="R740" i="6" l="1"/>
  <c r="Q740" i="6"/>
  <c r="P740" i="6"/>
  <c r="O741" i="6" s="1"/>
  <c r="T741" i="6" s="1"/>
  <c r="R741" i="6" l="1"/>
  <c r="Q741" i="6"/>
  <c r="P741" i="6"/>
  <c r="O742" i="6" s="1"/>
  <c r="T742" i="6" s="1"/>
  <c r="S741" i="6"/>
  <c r="S742" i="6" s="1"/>
  <c r="R742" i="6" l="1"/>
  <c r="Q742" i="6"/>
  <c r="P742" i="6"/>
  <c r="O743" i="6" s="1"/>
  <c r="T743" i="6" s="1"/>
  <c r="R743" i="6" l="1"/>
  <c r="Q743" i="6"/>
  <c r="P743" i="6"/>
  <c r="O744" i="6" s="1"/>
  <c r="T744" i="6" s="1"/>
  <c r="S743" i="6"/>
  <c r="S744" i="6" s="1"/>
  <c r="R744" i="6" l="1"/>
  <c r="Q744" i="6"/>
  <c r="P744" i="6"/>
  <c r="O745" i="6" s="1"/>
  <c r="T745" i="6" s="1"/>
  <c r="R745" i="6" l="1"/>
  <c r="Q745" i="6"/>
  <c r="P745" i="6"/>
  <c r="O746" i="6" s="1"/>
  <c r="T746" i="6" s="1"/>
  <c r="S745" i="6"/>
  <c r="S746" i="6" s="1"/>
  <c r="Q746" i="6" l="1"/>
  <c r="R746" i="6"/>
  <c r="P746" i="6"/>
  <c r="O747" i="6" s="1"/>
  <c r="T747" i="6" s="1"/>
  <c r="R747" i="6" l="1"/>
  <c r="Q747" i="6"/>
  <c r="P747" i="6"/>
  <c r="O748" i="6" s="1"/>
  <c r="T748" i="6" s="1"/>
  <c r="S747" i="6"/>
  <c r="S748" i="6" s="1"/>
  <c r="R748" i="6" l="1"/>
  <c r="Q748" i="6"/>
  <c r="P748" i="6"/>
  <c r="O749" i="6" s="1"/>
  <c r="T749" i="6" s="1"/>
  <c r="Q749" i="6" l="1"/>
  <c r="R749" i="6"/>
  <c r="P749" i="6"/>
  <c r="O750" i="6" s="1"/>
  <c r="T750" i="6" s="1"/>
  <c r="S749" i="6"/>
  <c r="S750" i="6" s="1"/>
  <c r="R750" i="6" l="1"/>
  <c r="Q750" i="6"/>
  <c r="P750" i="6"/>
  <c r="O751" i="6" s="1"/>
  <c r="T751" i="6" s="1"/>
  <c r="R751" i="6" l="1"/>
  <c r="Q751" i="6"/>
  <c r="P751" i="6"/>
  <c r="O752" i="6" s="1"/>
  <c r="T752" i="6" s="1"/>
  <c r="S751" i="6"/>
  <c r="S752" i="6" s="1"/>
  <c r="R752" i="6" l="1"/>
  <c r="Q752" i="6"/>
  <c r="P752" i="6"/>
  <c r="O753" i="6" s="1"/>
  <c r="T753" i="6" s="1"/>
  <c r="R753" i="6" l="1"/>
  <c r="Q753" i="6"/>
  <c r="P753" i="6"/>
  <c r="O754" i="6" s="1"/>
  <c r="T754" i="6" s="1"/>
  <c r="S753" i="6"/>
  <c r="S754" i="6" s="1"/>
  <c r="Q754" i="6" l="1"/>
  <c r="R754" i="6"/>
  <c r="P754" i="6"/>
  <c r="O755" i="6" s="1"/>
  <c r="T755" i="6" s="1"/>
  <c r="R755" i="6" l="1"/>
  <c r="Q755" i="6"/>
  <c r="P755" i="6"/>
  <c r="O756" i="6" s="1"/>
  <c r="S755" i="6"/>
  <c r="R756" i="6" l="1"/>
  <c r="Q756" i="6"/>
  <c r="P756" i="6"/>
  <c r="O757" i="6" s="1"/>
  <c r="T757" i="6" s="1"/>
  <c r="S756" i="6"/>
  <c r="S757" i="6" s="1"/>
  <c r="T756" i="6" l="1"/>
  <c r="R757" i="6"/>
  <c r="Q757" i="6"/>
  <c r="P757" i="6"/>
  <c r="O758" i="6" s="1"/>
  <c r="T758" i="6" s="1"/>
  <c r="R758" i="6" l="1"/>
  <c r="Q758" i="6"/>
  <c r="P758" i="6"/>
  <c r="O759" i="6" s="1"/>
  <c r="T759" i="6" s="1"/>
  <c r="S758" i="6"/>
  <c r="R759" i="6" l="1"/>
  <c r="Q759" i="6"/>
  <c r="P759" i="6"/>
  <c r="O760" i="6" s="1"/>
  <c r="T760" i="6" s="1"/>
  <c r="S759" i="6"/>
  <c r="S760" i="6" l="1"/>
  <c r="R760" i="6"/>
  <c r="Q760" i="6"/>
  <c r="P760" i="6"/>
  <c r="O761" i="6" s="1"/>
  <c r="T761" i="6" s="1"/>
  <c r="Q761" i="6" l="1"/>
  <c r="R761" i="6"/>
  <c r="P761" i="6"/>
  <c r="O762" i="6" s="1"/>
  <c r="T762" i="6" s="1"/>
  <c r="S761" i="6"/>
  <c r="S762" i="6" s="1"/>
  <c r="R762" i="6" l="1"/>
  <c r="Q762" i="6"/>
  <c r="P762" i="6"/>
  <c r="O763" i="6" s="1"/>
  <c r="T763" i="6" s="1"/>
  <c r="R763" i="6" l="1"/>
  <c r="Q763" i="6"/>
  <c r="P763" i="6"/>
  <c r="O764" i="6" s="1"/>
  <c r="T764" i="6" s="1"/>
  <c r="S763" i="6"/>
  <c r="S764" i="6" s="1"/>
  <c r="Q764" i="6" l="1"/>
  <c r="R764" i="6"/>
  <c r="P764" i="6"/>
  <c r="O765" i="6" s="1"/>
  <c r="T765" i="6" s="1"/>
  <c r="R765" i="6" l="1"/>
  <c r="Q765" i="6"/>
  <c r="P765" i="6"/>
  <c r="O766" i="6" s="1"/>
  <c r="T766" i="6" s="1"/>
  <c r="S765" i="6"/>
  <c r="S766" i="6" s="1"/>
  <c r="Q766" i="6" l="1"/>
  <c r="R766" i="6"/>
  <c r="P766" i="6"/>
  <c r="O767" i="6" s="1"/>
  <c r="T767" i="6" s="1"/>
  <c r="Q767" i="6" l="1"/>
  <c r="R767" i="6"/>
  <c r="P767" i="6"/>
  <c r="O768" i="6" s="1"/>
  <c r="T768" i="6" s="1"/>
  <c r="S767" i="6"/>
  <c r="S768" i="6" s="1"/>
  <c r="R768" i="6" l="1"/>
  <c r="Q768" i="6"/>
  <c r="P768" i="6"/>
  <c r="O769" i="6" s="1"/>
  <c r="T769" i="6" s="1"/>
  <c r="R769" i="6" l="1"/>
  <c r="Q769" i="6"/>
  <c r="P769" i="6"/>
  <c r="O770" i="6" s="1"/>
  <c r="T770" i="6" s="1"/>
  <c r="S769" i="6"/>
  <c r="S770" i="6" l="1"/>
  <c r="Q770" i="6"/>
  <c r="R770" i="6"/>
  <c r="P770" i="6"/>
  <c r="O771" i="6" s="1"/>
  <c r="T771" i="6" s="1"/>
  <c r="Q771" i="6" l="1"/>
  <c r="R771" i="6"/>
  <c r="P771" i="6"/>
  <c r="O772" i="6" s="1"/>
  <c r="T772" i="6" s="1"/>
  <c r="S771" i="6"/>
  <c r="S772" i="6" l="1"/>
  <c r="R772" i="6"/>
  <c r="Q772" i="6"/>
  <c r="P772" i="6"/>
  <c r="O773" i="6" s="1"/>
  <c r="T773" i="6" s="1"/>
  <c r="Q773" i="6" l="1"/>
  <c r="R773" i="6"/>
  <c r="P773" i="6"/>
  <c r="O774" i="6" s="1"/>
  <c r="T774" i="6" s="1"/>
  <c r="S773" i="6"/>
  <c r="S774" i="6" s="1"/>
  <c r="R774" i="6" l="1"/>
  <c r="Q774" i="6"/>
  <c r="P774" i="6"/>
  <c r="O775" i="6" s="1"/>
  <c r="T775" i="6" s="1"/>
  <c r="R775" i="6" l="1"/>
  <c r="Q775" i="6"/>
  <c r="P775" i="6"/>
  <c r="O776" i="6" s="1"/>
  <c r="T776" i="6" s="1"/>
  <c r="S775" i="6"/>
  <c r="S776" i="6" s="1"/>
  <c r="R776" i="6" l="1"/>
  <c r="Q776" i="6"/>
  <c r="P776" i="6"/>
  <c r="O777" i="6" s="1"/>
  <c r="T777" i="6" s="1"/>
  <c r="R777" i="6" l="1"/>
  <c r="Q777" i="6"/>
  <c r="P777" i="6"/>
  <c r="O778" i="6" s="1"/>
  <c r="T778" i="6" s="1"/>
  <c r="S777" i="6"/>
  <c r="S778" i="6" s="1"/>
  <c r="R778" i="6" l="1"/>
  <c r="Q778" i="6"/>
  <c r="P778" i="6"/>
  <c r="O779" i="6" s="1"/>
  <c r="T779" i="6" s="1"/>
  <c r="Q779" i="6" l="1"/>
  <c r="R779" i="6"/>
  <c r="P779" i="6"/>
  <c r="O780" i="6" s="1"/>
  <c r="T780" i="6" s="1"/>
  <c r="S779" i="6"/>
  <c r="S780" i="6" s="1"/>
  <c r="Q780" i="6" l="1"/>
  <c r="R780" i="6"/>
  <c r="P780" i="6"/>
  <c r="O781" i="6" s="1"/>
  <c r="T781" i="6" s="1"/>
  <c r="R781" i="6" l="1"/>
  <c r="Q781" i="6"/>
  <c r="P781" i="6"/>
  <c r="O782" i="6" s="1"/>
  <c r="T782" i="6" s="1"/>
  <c r="S781" i="6"/>
  <c r="Q782" i="6" l="1"/>
  <c r="R782" i="6"/>
  <c r="P782" i="6"/>
  <c r="O783" i="6" s="1"/>
  <c r="T783" i="6" s="1"/>
  <c r="S782" i="6"/>
  <c r="S783" i="6" s="1"/>
  <c r="R783" i="6" l="1"/>
  <c r="Q783" i="6"/>
  <c r="P783" i="6"/>
  <c r="O784" i="6" s="1"/>
  <c r="T784" i="6" s="1"/>
  <c r="Q784" i="6" l="1"/>
  <c r="R784" i="6"/>
  <c r="P784" i="6"/>
  <c r="O785" i="6" s="1"/>
  <c r="T785" i="6" s="1"/>
  <c r="S784" i="6"/>
  <c r="S785" i="6" s="1"/>
  <c r="R785" i="6" l="1"/>
  <c r="Q785" i="6"/>
  <c r="P785" i="6"/>
  <c r="O786" i="6" s="1"/>
  <c r="T786" i="6" s="1"/>
  <c r="R786" i="6" l="1"/>
  <c r="Q786" i="6"/>
  <c r="P786" i="6"/>
  <c r="O787" i="6" s="1"/>
  <c r="T787" i="6" s="1"/>
  <c r="S786" i="6"/>
  <c r="S787" i="6" s="1"/>
  <c r="Q787" i="6" l="1"/>
  <c r="R787" i="6"/>
  <c r="P787" i="6"/>
  <c r="O788" i="6" s="1"/>
  <c r="T788" i="6" s="1"/>
  <c r="R788" i="6" l="1"/>
  <c r="Q788" i="6"/>
  <c r="P788" i="6"/>
  <c r="O789" i="6" s="1"/>
  <c r="T789" i="6" s="1"/>
  <c r="S788" i="6"/>
  <c r="S789" i="6" s="1"/>
  <c r="R789" i="6" l="1"/>
  <c r="Q789" i="6"/>
  <c r="P789" i="6"/>
  <c r="O790" i="6" s="1"/>
  <c r="T790" i="6" s="1"/>
  <c r="R790" i="6" l="1"/>
  <c r="Q790" i="6"/>
  <c r="P790" i="6"/>
  <c r="O791" i="6" s="1"/>
  <c r="T791" i="6" s="1"/>
  <c r="S790" i="6"/>
  <c r="S791" i="6" s="1"/>
  <c r="Q791" i="6" l="1"/>
  <c r="R791" i="6"/>
  <c r="P791" i="6"/>
  <c r="O792" i="6" s="1"/>
  <c r="T792" i="6" s="1"/>
  <c r="R792" i="6" l="1"/>
  <c r="Q792" i="6"/>
  <c r="P792" i="6"/>
  <c r="O793" i="6" s="1"/>
  <c r="T793" i="6" s="1"/>
  <c r="S792" i="6"/>
  <c r="S793" i="6" s="1"/>
  <c r="Q793" i="6" l="1"/>
  <c r="R793" i="6"/>
  <c r="P793" i="6"/>
  <c r="O794" i="6" s="1"/>
  <c r="T794" i="6" s="1"/>
  <c r="R794" i="6" l="1"/>
  <c r="Q794" i="6"/>
  <c r="P794" i="6"/>
  <c r="O795" i="6" s="1"/>
  <c r="T795" i="6" s="1"/>
  <c r="S794" i="6"/>
  <c r="S795" i="6" s="1"/>
  <c r="R795" i="6" l="1"/>
  <c r="Q795" i="6"/>
  <c r="P795" i="6"/>
  <c r="O796" i="6" s="1"/>
  <c r="T796" i="6" s="1"/>
  <c r="Q796" i="6" l="1"/>
  <c r="R796" i="6"/>
  <c r="P796" i="6"/>
  <c r="O797" i="6" s="1"/>
  <c r="T797" i="6" s="1"/>
  <c r="S796" i="6"/>
  <c r="S797" i="6" s="1"/>
  <c r="R797" i="6" l="1"/>
  <c r="Q797" i="6"/>
  <c r="P797" i="6"/>
  <c r="O798" i="6" s="1"/>
  <c r="T798" i="6" s="1"/>
  <c r="R798" i="6" l="1"/>
  <c r="Q798" i="6"/>
  <c r="P798" i="6"/>
  <c r="O799" i="6" s="1"/>
  <c r="T799" i="6" s="1"/>
  <c r="S798" i="6"/>
  <c r="S799" i="6" s="1"/>
  <c r="R799" i="6" l="1"/>
  <c r="Q799" i="6"/>
  <c r="P799" i="6"/>
  <c r="O800" i="6" s="1"/>
  <c r="T800" i="6" s="1"/>
  <c r="R800" i="6" l="1"/>
  <c r="Q800" i="6"/>
  <c r="P800" i="6"/>
  <c r="O801" i="6" s="1"/>
  <c r="T801" i="6" s="1"/>
  <c r="S800" i="6"/>
  <c r="S801" i="6" s="1"/>
  <c r="R801" i="6" l="1"/>
  <c r="Q801" i="6"/>
  <c r="P801" i="6"/>
  <c r="O802" i="6" s="1"/>
  <c r="T802" i="6" s="1"/>
  <c r="R802" i="6" l="1"/>
  <c r="Q802" i="6"/>
  <c r="P802" i="6"/>
  <c r="O803" i="6" s="1"/>
  <c r="T803" i="6" s="1"/>
  <c r="S802" i="6"/>
  <c r="S803" i="6" l="1"/>
  <c r="R803" i="6"/>
  <c r="Q803" i="6"/>
  <c r="P803" i="6"/>
  <c r="O804" i="6" s="1"/>
  <c r="T804" i="6" s="1"/>
  <c r="Q804" i="6" l="1"/>
  <c r="R804" i="6"/>
  <c r="P804" i="6"/>
  <c r="O805" i="6" s="1"/>
  <c r="T805" i="6" s="1"/>
  <c r="S804" i="6"/>
  <c r="S805" i="6" s="1"/>
  <c r="R805" i="6" l="1"/>
  <c r="Q805" i="6"/>
  <c r="P805" i="6"/>
  <c r="O806" i="6" s="1"/>
  <c r="T806" i="6" s="1"/>
  <c r="Q806" i="6" l="1"/>
  <c r="R806" i="6"/>
  <c r="P806" i="6"/>
  <c r="O807" i="6" s="1"/>
  <c r="T807" i="6" s="1"/>
  <c r="S806" i="6"/>
  <c r="R807" i="6" l="1"/>
  <c r="Q807" i="6"/>
  <c r="S807" i="6"/>
  <c r="P807" i="6"/>
  <c r="O808" i="6" s="1"/>
  <c r="T808" i="6" s="1"/>
  <c r="R808" i="6" l="1"/>
  <c r="Q808" i="6"/>
  <c r="P808" i="6"/>
  <c r="O809" i="6" s="1"/>
  <c r="T809" i="6" s="1"/>
  <c r="S808" i="6"/>
  <c r="S809" i="6" s="1"/>
  <c r="Q809" i="6" l="1"/>
  <c r="R809" i="6"/>
  <c r="P809" i="6"/>
  <c r="O810" i="6" s="1"/>
  <c r="T810" i="6" s="1"/>
  <c r="R810" i="6" l="1"/>
  <c r="Q810" i="6"/>
  <c r="P810" i="6"/>
  <c r="O811" i="6" s="1"/>
  <c r="T811" i="6" s="1"/>
  <c r="S810" i="6"/>
  <c r="S811" i="6" s="1"/>
  <c r="Q811" i="6" l="1"/>
  <c r="R811" i="6"/>
  <c r="P811" i="6"/>
  <c r="O812" i="6" s="1"/>
  <c r="T812" i="6" s="1"/>
  <c r="Q812" i="6" l="1"/>
  <c r="R812" i="6"/>
  <c r="P812" i="6"/>
  <c r="O813" i="6" s="1"/>
  <c r="T813" i="6" s="1"/>
  <c r="S812" i="6"/>
  <c r="S813" i="6" s="1"/>
  <c r="R813" i="6" l="1"/>
  <c r="Q813" i="6"/>
  <c r="P813" i="6"/>
  <c r="O814" i="6" s="1"/>
  <c r="T814" i="6" s="1"/>
  <c r="Q814" i="6" l="1"/>
  <c r="R814" i="6"/>
  <c r="P814" i="6"/>
  <c r="O815" i="6" s="1"/>
  <c r="T815" i="6" s="1"/>
  <c r="S814" i="6"/>
  <c r="S815" i="6" s="1"/>
  <c r="Q815" i="6" l="1"/>
  <c r="R815" i="6"/>
  <c r="P815" i="6"/>
  <c r="O816" i="6" s="1"/>
  <c r="T816" i="6" s="1"/>
  <c r="R816" i="6" l="1"/>
  <c r="Q816" i="6"/>
  <c r="P816" i="6"/>
  <c r="O817" i="6" s="1"/>
  <c r="T817" i="6" s="1"/>
  <c r="S816" i="6"/>
  <c r="S817" i="6" l="1"/>
  <c r="Q817" i="6"/>
  <c r="R817" i="6"/>
  <c r="P817" i="6"/>
  <c r="O818" i="6" s="1"/>
  <c r="T818" i="6" s="1"/>
  <c r="R818" i="6" l="1"/>
  <c r="Q818" i="6"/>
  <c r="P818" i="6"/>
  <c r="O819" i="6" s="1"/>
  <c r="S818" i="6"/>
  <c r="R819" i="6" l="1"/>
  <c r="Q819" i="6"/>
  <c r="P819" i="6"/>
  <c r="O820" i="6" s="1"/>
  <c r="T820" i="6" s="1"/>
  <c r="S819" i="6"/>
  <c r="T819" i="6" s="1"/>
  <c r="S820" i="6" l="1"/>
  <c r="R820" i="6"/>
  <c r="Q820" i="6"/>
  <c r="P820" i="6"/>
  <c r="O821" i="6" s="1"/>
  <c r="T821" i="6" s="1"/>
  <c r="R821" i="6" l="1"/>
  <c r="Q821" i="6"/>
  <c r="P821" i="6"/>
  <c r="O822" i="6" s="1"/>
  <c r="T822" i="6" s="1"/>
  <c r="S821" i="6"/>
  <c r="S822" i="6" s="1"/>
  <c r="R822" i="6" l="1"/>
  <c r="Q822" i="6"/>
  <c r="P822" i="6"/>
  <c r="O823" i="6" s="1"/>
  <c r="T823" i="6" s="1"/>
  <c r="R823" i="6" l="1"/>
  <c r="Q823" i="6"/>
  <c r="P823" i="6"/>
  <c r="O824" i="6" s="1"/>
  <c r="T824" i="6" s="1"/>
  <c r="S823" i="6"/>
  <c r="Q824" i="6" l="1"/>
  <c r="R824" i="6"/>
  <c r="P824" i="6"/>
  <c r="O825" i="6" s="1"/>
  <c r="T825" i="6" s="1"/>
  <c r="S824" i="6"/>
  <c r="S825" i="6" s="1"/>
  <c r="Q825" i="6" l="1"/>
  <c r="R825" i="6"/>
  <c r="P825" i="6"/>
  <c r="O826" i="6" s="1"/>
  <c r="T826" i="6" s="1"/>
  <c r="R826" i="6" l="1"/>
  <c r="Q826" i="6"/>
  <c r="P826" i="6"/>
  <c r="O827" i="6" s="1"/>
  <c r="T827" i="6" s="1"/>
  <c r="S826" i="6"/>
  <c r="S827" i="6" l="1"/>
  <c r="R827" i="6"/>
  <c r="Q827" i="6"/>
  <c r="P827" i="6"/>
  <c r="O828" i="6" s="1"/>
  <c r="T828" i="6" s="1"/>
  <c r="R828" i="6" l="1"/>
  <c r="Q828" i="6"/>
  <c r="P828" i="6"/>
  <c r="O829" i="6" s="1"/>
  <c r="T829" i="6" s="1"/>
  <c r="S828" i="6"/>
  <c r="S829" i="6" s="1"/>
  <c r="R829" i="6" l="1"/>
  <c r="Q829" i="6"/>
  <c r="P829" i="6"/>
  <c r="O830" i="6" s="1"/>
  <c r="T830" i="6" s="1"/>
  <c r="Q830" i="6" l="1"/>
  <c r="R830" i="6"/>
  <c r="P830" i="6"/>
  <c r="O831" i="6" s="1"/>
  <c r="T831" i="6" s="1"/>
  <c r="S830" i="6"/>
  <c r="S831" i="6" s="1"/>
  <c r="R831" i="6" l="1"/>
  <c r="Q831" i="6"/>
  <c r="P831" i="6"/>
  <c r="O832" i="6" s="1"/>
  <c r="T832" i="6" s="1"/>
  <c r="R832" i="6" l="1"/>
  <c r="Q832" i="6"/>
  <c r="P832" i="6"/>
  <c r="O833" i="6" s="1"/>
  <c r="T833" i="6" s="1"/>
  <c r="S832" i="6"/>
  <c r="S833" i="6" l="1"/>
  <c r="Q833" i="6"/>
  <c r="R833" i="6"/>
  <c r="P833" i="6"/>
  <c r="O834" i="6" s="1"/>
  <c r="T834" i="6" s="1"/>
  <c r="R834" i="6" l="1"/>
  <c r="Q834" i="6"/>
  <c r="P834" i="6"/>
  <c r="O835" i="6" s="1"/>
  <c r="T835" i="6" s="1"/>
  <c r="S834" i="6"/>
  <c r="Q835" i="6" l="1"/>
  <c r="R835" i="6"/>
  <c r="P835" i="6"/>
  <c r="O836" i="6" s="1"/>
  <c r="T836" i="6" s="1"/>
  <c r="S835" i="6"/>
  <c r="S836" i="6" l="1"/>
  <c r="R836" i="6"/>
  <c r="Q836" i="6"/>
  <c r="P836" i="6"/>
  <c r="O837" i="6" s="1"/>
  <c r="T837" i="6" s="1"/>
  <c r="R837" i="6" l="1"/>
  <c r="Q837" i="6"/>
  <c r="P837" i="6"/>
  <c r="O838" i="6" s="1"/>
  <c r="T838" i="6" s="1"/>
  <c r="S837" i="6"/>
  <c r="S838" i="6" s="1"/>
  <c r="R838" i="6" l="1"/>
  <c r="Q838" i="6"/>
  <c r="P838" i="6"/>
  <c r="O839" i="6" s="1"/>
  <c r="T839" i="6" s="1"/>
  <c r="Q839" i="6" l="1"/>
  <c r="R839" i="6"/>
  <c r="P839" i="6"/>
  <c r="O840" i="6" s="1"/>
  <c r="T840" i="6" s="1"/>
  <c r="S839" i="6"/>
  <c r="S840" i="6" s="1"/>
  <c r="R840" i="6" l="1"/>
  <c r="Q840" i="6"/>
  <c r="P840" i="6"/>
  <c r="O841" i="6" s="1"/>
  <c r="T841" i="6" s="1"/>
  <c r="R841" i="6" l="1"/>
  <c r="Q841" i="6"/>
  <c r="P841" i="6"/>
  <c r="O842" i="6" s="1"/>
  <c r="T842" i="6" s="1"/>
  <c r="S841" i="6"/>
  <c r="S842" i="6" s="1"/>
  <c r="R842" i="6" l="1"/>
  <c r="Q842" i="6"/>
  <c r="P842" i="6"/>
  <c r="O843" i="6" s="1"/>
  <c r="T843" i="6" s="1"/>
  <c r="R843" i="6" l="1"/>
  <c r="Q843" i="6"/>
  <c r="P843" i="6"/>
  <c r="O844" i="6" s="1"/>
  <c r="T844" i="6" s="1"/>
  <c r="S843" i="6"/>
  <c r="S844" i="6" s="1"/>
  <c r="R844" i="6" l="1"/>
  <c r="Q844" i="6"/>
  <c r="P844" i="6"/>
  <c r="O845" i="6" s="1"/>
  <c r="T845" i="6" s="1"/>
  <c r="R845" i="6" l="1"/>
  <c r="Q845" i="6"/>
  <c r="P845" i="6"/>
  <c r="O846" i="6" s="1"/>
  <c r="T846" i="6" s="1"/>
  <c r="S845" i="6"/>
  <c r="S846" i="6" s="1"/>
  <c r="R846" i="6" l="1"/>
  <c r="Q846" i="6"/>
  <c r="P846" i="6"/>
  <c r="O847" i="6" s="1"/>
  <c r="T847" i="6" s="1"/>
  <c r="R847" i="6" l="1"/>
  <c r="Q847" i="6"/>
  <c r="P847" i="6"/>
  <c r="O848" i="6" s="1"/>
  <c r="T848" i="6" s="1"/>
  <c r="S847" i="6"/>
  <c r="S848" i="6" l="1"/>
  <c r="R848" i="6"/>
  <c r="Q848" i="6"/>
  <c r="P848" i="6"/>
  <c r="O849" i="6" s="1"/>
  <c r="T849" i="6" s="1"/>
  <c r="R849" i="6" l="1"/>
  <c r="Q849" i="6"/>
  <c r="P849" i="6"/>
  <c r="O850" i="6" s="1"/>
  <c r="T850" i="6" s="1"/>
  <c r="S849" i="6"/>
  <c r="S850" i="6" s="1"/>
  <c r="R850" i="6" l="1"/>
  <c r="Q850" i="6"/>
  <c r="P850" i="6"/>
  <c r="O851" i="6" s="1"/>
  <c r="T851" i="6" s="1"/>
  <c r="Q851" i="6" l="1"/>
  <c r="R851" i="6"/>
  <c r="P851" i="6"/>
  <c r="O852" i="6" s="1"/>
  <c r="T852" i="6" s="1"/>
  <c r="S851" i="6"/>
  <c r="S852" i="6" s="1"/>
  <c r="R852" i="6" l="1"/>
  <c r="Q852" i="6"/>
  <c r="P852" i="6"/>
  <c r="O853" i="6" s="1"/>
  <c r="T853" i="6" s="1"/>
  <c r="R853" i="6" l="1"/>
  <c r="Q853" i="6"/>
  <c r="P853" i="6"/>
  <c r="O854" i="6" s="1"/>
  <c r="T854" i="6" s="1"/>
  <c r="S853" i="6"/>
  <c r="S854" i="6" s="1"/>
  <c r="Q854" i="6" l="1"/>
  <c r="R854" i="6"/>
  <c r="P854" i="6"/>
  <c r="O855" i="6" s="1"/>
  <c r="T855" i="6" s="1"/>
  <c r="R855" i="6" l="1"/>
  <c r="Q855" i="6"/>
  <c r="P855" i="6"/>
  <c r="O856" i="6" s="1"/>
  <c r="T856" i="6" s="1"/>
  <c r="S855" i="6"/>
  <c r="S856" i="6" s="1"/>
  <c r="Q856" i="6" l="1"/>
  <c r="R856" i="6"/>
  <c r="P856" i="6"/>
  <c r="O857" i="6" s="1"/>
  <c r="T857" i="6" s="1"/>
  <c r="R857" i="6" l="1"/>
  <c r="Q857" i="6"/>
  <c r="P857" i="6"/>
  <c r="O858" i="6" s="1"/>
  <c r="T858" i="6" s="1"/>
  <c r="S857" i="6"/>
  <c r="R858" i="6" l="1"/>
  <c r="Q858" i="6"/>
  <c r="P858" i="6"/>
  <c r="O859" i="6" s="1"/>
  <c r="T859" i="6" s="1"/>
  <c r="S858" i="6"/>
  <c r="Q859" i="6" l="1"/>
  <c r="R859" i="6"/>
  <c r="P859" i="6"/>
  <c r="O860" i="6" s="1"/>
  <c r="T860" i="6" s="1"/>
  <c r="S859" i="6"/>
  <c r="S860" i="6" s="1"/>
  <c r="Q860" i="6" l="1"/>
  <c r="R860" i="6"/>
  <c r="P860" i="6"/>
  <c r="O861" i="6" s="1"/>
  <c r="T861" i="6" s="1"/>
  <c r="Q861" i="6" l="1"/>
  <c r="R861" i="6"/>
  <c r="P861" i="6"/>
  <c r="O862" i="6" s="1"/>
  <c r="T862" i="6" s="1"/>
  <c r="S861" i="6"/>
  <c r="S862" i="6" s="1"/>
  <c r="R862" i="6" l="1"/>
  <c r="Q862" i="6"/>
  <c r="P862" i="6"/>
  <c r="O863" i="6" s="1"/>
  <c r="T863" i="6" s="1"/>
  <c r="R863" i="6" l="1"/>
  <c r="Q863" i="6"/>
  <c r="P863" i="6"/>
  <c r="O864" i="6" s="1"/>
  <c r="T864" i="6" s="1"/>
  <c r="S863" i="6"/>
  <c r="S864" i="6" s="1"/>
  <c r="Q864" i="6" l="1"/>
  <c r="R864" i="6"/>
  <c r="P864" i="6"/>
  <c r="O865" i="6" s="1"/>
  <c r="T865" i="6" s="1"/>
  <c r="R865" i="6" l="1"/>
  <c r="Q865" i="6"/>
  <c r="P865" i="6"/>
  <c r="O866" i="6" s="1"/>
  <c r="T866" i="6" s="1"/>
  <c r="S865" i="6"/>
  <c r="S866" i="6" l="1"/>
  <c r="R866" i="6"/>
  <c r="Q866" i="6"/>
  <c r="P866" i="6"/>
  <c r="O867" i="6" s="1"/>
  <c r="T867" i="6" s="1"/>
  <c r="R867" i="6" l="1"/>
  <c r="Q867" i="6"/>
  <c r="P867" i="6"/>
  <c r="O868" i="6" s="1"/>
  <c r="T868" i="6" s="1"/>
  <c r="S867" i="6"/>
  <c r="S868" i="6" l="1"/>
  <c r="R868" i="6"/>
  <c r="Q868" i="6"/>
  <c r="P868" i="6"/>
  <c r="O869" i="6" s="1"/>
  <c r="T869" i="6" s="1"/>
  <c r="Q869" i="6" l="1"/>
  <c r="R869" i="6"/>
  <c r="P869" i="6"/>
  <c r="O870" i="6" s="1"/>
  <c r="T870" i="6" s="1"/>
  <c r="S869" i="6"/>
  <c r="S870" i="6" l="1"/>
  <c r="R870" i="6"/>
  <c r="Q870" i="6"/>
  <c r="P870" i="6"/>
  <c r="O871" i="6" s="1"/>
  <c r="T871" i="6" s="1"/>
  <c r="R871" i="6" l="1"/>
  <c r="Q871" i="6"/>
  <c r="P871" i="6"/>
  <c r="O872" i="6" s="1"/>
  <c r="T872" i="6" s="1"/>
  <c r="S871" i="6"/>
  <c r="S872" i="6" s="1"/>
  <c r="Q872" i="6" l="1"/>
  <c r="R872" i="6"/>
  <c r="P872" i="6"/>
  <c r="O873" i="6" s="1"/>
  <c r="T873" i="6" s="1"/>
  <c r="R873" i="6" l="1"/>
  <c r="Q873" i="6"/>
  <c r="P873" i="6"/>
  <c r="O874" i="6" s="1"/>
  <c r="T874" i="6" s="1"/>
  <c r="S873" i="6"/>
  <c r="S874" i="6" s="1"/>
  <c r="R874" i="6" l="1"/>
  <c r="Q874" i="6"/>
  <c r="P874" i="6"/>
  <c r="O875" i="6" s="1"/>
  <c r="T875" i="6" s="1"/>
  <c r="Q875" i="6" l="1"/>
  <c r="R875" i="6"/>
  <c r="P875" i="6"/>
  <c r="O876" i="6" s="1"/>
  <c r="T876" i="6" s="1"/>
  <c r="S875" i="6"/>
  <c r="S876" i="6" s="1"/>
  <c r="R876" i="6" l="1"/>
  <c r="Q876" i="6"/>
  <c r="P876" i="6"/>
  <c r="O877" i="6" s="1"/>
  <c r="T877" i="6" s="1"/>
  <c r="R877" i="6" l="1"/>
  <c r="Q877" i="6"/>
  <c r="P877" i="6"/>
  <c r="O878" i="6" s="1"/>
  <c r="T878" i="6" s="1"/>
  <c r="S877" i="6"/>
  <c r="S878" i="6" s="1"/>
  <c r="R878" i="6" l="1"/>
  <c r="Q878" i="6"/>
  <c r="P878" i="6"/>
  <c r="O879" i="6" s="1"/>
  <c r="T879" i="6" s="1"/>
  <c r="R879" i="6" l="1"/>
  <c r="Q879" i="6"/>
  <c r="P879" i="6"/>
  <c r="O880" i="6" s="1"/>
  <c r="T880" i="6" s="1"/>
  <c r="S879" i="6"/>
  <c r="S880" i="6" l="1"/>
  <c r="R880" i="6"/>
  <c r="Q880" i="6"/>
  <c r="P880" i="6"/>
  <c r="O881" i="6" s="1"/>
  <c r="T881" i="6" s="1"/>
  <c r="R881" i="6" l="1"/>
  <c r="Q881" i="6"/>
  <c r="P881" i="6"/>
  <c r="O882" i="6" s="1"/>
  <c r="T882" i="6" s="1"/>
  <c r="S881" i="6"/>
  <c r="S882" i="6" s="1"/>
  <c r="R882" i="6" l="1"/>
  <c r="Q882" i="6"/>
  <c r="P882" i="6"/>
  <c r="O883" i="6" s="1"/>
  <c r="T883" i="6" s="1"/>
  <c r="R883" i="6" l="1"/>
  <c r="Q883" i="6"/>
  <c r="P883" i="6"/>
  <c r="O884" i="6" s="1"/>
  <c r="T884" i="6" s="1"/>
  <c r="S883" i="6"/>
  <c r="S884" i="6" s="1"/>
  <c r="R884" i="6" l="1"/>
  <c r="Q884" i="6"/>
  <c r="P884" i="6"/>
  <c r="O885" i="6" s="1"/>
  <c r="R885" i="6" l="1"/>
  <c r="Q885" i="6"/>
  <c r="P885" i="6"/>
  <c r="O886" i="6" s="1"/>
  <c r="T886" i="6" s="1"/>
  <c r="S885" i="6"/>
  <c r="S886" i="6" s="1"/>
  <c r="T885" i="6" l="1"/>
  <c r="R886" i="6"/>
  <c r="Q886" i="6"/>
  <c r="P886" i="6"/>
  <c r="O887" i="6" s="1"/>
  <c r="T887" i="6" s="1"/>
  <c r="R887" i="6" l="1"/>
  <c r="Q887" i="6"/>
  <c r="P887" i="6"/>
  <c r="O888" i="6" s="1"/>
  <c r="T888" i="6" s="1"/>
  <c r="S887" i="6"/>
  <c r="S888" i="6" l="1"/>
  <c r="R888" i="6"/>
  <c r="Q888" i="6"/>
  <c r="P888" i="6"/>
  <c r="O889" i="6" s="1"/>
  <c r="T889" i="6" s="1"/>
  <c r="Q889" i="6" l="1"/>
  <c r="R889" i="6"/>
  <c r="P889" i="6"/>
  <c r="O890" i="6" s="1"/>
  <c r="T890" i="6" s="1"/>
  <c r="S889" i="6"/>
  <c r="S890" i="6" s="1"/>
  <c r="R890" i="6" l="1"/>
  <c r="Q890" i="6"/>
  <c r="P890" i="6"/>
  <c r="O891" i="6" s="1"/>
  <c r="T891" i="6" s="1"/>
  <c r="R891" i="6" l="1"/>
  <c r="Q891" i="6"/>
  <c r="P891" i="6"/>
  <c r="O892" i="6" s="1"/>
  <c r="T892" i="6" s="1"/>
  <c r="S891" i="6"/>
  <c r="S892" i="6" s="1"/>
  <c r="Q892" i="6" l="1"/>
  <c r="R892" i="6"/>
  <c r="P892" i="6"/>
  <c r="O893" i="6" s="1"/>
  <c r="T893" i="6" s="1"/>
  <c r="R893" i="6" l="1"/>
  <c r="Q893" i="6"/>
  <c r="P893" i="6"/>
  <c r="O894" i="6" s="1"/>
  <c r="T894" i="6" s="1"/>
  <c r="S893" i="6"/>
  <c r="S894" i="6" s="1"/>
  <c r="R894" i="6" l="1"/>
  <c r="Q894" i="6"/>
  <c r="P894" i="6"/>
  <c r="O895" i="6" s="1"/>
  <c r="T895" i="6" s="1"/>
  <c r="Q895" i="6" l="1"/>
  <c r="R895" i="6"/>
  <c r="P895" i="6"/>
  <c r="O896" i="6" s="1"/>
  <c r="T896" i="6" s="1"/>
  <c r="S895" i="6"/>
  <c r="S896" i="6" s="1"/>
  <c r="Q896" i="6" l="1"/>
  <c r="R896" i="6"/>
  <c r="P896" i="6"/>
  <c r="O897" i="6" s="1"/>
  <c r="T897" i="6" s="1"/>
  <c r="Q897" i="6" l="1"/>
  <c r="R897" i="6"/>
  <c r="P897" i="6"/>
  <c r="O898" i="6" s="1"/>
  <c r="T898" i="6" s="1"/>
  <c r="S897" i="6"/>
  <c r="S898" i="6" s="1"/>
  <c r="R898" i="6" l="1"/>
  <c r="Q898" i="6"/>
  <c r="P898" i="6"/>
  <c r="O899" i="6" s="1"/>
  <c r="T899" i="6" s="1"/>
  <c r="R899" i="6" l="1"/>
  <c r="Q899" i="6"/>
  <c r="P899" i="6"/>
  <c r="O900" i="6" s="1"/>
  <c r="T900" i="6" s="1"/>
  <c r="S899" i="6"/>
  <c r="S900" i="6" s="1"/>
  <c r="Q900" i="6" l="1"/>
  <c r="R900" i="6"/>
  <c r="P900" i="6"/>
  <c r="O901" i="6" s="1"/>
  <c r="T901" i="6" s="1"/>
  <c r="R901" i="6" l="1"/>
  <c r="Q901" i="6"/>
  <c r="P901" i="6"/>
  <c r="O902" i="6" s="1"/>
  <c r="T902" i="6" s="1"/>
  <c r="S901" i="6"/>
  <c r="S902" i="6" s="1"/>
  <c r="R902" i="6" l="1"/>
  <c r="Q902" i="6"/>
  <c r="P902" i="6"/>
  <c r="O903" i="6" s="1"/>
  <c r="T903" i="6" s="1"/>
  <c r="R903" i="6" l="1"/>
  <c r="Q903" i="6"/>
  <c r="P903" i="6"/>
  <c r="O904" i="6" s="1"/>
  <c r="T904" i="6" s="1"/>
  <c r="S903" i="6"/>
  <c r="S904" i="6" s="1"/>
  <c r="R904" i="6" l="1"/>
  <c r="Q904" i="6"/>
  <c r="P904" i="6"/>
  <c r="O905" i="6" s="1"/>
  <c r="T905" i="6" s="1"/>
  <c r="R905" i="6" l="1"/>
  <c r="Q905" i="6"/>
  <c r="P905" i="6"/>
  <c r="O906" i="6" s="1"/>
  <c r="T906" i="6" s="1"/>
  <c r="S905" i="6"/>
  <c r="S906" i="6" s="1"/>
  <c r="R906" i="6" l="1"/>
  <c r="Q906" i="6"/>
  <c r="P906" i="6"/>
  <c r="O907" i="6" s="1"/>
  <c r="T907" i="6" s="1"/>
  <c r="Q907" i="6" l="1"/>
  <c r="R907" i="6"/>
  <c r="P907" i="6"/>
  <c r="O908" i="6" s="1"/>
  <c r="T908" i="6" s="1"/>
  <c r="S907" i="6"/>
  <c r="S908" i="6" s="1"/>
  <c r="R908" i="6" l="1"/>
  <c r="Q908" i="6"/>
  <c r="P908" i="6"/>
  <c r="O909" i="6" s="1"/>
  <c r="T909" i="6" s="1"/>
  <c r="R909" i="6" l="1"/>
  <c r="Q909" i="6"/>
  <c r="P909" i="6"/>
  <c r="O910" i="6" s="1"/>
  <c r="T910" i="6" s="1"/>
  <c r="S909" i="6"/>
  <c r="S910" i="6" s="1"/>
  <c r="R910" i="6" l="1"/>
  <c r="Q910" i="6"/>
  <c r="P910" i="6"/>
  <c r="O911" i="6" s="1"/>
  <c r="T911" i="6" s="1"/>
  <c r="R911" i="6" l="1"/>
  <c r="Q911" i="6"/>
  <c r="P911" i="6"/>
  <c r="O912" i="6" s="1"/>
  <c r="T912" i="6" s="1"/>
  <c r="S911" i="6"/>
  <c r="S912" i="6" s="1"/>
  <c r="R912" i="6" l="1"/>
  <c r="Q912" i="6"/>
  <c r="P912" i="6"/>
  <c r="O913" i="6" s="1"/>
  <c r="T913" i="6" s="1"/>
  <c r="R913" i="6" l="1"/>
  <c r="Q913" i="6"/>
  <c r="P913" i="6"/>
  <c r="O914" i="6" s="1"/>
  <c r="T914" i="6" s="1"/>
  <c r="S913" i="6"/>
  <c r="S914" i="6" s="1"/>
  <c r="R914" i="6" l="1"/>
  <c r="Q914" i="6"/>
  <c r="P914" i="6"/>
  <c r="O915" i="6" s="1"/>
  <c r="T915" i="6" s="1"/>
  <c r="R915" i="6" l="1"/>
  <c r="Q915" i="6"/>
  <c r="P915" i="6"/>
  <c r="O916" i="6" s="1"/>
  <c r="T916" i="6" s="1"/>
  <c r="S915" i="6"/>
  <c r="S916" i="6" l="1"/>
  <c r="R916" i="6"/>
  <c r="Q916" i="6"/>
  <c r="P916" i="6"/>
  <c r="O917" i="6" s="1"/>
  <c r="T917" i="6" s="1"/>
  <c r="Q917" i="6" l="1"/>
  <c r="R917" i="6"/>
  <c r="P917" i="6"/>
  <c r="O918" i="6" s="1"/>
  <c r="T918" i="6" s="1"/>
  <c r="S917" i="6"/>
  <c r="S918" i="6" s="1"/>
  <c r="R918" i="6" l="1"/>
  <c r="Q918" i="6"/>
  <c r="P918" i="6"/>
  <c r="O919" i="6" s="1"/>
  <c r="T919" i="6" s="1"/>
  <c r="R919" i="6" l="1"/>
  <c r="Q919" i="6"/>
  <c r="P919" i="6"/>
  <c r="O920" i="6" s="1"/>
  <c r="T920" i="6" s="1"/>
  <c r="S919" i="6"/>
  <c r="S920" i="6" s="1"/>
  <c r="R920" i="6" l="1"/>
  <c r="Q920" i="6"/>
  <c r="P920" i="6"/>
  <c r="O921" i="6" s="1"/>
  <c r="T921" i="6" s="1"/>
  <c r="Q921" i="6" l="1"/>
  <c r="R921" i="6"/>
  <c r="P921" i="6"/>
  <c r="O922" i="6" s="1"/>
  <c r="T922" i="6" s="1"/>
  <c r="S921" i="6"/>
  <c r="S922" i="6" s="1"/>
  <c r="R922" i="6" l="1"/>
  <c r="Q922" i="6"/>
  <c r="P922" i="6"/>
  <c r="O923" i="6" s="1"/>
  <c r="T923" i="6" s="1"/>
  <c r="Q923" i="6" l="1"/>
  <c r="R923" i="6"/>
  <c r="P923" i="6"/>
  <c r="O924" i="6" s="1"/>
  <c r="T924" i="6" s="1"/>
  <c r="S923" i="6"/>
  <c r="Q924" i="6" l="1"/>
  <c r="R924" i="6"/>
  <c r="P924" i="6"/>
  <c r="O925" i="6" s="1"/>
  <c r="T925" i="6" s="1"/>
  <c r="S924" i="6"/>
  <c r="S925" i="6" s="1"/>
  <c r="R925" i="6" l="1"/>
  <c r="Q925" i="6"/>
  <c r="P925" i="6"/>
  <c r="O926" i="6" s="1"/>
  <c r="T926" i="6" s="1"/>
  <c r="R926" i="6" l="1"/>
  <c r="Q926" i="6"/>
  <c r="P926" i="6"/>
  <c r="O927" i="6" s="1"/>
  <c r="T927" i="6" s="1"/>
  <c r="S926" i="6"/>
  <c r="S927" i="6" l="1"/>
  <c r="R927" i="6"/>
  <c r="Q927" i="6"/>
  <c r="P927" i="6"/>
  <c r="O928" i="6" s="1"/>
  <c r="T928" i="6" s="1"/>
  <c r="R928" i="6" l="1"/>
  <c r="Q928" i="6"/>
  <c r="P928" i="6"/>
  <c r="O929" i="6" s="1"/>
  <c r="T929" i="6" s="1"/>
  <c r="S928" i="6"/>
  <c r="S929" i="6" s="1"/>
  <c r="R929" i="6" l="1"/>
  <c r="Q929" i="6"/>
  <c r="P929" i="6"/>
  <c r="O930" i="6" s="1"/>
  <c r="T930" i="6" s="1"/>
  <c r="R930" i="6" l="1"/>
  <c r="Q930" i="6"/>
  <c r="P930" i="6"/>
  <c r="O931" i="6" s="1"/>
  <c r="T931" i="6" s="1"/>
  <c r="S930" i="6"/>
  <c r="S931" i="6" s="1"/>
  <c r="R931" i="6" l="1"/>
  <c r="Q931" i="6"/>
  <c r="P931" i="6"/>
  <c r="O932" i="6" s="1"/>
  <c r="T932" i="6" s="1"/>
  <c r="Q932" i="6" l="1"/>
  <c r="R932" i="6"/>
  <c r="P932" i="6"/>
  <c r="O933" i="6" s="1"/>
  <c r="T933" i="6" s="1"/>
  <c r="S932" i="6"/>
  <c r="S933" i="6" s="1"/>
  <c r="R933" i="6" l="1"/>
  <c r="Q933" i="6"/>
  <c r="P933" i="6"/>
  <c r="O934" i="6" s="1"/>
  <c r="T934" i="6" s="1"/>
  <c r="R934" i="6" l="1"/>
  <c r="Q934" i="6"/>
  <c r="P934" i="6"/>
  <c r="O935" i="6" s="1"/>
  <c r="T935" i="6" s="1"/>
  <c r="S934" i="6"/>
  <c r="S935" i="6" s="1"/>
  <c r="R935" i="6" l="1"/>
  <c r="Q935" i="6"/>
  <c r="P935" i="6"/>
  <c r="O936" i="6" s="1"/>
  <c r="T936" i="6" s="1"/>
  <c r="R936" i="6" l="1"/>
  <c r="Q936" i="6"/>
  <c r="P936" i="6"/>
  <c r="O937" i="6" s="1"/>
  <c r="T937" i="6" s="1"/>
  <c r="S936" i="6"/>
  <c r="S937" i="6" s="1"/>
  <c r="Q937" i="6" l="1"/>
  <c r="R937" i="6"/>
  <c r="P937" i="6"/>
  <c r="O938" i="6" s="1"/>
  <c r="T938" i="6" s="1"/>
  <c r="R938" i="6" l="1"/>
  <c r="Q938" i="6"/>
  <c r="P938" i="6"/>
  <c r="O939" i="6" s="1"/>
  <c r="T939" i="6" s="1"/>
  <c r="S938" i="6"/>
  <c r="S939" i="6" s="1"/>
  <c r="R939" i="6" l="1"/>
  <c r="Q939" i="6"/>
  <c r="P939" i="6"/>
  <c r="O940" i="6" s="1"/>
  <c r="T940" i="6" s="1"/>
  <c r="R940" i="6" l="1"/>
  <c r="Q940" i="6"/>
  <c r="P940" i="6"/>
  <c r="O941" i="6" s="1"/>
  <c r="T941" i="6" s="1"/>
  <c r="S940" i="6"/>
  <c r="S941" i="6" s="1"/>
  <c r="Q941" i="6" l="1"/>
  <c r="R941" i="6"/>
  <c r="P941" i="6"/>
  <c r="O942" i="6" s="1"/>
  <c r="T942" i="6" s="1"/>
  <c r="R942" i="6" l="1"/>
  <c r="Q942" i="6"/>
  <c r="P942" i="6"/>
  <c r="O943" i="6" s="1"/>
  <c r="T943" i="6" s="1"/>
  <c r="S942" i="6"/>
  <c r="S943" i="6" l="1"/>
  <c r="R943" i="6"/>
  <c r="Q943" i="6"/>
  <c r="P943" i="6"/>
  <c r="O944" i="6" s="1"/>
  <c r="T944" i="6" s="1"/>
  <c r="Q944" i="6" l="1"/>
  <c r="R944" i="6"/>
  <c r="P944" i="6"/>
  <c r="O945" i="6" s="1"/>
  <c r="T945" i="6" s="1"/>
  <c r="S944" i="6"/>
  <c r="S945" i="6" s="1"/>
  <c r="R945" i="6" l="1"/>
  <c r="Q945" i="6"/>
  <c r="P945" i="6"/>
  <c r="O946" i="6" s="1"/>
  <c r="T946" i="6" s="1"/>
  <c r="Q946" i="6" l="1"/>
  <c r="R946" i="6"/>
  <c r="P946" i="6"/>
  <c r="O947" i="6" s="1"/>
  <c r="T947" i="6" s="1"/>
  <c r="S946" i="6"/>
  <c r="S947" i="6" s="1"/>
  <c r="R947" i="6" l="1"/>
  <c r="Q947" i="6"/>
  <c r="P947" i="6"/>
  <c r="O948" i="6" s="1"/>
  <c r="T948" i="6" s="1"/>
  <c r="R948" i="6" l="1"/>
  <c r="Q948" i="6"/>
  <c r="P948" i="6"/>
  <c r="O949" i="6" s="1"/>
  <c r="T949" i="6" s="1"/>
  <c r="S948" i="6"/>
  <c r="S949" i="6" s="1"/>
  <c r="Q949" i="6" l="1"/>
  <c r="R949" i="6"/>
  <c r="P949" i="6"/>
  <c r="O950" i="6" s="1"/>
  <c r="T950" i="6" s="1"/>
  <c r="R950" i="6" l="1"/>
  <c r="Q950" i="6"/>
  <c r="P950" i="6"/>
  <c r="O951" i="6" s="1"/>
  <c r="T951" i="6" s="1"/>
  <c r="S950" i="6"/>
  <c r="S951" i="6" s="1"/>
  <c r="Q951" i="6" l="1"/>
  <c r="R951" i="6"/>
  <c r="P951" i="6"/>
  <c r="O952" i="6" s="1"/>
  <c r="T952" i="6" s="1"/>
  <c r="Q952" i="6" l="1"/>
  <c r="R952" i="6"/>
  <c r="P952" i="6"/>
  <c r="O953" i="6" s="1"/>
  <c r="T953" i="6" s="1"/>
  <c r="S952" i="6"/>
  <c r="S953" i="6" s="1"/>
  <c r="R953" i="6" l="1"/>
  <c r="Q953" i="6"/>
  <c r="P953" i="6"/>
  <c r="O954" i="6" s="1"/>
  <c r="T954" i="6" s="1"/>
  <c r="R954" i="6" l="1"/>
  <c r="Q954" i="6"/>
  <c r="P954" i="6"/>
  <c r="O955" i="6" s="1"/>
  <c r="T955" i="6" s="1"/>
  <c r="S954" i="6"/>
  <c r="S955" i="6" s="1"/>
  <c r="Q955" i="6" l="1"/>
  <c r="R955" i="6"/>
  <c r="P955" i="6"/>
  <c r="O956" i="6" s="1"/>
  <c r="T956" i="6" s="1"/>
  <c r="Q956" i="6" l="1"/>
  <c r="R956" i="6"/>
  <c r="P956" i="6"/>
  <c r="O957" i="6" s="1"/>
  <c r="T957" i="6" s="1"/>
  <c r="S956" i="6"/>
  <c r="S957" i="6" s="1"/>
  <c r="R957" i="6" l="1"/>
  <c r="Q957" i="6"/>
  <c r="P957" i="6"/>
  <c r="O958" i="6" s="1"/>
  <c r="T958" i="6" s="1"/>
  <c r="R958" i="6" l="1"/>
  <c r="Q958" i="6"/>
  <c r="P958" i="6"/>
  <c r="O959" i="6" s="1"/>
  <c r="T959" i="6" s="1"/>
  <c r="S958" i="6"/>
  <c r="S959" i="6" s="1"/>
  <c r="R959" i="6" l="1"/>
  <c r="Q959" i="6"/>
  <c r="P959" i="6"/>
  <c r="O960" i="6" s="1"/>
  <c r="T960" i="6" s="1"/>
  <c r="R960" i="6" l="1"/>
  <c r="Q960" i="6"/>
  <c r="P960" i="6"/>
  <c r="O961" i="6" s="1"/>
  <c r="T961" i="6" s="1"/>
  <c r="S960" i="6"/>
  <c r="S961" i="6" s="1"/>
  <c r="R961" i="6" l="1"/>
  <c r="Q961" i="6"/>
  <c r="P961" i="6"/>
  <c r="O962" i="6" s="1"/>
  <c r="T962" i="6" s="1"/>
  <c r="R962" i="6" l="1"/>
  <c r="Q962" i="6"/>
  <c r="P962" i="6"/>
  <c r="O963" i="6" s="1"/>
  <c r="T963" i="6" s="1"/>
  <c r="S962" i="6"/>
  <c r="S963" i="6" s="1"/>
  <c r="R963" i="6" l="1"/>
  <c r="Q963" i="6"/>
  <c r="P963" i="6"/>
  <c r="O964" i="6" s="1"/>
  <c r="T964" i="6" s="1"/>
  <c r="R964" i="6" l="1"/>
  <c r="Q964" i="6"/>
  <c r="P964" i="6"/>
  <c r="O965" i="6" s="1"/>
  <c r="T965" i="6" s="1"/>
  <c r="S964" i="6"/>
  <c r="S965" i="6" s="1"/>
  <c r="R965" i="6" l="1"/>
  <c r="Q965" i="6"/>
  <c r="P965" i="6"/>
  <c r="O966" i="6" s="1"/>
  <c r="T966" i="6" s="1"/>
  <c r="R966" i="6" l="1"/>
  <c r="Q966" i="6"/>
  <c r="P966" i="6"/>
  <c r="O967" i="6" s="1"/>
  <c r="T967" i="6" s="1"/>
  <c r="S966" i="6"/>
  <c r="S967" i="6" s="1"/>
  <c r="R967" i="6" l="1"/>
  <c r="Q967" i="6"/>
  <c r="P967" i="6"/>
  <c r="O968" i="6" s="1"/>
  <c r="T968" i="6" s="1"/>
  <c r="Q968" i="6" l="1"/>
  <c r="R968" i="6"/>
  <c r="P968" i="6"/>
  <c r="O969" i="6" s="1"/>
  <c r="T969" i="6" s="1"/>
  <c r="S968" i="6"/>
  <c r="S969" i="6" l="1"/>
  <c r="Q969" i="6"/>
  <c r="R969" i="6"/>
  <c r="P969" i="6"/>
  <c r="O970" i="6" s="1"/>
  <c r="T970" i="6" s="1"/>
  <c r="R970" i="6" l="1"/>
  <c r="Q970" i="6"/>
  <c r="P970" i="6"/>
  <c r="O971" i="6" s="1"/>
  <c r="T971" i="6" s="1"/>
  <c r="S970" i="6"/>
  <c r="S971" i="6" s="1"/>
  <c r="Q971" i="6" l="1"/>
  <c r="R971" i="6"/>
  <c r="P971" i="6"/>
  <c r="O972" i="6" s="1"/>
  <c r="T972" i="6" s="1"/>
  <c r="Q972" i="6" l="1"/>
  <c r="R972" i="6"/>
  <c r="P972" i="6"/>
  <c r="O973" i="6" s="1"/>
  <c r="T973" i="6" s="1"/>
  <c r="S972" i="6"/>
  <c r="S973" i="6" s="1"/>
  <c r="R973" i="6" l="1"/>
  <c r="Q973" i="6"/>
  <c r="P973" i="6"/>
  <c r="O974" i="6" s="1"/>
  <c r="T974" i="6" s="1"/>
  <c r="R974" i="6" l="1"/>
  <c r="Q974" i="6"/>
  <c r="P974" i="6"/>
  <c r="O975" i="6" s="1"/>
  <c r="T975" i="6" s="1"/>
  <c r="S974" i="6"/>
  <c r="S975" i="6" s="1"/>
  <c r="R975" i="6" l="1"/>
  <c r="Q975" i="6"/>
  <c r="P975" i="6"/>
  <c r="O976" i="6" s="1"/>
  <c r="T976" i="6" s="1"/>
  <c r="R976" i="6" l="1"/>
  <c r="Q976" i="6"/>
  <c r="P976" i="6"/>
  <c r="O977" i="6" s="1"/>
  <c r="T977" i="6" s="1"/>
  <c r="S976" i="6"/>
  <c r="S977" i="6" s="1"/>
  <c r="Q977" i="6" l="1"/>
  <c r="R977" i="6"/>
  <c r="P977" i="6"/>
  <c r="O978" i="6" s="1"/>
  <c r="T978" i="6" s="1"/>
  <c r="R978" i="6" l="1"/>
  <c r="Q978" i="6"/>
  <c r="P978" i="6"/>
  <c r="O979" i="6" s="1"/>
  <c r="S978" i="6"/>
  <c r="R979" i="6" l="1"/>
  <c r="Q979" i="6"/>
  <c r="P979" i="6"/>
  <c r="O980" i="6" s="1"/>
  <c r="T980" i="6" s="1"/>
  <c r="S979" i="6"/>
  <c r="S980" i="6" s="1"/>
  <c r="T979" i="6" l="1"/>
  <c r="Q980" i="6"/>
  <c r="R980" i="6"/>
  <c r="P980" i="6"/>
  <c r="O981" i="6" s="1"/>
  <c r="T981" i="6" s="1"/>
  <c r="R981" i="6" l="1"/>
  <c r="Q981" i="6"/>
  <c r="P981" i="6"/>
  <c r="O982" i="6" s="1"/>
  <c r="T982" i="6" s="1"/>
  <c r="S981" i="6"/>
  <c r="R982" i="6" l="1"/>
  <c r="Q982" i="6"/>
  <c r="P982" i="6"/>
  <c r="O983" i="6" s="1"/>
  <c r="T983" i="6" s="1"/>
  <c r="S982" i="6"/>
  <c r="S983" i="6" s="1"/>
  <c r="R983" i="6" l="1"/>
  <c r="Q983" i="6"/>
  <c r="P983" i="6"/>
  <c r="O984" i="6" s="1"/>
  <c r="T984" i="6" s="1"/>
  <c r="R984" i="6" l="1"/>
  <c r="Q984" i="6"/>
  <c r="P984" i="6"/>
  <c r="O985" i="6" s="1"/>
  <c r="T985" i="6" s="1"/>
  <c r="S984" i="6"/>
  <c r="S985" i="6" l="1"/>
  <c r="R985" i="6"/>
  <c r="Q985" i="6"/>
  <c r="P985" i="6"/>
  <c r="O986" i="6" s="1"/>
  <c r="T986" i="6" s="1"/>
  <c r="R986" i="6" l="1"/>
  <c r="Q986" i="6"/>
  <c r="P986" i="6"/>
  <c r="O987" i="6" s="1"/>
  <c r="T987" i="6" s="1"/>
  <c r="S986" i="6"/>
  <c r="S987" i="6" l="1"/>
  <c r="R987" i="6"/>
  <c r="Q987" i="6"/>
  <c r="P987" i="6"/>
  <c r="O988" i="6" s="1"/>
  <c r="T988" i="6" s="1"/>
  <c r="R988" i="6" l="1"/>
  <c r="Q988" i="6"/>
  <c r="P988" i="6"/>
  <c r="O989" i="6" s="1"/>
  <c r="T989" i="6" s="1"/>
  <c r="S988" i="6"/>
  <c r="R989" i="6" l="1"/>
  <c r="Q989" i="6"/>
  <c r="S989" i="6"/>
  <c r="P989" i="6"/>
  <c r="O990" i="6" s="1"/>
  <c r="T990" i="6" s="1"/>
  <c r="R990" i="6" l="1"/>
  <c r="Q990" i="6"/>
  <c r="P990" i="6"/>
  <c r="O991" i="6" s="1"/>
  <c r="T991" i="6" s="1"/>
  <c r="S990" i="6"/>
  <c r="S991" i="6" s="1"/>
  <c r="R991" i="6" l="1"/>
  <c r="Q991" i="6"/>
  <c r="P991" i="6"/>
  <c r="O992" i="6" s="1"/>
  <c r="T992" i="6" s="1"/>
  <c r="Q992" i="6" l="1"/>
  <c r="R992" i="6"/>
  <c r="P992" i="6"/>
  <c r="O993" i="6" s="1"/>
  <c r="T993" i="6" s="1"/>
  <c r="S992" i="6"/>
  <c r="S993" i="6" s="1"/>
  <c r="R993" i="6" l="1"/>
  <c r="Q993" i="6"/>
  <c r="P993" i="6"/>
  <c r="O994" i="6" s="1"/>
  <c r="T994" i="6" s="1"/>
  <c r="R994" i="6" l="1"/>
  <c r="Q994" i="6"/>
  <c r="P994" i="6"/>
  <c r="O995" i="6" s="1"/>
  <c r="T995" i="6" s="1"/>
  <c r="S994" i="6"/>
  <c r="S995" i="6" s="1"/>
  <c r="R995" i="6" l="1"/>
  <c r="Q995" i="6"/>
  <c r="P995" i="6"/>
  <c r="O996" i="6" s="1"/>
  <c r="T996" i="6" s="1"/>
  <c r="R996" i="6" l="1"/>
  <c r="Q996" i="6"/>
  <c r="P996" i="6"/>
  <c r="O997" i="6" s="1"/>
  <c r="T997" i="6" s="1"/>
  <c r="S996" i="6"/>
  <c r="S997" i="6" s="1"/>
  <c r="Q997" i="6" l="1"/>
  <c r="R997" i="6"/>
  <c r="P997" i="6"/>
  <c r="O998" i="6" s="1"/>
  <c r="T998" i="6" s="1"/>
  <c r="R998" i="6" l="1"/>
  <c r="Q998" i="6"/>
  <c r="P998" i="6"/>
  <c r="O999" i="6" s="1"/>
  <c r="S998" i="6"/>
  <c r="Q999" i="6" l="1"/>
  <c r="R999" i="6"/>
  <c r="P999" i="6"/>
  <c r="O1000" i="6" s="1"/>
  <c r="T1000" i="6" s="1"/>
  <c r="S999" i="6"/>
  <c r="S1000" i="6" s="1"/>
  <c r="T999" i="6" l="1"/>
  <c r="R1000" i="6"/>
  <c r="Q1000" i="6"/>
  <c r="P1000" i="6"/>
  <c r="O1001" i="6" s="1"/>
  <c r="T1001" i="6" s="1"/>
  <c r="Q1001" i="6" l="1"/>
  <c r="R1001" i="6"/>
  <c r="P1001" i="6"/>
  <c r="O1002" i="6" s="1"/>
  <c r="T1002" i="6" s="1"/>
  <c r="S1001" i="6"/>
  <c r="S1002" i="6" s="1"/>
  <c r="Q1002" i="6" l="1"/>
  <c r="R1002" i="6"/>
  <c r="P1002" i="6"/>
  <c r="O1003" i="6" s="1"/>
  <c r="T1003" i="6" s="1"/>
  <c r="Q1003" i="6" l="1"/>
  <c r="R1003" i="6"/>
  <c r="P1003" i="6"/>
  <c r="O1004" i="6" s="1"/>
  <c r="T1004" i="6" s="1"/>
  <c r="S1003" i="6"/>
  <c r="S1004" i="6" s="1"/>
  <c r="R1004" i="6" l="1"/>
  <c r="Q1004" i="6"/>
  <c r="P1004" i="6"/>
  <c r="O1005" i="6" s="1"/>
  <c r="T1005" i="6" s="1"/>
  <c r="Q1005" i="6" l="1"/>
  <c r="R1005" i="6"/>
  <c r="P1005" i="6"/>
  <c r="O1006" i="6" s="1"/>
  <c r="T1006" i="6" s="1"/>
  <c r="S1005" i="6"/>
  <c r="S1006" i="6" s="1"/>
  <c r="R1006" i="6" l="1"/>
  <c r="Q1006" i="6"/>
  <c r="P1006" i="6"/>
  <c r="O1007" i="6" s="1"/>
  <c r="T1007" i="6" s="1"/>
  <c r="R1007" i="6" l="1"/>
  <c r="Q1007" i="6"/>
  <c r="P1007" i="6"/>
  <c r="O1008" i="6" s="1"/>
  <c r="T1008" i="6" s="1"/>
  <c r="S1007" i="6"/>
  <c r="S1008" i="6" s="1"/>
  <c r="R1008" i="6" l="1"/>
  <c r="Q1008" i="6"/>
  <c r="P1008" i="6"/>
  <c r="O1009" i="6" s="1"/>
  <c r="T1009" i="6" s="1"/>
  <c r="R1009" i="6" l="1"/>
  <c r="Q1009" i="6"/>
  <c r="P1009" i="6"/>
  <c r="O1010" i="6" s="1"/>
  <c r="T1010" i="6" s="1"/>
  <c r="S1009" i="6"/>
  <c r="S1010" i="6" s="1"/>
  <c r="R1010" i="6" l="1"/>
  <c r="Q1010" i="6"/>
  <c r="P1010" i="6"/>
  <c r="O1011" i="6" s="1"/>
  <c r="T1011" i="6" s="1"/>
  <c r="R1011" i="6" l="1"/>
  <c r="Q1011" i="6"/>
  <c r="P1011" i="6"/>
  <c r="O1012" i="6" s="1"/>
  <c r="T1012" i="6" s="1"/>
  <c r="S1011" i="6"/>
  <c r="S1012" i="6" s="1"/>
  <c r="Q1012" i="6" l="1"/>
  <c r="R1012" i="6"/>
  <c r="P1012" i="6"/>
  <c r="O1013" i="6" s="1"/>
  <c r="T1013" i="6" s="1"/>
  <c r="R1013" i="6" l="1"/>
  <c r="Q1013" i="6"/>
  <c r="P1013" i="6"/>
  <c r="O1014" i="6" s="1"/>
  <c r="T1014" i="6" s="1"/>
  <c r="S1013" i="6"/>
  <c r="S1014" i="6" s="1"/>
  <c r="Q1014" i="6" l="1"/>
  <c r="R1014" i="6"/>
  <c r="P1014" i="6"/>
  <c r="O1015" i="6" s="1"/>
  <c r="T1015" i="6" s="1"/>
  <c r="Q1015" i="6" l="1"/>
  <c r="R1015" i="6"/>
  <c r="P1015" i="6"/>
  <c r="O1016" i="6" s="1"/>
  <c r="T1016" i="6" s="1"/>
  <c r="S1015" i="6"/>
  <c r="S1016" i="6" s="1"/>
  <c r="R1016" i="6" l="1"/>
  <c r="Q1016" i="6"/>
  <c r="P1016" i="6"/>
  <c r="O1017" i="6" s="1"/>
  <c r="T1017" i="6" s="1"/>
  <c r="Q1017" i="6" l="1"/>
  <c r="R1017" i="6"/>
  <c r="P1017" i="6"/>
  <c r="O1018" i="6" s="1"/>
  <c r="T1018" i="6" s="1"/>
  <c r="S1017" i="6"/>
  <c r="S1018" i="6" s="1"/>
  <c r="R1018" i="6" l="1"/>
  <c r="Q1018" i="6"/>
  <c r="P1018" i="6"/>
  <c r="O1019" i="6" s="1"/>
  <c r="T1019" i="6" s="1"/>
  <c r="R1019" i="6" l="1"/>
  <c r="Q1019" i="6"/>
  <c r="P1019" i="6"/>
  <c r="O1020" i="6" s="1"/>
  <c r="T1020" i="6" s="1"/>
  <c r="S1019" i="6"/>
  <c r="S1020" i="6" s="1"/>
  <c r="Q1020" i="6" l="1"/>
  <c r="R1020" i="6"/>
  <c r="P1020" i="6"/>
  <c r="O1021" i="6" s="1"/>
  <c r="T1021" i="6" s="1"/>
  <c r="R1021" i="6" l="1"/>
  <c r="Q1021" i="6"/>
  <c r="P1021" i="6"/>
  <c r="O1022" i="6" s="1"/>
  <c r="T1022" i="6" s="1"/>
  <c r="S1021" i="6"/>
  <c r="S1022" i="6" s="1"/>
  <c r="R1022" i="6" l="1"/>
  <c r="Q1022" i="6"/>
  <c r="P1022" i="6"/>
  <c r="O1023" i="6" s="1"/>
  <c r="T1023" i="6" s="1"/>
  <c r="R1023" i="6" l="1"/>
  <c r="Q1023" i="6"/>
  <c r="P1023" i="6"/>
  <c r="O1024" i="6" s="1"/>
  <c r="T1024" i="6" s="1"/>
  <c r="S1023" i="6"/>
  <c r="S1024" i="6" s="1"/>
  <c r="Q1024" i="6" l="1"/>
  <c r="R1024" i="6"/>
  <c r="P1024" i="6"/>
  <c r="O1025" i="6" s="1"/>
  <c r="T1025" i="6" s="1"/>
  <c r="R1025" i="6" l="1"/>
  <c r="Q1025" i="6"/>
  <c r="P1025" i="6"/>
  <c r="O1026" i="6" s="1"/>
  <c r="T1026" i="6" s="1"/>
  <c r="S1025" i="6"/>
  <c r="S1026" i="6" s="1"/>
  <c r="R1026" i="6" l="1"/>
  <c r="Q1026" i="6"/>
  <c r="P1026" i="6"/>
  <c r="O1027" i="6" s="1"/>
  <c r="T1027" i="6" s="1"/>
  <c r="R1027" i="6" l="1"/>
  <c r="Q1027" i="6"/>
  <c r="P1027" i="6"/>
  <c r="O1028" i="6" s="1"/>
  <c r="T1028" i="6" s="1"/>
  <c r="S1027" i="6"/>
  <c r="S1028" i="6" s="1"/>
  <c r="R1028" i="6" l="1"/>
  <c r="Q1028" i="6"/>
  <c r="P1028" i="6"/>
  <c r="O1029" i="6" s="1"/>
  <c r="R1029" i="6" l="1"/>
  <c r="Q1029" i="6"/>
  <c r="P1029" i="6"/>
  <c r="O1030" i="6" s="1"/>
  <c r="T1030" i="6" s="1"/>
  <c r="S1029" i="6"/>
  <c r="T1029" i="6" s="1"/>
  <c r="R1030" i="6" l="1"/>
  <c r="Q1030" i="6"/>
  <c r="P1030" i="6"/>
  <c r="O1031" i="6" s="1"/>
  <c r="T1031" i="6" s="1"/>
  <c r="S1030" i="6"/>
  <c r="R1031" i="6" l="1"/>
  <c r="Q1031" i="6"/>
  <c r="P1031" i="6"/>
  <c r="O1032" i="6" s="1"/>
  <c r="T1032" i="6" s="1"/>
  <c r="S1031" i="6"/>
  <c r="Q1032" i="6" l="1"/>
  <c r="R1032" i="6"/>
  <c r="P1032" i="6"/>
  <c r="O1033" i="6" s="1"/>
  <c r="T1033" i="6" s="1"/>
  <c r="S1032" i="6"/>
  <c r="R1033" i="6" l="1"/>
  <c r="Q1033" i="6"/>
  <c r="P1033" i="6"/>
  <c r="O1034" i="6" s="1"/>
  <c r="T1034" i="6" s="1"/>
  <c r="S1033" i="6"/>
  <c r="R1034" i="6" l="1"/>
  <c r="Q1034" i="6"/>
  <c r="P1034" i="6"/>
  <c r="O1035" i="6" s="1"/>
  <c r="T1035" i="6" s="1"/>
  <c r="S1034" i="6"/>
  <c r="R1035" i="6" l="1"/>
  <c r="Q1035" i="6"/>
  <c r="P1035" i="6"/>
  <c r="O1036" i="6" s="1"/>
  <c r="T1036" i="6" s="1"/>
  <c r="S1035" i="6"/>
  <c r="S1036" i="6" s="1"/>
  <c r="R1036" i="6" l="1"/>
  <c r="Q1036" i="6"/>
  <c r="P1036" i="6"/>
  <c r="O1037" i="6" s="1"/>
  <c r="T1037" i="6" s="1"/>
  <c r="Q1037" i="6" l="1"/>
  <c r="R1037" i="6"/>
  <c r="P1037" i="6"/>
  <c r="O1038" i="6" s="1"/>
  <c r="T1038" i="6" s="1"/>
  <c r="S1037" i="6"/>
  <c r="S1038" i="6" s="1"/>
  <c r="R1038" i="6" l="1"/>
  <c r="Q1038" i="6"/>
  <c r="P1038" i="6"/>
  <c r="O1039" i="6" s="1"/>
  <c r="T1039" i="6" s="1"/>
  <c r="R1039" i="6" l="1"/>
  <c r="Q1039" i="6"/>
  <c r="P1039" i="6"/>
  <c r="O1040" i="6" s="1"/>
  <c r="T1040" i="6" s="1"/>
  <c r="S1039" i="6"/>
  <c r="S1040" i="6" s="1"/>
  <c r="Q1040" i="6" l="1"/>
  <c r="R1040" i="6"/>
  <c r="P1040" i="6"/>
  <c r="O1041" i="6" s="1"/>
  <c r="T1041" i="6" s="1"/>
  <c r="R1041" i="6" l="1"/>
  <c r="Q1041" i="6"/>
  <c r="P1041" i="6"/>
  <c r="O1042" i="6" s="1"/>
  <c r="T1042" i="6" s="1"/>
  <c r="S1041" i="6"/>
  <c r="S1042" i="6" s="1"/>
  <c r="R1042" i="6" l="1"/>
  <c r="Q1042" i="6"/>
  <c r="P1042" i="6"/>
  <c r="O1043" i="6" s="1"/>
  <c r="R1043" i="6" l="1"/>
  <c r="Q1043" i="6"/>
  <c r="P1043" i="6"/>
  <c r="O1044" i="6" s="1"/>
  <c r="T1044" i="6" s="1"/>
  <c r="S1043" i="6"/>
  <c r="T1043" i="6" s="1"/>
  <c r="R1044" i="6" l="1"/>
  <c r="Q1044" i="6"/>
  <c r="P1044" i="6"/>
  <c r="O1045" i="6" s="1"/>
  <c r="T1045" i="6" s="1"/>
  <c r="S1044" i="6"/>
  <c r="R1045" i="6" l="1"/>
  <c r="Q1045" i="6"/>
  <c r="P1045" i="6"/>
  <c r="O1046" i="6" s="1"/>
  <c r="T1046" i="6" s="1"/>
  <c r="S1045" i="6"/>
  <c r="S1046" i="6" s="1"/>
  <c r="R1046" i="6" l="1"/>
  <c r="Q1046" i="6"/>
  <c r="P1046" i="6"/>
  <c r="O1047" i="6" s="1"/>
  <c r="T1047" i="6" s="1"/>
  <c r="R1047" i="6" l="1"/>
  <c r="Q1047" i="6"/>
  <c r="P1047" i="6"/>
  <c r="O1048" i="6" s="1"/>
  <c r="T1048" i="6" s="1"/>
  <c r="S1047" i="6"/>
  <c r="S1048" i="6" s="1"/>
  <c r="R1048" i="6" l="1"/>
  <c r="Q1048" i="6"/>
  <c r="P1048" i="6"/>
  <c r="O1049" i="6" s="1"/>
  <c r="T1049" i="6" s="1"/>
  <c r="R1049" i="6" l="1"/>
  <c r="Q1049" i="6"/>
  <c r="P1049" i="6"/>
  <c r="O1050" i="6" s="1"/>
  <c r="T1050" i="6" s="1"/>
  <c r="S1049" i="6"/>
  <c r="S1050" i="6" s="1"/>
  <c r="R1050" i="6" l="1"/>
  <c r="Q1050" i="6"/>
  <c r="P1050" i="6"/>
  <c r="O1051" i="6" s="1"/>
  <c r="T1051" i="6" s="1"/>
  <c r="R1051" i="6" l="1"/>
  <c r="Q1051" i="6"/>
  <c r="P1051" i="6"/>
  <c r="O1052" i="6" s="1"/>
  <c r="T1052" i="6" s="1"/>
  <c r="S1051" i="6"/>
  <c r="S1052" i="6" s="1"/>
  <c r="R1052" i="6" l="1"/>
  <c r="Q1052" i="6"/>
  <c r="P1052" i="6"/>
  <c r="O1053" i="6" s="1"/>
  <c r="T1053" i="6" s="1"/>
  <c r="R1053" i="6" l="1"/>
  <c r="Q1053" i="6"/>
  <c r="P1053" i="6"/>
  <c r="O1054" i="6" s="1"/>
  <c r="T1054" i="6" s="1"/>
  <c r="S1053" i="6"/>
  <c r="S1054" i="6" s="1"/>
  <c r="R1054" i="6" l="1"/>
  <c r="Q1054" i="6"/>
  <c r="P1054" i="6"/>
  <c r="O1055" i="6" s="1"/>
  <c r="T1055" i="6" s="1"/>
  <c r="Q1055" i="6" l="1"/>
  <c r="R1055" i="6"/>
  <c r="P1055" i="6"/>
  <c r="O1056" i="6" s="1"/>
  <c r="T1056" i="6" s="1"/>
  <c r="S1055" i="6"/>
  <c r="S1056" i="6" s="1"/>
  <c r="R1056" i="6" l="1"/>
  <c r="Q1056" i="6"/>
  <c r="P1056" i="6"/>
  <c r="O1057" i="6" s="1"/>
  <c r="T1057" i="6" s="1"/>
  <c r="Q1057" i="6" l="1"/>
  <c r="R1057" i="6"/>
  <c r="P1057" i="6"/>
  <c r="O1058" i="6" s="1"/>
  <c r="T1058" i="6" s="1"/>
  <c r="S1057" i="6"/>
  <c r="S1058" i="6" s="1"/>
  <c r="R1058" i="6" l="1"/>
  <c r="Q1058" i="6"/>
  <c r="P1058" i="6"/>
  <c r="O1059" i="6" s="1"/>
  <c r="T1059" i="6" s="1"/>
  <c r="R1059" i="6" l="1"/>
  <c r="Q1059" i="6"/>
  <c r="P1059" i="6"/>
  <c r="O1060" i="6" s="1"/>
  <c r="T1060" i="6" s="1"/>
  <c r="S1059" i="6"/>
  <c r="S1060" i="6" s="1"/>
  <c r="Q1060" i="6" l="1"/>
  <c r="R1060" i="6"/>
  <c r="P1060" i="6"/>
  <c r="O1061" i="6" s="1"/>
  <c r="T1061" i="6" s="1"/>
  <c r="R1061" i="6" l="1"/>
  <c r="Q1061" i="6"/>
  <c r="P1061" i="6"/>
  <c r="O1062" i="6" s="1"/>
  <c r="T1062" i="6" s="1"/>
  <c r="S1061" i="6"/>
  <c r="S1062" i="6" s="1"/>
  <c r="R1062" i="6" l="1"/>
  <c r="Q1062" i="6"/>
  <c r="P1062" i="6"/>
  <c r="O1063" i="6" s="1"/>
  <c r="T1063" i="6" s="1"/>
  <c r="R1063" i="6" l="1"/>
  <c r="Q1063" i="6"/>
  <c r="P1063" i="6"/>
  <c r="O1064" i="6" s="1"/>
  <c r="T1064" i="6" s="1"/>
  <c r="S1063" i="6"/>
  <c r="S1064" i="6" s="1"/>
  <c r="R1064" i="6" l="1"/>
  <c r="Q1064" i="6"/>
  <c r="P1064" i="6"/>
  <c r="O1065" i="6" s="1"/>
  <c r="T1065" i="6" s="1"/>
  <c r="R1065" i="6" l="1"/>
  <c r="Q1065" i="6"/>
  <c r="P1065" i="6"/>
  <c r="O1066" i="6" s="1"/>
  <c r="T1066" i="6" s="1"/>
  <c r="S1065" i="6"/>
  <c r="S1066" i="6" s="1"/>
  <c r="R1066" i="6" l="1"/>
  <c r="Q1066" i="6"/>
  <c r="P1066" i="6"/>
  <c r="O1067" i="6" s="1"/>
  <c r="T1067" i="6" s="1"/>
  <c r="R1067" i="6" l="1"/>
  <c r="Q1067" i="6"/>
  <c r="P1067" i="6"/>
  <c r="O1068" i="6" s="1"/>
  <c r="T1068" i="6" s="1"/>
  <c r="S1067" i="6"/>
  <c r="S1068" i="6" s="1"/>
  <c r="R1068" i="6" l="1"/>
  <c r="Q1068" i="6"/>
  <c r="P1068" i="6"/>
  <c r="O1069" i="6" s="1"/>
  <c r="T1069" i="6" s="1"/>
  <c r="R1069" i="6" l="1"/>
  <c r="Q1069" i="6"/>
  <c r="P1069" i="6"/>
  <c r="O1070" i="6" s="1"/>
  <c r="T1070" i="6" s="1"/>
  <c r="S1069" i="6"/>
  <c r="S1070" i="6" s="1"/>
  <c r="R1070" i="6" l="1"/>
  <c r="Q1070" i="6"/>
  <c r="P1070" i="6"/>
  <c r="O1071" i="6" s="1"/>
  <c r="T1071" i="6" s="1"/>
  <c r="R1071" i="6" l="1"/>
  <c r="Q1071" i="6"/>
  <c r="P1071" i="6"/>
  <c r="O1072" i="6" s="1"/>
  <c r="T1072" i="6" s="1"/>
  <c r="S1071" i="6"/>
  <c r="S1072" i="6" s="1"/>
  <c r="R1072" i="6" l="1"/>
  <c r="Q1072" i="6"/>
  <c r="P1072" i="6"/>
  <c r="O1073" i="6" s="1"/>
  <c r="T1073" i="6" s="1"/>
  <c r="R1073" i="6" l="1"/>
  <c r="Q1073" i="6"/>
  <c r="P1073" i="6"/>
  <c r="O1074" i="6" s="1"/>
  <c r="T1074" i="6" s="1"/>
  <c r="S1073" i="6"/>
  <c r="S1074" i="6" s="1"/>
  <c r="R1074" i="6" l="1"/>
  <c r="Q1074" i="6"/>
  <c r="P1074" i="6"/>
  <c r="O1075" i="6" s="1"/>
  <c r="T1075" i="6" s="1"/>
  <c r="Q1075" i="6" l="1"/>
  <c r="R1075" i="6"/>
  <c r="P1075" i="6"/>
  <c r="O1076" i="6" s="1"/>
  <c r="T1076" i="6" s="1"/>
  <c r="S1075" i="6"/>
  <c r="S1076" i="6" s="1"/>
  <c r="R1076" i="6" l="1"/>
  <c r="Q1076" i="6"/>
  <c r="P1076" i="6"/>
  <c r="O1077" i="6" s="1"/>
  <c r="T1077" i="6" s="1"/>
  <c r="Q1077" i="6" l="1"/>
  <c r="R1077" i="6"/>
  <c r="P1077" i="6"/>
  <c r="O1078" i="6" s="1"/>
  <c r="T1078" i="6" s="1"/>
  <c r="S1077" i="6"/>
  <c r="R1078" i="6" l="1"/>
  <c r="Q1078" i="6"/>
  <c r="P1078" i="6"/>
  <c r="O1079" i="6" s="1"/>
  <c r="T1079" i="6" s="1"/>
  <c r="S1078" i="6"/>
  <c r="S1079" i="6" s="1"/>
  <c r="R1079" i="6" l="1"/>
  <c r="Q1079" i="6"/>
  <c r="P1079" i="6"/>
  <c r="O1080" i="6" s="1"/>
  <c r="T1080" i="6" s="1"/>
  <c r="Q1080" i="6" l="1"/>
  <c r="R1080" i="6"/>
  <c r="P1080" i="6"/>
  <c r="O1081" i="6" s="1"/>
  <c r="T1081" i="6" s="1"/>
  <c r="S1080" i="6"/>
  <c r="S1081" i="6" s="1"/>
  <c r="R1081" i="6" l="1"/>
  <c r="Q1081" i="6"/>
  <c r="P1081" i="6"/>
  <c r="O1082" i="6" s="1"/>
  <c r="T1082" i="6" s="1"/>
  <c r="R1082" i="6" l="1"/>
  <c r="Q1082" i="6"/>
  <c r="P1082" i="6"/>
  <c r="O1083" i="6" s="1"/>
  <c r="T1083" i="6" s="1"/>
  <c r="S1082" i="6"/>
  <c r="S1083" i="6" s="1"/>
  <c r="Q1083" i="6" l="1"/>
  <c r="R1083" i="6"/>
  <c r="P1083" i="6"/>
  <c r="O1084" i="6" s="1"/>
  <c r="T1084" i="6" s="1"/>
  <c r="R1084" i="6" l="1"/>
  <c r="Q1084" i="6"/>
  <c r="P1084" i="6"/>
  <c r="O1085" i="6" s="1"/>
  <c r="T1085" i="6" s="1"/>
  <c r="S1084" i="6"/>
  <c r="S1085" i="6" s="1"/>
  <c r="Q1085" i="6" l="1"/>
  <c r="R1085" i="6"/>
  <c r="P1085" i="6"/>
  <c r="O1086" i="6" s="1"/>
  <c r="T1086" i="6" s="1"/>
  <c r="Q1086" i="6" l="1"/>
  <c r="R1086" i="6"/>
  <c r="P1086" i="6"/>
  <c r="O1087" i="6" s="1"/>
  <c r="S1086" i="6"/>
  <c r="R1087" i="6" l="1"/>
  <c r="Q1087" i="6"/>
  <c r="P1087" i="6"/>
  <c r="O1088" i="6" s="1"/>
  <c r="T1088" i="6" s="1"/>
  <c r="S1087" i="6"/>
  <c r="S1088" i="6" s="1"/>
  <c r="T1087" i="6" l="1"/>
  <c r="R1088" i="6"/>
  <c r="Q1088" i="6"/>
  <c r="P1088" i="6"/>
  <c r="O1089" i="6" s="1"/>
  <c r="T1089" i="6" s="1"/>
  <c r="Q1089" i="6" l="1"/>
  <c r="R1089" i="6"/>
  <c r="P1089" i="6"/>
  <c r="O1090" i="6" s="1"/>
  <c r="T1090" i="6" s="1"/>
  <c r="S1089" i="6"/>
  <c r="S1090" i="6" s="1"/>
  <c r="R1090" i="6" l="1"/>
  <c r="Q1090" i="6"/>
  <c r="P1090" i="6"/>
  <c r="O1091" i="6" s="1"/>
  <c r="T1091" i="6" s="1"/>
  <c r="R1091" i="6" l="1"/>
  <c r="Q1091" i="6"/>
  <c r="P1091" i="6"/>
  <c r="O1092" i="6" s="1"/>
  <c r="T1092" i="6" s="1"/>
  <c r="S1091" i="6"/>
  <c r="Q1092" i="6" l="1"/>
  <c r="R1092" i="6"/>
  <c r="P1092" i="6"/>
  <c r="O1093" i="6" s="1"/>
  <c r="T1093" i="6" s="1"/>
  <c r="S1092" i="6"/>
  <c r="S1093" i="6" s="1"/>
  <c r="Q1093" i="6" l="1"/>
  <c r="R1093" i="6"/>
  <c r="P1093" i="6"/>
  <c r="O1094" i="6" s="1"/>
  <c r="T1094" i="6" s="1"/>
  <c r="R1094" i="6" l="1"/>
  <c r="Q1094" i="6"/>
  <c r="P1094" i="6"/>
  <c r="O1095" i="6" s="1"/>
  <c r="T1095" i="6" s="1"/>
  <c r="S1094" i="6"/>
  <c r="S1095" i="6" s="1"/>
  <c r="R1095" i="6" l="1"/>
  <c r="Q1095" i="6"/>
  <c r="P1095" i="6"/>
  <c r="O1096" i="6" s="1"/>
  <c r="T1096" i="6" s="1"/>
  <c r="R1096" i="6" l="1"/>
  <c r="Q1096" i="6"/>
  <c r="P1096" i="6"/>
  <c r="O1097" i="6" s="1"/>
  <c r="T1097" i="6" s="1"/>
  <c r="S1096" i="6"/>
  <c r="S1097" i="6" s="1"/>
  <c r="Q1097" i="6" l="1"/>
  <c r="R1097" i="6"/>
  <c r="P1097" i="6"/>
  <c r="O1098" i="6" s="1"/>
  <c r="T1098" i="6" s="1"/>
  <c r="R1098" i="6" l="1"/>
  <c r="Q1098" i="6"/>
  <c r="P1098" i="6"/>
  <c r="O1099" i="6" s="1"/>
  <c r="T1099" i="6" s="1"/>
  <c r="S1098" i="6"/>
  <c r="S1099" i="6" s="1"/>
  <c r="R1099" i="6" l="1"/>
  <c r="Q1099" i="6"/>
  <c r="P1099" i="6"/>
  <c r="O1100" i="6" s="1"/>
  <c r="T1100" i="6" s="1"/>
  <c r="Q1100" i="6" l="1"/>
  <c r="R1100" i="6"/>
  <c r="P1100" i="6"/>
  <c r="O1101" i="6" s="1"/>
  <c r="T1101" i="6" s="1"/>
  <c r="S1100" i="6"/>
  <c r="S1101" i="6" s="1"/>
  <c r="R1101" i="6" l="1"/>
  <c r="Q1101" i="6"/>
  <c r="P1101" i="6"/>
  <c r="O1102" i="6" s="1"/>
  <c r="T1102" i="6" s="1"/>
  <c r="R1102" i="6" l="1"/>
  <c r="Q1102" i="6"/>
  <c r="P1102" i="6"/>
  <c r="O1103" i="6" s="1"/>
  <c r="T1103" i="6" s="1"/>
  <c r="S1102" i="6"/>
  <c r="S1103" i="6" s="1"/>
  <c r="Q1103" i="6" l="1"/>
  <c r="R1103" i="6"/>
  <c r="P1103" i="6"/>
  <c r="O1104" i="6" s="1"/>
  <c r="T1104" i="6" s="1"/>
  <c r="Q1104" i="6" l="1"/>
  <c r="R1104" i="6"/>
  <c r="P1104" i="6"/>
  <c r="O1105" i="6" s="1"/>
  <c r="T1105" i="6" s="1"/>
  <c r="S1104" i="6"/>
  <c r="S1105" i="6" s="1"/>
  <c r="R1105" i="6" l="1"/>
  <c r="Q1105" i="6"/>
  <c r="P1105" i="6"/>
  <c r="O1106" i="6" s="1"/>
  <c r="T1106" i="6" s="1"/>
  <c r="R1106" i="6" l="1"/>
  <c r="Q1106" i="6"/>
  <c r="P1106" i="6"/>
  <c r="O1107" i="6" s="1"/>
  <c r="T1107" i="6" s="1"/>
  <c r="S1106" i="6"/>
  <c r="S1107" i="6" s="1"/>
  <c r="R1107" i="6" l="1"/>
  <c r="Q1107" i="6"/>
  <c r="P1107" i="6"/>
  <c r="O1108" i="6" s="1"/>
  <c r="T1108" i="6" s="1"/>
  <c r="R1108" i="6" l="1"/>
  <c r="Q1108" i="6"/>
  <c r="P1108" i="6"/>
  <c r="O1109" i="6" s="1"/>
  <c r="T1109" i="6" s="1"/>
  <c r="S1108" i="6"/>
  <c r="S1109" i="6" s="1"/>
  <c r="R1109" i="6" l="1"/>
  <c r="Q1109" i="6"/>
  <c r="P1109" i="6"/>
  <c r="O1110" i="6" s="1"/>
  <c r="T1110" i="6" s="1"/>
  <c r="R1110" i="6" l="1"/>
  <c r="Q1110" i="6"/>
  <c r="P1110" i="6"/>
  <c r="O1111" i="6" s="1"/>
  <c r="T1111" i="6" s="1"/>
  <c r="S1110" i="6"/>
  <c r="S1111" i="6" s="1"/>
  <c r="R1111" i="6" l="1"/>
  <c r="Q1111" i="6"/>
  <c r="P1111" i="6"/>
  <c r="O1112" i="6" s="1"/>
  <c r="T1112" i="6" s="1"/>
  <c r="R1112" i="6" l="1"/>
  <c r="Q1112" i="6"/>
  <c r="P1112" i="6"/>
  <c r="O1113" i="6" s="1"/>
  <c r="T1113" i="6" s="1"/>
  <c r="S1112" i="6"/>
  <c r="S1113" i="6" s="1"/>
  <c r="R1113" i="6" l="1"/>
  <c r="Q1113" i="6"/>
  <c r="P1113" i="6"/>
  <c r="O1114" i="6" s="1"/>
  <c r="T1114" i="6" s="1"/>
  <c r="Q1114" i="6" l="1"/>
  <c r="R1114" i="6"/>
  <c r="P1114" i="6"/>
  <c r="O1115" i="6" s="1"/>
  <c r="T1115" i="6" s="1"/>
  <c r="S1114" i="6"/>
  <c r="S1115" i="6" l="1"/>
  <c r="R1115" i="6"/>
  <c r="Q1115" i="6"/>
  <c r="P1115" i="6"/>
  <c r="O1116" i="6" s="1"/>
  <c r="T1116" i="6" s="1"/>
  <c r="R1116" i="6" l="1"/>
  <c r="Q1116" i="6"/>
  <c r="P1116" i="6"/>
  <c r="O1117" i="6" s="1"/>
  <c r="T1117" i="6" s="1"/>
  <c r="S1116" i="6"/>
  <c r="S1117" i="6" s="1"/>
  <c r="Q1117" i="6" l="1"/>
  <c r="R1117" i="6"/>
  <c r="P1117" i="6"/>
  <c r="O1118" i="6" s="1"/>
  <c r="T1118" i="6" s="1"/>
  <c r="R1118" i="6" l="1"/>
  <c r="Q1118" i="6"/>
  <c r="P1118" i="6"/>
  <c r="O1119" i="6" s="1"/>
  <c r="T1119" i="6" s="1"/>
  <c r="S1118" i="6"/>
  <c r="S1119" i="6" s="1"/>
  <c r="R1119" i="6" l="1"/>
  <c r="Q1119" i="6"/>
  <c r="P1119" i="6"/>
  <c r="O1120" i="6" s="1"/>
  <c r="R1120" i="6" l="1"/>
  <c r="Q1120" i="6"/>
  <c r="P1120" i="6"/>
  <c r="O1121" i="6" s="1"/>
  <c r="T1121" i="6" s="1"/>
  <c r="S1120" i="6"/>
  <c r="T1120" i="6" s="1"/>
  <c r="R1121" i="6" l="1"/>
  <c r="Q1121" i="6"/>
  <c r="P1121" i="6"/>
  <c r="O1122" i="6" s="1"/>
  <c r="T1122" i="6" s="1"/>
  <c r="S1121" i="6"/>
  <c r="S1122" i="6" s="1"/>
  <c r="R1122" i="6" l="1"/>
  <c r="Q1122" i="6"/>
  <c r="P1122" i="6"/>
  <c r="O1123" i="6" s="1"/>
  <c r="T1123" i="6" s="1"/>
  <c r="R1123" i="6" l="1"/>
  <c r="Q1123" i="6"/>
  <c r="P1123" i="6"/>
  <c r="O1124" i="6" s="1"/>
  <c r="T1124" i="6" s="1"/>
  <c r="S1123" i="6"/>
  <c r="S1124" i="6" l="1"/>
  <c r="R1124" i="6"/>
  <c r="Q1124" i="6"/>
  <c r="P1124" i="6"/>
  <c r="O1125" i="6" s="1"/>
  <c r="T1125" i="6" s="1"/>
  <c r="R1125" i="6" l="1"/>
  <c r="Q1125" i="6"/>
  <c r="P1125" i="6"/>
  <c r="O1126" i="6" s="1"/>
  <c r="T1126" i="6" s="1"/>
  <c r="S1125" i="6"/>
  <c r="R1126" i="6" l="1"/>
  <c r="Q1126" i="6"/>
  <c r="P1126" i="6"/>
  <c r="O1127" i="6" s="1"/>
  <c r="T1127" i="6" s="1"/>
  <c r="S1126" i="6"/>
  <c r="S1127" i="6" s="1"/>
  <c r="R1127" i="6" l="1"/>
  <c r="Q1127" i="6"/>
  <c r="P1127" i="6"/>
  <c r="O1128" i="6" s="1"/>
  <c r="T1128" i="6" s="1"/>
  <c r="R1128" i="6" l="1"/>
  <c r="Q1128" i="6"/>
  <c r="P1128" i="6"/>
  <c r="O1129" i="6" s="1"/>
  <c r="T1129" i="6" s="1"/>
  <c r="S1128" i="6"/>
  <c r="S1129" i="6" s="1"/>
  <c r="R1129" i="6" l="1"/>
  <c r="Q1129" i="6"/>
  <c r="P1129" i="6"/>
  <c r="O1130" i="6" s="1"/>
  <c r="T1130" i="6" s="1"/>
  <c r="R1130" i="6" l="1"/>
  <c r="Q1130" i="6"/>
  <c r="P1130" i="6"/>
  <c r="O1131" i="6" s="1"/>
  <c r="T1131" i="6" s="1"/>
  <c r="S1130" i="6"/>
  <c r="S1131" i="6" l="1"/>
  <c r="R1131" i="6"/>
  <c r="Q1131" i="6"/>
  <c r="P1131" i="6"/>
  <c r="O1132" i="6" s="1"/>
  <c r="T1132" i="6" s="1"/>
  <c r="Q1132" i="6" l="1"/>
  <c r="R1132" i="6"/>
  <c r="P1132" i="6"/>
  <c r="O1133" i="6" s="1"/>
  <c r="T1133" i="6" s="1"/>
  <c r="S1132" i="6"/>
  <c r="S1133" i="6" s="1"/>
  <c r="Q1133" i="6" l="1"/>
  <c r="R1133" i="6"/>
  <c r="P1133" i="6"/>
  <c r="O1134" i="6" s="1"/>
  <c r="T1134" i="6" s="1"/>
  <c r="Q1134" i="6" l="1"/>
  <c r="R1134" i="6"/>
  <c r="P1134" i="6"/>
  <c r="O1135" i="6" s="1"/>
  <c r="T1135" i="6" s="1"/>
  <c r="S1134" i="6"/>
  <c r="S1135" i="6" s="1"/>
  <c r="Q1135" i="6" l="1"/>
  <c r="R1135" i="6"/>
  <c r="P1135" i="6"/>
  <c r="O1136" i="6" s="1"/>
  <c r="T1136" i="6" s="1"/>
  <c r="R1136" i="6" l="1"/>
  <c r="Q1136" i="6"/>
  <c r="P1136" i="6"/>
  <c r="O1137" i="6" s="1"/>
  <c r="T1137" i="6" s="1"/>
  <c r="S1136" i="6"/>
  <c r="S1137" i="6" s="1"/>
  <c r="R1137" i="6" l="1"/>
  <c r="Q1137" i="6"/>
  <c r="P1137" i="6"/>
  <c r="O1138" i="6" s="1"/>
  <c r="T1138" i="6" s="1"/>
  <c r="R1138" i="6" l="1"/>
  <c r="Q1138" i="6"/>
  <c r="P1138" i="6"/>
  <c r="O1139" i="6" s="1"/>
  <c r="T1139" i="6" s="1"/>
  <c r="S1138" i="6"/>
  <c r="S1139" i="6" s="1"/>
  <c r="R1139" i="6" l="1"/>
  <c r="Q1139" i="6"/>
  <c r="P1139" i="6"/>
  <c r="O1140" i="6" s="1"/>
  <c r="T1140" i="6" s="1"/>
  <c r="Q1140" i="6" l="1"/>
  <c r="R1140" i="6"/>
  <c r="P1140" i="6"/>
  <c r="O1141" i="6" s="1"/>
  <c r="T1141" i="6" s="1"/>
  <c r="S1140" i="6"/>
  <c r="S1141" i="6" s="1"/>
  <c r="R1141" i="6" l="1"/>
  <c r="Q1141" i="6"/>
  <c r="P1141" i="6"/>
  <c r="O1142" i="6" s="1"/>
  <c r="T1142" i="6" s="1"/>
  <c r="R1142" i="6" l="1"/>
  <c r="Q1142" i="6"/>
  <c r="P1142" i="6"/>
  <c r="O1143" i="6" s="1"/>
  <c r="T1143" i="6" s="1"/>
  <c r="S1142" i="6"/>
  <c r="S1143" i="6" s="1"/>
  <c r="R1143" i="6" l="1"/>
  <c r="Q1143" i="6"/>
  <c r="P1143" i="6"/>
  <c r="O1144" i="6" s="1"/>
  <c r="T1144" i="6" s="1"/>
  <c r="R1144" i="6" l="1"/>
  <c r="Q1144" i="6"/>
  <c r="P1144" i="6"/>
  <c r="O1145" i="6" s="1"/>
  <c r="T1145" i="6" s="1"/>
  <c r="S1144" i="6"/>
  <c r="S1145" i="6" s="1"/>
  <c r="R1145" i="6" l="1"/>
  <c r="Q1145" i="6"/>
  <c r="P1145" i="6"/>
  <c r="O1146" i="6" s="1"/>
  <c r="T1146" i="6" s="1"/>
  <c r="R1146" i="6" l="1"/>
  <c r="Q1146" i="6"/>
  <c r="P1146" i="6"/>
  <c r="O1147" i="6" s="1"/>
  <c r="T1147" i="6" s="1"/>
  <c r="S1146" i="6"/>
  <c r="R1147" i="6" l="1"/>
  <c r="Q1147" i="6"/>
  <c r="P1147" i="6"/>
  <c r="O1148" i="6" s="1"/>
  <c r="T1148" i="6" s="1"/>
  <c r="S1147" i="6"/>
  <c r="R1148" i="6" l="1"/>
  <c r="Q1148" i="6"/>
  <c r="P1148" i="6"/>
  <c r="O1149" i="6" s="1"/>
  <c r="T1149" i="6" s="1"/>
  <c r="S1148" i="6"/>
  <c r="R1149" i="6" l="1"/>
  <c r="Q1149" i="6"/>
  <c r="P1149" i="6"/>
  <c r="O1150" i="6" s="1"/>
  <c r="T1150" i="6" s="1"/>
  <c r="S1149" i="6"/>
  <c r="R1150" i="6" l="1"/>
  <c r="Q1150" i="6"/>
  <c r="P1150" i="6"/>
  <c r="O1151" i="6" s="1"/>
  <c r="T1151" i="6" s="1"/>
  <c r="S1150" i="6"/>
  <c r="S1151" i="6" s="1"/>
  <c r="Q1151" i="6" l="1"/>
  <c r="R1151" i="6"/>
  <c r="P1151" i="6"/>
  <c r="O1152" i="6" s="1"/>
  <c r="T1152" i="6" s="1"/>
  <c r="Q1152" i="6" l="1"/>
  <c r="R1152" i="6"/>
  <c r="P1152" i="6"/>
  <c r="O1153" i="6" s="1"/>
  <c r="T1153" i="6" s="1"/>
  <c r="S1152" i="6"/>
  <c r="S1153" i="6" s="1"/>
  <c r="R1153" i="6" l="1"/>
  <c r="Q1153" i="6"/>
  <c r="P1153" i="6"/>
  <c r="O1154" i="6" s="1"/>
  <c r="T1154" i="6" s="1"/>
  <c r="R1154" i="6" l="1"/>
  <c r="Q1154" i="6"/>
  <c r="P1154" i="6"/>
  <c r="O1155" i="6" s="1"/>
  <c r="T1155" i="6" s="1"/>
  <c r="S1154" i="6"/>
  <c r="S1155" i="6" s="1"/>
  <c r="Q1155" i="6" l="1"/>
  <c r="R1155" i="6"/>
  <c r="P1155" i="6"/>
  <c r="O1156" i="6" s="1"/>
  <c r="Q1156" i="6" l="1"/>
  <c r="R1156" i="6"/>
  <c r="P1156" i="6"/>
  <c r="O1157" i="6" s="1"/>
  <c r="T1157" i="6" s="1"/>
  <c r="S1156" i="6"/>
  <c r="S1157" i="6" s="1"/>
  <c r="T1156" i="6" l="1"/>
  <c r="Q1157" i="6"/>
  <c r="R1157" i="6"/>
  <c r="P1157" i="6"/>
  <c r="O1158" i="6" s="1"/>
  <c r="T1158" i="6" s="1"/>
  <c r="R1158" i="6" l="1"/>
  <c r="Q1158" i="6"/>
  <c r="P1158" i="6"/>
  <c r="O1159" i="6" s="1"/>
  <c r="T1159" i="6" s="1"/>
  <c r="S1158" i="6"/>
  <c r="S1159" i="6" s="1"/>
  <c r="R1159" i="6" l="1"/>
  <c r="Q1159" i="6"/>
  <c r="P1159" i="6"/>
  <c r="O1160" i="6" s="1"/>
  <c r="T1160" i="6" s="1"/>
  <c r="Q1160" i="6" l="1"/>
  <c r="R1160" i="6"/>
  <c r="P1160" i="6"/>
  <c r="O1161" i="6" s="1"/>
  <c r="T1161" i="6" s="1"/>
  <c r="S1160" i="6"/>
  <c r="S1161" i="6" s="1"/>
  <c r="R1161" i="6" l="1"/>
  <c r="Q1161" i="6"/>
  <c r="P1161" i="6"/>
  <c r="O1162" i="6" s="1"/>
  <c r="T1162" i="6" s="1"/>
  <c r="R1162" i="6" l="1"/>
  <c r="Q1162" i="6"/>
  <c r="P1162" i="6"/>
  <c r="O1163" i="6" s="1"/>
  <c r="T1163" i="6" s="1"/>
  <c r="S1162" i="6"/>
  <c r="S1163" i="6" s="1"/>
  <c r="R1163" i="6" l="1"/>
  <c r="Q1163" i="6"/>
  <c r="P1163" i="6"/>
  <c r="O1164" i="6" s="1"/>
  <c r="T1164" i="6" s="1"/>
  <c r="R1164" i="6" l="1"/>
  <c r="Q1164" i="6"/>
  <c r="P1164" i="6"/>
  <c r="O1165" i="6" s="1"/>
  <c r="T1165" i="6" s="1"/>
  <c r="S1164" i="6"/>
  <c r="R1165" i="6" l="1"/>
  <c r="Q1165" i="6"/>
  <c r="P1165" i="6"/>
  <c r="O1166" i="6" s="1"/>
  <c r="T1166" i="6" s="1"/>
  <c r="S1165" i="6"/>
  <c r="S1166" i="6" s="1"/>
  <c r="R1166" i="6" l="1"/>
  <c r="Q1166" i="6"/>
  <c r="P1166" i="6"/>
  <c r="O1167" i="6" s="1"/>
  <c r="T1167" i="6" s="1"/>
  <c r="R1167" i="6" l="1"/>
  <c r="Q1167" i="6"/>
  <c r="P1167" i="6"/>
  <c r="O1168" i="6" s="1"/>
  <c r="S1167" i="6"/>
  <c r="R1168" i="6" l="1"/>
  <c r="Q1168" i="6"/>
  <c r="P1168" i="6"/>
  <c r="O1169" i="6" s="1"/>
  <c r="T1169" i="6" s="1"/>
  <c r="S1168" i="6"/>
  <c r="T1168" i="6" s="1"/>
  <c r="S1169" i="6" l="1"/>
  <c r="R1169" i="6"/>
  <c r="Q1169" i="6"/>
  <c r="P1169" i="6"/>
  <c r="O1170" i="6" s="1"/>
  <c r="T1170" i="6" s="1"/>
  <c r="R1170" i="6" l="1"/>
  <c r="Q1170" i="6"/>
  <c r="P1170" i="6"/>
  <c r="O1171" i="6" s="1"/>
  <c r="T1171" i="6" s="1"/>
  <c r="S1170" i="6"/>
  <c r="Q1171" i="6" l="1"/>
  <c r="R1171" i="6"/>
  <c r="P1171" i="6"/>
  <c r="O1172" i="6" s="1"/>
  <c r="T1172" i="6" s="1"/>
  <c r="S1171" i="6"/>
  <c r="S1172" i="6" s="1"/>
  <c r="Q1172" i="6" l="1"/>
  <c r="R1172" i="6"/>
  <c r="P1172" i="6"/>
  <c r="O1173" i="6" s="1"/>
  <c r="T1173" i="6" s="1"/>
  <c r="Q1173" i="6" l="1"/>
  <c r="R1173" i="6"/>
  <c r="P1173" i="6"/>
  <c r="O1174" i="6" s="1"/>
  <c r="T1174" i="6" s="1"/>
  <c r="S1173" i="6"/>
  <c r="R1174" i="6" l="1"/>
  <c r="Q1174" i="6"/>
  <c r="P1174" i="6"/>
  <c r="O1175" i="6" s="1"/>
  <c r="T1175" i="6" s="1"/>
  <c r="S1174" i="6"/>
  <c r="S1175" i="6" s="1"/>
  <c r="Q1175" i="6" l="1"/>
  <c r="R1175" i="6"/>
  <c r="P1175" i="6"/>
  <c r="O1176" i="6" s="1"/>
  <c r="T1176" i="6" s="1"/>
  <c r="R1176" i="6" l="1"/>
  <c r="Q1176" i="6"/>
  <c r="P1176" i="6"/>
  <c r="O1177" i="6" s="1"/>
  <c r="T1177" i="6" s="1"/>
  <c r="S1176" i="6"/>
  <c r="S1177" i="6" s="1"/>
  <c r="Q1177" i="6" l="1"/>
  <c r="R1177" i="6"/>
  <c r="P1177" i="6"/>
  <c r="O1178" i="6" s="1"/>
  <c r="T1178" i="6" s="1"/>
  <c r="R1178" i="6" l="1"/>
  <c r="Q1178" i="6"/>
  <c r="P1178" i="6"/>
  <c r="O1179" i="6" s="1"/>
  <c r="T1179" i="6" s="1"/>
  <c r="S1178" i="6"/>
  <c r="S1179" i="6" s="1"/>
  <c r="R1179" i="6" l="1"/>
  <c r="Q1179" i="6"/>
  <c r="P1179" i="6"/>
  <c r="O1180" i="6" s="1"/>
  <c r="T1180" i="6" s="1"/>
  <c r="Q1180" i="6" l="1"/>
  <c r="R1180" i="6"/>
  <c r="P1180" i="6"/>
  <c r="O1181" i="6" s="1"/>
  <c r="T1181" i="6" s="1"/>
  <c r="S1180" i="6"/>
  <c r="S1181" i="6" s="1"/>
  <c r="Q1181" i="6" l="1"/>
  <c r="R1181" i="6"/>
  <c r="P1181" i="6"/>
  <c r="O1182" i="6" s="1"/>
  <c r="T1182" i="6" s="1"/>
  <c r="R1182" i="6" l="1"/>
  <c r="Q1182" i="6"/>
  <c r="P1182" i="6"/>
  <c r="O1183" i="6" s="1"/>
  <c r="T1183" i="6" s="1"/>
  <c r="S1182" i="6"/>
  <c r="S1183" i="6" s="1"/>
  <c r="R1183" i="6" l="1"/>
  <c r="Q1183" i="6"/>
  <c r="P1183" i="6"/>
  <c r="O1184" i="6" s="1"/>
  <c r="T1184" i="6" s="1"/>
  <c r="R1184" i="6" l="1"/>
  <c r="Q1184" i="6"/>
  <c r="P1184" i="6"/>
  <c r="O1185" i="6" s="1"/>
  <c r="T1185" i="6" s="1"/>
  <c r="S1184" i="6"/>
  <c r="S1185" i="6" s="1"/>
  <c r="R1185" i="6" l="1"/>
  <c r="Q1185" i="6"/>
  <c r="P1185" i="6"/>
  <c r="O1186" i="6" s="1"/>
  <c r="T1186" i="6" s="1"/>
  <c r="R1186" i="6" l="1"/>
  <c r="Q1186" i="6"/>
  <c r="P1186" i="6"/>
  <c r="O1187" i="6" s="1"/>
  <c r="T1187" i="6" s="1"/>
  <c r="S1186" i="6"/>
  <c r="S1187" i="6" s="1"/>
  <c r="R1187" i="6" l="1"/>
  <c r="Q1187" i="6"/>
  <c r="P1187" i="6"/>
  <c r="O1188" i="6" s="1"/>
  <c r="T1188" i="6" s="1"/>
  <c r="R1188" i="6" l="1"/>
  <c r="Q1188" i="6"/>
  <c r="P1188" i="6"/>
  <c r="O1189" i="6" s="1"/>
  <c r="T1189" i="6" s="1"/>
  <c r="S1188" i="6"/>
  <c r="S1189" i="6" s="1"/>
  <c r="R1189" i="6" l="1"/>
  <c r="Q1189" i="6"/>
  <c r="P1189" i="6"/>
  <c r="O1190" i="6" s="1"/>
  <c r="T1190" i="6" s="1"/>
  <c r="R1190" i="6" l="1"/>
  <c r="Q1190" i="6"/>
  <c r="P1190" i="6"/>
  <c r="O1191" i="6" s="1"/>
  <c r="T1191" i="6" s="1"/>
  <c r="S1190" i="6"/>
  <c r="S1191" i="6" s="1"/>
  <c r="R1191" i="6" l="1"/>
  <c r="Q1191" i="6"/>
  <c r="P1191" i="6"/>
  <c r="O1192" i="6" s="1"/>
  <c r="T1192" i="6" s="1"/>
  <c r="Q1192" i="6" l="1"/>
  <c r="R1192" i="6"/>
  <c r="P1192" i="6"/>
  <c r="O1193" i="6" s="1"/>
  <c r="T1193" i="6" s="1"/>
  <c r="S1192" i="6"/>
  <c r="S1193" i="6" s="1"/>
  <c r="R1193" i="6" l="1"/>
  <c r="Q1193" i="6"/>
  <c r="P1193" i="6"/>
  <c r="O1194" i="6" s="1"/>
  <c r="T1194" i="6" s="1"/>
  <c r="R1194" i="6" l="1"/>
  <c r="Q1194" i="6"/>
  <c r="P1194" i="6"/>
  <c r="O1195" i="6" s="1"/>
  <c r="T1195" i="6" s="1"/>
  <c r="S1194" i="6"/>
  <c r="R1195" i="6" l="1"/>
  <c r="Q1195" i="6"/>
  <c r="P1195" i="6"/>
  <c r="O1196" i="6" s="1"/>
  <c r="T1196" i="6" s="1"/>
  <c r="S1195" i="6"/>
  <c r="S1196" i="6" s="1"/>
  <c r="R1196" i="6" l="1"/>
  <c r="Q1196" i="6"/>
  <c r="P1196" i="6"/>
  <c r="O1197" i="6" s="1"/>
  <c r="T1197" i="6" s="1"/>
  <c r="R1197" i="6" l="1"/>
  <c r="Q1197" i="6"/>
  <c r="P1197" i="6"/>
  <c r="O1198" i="6" s="1"/>
  <c r="S1197" i="6"/>
  <c r="R1198" i="6" l="1"/>
  <c r="Q1198" i="6"/>
  <c r="P1198" i="6"/>
  <c r="O1199" i="6" s="1"/>
  <c r="T1199" i="6" s="1"/>
  <c r="S1198" i="6"/>
  <c r="T1198" i="6" s="1"/>
  <c r="R1199" i="6" l="1"/>
  <c r="Q1199" i="6"/>
  <c r="P1199" i="6"/>
  <c r="O1200" i="6" s="1"/>
  <c r="T1200" i="6" s="1"/>
  <c r="S1199" i="6"/>
  <c r="S1200" i="6" s="1"/>
  <c r="R1200" i="6" l="1"/>
  <c r="Q1200" i="6"/>
  <c r="P1200" i="6"/>
  <c r="O1201" i="6" s="1"/>
  <c r="T1201" i="6" s="1"/>
  <c r="R1201" i="6" l="1"/>
  <c r="Q1201" i="6"/>
  <c r="P1201" i="6"/>
  <c r="O1202" i="6" s="1"/>
  <c r="T1202" i="6" s="1"/>
  <c r="S1201" i="6"/>
  <c r="S1202" i="6" s="1"/>
  <c r="R1202" i="6" l="1"/>
  <c r="Q1202" i="6"/>
  <c r="P1202" i="6"/>
  <c r="O1203" i="6" s="1"/>
  <c r="T1203" i="6" s="1"/>
  <c r="R1203" i="6" l="1"/>
  <c r="Q1203" i="6"/>
  <c r="P1203" i="6"/>
  <c r="O1204" i="6" s="1"/>
  <c r="T1204" i="6" s="1"/>
  <c r="S1203" i="6"/>
  <c r="S1204" i="6" s="1"/>
  <c r="R1204" i="6" l="1"/>
  <c r="Q1204" i="6"/>
  <c r="P1204" i="6"/>
  <c r="O1205" i="6" s="1"/>
  <c r="T1205" i="6" s="1"/>
  <c r="R1205" i="6" l="1"/>
  <c r="Q1205" i="6"/>
  <c r="P1205" i="6"/>
  <c r="O1206" i="6" s="1"/>
  <c r="T1206" i="6" s="1"/>
  <c r="S1205" i="6"/>
  <c r="S1206" i="6" s="1"/>
  <c r="Q1206" i="6" l="1"/>
  <c r="R1206" i="6"/>
  <c r="P1206" i="6"/>
  <c r="O1207" i="6" s="1"/>
  <c r="T1207" i="6" s="1"/>
  <c r="R1207" i="6" l="1"/>
  <c r="Q1207" i="6"/>
  <c r="P1207" i="6"/>
  <c r="O1208" i="6" s="1"/>
  <c r="T1208" i="6" s="1"/>
  <c r="S1207" i="6"/>
  <c r="S1208" i="6" s="1"/>
  <c r="Q1208" i="6" l="1"/>
  <c r="R1208" i="6"/>
  <c r="P1208" i="6"/>
  <c r="O1209" i="6" s="1"/>
  <c r="T1209" i="6" s="1"/>
  <c r="R1209" i="6" l="1"/>
  <c r="Q1209" i="6"/>
  <c r="P1209" i="6"/>
  <c r="O1210" i="6" s="1"/>
  <c r="S1209" i="6"/>
  <c r="R1210" i="6" l="1"/>
  <c r="Q1210" i="6"/>
  <c r="P1210" i="6"/>
  <c r="O1211" i="6" s="1"/>
  <c r="T1211" i="6" s="1"/>
  <c r="S1210" i="6"/>
  <c r="T1210" i="6" s="1"/>
  <c r="Q1211" i="6" l="1"/>
  <c r="R1211" i="6"/>
  <c r="P1211" i="6"/>
  <c r="O1212" i="6" s="1"/>
  <c r="T1212" i="6" s="1"/>
  <c r="S1211" i="6"/>
  <c r="S1212" i="6" s="1"/>
  <c r="Q1212" i="6" l="1"/>
  <c r="R1212" i="6"/>
  <c r="P1212" i="6"/>
  <c r="O1213" i="6" s="1"/>
  <c r="T1213" i="6" s="1"/>
  <c r="Q1213" i="6" l="1"/>
  <c r="R1213" i="6"/>
  <c r="P1213" i="6"/>
  <c r="O1214" i="6" s="1"/>
  <c r="T1214" i="6" s="1"/>
  <c r="S1213" i="6"/>
  <c r="S1214" i="6" s="1"/>
  <c r="Q1214" i="6" l="1"/>
  <c r="R1214" i="6"/>
  <c r="P1214" i="6"/>
  <c r="O1215" i="6" s="1"/>
  <c r="T1215" i="6" s="1"/>
  <c r="Q1215" i="6" l="1"/>
  <c r="R1215" i="6"/>
  <c r="P1215" i="6"/>
  <c r="O1216" i="6" s="1"/>
  <c r="T1216" i="6" s="1"/>
  <c r="S1215" i="6"/>
  <c r="R1216" i="6" l="1"/>
  <c r="Q1216" i="6"/>
  <c r="P1216" i="6"/>
  <c r="O1217" i="6" s="1"/>
  <c r="T1217" i="6" s="1"/>
  <c r="S1216" i="6"/>
  <c r="S1217" i="6" s="1"/>
  <c r="Q1217" i="6" l="1"/>
  <c r="R1217" i="6"/>
  <c r="P1217" i="6"/>
  <c r="O1218" i="6" s="1"/>
  <c r="T1218" i="6" s="1"/>
  <c r="R1218" i="6" l="1"/>
  <c r="Q1218" i="6"/>
  <c r="P1218" i="6"/>
  <c r="O1219" i="6" s="1"/>
  <c r="T1219" i="6" s="1"/>
  <c r="S1218" i="6"/>
  <c r="S1219" i="6" l="1"/>
  <c r="R1219" i="6"/>
  <c r="Q1219" i="6"/>
  <c r="P1219" i="6"/>
  <c r="O1220" i="6" s="1"/>
  <c r="T1220" i="6" s="1"/>
  <c r="Q1220" i="6" l="1"/>
  <c r="R1220" i="6"/>
  <c r="P1220" i="6"/>
  <c r="O1221" i="6" s="1"/>
  <c r="T1221" i="6" s="1"/>
  <c r="S1220" i="6"/>
  <c r="S1221" i="6" s="1"/>
  <c r="R1221" i="6" l="1"/>
  <c r="Q1221" i="6"/>
  <c r="P1221" i="6"/>
  <c r="O1222" i="6" s="1"/>
  <c r="T1222" i="6" s="1"/>
  <c r="R1222" i="6" l="1"/>
  <c r="Q1222" i="6"/>
  <c r="P1222" i="6"/>
  <c r="O1223" i="6" s="1"/>
  <c r="T1223" i="6" s="1"/>
  <c r="S1222" i="6"/>
  <c r="S1223" i="6" l="1"/>
  <c r="R1223" i="6"/>
  <c r="Q1223" i="6"/>
  <c r="P1223" i="6"/>
  <c r="O1224" i="6" s="1"/>
  <c r="T1224" i="6" s="1"/>
  <c r="R1224" i="6" l="1"/>
  <c r="Q1224" i="6"/>
  <c r="P1224" i="6"/>
  <c r="O1225" i="6" s="1"/>
  <c r="T1225" i="6" s="1"/>
  <c r="S1224" i="6"/>
  <c r="S1225" i="6" s="1"/>
  <c r="R1225" i="6" l="1"/>
  <c r="Q1225" i="6"/>
  <c r="P1225" i="6"/>
  <c r="O1226" i="6" s="1"/>
  <c r="T1226" i="6" s="1"/>
  <c r="R1226" i="6" l="1"/>
  <c r="Q1226" i="6"/>
  <c r="P1226" i="6"/>
  <c r="O1227" i="6" s="1"/>
  <c r="T1227" i="6" s="1"/>
  <c r="S1226" i="6"/>
  <c r="S1227" i="6" s="1"/>
  <c r="R1227" i="6" l="1"/>
  <c r="Q1227" i="6"/>
  <c r="P1227" i="6"/>
  <c r="O1228" i="6" s="1"/>
  <c r="T1228" i="6" s="1"/>
  <c r="R1228" i="6" l="1"/>
  <c r="Q1228" i="6"/>
  <c r="P1228" i="6"/>
  <c r="O1229" i="6" s="1"/>
  <c r="T1229" i="6" s="1"/>
  <c r="S1228" i="6"/>
  <c r="S1229" i="6" s="1"/>
  <c r="R1229" i="6" l="1"/>
  <c r="Q1229" i="6"/>
  <c r="P1229" i="6"/>
  <c r="O1230" i="6" s="1"/>
  <c r="T1230" i="6" s="1"/>
  <c r="R1230" i="6" l="1"/>
  <c r="Q1230" i="6"/>
  <c r="P1230" i="6"/>
  <c r="O1231" i="6" s="1"/>
  <c r="T1231" i="6" s="1"/>
  <c r="S1230" i="6"/>
  <c r="S1231" i="6" s="1"/>
  <c r="R1231" i="6" l="1"/>
  <c r="Q1231" i="6"/>
  <c r="P1231" i="6"/>
  <c r="O1232" i="6" s="1"/>
  <c r="T1232" i="6" s="1"/>
  <c r="Q1232" i="6" l="1"/>
  <c r="R1232" i="6"/>
  <c r="P1232" i="6"/>
  <c r="O1233" i="6" s="1"/>
  <c r="S1232" i="6"/>
  <c r="R1233" i="6" l="1"/>
  <c r="Q1233" i="6"/>
  <c r="P1233" i="6"/>
  <c r="O1234" i="6" s="1"/>
  <c r="T1234" i="6" s="1"/>
  <c r="S1233" i="6"/>
  <c r="T1233" i="6" s="1"/>
  <c r="Q1234" i="6" l="1"/>
  <c r="R1234" i="6"/>
  <c r="P1234" i="6"/>
  <c r="O1235" i="6" s="1"/>
  <c r="T1235" i="6" s="1"/>
  <c r="S1234" i="6"/>
  <c r="S1235" i="6" s="1"/>
  <c r="Q1235" i="6" l="1"/>
  <c r="R1235" i="6"/>
  <c r="P1235" i="6"/>
  <c r="O1236" i="6" s="1"/>
  <c r="T1236" i="6" s="1"/>
  <c r="R1236" i="6" l="1"/>
  <c r="Q1236" i="6"/>
  <c r="P1236" i="6"/>
  <c r="O1237" i="6" s="1"/>
  <c r="T1237" i="6" s="1"/>
  <c r="S1236" i="6"/>
  <c r="S1237" i="6" s="1"/>
  <c r="Q1237" i="6" l="1"/>
  <c r="R1237" i="6"/>
  <c r="P1237" i="6"/>
  <c r="O1238" i="6" s="1"/>
  <c r="T1238" i="6" s="1"/>
  <c r="R1238" i="6" l="1"/>
  <c r="Q1238" i="6"/>
  <c r="P1238" i="6"/>
  <c r="O1239" i="6" s="1"/>
  <c r="T1239" i="6" s="1"/>
  <c r="S1238" i="6"/>
  <c r="S1239" i="6" s="1"/>
  <c r="R1239" i="6" l="1"/>
  <c r="Q1239" i="6"/>
  <c r="P1239" i="6"/>
  <c r="O1240" i="6" s="1"/>
  <c r="T1240" i="6" s="1"/>
  <c r="Q1240" i="6" l="1"/>
  <c r="R1240" i="6"/>
  <c r="P1240" i="6"/>
  <c r="O1241" i="6" s="1"/>
  <c r="T1241" i="6" s="1"/>
  <c r="S1240" i="6"/>
  <c r="S1241" i="6" s="1"/>
  <c r="Q1241" i="6" l="1"/>
  <c r="R1241" i="6"/>
  <c r="P1241" i="6"/>
  <c r="O1242" i="6" s="1"/>
  <c r="T1242" i="6" s="1"/>
  <c r="R1242" i="6" l="1"/>
  <c r="Q1242" i="6"/>
  <c r="P1242" i="6"/>
  <c r="O1243" i="6" s="1"/>
  <c r="T1243" i="6" s="1"/>
  <c r="S1242" i="6"/>
  <c r="S1243" i="6" s="1"/>
  <c r="R1243" i="6" l="1"/>
  <c r="Q1243" i="6"/>
  <c r="P1243" i="6"/>
  <c r="O1244" i="6" s="1"/>
  <c r="T1244" i="6" s="1"/>
  <c r="R1244" i="6" l="1"/>
  <c r="Q1244" i="6"/>
  <c r="P1244" i="6"/>
  <c r="O1245" i="6" s="1"/>
  <c r="T1245" i="6" s="1"/>
  <c r="S1244" i="6"/>
  <c r="R1245" i="6" l="1"/>
  <c r="Q1245" i="6"/>
  <c r="P1245" i="6"/>
  <c r="O1246" i="6" s="1"/>
  <c r="T1246" i="6" s="1"/>
  <c r="S1245" i="6"/>
  <c r="R1246" i="6" l="1"/>
  <c r="Q1246" i="6"/>
  <c r="P1246" i="6"/>
  <c r="O1247" i="6" s="1"/>
  <c r="T1247" i="6" s="1"/>
  <c r="S1246" i="6"/>
  <c r="S1247" i="6" s="1"/>
  <c r="R1247" i="6" l="1"/>
  <c r="Q1247" i="6"/>
  <c r="P1247" i="6"/>
  <c r="O1248" i="6" s="1"/>
  <c r="R1248" i="6" l="1"/>
  <c r="Q1248" i="6"/>
  <c r="P1248" i="6"/>
  <c r="O1249" i="6" s="1"/>
  <c r="T1249" i="6" s="1"/>
  <c r="S1248" i="6"/>
  <c r="T1248" i="6" s="1"/>
  <c r="R1249" i="6" l="1"/>
  <c r="Q1249" i="6"/>
  <c r="P1249" i="6"/>
  <c r="O1250" i="6" s="1"/>
  <c r="T1250" i="6" s="1"/>
  <c r="S1249" i="6"/>
  <c r="R1250" i="6" l="1"/>
  <c r="Q1250" i="6"/>
  <c r="P1250" i="6"/>
  <c r="O1251" i="6" s="1"/>
  <c r="T1251" i="6" s="1"/>
  <c r="S1250" i="6"/>
  <c r="R1251" i="6" l="1"/>
  <c r="Q1251" i="6"/>
  <c r="P1251" i="6"/>
  <c r="O1252" i="6" s="1"/>
  <c r="T1252" i="6" s="1"/>
  <c r="S1251" i="6"/>
  <c r="S1252" i="6" s="1"/>
  <c r="R1252" i="6" l="1"/>
  <c r="Q1252" i="6"/>
  <c r="P1252" i="6"/>
  <c r="O1253" i="6" s="1"/>
  <c r="T1253" i="6" s="1"/>
  <c r="R1253" i="6" l="1"/>
  <c r="Q1253" i="6"/>
  <c r="P1253" i="6"/>
  <c r="O1254" i="6" s="1"/>
  <c r="T1254" i="6" s="1"/>
  <c r="S1253" i="6"/>
  <c r="S1254" i="6" s="1"/>
  <c r="Q1254" i="6" l="1"/>
  <c r="R1254" i="6"/>
  <c r="P1254" i="6"/>
  <c r="O1255" i="6" s="1"/>
  <c r="T1255" i="6" s="1"/>
  <c r="Q1255" i="6" l="1"/>
  <c r="R1255" i="6"/>
  <c r="P1255" i="6"/>
  <c r="O1256" i="6" s="1"/>
  <c r="T1256" i="6" s="1"/>
  <c r="S1255" i="6"/>
  <c r="S1256" i="6" s="1"/>
  <c r="R1256" i="6" l="1"/>
  <c r="Q1256" i="6"/>
  <c r="P1256" i="6"/>
  <c r="O1257" i="6" s="1"/>
  <c r="T1257" i="6" s="1"/>
  <c r="Q1257" i="6" l="1"/>
  <c r="R1257" i="6"/>
  <c r="P1257" i="6"/>
  <c r="O1258" i="6" s="1"/>
  <c r="T1258" i="6" s="1"/>
  <c r="S1257" i="6"/>
  <c r="R1258" i="6" l="1"/>
  <c r="Q1258" i="6"/>
  <c r="P1258" i="6"/>
  <c r="O1259" i="6" s="1"/>
  <c r="T1259" i="6" s="1"/>
  <c r="S1258" i="6"/>
  <c r="S1259" i="6" l="1"/>
  <c r="R1259" i="6"/>
  <c r="Q1259" i="6"/>
  <c r="P1259" i="6"/>
  <c r="O1260" i="6" s="1"/>
  <c r="T1260" i="6" s="1"/>
  <c r="Q1260" i="6" l="1"/>
  <c r="R1260" i="6"/>
  <c r="P1260" i="6"/>
  <c r="O1261" i="6" s="1"/>
  <c r="T1261" i="6" s="1"/>
  <c r="S1260" i="6"/>
  <c r="S1261" i="6" l="1"/>
  <c r="R1261" i="6"/>
  <c r="Q1261" i="6"/>
  <c r="P1261" i="6"/>
  <c r="O1262" i="6" s="1"/>
  <c r="T1262" i="6" s="1"/>
  <c r="Q1262" i="6" l="1"/>
  <c r="R1262" i="6"/>
  <c r="P1262" i="6"/>
  <c r="O1263" i="6" s="1"/>
  <c r="T1263" i="6" s="1"/>
  <c r="S1262" i="6"/>
  <c r="S1263" i="6" s="1"/>
  <c r="R1263" i="6" l="1"/>
  <c r="Q1263" i="6"/>
  <c r="P1263" i="6"/>
  <c r="O1264" i="6" s="1"/>
  <c r="T1264" i="6" s="1"/>
  <c r="Q1264" i="6" l="1"/>
  <c r="R1264" i="6"/>
  <c r="P1264" i="6"/>
  <c r="O1265" i="6" s="1"/>
  <c r="T1265" i="6" s="1"/>
  <c r="S1264" i="6"/>
  <c r="S1265" i="6" l="1"/>
  <c r="Q1265" i="6"/>
  <c r="R1265" i="6"/>
  <c r="P1265" i="6"/>
  <c r="O1266" i="6" s="1"/>
  <c r="T1266" i="6" s="1"/>
  <c r="R1266" i="6" l="1"/>
  <c r="Q1266" i="6"/>
  <c r="P1266" i="6"/>
  <c r="O1267" i="6" s="1"/>
  <c r="T1267" i="6" s="1"/>
  <c r="S1266" i="6"/>
  <c r="S1267" i="6" l="1"/>
  <c r="R1267" i="6"/>
  <c r="Q1267" i="6"/>
  <c r="P1267" i="6"/>
  <c r="O1268" i="6" s="1"/>
  <c r="T1268" i="6" s="1"/>
  <c r="Q1268" i="6" l="1"/>
  <c r="R1268" i="6"/>
  <c r="P1268" i="6"/>
  <c r="O1269" i="6" s="1"/>
  <c r="T1269" i="6" s="1"/>
  <c r="S1268" i="6"/>
  <c r="R1269" i="6" l="1"/>
  <c r="Q1269" i="6"/>
  <c r="P1269" i="6"/>
  <c r="O1270" i="6" s="1"/>
  <c r="T1270" i="6" s="1"/>
  <c r="S1269" i="6"/>
  <c r="S1270" i="6" s="1"/>
  <c r="R1270" i="6" l="1"/>
  <c r="Q1270" i="6"/>
  <c r="P1270" i="6"/>
  <c r="O1271" i="6" s="1"/>
  <c r="T1271" i="6" s="1"/>
  <c r="R1271" i="6" l="1"/>
  <c r="Q1271" i="6"/>
  <c r="P1271" i="6"/>
  <c r="O1272" i="6" s="1"/>
  <c r="T1272" i="6" s="1"/>
  <c r="S1271" i="6"/>
  <c r="S1272" i="6" s="1"/>
  <c r="Q1272" i="6" l="1"/>
  <c r="R1272" i="6"/>
  <c r="P1272" i="6"/>
  <c r="O1273" i="6" s="1"/>
  <c r="T1273" i="6" s="1"/>
  <c r="R1273" i="6" l="1"/>
  <c r="Q1273" i="6"/>
  <c r="P1273" i="6"/>
  <c r="O1274" i="6" s="1"/>
  <c r="T1274" i="6" s="1"/>
  <c r="S1273" i="6"/>
  <c r="R1274" i="6" l="1"/>
  <c r="Q1274" i="6"/>
  <c r="S1274" i="6"/>
  <c r="P1274" i="6"/>
  <c r="O1275" i="6" s="1"/>
  <c r="T1275" i="6" s="1"/>
  <c r="Q1275" i="6" l="1"/>
  <c r="R1275" i="6"/>
  <c r="P1275" i="6"/>
  <c r="O1276" i="6" s="1"/>
  <c r="T1276" i="6" s="1"/>
  <c r="S1275" i="6"/>
  <c r="S1276" i="6" s="1"/>
  <c r="R1276" i="6" l="1"/>
  <c r="Q1276" i="6"/>
  <c r="P1276" i="6"/>
  <c r="O1277" i="6" s="1"/>
  <c r="T1277" i="6" s="1"/>
  <c r="Q1277" i="6" l="1"/>
  <c r="R1277" i="6"/>
  <c r="P1277" i="6"/>
  <c r="O1278" i="6" s="1"/>
  <c r="T1278" i="6" s="1"/>
  <c r="S1277" i="6"/>
  <c r="S1278" i="6" s="1"/>
  <c r="R1278" i="6" l="1"/>
  <c r="Q1278" i="6"/>
  <c r="P1278" i="6"/>
  <c r="O1279" i="6" s="1"/>
  <c r="T1279" i="6" s="1"/>
  <c r="R1279" i="6" l="1"/>
  <c r="Q1279" i="6"/>
  <c r="P1279" i="6"/>
  <c r="O1280" i="6" s="1"/>
  <c r="T1280" i="6" s="1"/>
  <c r="S1279" i="6"/>
  <c r="S1280" i="6" l="1"/>
  <c r="Q1280" i="6"/>
  <c r="R1280" i="6"/>
  <c r="P1280" i="6"/>
  <c r="O1281" i="6" s="1"/>
  <c r="T1281" i="6" s="1"/>
  <c r="R1281" i="6" l="1"/>
  <c r="Q1281" i="6"/>
  <c r="P1281" i="6"/>
  <c r="O1282" i="6" s="1"/>
  <c r="T1282" i="6" s="1"/>
  <c r="S1281" i="6"/>
  <c r="S1282" i="6" s="1"/>
  <c r="R1282" i="6" l="1"/>
  <c r="Q1282" i="6"/>
  <c r="P1282" i="6"/>
  <c r="O1283" i="6" s="1"/>
  <c r="T1283" i="6" s="1"/>
  <c r="R1283" i="6" l="1"/>
  <c r="Q1283" i="6"/>
  <c r="P1283" i="6"/>
  <c r="O1284" i="6" s="1"/>
  <c r="T1284" i="6" s="1"/>
  <c r="S1283" i="6"/>
  <c r="S1284" i="6" l="1"/>
  <c r="R1284" i="6"/>
  <c r="Q1284" i="6"/>
  <c r="P1284" i="6"/>
  <c r="O1285" i="6" s="1"/>
  <c r="T1285" i="6" s="1"/>
  <c r="R1285" i="6" l="1"/>
  <c r="Q1285" i="6"/>
  <c r="P1285" i="6"/>
  <c r="O1286" i="6" s="1"/>
  <c r="T1286" i="6" s="1"/>
  <c r="S1285" i="6"/>
  <c r="S1286" i="6" l="1"/>
  <c r="R1286" i="6"/>
  <c r="Q1286" i="6"/>
  <c r="P1286" i="6"/>
  <c r="O1287" i="6" s="1"/>
  <c r="T1287" i="6" s="1"/>
  <c r="Q1287" i="6" l="1"/>
  <c r="R1287" i="6"/>
  <c r="P1287" i="6"/>
  <c r="O1288" i="6" s="1"/>
  <c r="T1288" i="6" s="1"/>
  <c r="S1287" i="6"/>
  <c r="S1288" i="6" s="1"/>
  <c r="R1288" i="6" l="1"/>
  <c r="Q1288" i="6"/>
  <c r="P1288" i="6"/>
  <c r="O1289" i="6" s="1"/>
  <c r="T1289" i="6" s="1"/>
  <c r="R1289" i="6" l="1"/>
  <c r="Q1289" i="6"/>
  <c r="P1289" i="6"/>
  <c r="O1290" i="6" s="1"/>
  <c r="T1290" i="6" s="1"/>
  <c r="S1289" i="6"/>
  <c r="S1290" i="6" s="1"/>
  <c r="R1290" i="6" l="1"/>
  <c r="Q1290" i="6"/>
  <c r="P1290" i="6"/>
  <c r="O1291" i="6" s="1"/>
  <c r="T1291" i="6" s="1"/>
  <c r="R1291" i="6" l="1"/>
  <c r="Q1291" i="6"/>
  <c r="P1291" i="6"/>
  <c r="O1292" i="6" s="1"/>
  <c r="T1292" i="6" s="1"/>
  <c r="S1291" i="6"/>
  <c r="S1292" i="6" l="1"/>
  <c r="Q1292" i="6"/>
  <c r="R1292" i="6"/>
  <c r="P1292" i="6"/>
  <c r="O1293" i="6" s="1"/>
  <c r="T1293" i="6" s="1"/>
  <c r="Q1293" i="6" l="1"/>
  <c r="R1293" i="6"/>
  <c r="P1293" i="6"/>
  <c r="O1294" i="6" s="1"/>
  <c r="T1294" i="6" s="1"/>
  <c r="S1293" i="6"/>
  <c r="S1294" i="6" s="1"/>
  <c r="R1294" i="6" l="1"/>
  <c r="Q1294" i="6"/>
  <c r="P1294" i="6"/>
  <c r="O1295" i="6" s="1"/>
  <c r="T1295" i="6" s="1"/>
  <c r="R1295" i="6" l="1"/>
  <c r="Q1295" i="6"/>
  <c r="P1295" i="6"/>
  <c r="O1296" i="6" s="1"/>
  <c r="T1296" i="6" s="1"/>
  <c r="S1295" i="6"/>
  <c r="S1296" i="6" l="1"/>
  <c r="R1296" i="6"/>
  <c r="Q1296" i="6"/>
  <c r="P1296" i="6"/>
  <c r="O1297" i="6" s="1"/>
  <c r="T1297" i="6" s="1"/>
  <c r="Q1297" i="6" l="1"/>
  <c r="R1297" i="6"/>
  <c r="P1297" i="6"/>
  <c r="O1298" i="6" s="1"/>
  <c r="T1298" i="6" s="1"/>
  <c r="S1297" i="6"/>
  <c r="S1298" i="6" s="1"/>
  <c r="R1298" i="6" l="1"/>
  <c r="Q1298" i="6"/>
  <c r="P1298" i="6"/>
  <c r="O1299" i="6" s="1"/>
  <c r="T1299" i="6" s="1"/>
  <c r="R1299" i="6" l="1"/>
  <c r="Q1299" i="6"/>
  <c r="P1299" i="6"/>
  <c r="O1300" i="6" s="1"/>
  <c r="T1300" i="6" s="1"/>
  <c r="S1299" i="6"/>
  <c r="S1300" i="6" s="1"/>
  <c r="Q1300" i="6" l="1"/>
  <c r="R1300" i="6"/>
  <c r="P1300" i="6"/>
  <c r="O1301" i="6" s="1"/>
  <c r="T1301" i="6" s="1"/>
  <c r="R1301" i="6" l="1"/>
  <c r="Q1301" i="6"/>
  <c r="P1301" i="6"/>
  <c r="O1302" i="6" s="1"/>
  <c r="S1301" i="6"/>
  <c r="R1302" i="6" l="1"/>
  <c r="Q1302" i="6"/>
  <c r="P1302" i="6"/>
  <c r="O1303" i="6" s="1"/>
  <c r="T1303" i="6" s="1"/>
  <c r="S1302" i="6"/>
  <c r="S1303" i="6" l="1"/>
  <c r="T1302" i="6"/>
  <c r="R1303" i="6"/>
  <c r="Q1303" i="6"/>
  <c r="P1303" i="6"/>
  <c r="O1304" i="6" s="1"/>
  <c r="T1304" i="6" s="1"/>
  <c r="Q1304" i="6" l="1"/>
  <c r="R1304" i="6"/>
  <c r="P1304" i="6"/>
  <c r="O1305" i="6" s="1"/>
  <c r="T1305" i="6" s="1"/>
  <c r="S1304" i="6"/>
  <c r="S1305" i="6" l="1"/>
  <c r="Q1305" i="6"/>
  <c r="R1305" i="6"/>
  <c r="P1305" i="6"/>
  <c r="O1306" i="6" s="1"/>
  <c r="T1306" i="6" s="1"/>
  <c r="R1306" i="6" l="1"/>
  <c r="Q1306" i="6"/>
  <c r="P1306" i="6"/>
  <c r="O1307" i="6" s="1"/>
  <c r="T1307" i="6" s="1"/>
  <c r="S1306" i="6"/>
  <c r="S1307" i="6" s="1"/>
  <c r="R1307" i="6" l="1"/>
  <c r="Q1307" i="6"/>
  <c r="P1307" i="6"/>
  <c r="O1308" i="6" s="1"/>
  <c r="T1308" i="6" s="1"/>
  <c r="R1308" i="6" l="1"/>
  <c r="Q1308" i="6"/>
  <c r="P1308" i="6"/>
  <c r="O1309" i="6" s="1"/>
  <c r="T1309" i="6" s="1"/>
  <c r="S1308" i="6"/>
  <c r="Q1309" i="6" l="1"/>
  <c r="R1309" i="6"/>
  <c r="P1309" i="6"/>
  <c r="O1310" i="6" s="1"/>
  <c r="T1310" i="6" s="1"/>
  <c r="S1309" i="6"/>
  <c r="S1310" i="6" s="1"/>
  <c r="Q1310" i="6" l="1"/>
  <c r="R1310" i="6"/>
  <c r="P1310" i="6"/>
  <c r="O1311" i="6" s="1"/>
  <c r="T1311" i="6" s="1"/>
  <c r="R1311" i="6" l="1"/>
  <c r="Q1311" i="6"/>
  <c r="P1311" i="6"/>
  <c r="O1312" i="6" s="1"/>
  <c r="T1312" i="6" s="1"/>
  <c r="S1311" i="6"/>
  <c r="S1312" i="6" s="1"/>
  <c r="R1312" i="6" l="1"/>
  <c r="Q1312" i="6"/>
  <c r="P1312" i="6"/>
  <c r="O1313" i="6" s="1"/>
  <c r="T1313" i="6" s="1"/>
  <c r="R1313" i="6" l="1"/>
  <c r="Q1313" i="6"/>
  <c r="P1313" i="6"/>
  <c r="O1314" i="6" s="1"/>
  <c r="T1314" i="6" s="1"/>
  <c r="S1313" i="6"/>
  <c r="S1314" i="6" s="1"/>
  <c r="Q1314" i="6" l="1"/>
  <c r="R1314" i="6"/>
  <c r="P1314" i="6"/>
  <c r="O1315" i="6" s="1"/>
  <c r="T1315" i="6" s="1"/>
  <c r="R1315" i="6" l="1"/>
  <c r="Q1315" i="6"/>
  <c r="P1315" i="6"/>
  <c r="O1316" i="6" s="1"/>
  <c r="T1316" i="6" s="1"/>
  <c r="S1315" i="6"/>
  <c r="R1316" i="6" l="1"/>
  <c r="Q1316" i="6"/>
  <c r="P1316" i="6"/>
  <c r="O1317" i="6" s="1"/>
  <c r="T1317" i="6" s="1"/>
  <c r="S1316" i="6"/>
  <c r="S1317" i="6" s="1"/>
  <c r="R1317" i="6" l="1"/>
  <c r="Q1317" i="6"/>
  <c r="P1317" i="6"/>
  <c r="O1318" i="6" s="1"/>
  <c r="T1318" i="6" s="1"/>
  <c r="R1318" i="6" l="1"/>
  <c r="Q1318" i="6"/>
  <c r="P1318" i="6"/>
  <c r="O1319" i="6" s="1"/>
  <c r="T1319" i="6" s="1"/>
  <c r="S1318" i="6"/>
  <c r="S1319" i="6" s="1"/>
  <c r="R1319" i="6" l="1"/>
  <c r="Q1319" i="6"/>
  <c r="P1319" i="6"/>
  <c r="O1320" i="6" s="1"/>
  <c r="T1320" i="6" s="1"/>
  <c r="Q1320" i="6" l="1"/>
  <c r="R1320" i="6"/>
  <c r="P1320" i="6"/>
  <c r="O1321" i="6" s="1"/>
  <c r="T1321" i="6" s="1"/>
  <c r="S1320" i="6"/>
  <c r="S1321" i="6" s="1"/>
  <c r="R1321" i="6" l="1"/>
  <c r="Q1321" i="6"/>
  <c r="P1321" i="6"/>
  <c r="O1322" i="6" s="1"/>
  <c r="T1322" i="6" s="1"/>
  <c r="R1322" i="6" l="1"/>
  <c r="Q1322" i="6"/>
  <c r="P1322" i="6"/>
  <c r="O1323" i="6" s="1"/>
  <c r="T1323" i="6" s="1"/>
  <c r="S1322" i="6"/>
  <c r="S1323" i="6" s="1"/>
  <c r="R1323" i="6" l="1"/>
  <c r="Q1323" i="6"/>
  <c r="P1323" i="6"/>
  <c r="O1324" i="6" s="1"/>
  <c r="T1324" i="6" s="1"/>
  <c r="R1324" i="6" l="1"/>
  <c r="Q1324" i="6"/>
  <c r="P1324" i="6"/>
  <c r="O1325" i="6" s="1"/>
  <c r="T1325" i="6" s="1"/>
  <c r="S1324" i="6"/>
  <c r="S1325" i="6" l="1"/>
  <c r="R1325" i="6"/>
  <c r="Q1325" i="6"/>
  <c r="P1325" i="6"/>
  <c r="O1326" i="6" s="1"/>
  <c r="T1326" i="6" s="1"/>
  <c r="R1326" i="6" l="1"/>
  <c r="Q1326" i="6"/>
  <c r="P1326" i="6"/>
  <c r="O1327" i="6" s="1"/>
  <c r="T1327" i="6" s="1"/>
  <c r="S1326" i="6"/>
  <c r="S1327" i="6" s="1"/>
  <c r="R1327" i="6" l="1"/>
  <c r="Q1327" i="6"/>
  <c r="P1327" i="6"/>
  <c r="O1328" i="6" s="1"/>
  <c r="T1328" i="6" s="1"/>
  <c r="R1328" i="6" l="1"/>
  <c r="Q1328" i="6"/>
  <c r="P1328" i="6"/>
  <c r="O1329" i="6" s="1"/>
  <c r="T1329" i="6" s="1"/>
  <c r="S1328" i="6"/>
  <c r="S1329" i="6" s="1"/>
  <c r="R1329" i="6" l="1"/>
  <c r="Q1329" i="6"/>
  <c r="P1329" i="6"/>
  <c r="O1330" i="6" s="1"/>
  <c r="T1330" i="6" s="1"/>
  <c r="R1330" i="6" l="1"/>
  <c r="Q1330" i="6"/>
  <c r="P1330" i="6"/>
  <c r="O1331" i="6" s="1"/>
  <c r="T1331" i="6" s="1"/>
  <c r="S1330" i="6"/>
  <c r="S1331" i="6" s="1"/>
  <c r="Q1331" i="6" l="1"/>
  <c r="R1331" i="6"/>
  <c r="P1331" i="6"/>
  <c r="O1332" i="6" s="1"/>
  <c r="T1332" i="6" s="1"/>
  <c r="Q1332" i="6" l="1"/>
  <c r="R1332" i="6"/>
  <c r="P1332" i="6"/>
  <c r="O1333" i="6" s="1"/>
  <c r="T1333" i="6" s="1"/>
  <c r="S1332" i="6"/>
  <c r="S1333" i="6" s="1"/>
  <c r="R1333" i="6" l="1"/>
  <c r="Q1333" i="6"/>
  <c r="P1333" i="6"/>
  <c r="O1334" i="6" s="1"/>
  <c r="T1334" i="6" s="1"/>
  <c r="Q1334" i="6" l="1"/>
  <c r="R1334" i="6"/>
  <c r="P1334" i="6"/>
  <c r="O1335" i="6" s="1"/>
  <c r="T1335" i="6" s="1"/>
  <c r="S1334" i="6"/>
  <c r="S1335" i="6" s="1"/>
  <c r="R1335" i="6" l="1"/>
  <c r="Q1335" i="6"/>
  <c r="P1335" i="6"/>
  <c r="O1336" i="6" s="1"/>
  <c r="T1336" i="6" s="1"/>
  <c r="R1336" i="6" l="1"/>
  <c r="Q1336" i="6"/>
  <c r="P1336" i="6"/>
  <c r="O1337" i="6" s="1"/>
  <c r="T1337" i="6" s="1"/>
  <c r="S1336" i="6"/>
  <c r="S1337" i="6" s="1"/>
  <c r="Q1337" i="6" l="1"/>
  <c r="R1337" i="6"/>
  <c r="P1337" i="6"/>
  <c r="O1338" i="6" s="1"/>
  <c r="T1338" i="6" s="1"/>
  <c r="R1338" i="6" l="1"/>
  <c r="Q1338" i="6"/>
  <c r="P1338" i="6"/>
  <c r="O1339" i="6" s="1"/>
  <c r="T1339" i="6" s="1"/>
  <c r="S1338" i="6"/>
  <c r="Q1339" i="6" l="1"/>
  <c r="R1339" i="6"/>
  <c r="P1339" i="6"/>
  <c r="O1340" i="6" s="1"/>
  <c r="T1340" i="6" s="1"/>
  <c r="S1339" i="6"/>
  <c r="S1340" i="6" l="1"/>
  <c r="Q1340" i="6"/>
  <c r="R1340" i="6"/>
  <c r="P1340" i="6"/>
  <c r="O1341" i="6" s="1"/>
  <c r="T1341" i="6" s="1"/>
  <c r="R1341" i="6" l="1"/>
  <c r="Q1341" i="6"/>
  <c r="P1341" i="6"/>
  <c r="O1342" i="6" s="1"/>
  <c r="T1342" i="6" s="1"/>
  <c r="S1341" i="6"/>
  <c r="S1342" i="6" l="1"/>
  <c r="R1342" i="6"/>
  <c r="Q1342" i="6"/>
  <c r="P1342" i="6"/>
  <c r="O1343" i="6" s="1"/>
  <c r="Q1343" i="6" l="1"/>
  <c r="R1343" i="6"/>
  <c r="P1343" i="6"/>
  <c r="O1344" i="6" s="1"/>
  <c r="T1344" i="6" s="1"/>
  <c r="S1343" i="6"/>
  <c r="T1343" i="6" s="1"/>
  <c r="Q1344" i="6" l="1"/>
  <c r="R1344" i="6"/>
  <c r="P1344" i="6"/>
  <c r="O1345" i="6" s="1"/>
  <c r="T1345" i="6" s="1"/>
  <c r="S1344" i="6"/>
  <c r="R1345" i="6" l="1"/>
  <c r="Q1345" i="6"/>
  <c r="P1345" i="6"/>
  <c r="O1346" i="6" s="1"/>
  <c r="T1346" i="6" s="1"/>
  <c r="S1345" i="6"/>
  <c r="S1346" i="6" s="1"/>
  <c r="Q1346" i="6" l="1"/>
  <c r="R1346" i="6"/>
  <c r="P1346" i="6"/>
  <c r="O1347" i="6" s="1"/>
  <c r="T1347" i="6" s="1"/>
  <c r="R1347" i="6" l="1"/>
  <c r="Q1347" i="6"/>
  <c r="P1347" i="6"/>
  <c r="O1348" i="6" s="1"/>
  <c r="T1348" i="6" s="1"/>
  <c r="S1347" i="6"/>
  <c r="S1348" i="6" s="1"/>
  <c r="Q1348" i="6" l="1"/>
  <c r="R1348" i="6"/>
  <c r="P1348" i="6"/>
  <c r="O1349" i="6" s="1"/>
  <c r="T1349" i="6" s="1"/>
  <c r="R1349" i="6" l="1"/>
  <c r="Q1349" i="6"/>
  <c r="P1349" i="6"/>
  <c r="O1350" i="6" s="1"/>
  <c r="T1350" i="6" s="1"/>
  <c r="S1349" i="6"/>
  <c r="S1350" i="6" s="1"/>
  <c r="R1350" i="6" l="1"/>
  <c r="Q1350" i="6"/>
  <c r="P1350" i="6"/>
  <c r="O1351" i="6" s="1"/>
  <c r="T1351" i="6" s="1"/>
  <c r="R1351" i="6" l="1"/>
  <c r="Q1351" i="6"/>
  <c r="P1351" i="6"/>
  <c r="O1352" i="6" s="1"/>
  <c r="T1352" i="6" s="1"/>
  <c r="S1351" i="6"/>
  <c r="S1352" i="6" l="1"/>
  <c r="Q1352" i="6"/>
  <c r="R1352" i="6"/>
  <c r="P1352" i="6"/>
  <c r="O1353" i="6" s="1"/>
  <c r="T1353" i="6" s="1"/>
  <c r="R1353" i="6" l="1"/>
  <c r="Q1353" i="6"/>
  <c r="P1353" i="6"/>
  <c r="O1354" i="6" s="1"/>
  <c r="T1354" i="6" s="1"/>
  <c r="S1353" i="6"/>
  <c r="S1354" i="6" s="1"/>
  <c r="R1354" i="6" l="1"/>
  <c r="Q1354" i="6"/>
  <c r="P1354" i="6"/>
  <c r="O1355" i="6" s="1"/>
  <c r="T1355" i="6" s="1"/>
  <c r="Q1355" i="6" l="1"/>
  <c r="R1355" i="6"/>
  <c r="P1355" i="6"/>
  <c r="O1356" i="6" s="1"/>
  <c r="T1356" i="6" s="1"/>
  <c r="S1355" i="6"/>
  <c r="S1356" i="6" l="1"/>
  <c r="R1356" i="6"/>
  <c r="Q1356" i="6"/>
  <c r="P1356" i="6"/>
  <c r="O1357" i="6" s="1"/>
  <c r="R1357" i="6" l="1"/>
  <c r="Q1357" i="6"/>
  <c r="P1357" i="6"/>
  <c r="O1358" i="6" s="1"/>
  <c r="T1358" i="6" s="1"/>
  <c r="S1357" i="6"/>
  <c r="T1357" i="6" s="1"/>
  <c r="R1358" i="6" l="1"/>
  <c r="Q1358" i="6"/>
  <c r="P1358" i="6"/>
  <c r="O1359" i="6" s="1"/>
  <c r="T1359" i="6" s="1"/>
  <c r="S1358" i="6"/>
  <c r="R1359" i="6" l="1"/>
  <c r="Q1359" i="6"/>
  <c r="P1359" i="6"/>
  <c r="O1360" i="6" s="1"/>
  <c r="T1360" i="6" s="1"/>
  <c r="S1359" i="6"/>
  <c r="S1360" i="6" s="1"/>
  <c r="R1360" i="6" l="1"/>
  <c r="Q1360" i="6"/>
  <c r="P1360" i="6"/>
  <c r="O1361" i="6" s="1"/>
  <c r="T1361" i="6" s="1"/>
  <c r="Q1361" i="6" l="1"/>
  <c r="R1361" i="6"/>
  <c r="P1361" i="6"/>
  <c r="O1362" i="6" s="1"/>
  <c r="T1362" i="6" s="1"/>
  <c r="S1361" i="6"/>
  <c r="S1362" i="6" s="1"/>
  <c r="Q1362" i="6" l="1"/>
  <c r="R1362" i="6"/>
  <c r="P1362" i="6"/>
  <c r="O1363" i="6" s="1"/>
  <c r="T1363" i="6" s="1"/>
  <c r="R1363" i="6" l="1"/>
  <c r="Q1363" i="6"/>
  <c r="P1363" i="6"/>
  <c r="O1364" i="6" s="1"/>
  <c r="T1364" i="6" s="1"/>
  <c r="S1363" i="6"/>
  <c r="S1364" i="6" s="1"/>
  <c r="Q1364" i="6" l="1"/>
  <c r="R1364" i="6"/>
  <c r="P1364" i="6"/>
  <c r="O1365" i="6" s="1"/>
  <c r="T1365" i="6" s="1"/>
  <c r="R1365" i="6" l="1"/>
  <c r="Q1365" i="6"/>
  <c r="P1365" i="6"/>
  <c r="O1366" i="6" s="1"/>
  <c r="T1366" i="6" s="1"/>
  <c r="S1365" i="6"/>
  <c r="S1366" i="6" s="1"/>
  <c r="R1366" i="6" l="1"/>
  <c r="Q1366" i="6"/>
  <c r="P1366" i="6"/>
  <c r="O1367" i="6" s="1"/>
  <c r="T1367" i="6" s="1"/>
  <c r="R1367" i="6" l="1"/>
  <c r="Q1367" i="6"/>
  <c r="P1367" i="6"/>
  <c r="O1368" i="6" s="1"/>
  <c r="T1368" i="6" s="1"/>
  <c r="S1367" i="6"/>
  <c r="S1368" i="6" l="1"/>
  <c r="R1368" i="6"/>
  <c r="Q1368" i="6"/>
  <c r="P1368" i="6"/>
  <c r="O1369" i="6" s="1"/>
  <c r="T1369" i="6" s="1"/>
  <c r="R1369" i="6" l="1"/>
  <c r="Q1369" i="6"/>
  <c r="P1369" i="6"/>
  <c r="O1370" i="6" s="1"/>
  <c r="T1370" i="6" s="1"/>
  <c r="S1369" i="6"/>
  <c r="S1370" i="6" s="1"/>
  <c r="R1370" i="6" l="1"/>
  <c r="Q1370" i="6"/>
  <c r="P1370" i="6"/>
  <c r="O1371" i="6" s="1"/>
  <c r="T1371" i="6" s="1"/>
  <c r="R1371" i="6" l="1"/>
  <c r="Q1371" i="6"/>
  <c r="P1371" i="6"/>
  <c r="O1372" i="6" s="1"/>
  <c r="T1372" i="6" s="1"/>
  <c r="S1371" i="6"/>
  <c r="S1372" i="6" s="1"/>
  <c r="Q1372" i="6" l="1"/>
  <c r="R1372" i="6"/>
  <c r="P1372" i="6"/>
  <c r="O1373" i="6" s="1"/>
  <c r="T1373" i="6" s="1"/>
  <c r="R1373" i="6" l="1"/>
  <c r="Q1373" i="6"/>
  <c r="P1373" i="6"/>
  <c r="O1374" i="6" s="1"/>
  <c r="T1374" i="6" s="1"/>
  <c r="S1373" i="6"/>
  <c r="S1374" i="6" s="1"/>
  <c r="R1374" i="6" l="1"/>
  <c r="Q1374" i="6"/>
  <c r="P1374" i="6"/>
  <c r="O1375" i="6" s="1"/>
  <c r="T1375" i="6" s="1"/>
  <c r="Q1375" i="6" l="1"/>
  <c r="R1375" i="6"/>
  <c r="P1375" i="6"/>
  <c r="O1376" i="6" s="1"/>
  <c r="T1376" i="6" s="1"/>
  <c r="S1375" i="6"/>
  <c r="S1376" i="6" s="1"/>
  <c r="R1376" i="6" l="1"/>
  <c r="Q1376" i="6"/>
  <c r="P1376" i="6"/>
  <c r="O1377" i="6" s="1"/>
  <c r="T1377" i="6" s="1"/>
  <c r="R1377" i="6" l="1"/>
  <c r="Q1377" i="6"/>
  <c r="P1377" i="6"/>
  <c r="O1378" i="6" s="1"/>
  <c r="T1378" i="6" s="1"/>
  <c r="S1377" i="6"/>
  <c r="S1378" i="6" s="1"/>
  <c r="R1378" i="6" l="1"/>
  <c r="Q1378" i="6"/>
  <c r="P1378" i="6"/>
  <c r="O1379" i="6" s="1"/>
  <c r="T1379" i="6" s="1"/>
  <c r="R1379" i="6" l="1"/>
  <c r="Q1379" i="6"/>
  <c r="P1379" i="6"/>
  <c r="O1380" i="6" s="1"/>
  <c r="T1380" i="6" s="1"/>
  <c r="S1379" i="6"/>
  <c r="S1380" i="6" s="1"/>
  <c r="Q1380" i="6" l="1"/>
  <c r="R1380" i="6"/>
  <c r="P1380" i="6"/>
  <c r="O1381" i="6" s="1"/>
  <c r="T1381" i="6" s="1"/>
  <c r="R1381" i="6" l="1"/>
  <c r="Q1381" i="6"/>
  <c r="P1381" i="6"/>
  <c r="O1382" i="6" s="1"/>
  <c r="T1382" i="6" s="1"/>
  <c r="S1381" i="6"/>
  <c r="S1382" i="6" s="1"/>
  <c r="R1382" i="6" l="1"/>
  <c r="Q1382" i="6"/>
  <c r="P1382" i="6"/>
  <c r="O1383" i="6" s="1"/>
  <c r="T1383" i="6" s="1"/>
  <c r="R1383" i="6" l="1"/>
  <c r="Q1383" i="6"/>
  <c r="P1383" i="6"/>
  <c r="O1384" i="6" s="1"/>
  <c r="T1384" i="6" s="1"/>
  <c r="S1383" i="6"/>
  <c r="S1384" i="6" s="1"/>
  <c r="R1384" i="6" l="1"/>
  <c r="Q1384" i="6"/>
  <c r="P1384" i="6"/>
  <c r="O1385" i="6" s="1"/>
  <c r="T1385" i="6" s="1"/>
  <c r="R1385" i="6" l="1"/>
  <c r="Q1385" i="6"/>
  <c r="P1385" i="6"/>
  <c r="O1386" i="6" s="1"/>
  <c r="T1386" i="6" s="1"/>
  <c r="S1385" i="6"/>
  <c r="S1386" i="6" s="1"/>
  <c r="R1386" i="6" l="1"/>
  <c r="Q1386" i="6"/>
  <c r="P1386" i="6"/>
  <c r="O1387" i="6" s="1"/>
  <c r="T1387" i="6" s="1"/>
  <c r="R1387" i="6" l="1"/>
  <c r="Q1387" i="6"/>
  <c r="P1387" i="6"/>
  <c r="O1388" i="6" s="1"/>
  <c r="T1388" i="6" s="1"/>
  <c r="S1387" i="6"/>
  <c r="S1388" i="6" l="1"/>
  <c r="Q1388" i="6"/>
  <c r="R1388" i="6"/>
  <c r="P1388" i="6"/>
  <c r="O1389" i="6" s="1"/>
  <c r="T1389" i="6" s="1"/>
  <c r="Q1389" i="6" l="1"/>
  <c r="R1389" i="6"/>
  <c r="P1389" i="6"/>
  <c r="O1390" i="6" s="1"/>
  <c r="T1390" i="6" s="1"/>
  <c r="S1389" i="6"/>
  <c r="S1390" i="6" s="1"/>
  <c r="R1390" i="6" l="1"/>
  <c r="Q1390" i="6"/>
  <c r="P1390" i="6"/>
  <c r="O1391" i="6" s="1"/>
  <c r="T1391" i="6" s="1"/>
  <c r="R1391" i="6" l="1"/>
  <c r="Q1391" i="6"/>
  <c r="P1391" i="6"/>
  <c r="O1392" i="6" s="1"/>
  <c r="T1392" i="6" s="1"/>
  <c r="S1391" i="6"/>
  <c r="S1392" i="6" l="1"/>
  <c r="Q1392" i="6"/>
  <c r="R1392" i="6"/>
  <c r="P1392" i="6"/>
  <c r="O1393" i="6" s="1"/>
  <c r="T1393" i="6" s="1"/>
  <c r="R1393" i="6" l="1"/>
  <c r="Q1393" i="6"/>
  <c r="P1393" i="6"/>
  <c r="O1394" i="6" s="1"/>
  <c r="T1394" i="6" s="1"/>
  <c r="S1393" i="6"/>
  <c r="S1394" i="6" s="1"/>
  <c r="R1394" i="6" l="1"/>
  <c r="Q1394" i="6"/>
  <c r="P1394" i="6"/>
  <c r="O1395" i="6" s="1"/>
  <c r="T1395" i="6" s="1"/>
  <c r="Q1395" i="6" l="1"/>
  <c r="R1395" i="6"/>
  <c r="P1395" i="6"/>
  <c r="O1396" i="6" s="1"/>
  <c r="T1396" i="6" s="1"/>
  <c r="S1395" i="6"/>
  <c r="S1396" i="6" s="1"/>
  <c r="Q1396" i="6" l="1"/>
  <c r="R1396" i="6"/>
  <c r="P1396" i="6"/>
  <c r="O1397" i="6" s="1"/>
  <c r="T1397" i="6" s="1"/>
  <c r="R1397" i="6" l="1"/>
  <c r="Q1397" i="6"/>
  <c r="P1397" i="6"/>
  <c r="O1398" i="6" s="1"/>
  <c r="T1398" i="6" s="1"/>
  <c r="S1397" i="6"/>
  <c r="S1398" i="6" s="1"/>
  <c r="R1398" i="6" l="1"/>
  <c r="Q1398" i="6"/>
  <c r="P1398" i="6"/>
  <c r="O1399" i="6" s="1"/>
  <c r="R1399" i="6" l="1"/>
  <c r="Q1399" i="6"/>
  <c r="P1399" i="6"/>
  <c r="O1400" i="6" s="1"/>
  <c r="T1400" i="6" s="1"/>
  <c r="S1399" i="6"/>
  <c r="S1400" i="6" s="1"/>
  <c r="T1399" i="6" l="1"/>
  <c r="R1400" i="6"/>
  <c r="Q1400" i="6"/>
  <c r="P1400" i="6"/>
  <c r="O1401" i="6" s="1"/>
  <c r="T1401" i="6" s="1"/>
  <c r="Q1401" i="6" l="1"/>
  <c r="R1401" i="6"/>
  <c r="P1401" i="6"/>
  <c r="O1402" i="6" s="1"/>
  <c r="T1402" i="6" s="1"/>
  <c r="S1401" i="6"/>
  <c r="S1402" i="6" s="1"/>
  <c r="R1402" i="6" l="1"/>
  <c r="Q1402" i="6"/>
  <c r="P1402" i="6"/>
  <c r="O1403" i="6" s="1"/>
  <c r="T1403" i="6" s="1"/>
  <c r="Q1403" i="6" l="1"/>
  <c r="R1403" i="6"/>
  <c r="P1403" i="6"/>
  <c r="O1404" i="6" s="1"/>
  <c r="T1404" i="6" s="1"/>
  <c r="S1403" i="6"/>
  <c r="S1404" i="6" s="1"/>
  <c r="R1404" i="6" l="1"/>
  <c r="Q1404" i="6"/>
  <c r="P1404" i="6"/>
  <c r="O1405" i="6" s="1"/>
  <c r="T1405" i="6" s="1"/>
  <c r="R1405" i="6" l="1"/>
  <c r="Q1405" i="6"/>
  <c r="P1405" i="6"/>
  <c r="O1406" i="6" s="1"/>
  <c r="T1406" i="6" s="1"/>
  <c r="S1405" i="6"/>
  <c r="S1406" i="6" s="1"/>
  <c r="R1406" i="6" l="1"/>
  <c r="Q1406" i="6"/>
  <c r="P1406" i="6"/>
  <c r="O1407" i="6" s="1"/>
  <c r="T1407" i="6" s="1"/>
  <c r="R1407" i="6" l="1"/>
  <c r="Q1407" i="6"/>
  <c r="P1407" i="6"/>
  <c r="O1408" i="6" s="1"/>
  <c r="T1408" i="6" s="1"/>
  <c r="S1407" i="6"/>
  <c r="S1408" i="6" s="1"/>
  <c r="Q1408" i="6" l="1"/>
  <c r="R1408" i="6"/>
  <c r="P1408" i="6"/>
  <c r="O1409" i="6" s="1"/>
  <c r="T1409" i="6" s="1"/>
  <c r="R1409" i="6" l="1"/>
  <c r="Q1409" i="6"/>
  <c r="P1409" i="6"/>
  <c r="O1410" i="6" s="1"/>
  <c r="T1410" i="6" s="1"/>
  <c r="S1409" i="6"/>
  <c r="S1410" i="6" s="1"/>
  <c r="Q1410" i="6" l="1"/>
  <c r="R1410" i="6"/>
  <c r="P1410" i="6"/>
  <c r="O1411" i="6" s="1"/>
  <c r="T1411" i="6" s="1"/>
  <c r="R1411" i="6" l="1"/>
  <c r="Q1411" i="6"/>
  <c r="P1411" i="6"/>
  <c r="O1412" i="6" s="1"/>
  <c r="T1412" i="6" s="1"/>
  <c r="S1411" i="6"/>
  <c r="S1412" i="6" s="1"/>
  <c r="Q1412" i="6" l="1"/>
  <c r="R1412" i="6"/>
  <c r="P1412" i="6"/>
  <c r="O1413" i="6" s="1"/>
  <c r="T1413" i="6" s="1"/>
  <c r="Q1413" i="6" l="1"/>
  <c r="R1413" i="6"/>
  <c r="P1413" i="6"/>
  <c r="O1414" i="6" s="1"/>
  <c r="T1414" i="6" s="1"/>
  <c r="S1413" i="6"/>
  <c r="S1414" i="6" s="1"/>
  <c r="R1414" i="6" l="1"/>
  <c r="Q1414" i="6"/>
  <c r="P1414" i="6"/>
  <c r="O1415" i="6" s="1"/>
  <c r="T1415" i="6" s="1"/>
  <c r="Q1415" i="6" l="1"/>
  <c r="R1415" i="6"/>
  <c r="P1415" i="6"/>
  <c r="O1416" i="6" s="1"/>
  <c r="T1416" i="6" s="1"/>
  <c r="S1415" i="6"/>
  <c r="S1416" i="6" s="1"/>
  <c r="R1416" i="6" l="1"/>
  <c r="Q1416" i="6"/>
  <c r="P1416" i="6"/>
  <c r="O1417" i="6" s="1"/>
  <c r="R1417" i="6" l="1"/>
  <c r="Q1417" i="6"/>
  <c r="P1417" i="6"/>
  <c r="O1418" i="6" s="1"/>
  <c r="T1418" i="6" s="1"/>
  <c r="S1417" i="6"/>
  <c r="T1417" i="6" s="1"/>
  <c r="R1418" i="6" l="1"/>
  <c r="Q1418" i="6"/>
  <c r="P1418" i="6"/>
  <c r="O1419" i="6" s="1"/>
  <c r="T1419" i="6" s="1"/>
  <c r="S1418" i="6"/>
  <c r="Q1419" i="6" l="1"/>
  <c r="R1419" i="6"/>
  <c r="P1419" i="6"/>
  <c r="O1420" i="6" s="1"/>
  <c r="T1420" i="6" s="1"/>
  <c r="S1419" i="6"/>
  <c r="S1420" i="6" s="1"/>
  <c r="R1420" i="6" l="1"/>
  <c r="Q1420" i="6"/>
  <c r="P1420" i="6"/>
  <c r="O1421" i="6" s="1"/>
  <c r="T1421" i="6" s="1"/>
  <c r="R1421" i="6" l="1"/>
  <c r="Q1421" i="6"/>
  <c r="P1421" i="6"/>
  <c r="O1422" i="6" s="1"/>
  <c r="T1422" i="6" s="1"/>
  <c r="S1421" i="6"/>
  <c r="S1422" i="6" s="1"/>
  <c r="R1422" i="6" l="1"/>
  <c r="Q1422" i="6"/>
  <c r="P1422" i="6"/>
  <c r="O1423" i="6" s="1"/>
  <c r="T1423" i="6" s="1"/>
  <c r="R1423" i="6" l="1"/>
  <c r="Q1423" i="6"/>
  <c r="P1423" i="6"/>
  <c r="O1424" i="6" s="1"/>
  <c r="T1424" i="6" s="1"/>
  <c r="S1423" i="6"/>
  <c r="R1424" i="6" l="1"/>
  <c r="Q1424" i="6"/>
  <c r="P1424" i="6"/>
  <c r="O1425" i="6" s="1"/>
  <c r="T1425" i="6" s="1"/>
  <c r="S1424" i="6"/>
  <c r="S1425" i="6" l="1"/>
  <c r="R1425" i="6"/>
  <c r="Q1425" i="6"/>
  <c r="P1425" i="6"/>
  <c r="O1426" i="6" s="1"/>
  <c r="T1426" i="6" s="1"/>
  <c r="R1426" i="6" l="1"/>
  <c r="Q1426" i="6"/>
  <c r="P1426" i="6"/>
  <c r="O1427" i="6" s="1"/>
  <c r="T1427" i="6" s="1"/>
  <c r="S1426" i="6"/>
  <c r="Q1427" i="6" l="1"/>
  <c r="R1427" i="6"/>
  <c r="P1427" i="6"/>
  <c r="O1428" i="6" s="1"/>
  <c r="T1428" i="6" s="1"/>
  <c r="S1427" i="6"/>
  <c r="R1428" i="6" l="1"/>
  <c r="Q1428" i="6"/>
  <c r="P1428" i="6"/>
  <c r="O1429" i="6" s="1"/>
  <c r="T1429" i="6" s="1"/>
  <c r="S1428" i="6"/>
  <c r="R1429" i="6" l="1"/>
  <c r="Q1429" i="6"/>
  <c r="P1429" i="6"/>
  <c r="O1430" i="6" s="1"/>
  <c r="T1430" i="6" s="1"/>
  <c r="S1429" i="6"/>
  <c r="S1430" i="6" l="1"/>
  <c r="R1430" i="6"/>
  <c r="Q1430" i="6"/>
  <c r="P1430" i="6"/>
  <c r="O1431" i="6" s="1"/>
  <c r="T1431" i="6" s="1"/>
  <c r="Q1431" i="6" l="1"/>
  <c r="R1431" i="6"/>
  <c r="P1431" i="6"/>
  <c r="O1432" i="6" s="1"/>
  <c r="T1432" i="6" s="1"/>
  <c r="S1431" i="6"/>
  <c r="S1432" i="6" s="1"/>
  <c r="R1432" i="6" l="1"/>
  <c r="Q1432" i="6"/>
  <c r="P1432" i="6"/>
  <c r="O1433" i="6" s="1"/>
  <c r="R1433" i="6" l="1"/>
  <c r="Q1433" i="6"/>
  <c r="P1433" i="6"/>
  <c r="O1434" i="6" s="1"/>
  <c r="T1434" i="6" s="1"/>
  <c r="S1433" i="6"/>
  <c r="T1433" i="6" s="1"/>
  <c r="R1434" i="6" l="1"/>
  <c r="Q1434" i="6"/>
  <c r="P1434" i="6"/>
  <c r="O1435" i="6" s="1"/>
  <c r="T1435" i="6" s="1"/>
  <c r="S1434" i="6"/>
  <c r="Q1435" i="6" l="1"/>
  <c r="R1435" i="6"/>
  <c r="P1435" i="6"/>
  <c r="O1436" i="6" s="1"/>
  <c r="T1436" i="6" s="1"/>
  <c r="S1435" i="6"/>
  <c r="S1436" i="6" s="1"/>
  <c r="R1436" i="6" l="1"/>
  <c r="Q1436" i="6"/>
  <c r="P1436" i="6"/>
  <c r="O1437" i="6" s="1"/>
  <c r="T1437" i="6" s="1"/>
  <c r="R1437" i="6" l="1"/>
  <c r="Q1437" i="6"/>
  <c r="P1437" i="6"/>
  <c r="O1438" i="6" s="1"/>
  <c r="T1438" i="6" s="1"/>
  <c r="S1437" i="6"/>
  <c r="S1438" i="6" s="1"/>
  <c r="R1438" i="6" l="1"/>
  <c r="Q1438" i="6"/>
  <c r="P1438" i="6"/>
  <c r="O1439" i="6" s="1"/>
  <c r="T1439" i="6" s="1"/>
  <c r="R1439" i="6" l="1"/>
  <c r="Q1439" i="6"/>
  <c r="P1439" i="6"/>
  <c r="O1440" i="6" s="1"/>
  <c r="T1440" i="6" s="1"/>
  <c r="S1439" i="6"/>
  <c r="S1440" i="6" s="1"/>
  <c r="Q1440" i="6" l="1"/>
  <c r="R1440" i="6"/>
  <c r="P1440" i="6"/>
  <c r="O1441" i="6" s="1"/>
  <c r="T1441" i="6" s="1"/>
  <c r="R1441" i="6" l="1"/>
  <c r="Q1441" i="6"/>
  <c r="P1441" i="6"/>
  <c r="O1442" i="6" s="1"/>
  <c r="T1442" i="6" s="1"/>
  <c r="S1441" i="6"/>
  <c r="S1442" i="6" s="1"/>
  <c r="R1442" i="6" l="1"/>
  <c r="Q1442" i="6"/>
  <c r="P1442" i="6"/>
  <c r="O1443" i="6" s="1"/>
  <c r="T1443" i="6" s="1"/>
  <c r="R1443" i="6" l="1"/>
  <c r="Q1443" i="6"/>
  <c r="P1443" i="6"/>
  <c r="O1444" i="6" s="1"/>
  <c r="T1444" i="6" s="1"/>
  <c r="S1443" i="6"/>
  <c r="S1444" i="6" l="1"/>
  <c r="R1444" i="6"/>
  <c r="Q1444" i="6"/>
  <c r="P1444" i="6"/>
  <c r="O1445" i="6" s="1"/>
  <c r="T1445" i="6" s="1"/>
  <c r="R1445" i="6" l="1"/>
  <c r="Q1445" i="6"/>
  <c r="P1445" i="6"/>
  <c r="O1446" i="6" s="1"/>
  <c r="T1446" i="6" s="1"/>
  <c r="S1445" i="6"/>
  <c r="S1446" i="6" s="1"/>
  <c r="R1446" i="6" l="1"/>
  <c r="Q1446" i="6"/>
  <c r="P1446" i="6"/>
  <c r="O1447" i="6" s="1"/>
  <c r="T1447" i="6" s="1"/>
  <c r="R1447" i="6" l="1"/>
  <c r="Q1447" i="6"/>
  <c r="P1447" i="6"/>
  <c r="O1448" i="6" s="1"/>
  <c r="S1447" i="6"/>
  <c r="R1448" i="6" l="1"/>
  <c r="Q1448" i="6"/>
  <c r="P1448" i="6"/>
  <c r="O1449" i="6" s="1"/>
  <c r="T1449" i="6" s="1"/>
  <c r="S1448" i="6"/>
  <c r="T1448" i="6" s="1"/>
  <c r="R1449" i="6" l="1"/>
  <c r="Q1449" i="6"/>
  <c r="P1449" i="6"/>
  <c r="O1450" i="6" s="1"/>
  <c r="T1450" i="6" s="1"/>
  <c r="S1449" i="6"/>
  <c r="R1450" i="6" l="1"/>
  <c r="Q1450" i="6"/>
  <c r="P1450" i="6"/>
  <c r="O1451" i="6" s="1"/>
  <c r="T1451" i="6" s="1"/>
  <c r="S1450" i="6"/>
  <c r="R1451" i="6" l="1"/>
  <c r="Q1451" i="6"/>
  <c r="P1451" i="6"/>
  <c r="O1452" i="6" s="1"/>
  <c r="T1452" i="6" s="1"/>
  <c r="S1451" i="6"/>
  <c r="S1452" i="6" s="1"/>
  <c r="R1452" i="6" l="1"/>
  <c r="Q1452" i="6"/>
  <c r="P1452" i="6"/>
  <c r="O1453" i="6" s="1"/>
  <c r="T1453" i="6" s="1"/>
  <c r="R1453" i="6" l="1"/>
  <c r="Q1453" i="6"/>
  <c r="P1453" i="6"/>
  <c r="O1454" i="6" s="1"/>
  <c r="T1454" i="6" s="1"/>
  <c r="S1453" i="6"/>
  <c r="S1454" i="6" s="1"/>
  <c r="Q1454" i="6" l="1"/>
  <c r="R1454" i="6"/>
  <c r="P1454" i="6"/>
  <c r="O1455" i="6" s="1"/>
  <c r="T1455" i="6" s="1"/>
  <c r="Q1455" i="6" l="1"/>
  <c r="R1455" i="6"/>
  <c r="P1455" i="6"/>
  <c r="O1456" i="6" s="1"/>
  <c r="T1456" i="6" s="1"/>
  <c r="S1455" i="6"/>
  <c r="S1456" i="6" s="1"/>
  <c r="R1456" i="6" l="1"/>
  <c r="Q1456" i="6"/>
  <c r="P1456" i="6"/>
  <c r="O1457" i="6" s="1"/>
  <c r="T1457" i="6" s="1"/>
  <c r="R1457" i="6" l="1"/>
  <c r="Q1457" i="6"/>
  <c r="P1457" i="6"/>
  <c r="O1458" i="6" s="1"/>
  <c r="T1458" i="6" s="1"/>
  <c r="S1457" i="6"/>
  <c r="S1458" i="6" s="1"/>
  <c r="R1458" i="6" l="1"/>
  <c r="Q1458" i="6"/>
  <c r="P1458" i="6"/>
  <c r="O1459" i="6" s="1"/>
  <c r="T1459" i="6" s="1"/>
  <c r="Q1459" i="6" l="1"/>
  <c r="R1459" i="6"/>
  <c r="P1459" i="6"/>
  <c r="O1460" i="6" s="1"/>
  <c r="T1460" i="6" s="1"/>
  <c r="S1459" i="6"/>
  <c r="S1460" i="6" s="1"/>
  <c r="Q1460" i="6" l="1"/>
  <c r="R1460" i="6"/>
  <c r="P1460" i="6"/>
  <c r="O1461" i="6" s="1"/>
  <c r="T1461" i="6" s="1"/>
  <c r="Q1461" i="6" l="1"/>
  <c r="R1461" i="6"/>
  <c r="P1461" i="6"/>
  <c r="O1462" i="6" s="1"/>
  <c r="T1462" i="6" s="1"/>
  <c r="S1461" i="6"/>
  <c r="S1462" i="6" s="1"/>
  <c r="R1462" i="6" l="1"/>
  <c r="Q1462" i="6"/>
  <c r="P1462" i="6"/>
  <c r="O1463" i="6" s="1"/>
  <c r="T1463" i="6" s="1"/>
  <c r="R1463" i="6" l="1"/>
  <c r="Q1463" i="6"/>
  <c r="P1463" i="6"/>
  <c r="O1464" i="6" s="1"/>
  <c r="T1464" i="6" s="1"/>
  <c r="S1463" i="6"/>
  <c r="S1464" i="6" s="1"/>
  <c r="R1464" i="6" l="1"/>
  <c r="Q1464" i="6"/>
  <c r="P1464" i="6"/>
  <c r="O1465" i="6" s="1"/>
  <c r="T1465" i="6" s="1"/>
  <c r="Q1465" i="6" l="1"/>
  <c r="R1465" i="6"/>
  <c r="P1465" i="6"/>
  <c r="O1466" i="6" s="1"/>
  <c r="T1466" i="6" s="1"/>
  <c r="S1465" i="6"/>
  <c r="S1466" i="6" s="1"/>
  <c r="Q1466" i="6" l="1"/>
  <c r="R1466" i="6"/>
  <c r="P1466" i="6"/>
  <c r="O1467" i="6" s="1"/>
  <c r="T1467" i="6" s="1"/>
  <c r="R1467" i="6" l="1"/>
  <c r="Q1467" i="6"/>
  <c r="P1467" i="6"/>
  <c r="O1468" i="6" s="1"/>
  <c r="T1468" i="6" s="1"/>
  <c r="S1467" i="6"/>
  <c r="S1468" i="6" s="1"/>
  <c r="R1468" i="6" l="1"/>
  <c r="Q1468" i="6"/>
  <c r="P1468" i="6"/>
  <c r="O1469" i="6" s="1"/>
  <c r="T1469" i="6" s="1"/>
  <c r="R1469" i="6" l="1"/>
  <c r="Q1469" i="6"/>
  <c r="P1469" i="6"/>
  <c r="O1470" i="6" s="1"/>
  <c r="T1470" i="6" s="1"/>
  <c r="S1469" i="6"/>
  <c r="Q1470" i="6" l="1"/>
  <c r="R1470" i="6"/>
  <c r="P1470" i="6"/>
  <c r="O1471" i="6" s="1"/>
  <c r="T1471" i="6" s="1"/>
  <c r="S1470" i="6"/>
  <c r="S1471" i="6" l="1"/>
  <c r="R1471" i="6"/>
  <c r="Q1471" i="6"/>
  <c r="P1471" i="6"/>
  <c r="O1472" i="6" s="1"/>
  <c r="T1472" i="6" s="1"/>
  <c r="R1472" i="6" l="1"/>
  <c r="Q1472" i="6"/>
  <c r="P1472" i="6"/>
  <c r="O1473" i="6" s="1"/>
  <c r="T1473" i="6" s="1"/>
  <c r="S1472" i="6"/>
  <c r="R1473" i="6" l="1"/>
  <c r="Q1473" i="6"/>
  <c r="P1473" i="6"/>
  <c r="O1474" i="6" s="1"/>
  <c r="T1474" i="6" s="1"/>
  <c r="S1473" i="6"/>
  <c r="Q1474" i="6" l="1"/>
  <c r="R1474" i="6"/>
  <c r="P1474" i="6"/>
  <c r="O1475" i="6" s="1"/>
  <c r="T1475" i="6" s="1"/>
  <c r="S1474" i="6"/>
  <c r="S1475" i="6" s="1"/>
  <c r="Q1475" i="6" l="1"/>
  <c r="R1475" i="6"/>
  <c r="P1475" i="6"/>
  <c r="O1476" i="6" s="1"/>
  <c r="T1476" i="6" s="1"/>
  <c r="R1476" i="6" l="1"/>
  <c r="Q1476" i="6"/>
  <c r="P1476" i="6"/>
  <c r="O1477" i="6" s="1"/>
  <c r="T1477" i="6" s="1"/>
  <c r="S1476" i="6"/>
  <c r="S1477" i="6" s="1"/>
  <c r="R1477" i="6" l="1"/>
  <c r="Q1477" i="6"/>
  <c r="P1477" i="6"/>
  <c r="O1478" i="6" s="1"/>
  <c r="T1478" i="6" s="1"/>
  <c r="R1478" i="6" l="1"/>
  <c r="Q1478" i="6"/>
  <c r="P1478" i="6"/>
  <c r="O1479" i="6" s="1"/>
  <c r="T1479" i="6" s="1"/>
  <c r="S1478" i="6"/>
  <c r="S1479" i="6" s="1"/>
  <c r="R1479" i="6" l="1"/>
  <c r="Q1479" i="6"/>
  <c r="P1479" i="6"/>
  <c r="O1480" i="6" s="1"/>
  <c r="T1480" i="6" s="1"/>
  <c r="Q1480" i="6" l="1"/>
  <c r="R1480" i="6"/>
  <c r="P1480" i="6"/>
  <c r="O1481" i="6" s="1"/>
  <c r="T1481" i="6" s="1"/>
  <c r="S1480" i="6"/>
  <c r="S1481" i="6" s="1"/>
  <c r="Q1481" i="6" l="1"/>
  <c r="R1481" i="6"/>
  <c r="P1481" i="6"/>
  <c r="O1482" i="6" s="1"/>
  <c r="T1482" i="6" s="1"/>
  <c r="R1482" i="6" l="1"/>
  <c r="Q1482" i="6"/>
  <c r="P1482" i="6"/>
  <c r="O1483" i="6" s="1"/>
  <c r="T1483" i="6" s="1"/>
  <c r="S1482" i="6"/>
  <c r="S1483" i="6" s="1"/>
  <c r="R1483" i="6" l="1"/>
  <c r="Q1483" i="6"/>
  <c r="P1483" i="6"/>
  <c r="O1484" i="6" s="1"/>
  <c r="R1484" i="6" l="1"/>
  <c r="Q1484" i="6"/>
  <c r="P1484" i="6"/>
  <c r="O1485" i="6" s="1"/>
  <c r="T1485" i="6" s="1"/>
  <c r="S1484" i="6"/>
  <c r="S1485" i="6" s="1"/>
  <c r="T1484" i="6" l="1"/>
  <c r="R1485" i="6"/>
  <c r="Q1485" i="6"/>
  <c r="P1485" i="6"/>
  <c r="O1486" i="6" s="1"/>
  <c r="T1486" i="6" s="1"/>
  <c r="R1486" i="6" l="1"/>
  <c r="Q1486" i="6"/>
  <c r="P1486" i="6"/>
  <c r="O1487" i="6" s="1"/>
  <c r="T1487" i="6" s="1"/>
  <c r="S1486" i="6"/>
  <c r="S1487" i="6" s="1"/>
  <c r="R1487" i="6" l="1"/>
  <c r="Q1487" i="6"/>
  <c r="P1487" i="6"/>
  <c r="O1488" i="6" s="1"/>
  <c r="T1488" i="6" s="1"/>
  <c r="R1488" i="6" l="1"/>
  <c r="Q1488" i="6"/>
  <c r="P1488" i="6"/>
  <c r="O1489" i="6" s="1"/>
  <c r="T1489" i="6" s="1"/>
  <c r="S1488" i="6"/>
  <c r="S1489" i="6" l="1"/>
  <c r="R1489" i="6"/>
  <c r="Q1489" i="6"/>
  <c r="P1489" i="6"/>
  <c r="O1490" i="6" s="1"/>
  <c r="T1490" i="6" s="1"/>
  <c r="R1490" i="6" l="1"/>
  <c r="Q1490" i="6"/>
  <c r="P1490" i="6"/>
  <c r="O1491" i="6" s="1"/>
  <c r="T1491" i="6" s="1"/>
  <c r="S1490" i="6"/>
  <c r="S1491" i="6" s="1"/>
  <c r="R1491" i="6" l="1"/>
  <c r="Q1491" i="6"/>
  <c r="P1491" i="6"/>
  <c r="O1492" i="6" s="1"/>
  <c r="T1492" i="6" s="1"/>
  <c r="R1492" i="6" l="1"/>
  <c r="Q1492" i="6"/>
  <c r="P1492" i="6"/>
  <c r="O1493" i="6" s="1"/>
  <c r="T1493" i="6" s="1"/>
  <c r="S1492" i="6"/>
  <c r="S1493" i="6" s="1"/>
  <c r="R1493" i="6" l="1"/>
  <c r="Q1493" i="6"/>
  <c r="P1493" i="6"/>
  <c r="O1494" i="6" s="1"/>
  <c r="T1494" i="6" s="1"/>
  <c r="Q1494" i="6" l="1"/>
  <c r="R1494" i="6"/>
  <c r="P1494" i="6"/>
  <c r="O1495" i="6" s="1"/>
  <c r="T1495" i="6" s="1"/>
  <c r="S1494" i="6"/>
  <c r="S1495" i="6" s="1"/>
  <c r="R1495" i="6" l="1"/>
  <c r="Q1495" i="6"/>
  <c r="P1495" i="6"/>
  <c r="O1496" i="6" s="1"/>
  <c r="T1496" i="6" s="1"/>
  <c r="R1496" i="6" l="1"/>
  <c r="Q1496" i="6"/>
  <c r="P1496" i="6"/>
  <c r="O1497" i="6" s="1"/>
  <c r="T1497" i="6" s="1"/>
  <c r="S1496" i="6"/>
  <c r="S1497" i="6" s="1"/>
  <c r="R1497" i="6" l="1"/>
  <c r="Q1497" i="6"/>
  <c r="P1497" i="6"/>
  <c r="O1498" i="6" s="1"/>
  <c r="T1498" i="6" s="1"/>
  <c r="R1498" i="6" l="1"/>
  <c r="Q1498" i="6"/>
  <c r="P1498" i="6"/>
  <c r="O1499" i="6" s="1"/>
  <c r="T1499" i="6" s="1"/>
  <c r="S1498" i="6"/>
  <c r="S1499" i="6" s="1"/>
  <c r="R1499" i="6" l="1"/>
  <c r="Q1499" i="6"/>
  <c r="P1499" i="6"/>
  <c r="O1500" i="6" s="1"/>
  <c r="T1500" i="6" s="1"/>
  <c r="R1500" i="6" l="1"/>
  <c r="Q1500" i="6"/>
  <c r="P1500" i="6"/>
  <c r="O1501" i="6" s="1"/>
  <c r="T1501" i="6" s="1"/>
  <c r="S1500" i="6"/>
  <c r="S1501" i="6" s="1"/>
  <c r="R1501" i="6" l="1"/>
  <c r="Q1501" i="6"/>
  <c r="P1501" i="6"/>
  <c r="O1502" i="6" s="1"/>
  <c r="T1502" i="6" s="1"/>
  <c r="R1502" i="6" l="1"/>
  <c r="Q1502" i="6"/>
  <c r="P1502" i="6"/>
  <c r="O1503" i="6" s="1"/>
  <c r="S1502" i="6"/>
  <c r="R1503" i="6" l="1"/>
  <c r="Q1503" i="6"/>
  <c r="P1503" i="6"/>
  <c r="O1504" i="6" s="1"/>
  <c r="T1504" i="6" s="1"/>
  <c r="S1503" i="6"/>
  <c r="T1503" i="6" s="1"/>
  <c r="R1504" i="6" l="1"/>
  <c r="Q1504" i="6"/>
  <c r="P1504" i="6"/>
  <c r="O1505" i="6" s="1"/>
  <c r="T1505" i="6" s="1"/>
  <c r="S1504" i="6"/>
  <c r="R1505" i="6" l="1"/>
  <c r="Q1505" i="6"/>
  <c r="P1505" i="6"/>
  <c r="O1506" i="6" s="1"/>
  <c r="T1506" i="6" s="1"/>
  <c r="S1505" i="6"/>
  <c r="R1506" i="6" l="1"/>
  <c r="Q1506" i="6"/>
  <c r="P1506" i="6"/>
  <c r="O1507" i="6" s="1"/>
  <c r="T1507" i="6" s="1"/>
  <c r="S1506" i="6"/>
  <c r="S1507" i="6" s="1"/>
  <c r="Q1507" i="6" l="1"/>
  <c r="R1507" i="6"/>
  <c r="P1507" i="6"/>
  <c r="O1508" i="6" s="1"/>
  <c r="T1508" i="6" s="1"/>
  <c r="R1508" i="6" l="1"/>
  <c r="Q1508" i="6"/>
  <c r="P1508" i="6"/>
  <c r="O1509" i="6" s="1"/>
  <c r="T1509" i="6" s="1"/>
  <c r="S1508" i="6"/>
  <c r="S1509" i="6" s="1"/>
  <c r="R1509" i="6" l="1"/>
  <c r="Q1509" i="6"/>
  <c r="P1509" i="6"/>
  <c r="O1510" i="6" s="1"/>
  <c r="T1510" i="6" s="1"/>
  <c r="R1510" i="6" l="1"/>
  <c r="Q1510" i="6"/>
  <c r="P1510" i="6"/>
  <c r="O1511" i="6" s="1"/>
  <c r="T1511" i="6" s="1"/>
  <c r="S1510" i="6"/>
  <c r="S1511" i="6" s="1"/>
  <c r="R1511" i="6" l="1"/>
  <c r="Q1511" i="6"/>
  <c r="P1511" i="6"/>
  <c r="O1512" i="6" s="1"/>
  <c r="T1512" i="6" s="1"/>
  <c r="R1512" i="6" l="1"/>
  <c r="Q1512" i="6"/>
  <c r="P1512" i="6"/>
  <c r="O1513" i="6" s="1"/>
  <c r="T1513" i="6" s="1"/>
  <c r="S1512" i="6"/>
  <c r="S1513" i="6" s="1"/>
  <c r="R1513" i="6" l="1"/>
  <c r="Q1513" i="6"/>
  <c r="P1513" i="6"/>
  <c r="O1514" i="6" s="1"/>
  <c r="T1514" i="6" s="1"/>
  <c r="R1514" i="6" l="1"/>
  <c r="Q1514" i="6"/>
  <c r="P1514" i="6"/>
  <c r="O1515" i="6" s="1"/>
  <c r="T1515" i="6" s="1"/>
  <c r="S1514" i="6"/>
  <c r="S1515" i="6" s="1"/>
  <c r="R1515" i="6" l="1"/>
  <c r="Q1515" i="6"/>
  <c r="P1515" i="6"/>
  <c r="O1516" i="6" s="1"/>
  <c r="R1516" i="6" l="1"/>
  <c r="Q1516" i="6"/>
  <c r="P1516" i="6"/>
  <c r="O1517" i="6" s="1"/>
  <c r="T1517" i="6" s="1"/>
  <c r="S1516" i="6"/>
  <c r="S1517" i="6" s="1"/>
  <c r="T1516" i="6" l="1"/>
  <c r="R1517" i="6"/>
  <c r="Q1517" i="6"/>
  <c r="P1517" i="6"/>
  <c r="O1518" i="6" s="1"/>
  <c r="T1518" i="6" s="1"/>
  <c r="R1518" i="6" l="1"/>
  <c r="Q1518" i="6"/>
  <c r="P1518" i="6"/>
  <c r="O1519" i="6" s="1"/>
  <c r="T1519" i="6" s="1"/>
  <c r="S1518" i="6"/>
  <c r="S1519" i="6" s="1"/>
  <c r="R1519" i="6" l="1"/>
  <c r="Q1519" i="6"/>
  <c r="P1519" i="6"/>
  <c r="O1520" i="6" s="1"/>
  <c r="T1520" i="6" s="1"/>
  <c r="Q1520" i="6" l="1"/>
  <c r="R1520" i="6"/>
  <c r="P1520" i="6"/>
  <c r="O1521" i="6" s="1"/>
  <c r="T1521" i="6" s="1"/>
  <c r="S1520" i="6"/>
  <c r="S1521" i="6" s="1"/>
  <c r="R1521" i="6" l="1"/>
  <c r="Q1521" i="6"/>
  <c r="P1521" i="6"/>
  <c r="O1522" i="6" s="1"/>
  <c r="T1522" i="6" s="1"/>
  <c r="R1522" i="6" l="1"/>
  <c r="Q1522" i="6"/>
  <c r="P1522" i="6"/>
  <c r="O1523" i="6" s="1"/>
  <c r="T1523" i="6" s="1"/>
  <c r="S1522" i="6"/>
  <c r="S1523" i="6" s="1"/>
  <c r="R1523" i="6" l="1"/>
  <c r="Q1523" i="6"/>
  <c r="P1523" i="6"/>
  <c r="O1524" i="6" s="1"/>
  <c r="T1524" i="6" s="1"/>
  <c r="R1524" i="6" l="1"/>
  <c r="Q1524" i="6"/>
  <c r="P1524" i="6"/>
  <c r="O1525" i="6" s="1"/>
  <c r="T1525" i="6" s="1"/>
  <c r="S1524" i="6"/>
  <c r="S1525" i="6" s="1"/>
  <c r="R1525" i="6" l="1"/>
  <c r="Q1525" i="6"/>
  <c r="P1525" i="6"/>
  <c r="O1526" i="6" s="1"/>
  <c r="T1526" i="6" s="1"/>
  <c r="R1526" i="6" l="1"/>
  <c r="Q1526" i="6"/>
  <c r="P1526" i="6"/>
  <c r="O1527" i="6" s="1"/>
  <c r="T1527" i="6" s="1"/>
  <c r="S1526" i="6"/>
  <c r="S1527" i="6" s="1"/>
  <c r="Q1527" i="6" l="1"/>
  <c r="R1527" i="6"/>
  <c r="P1527" i="6"/>
  <c r="O1528" i="6" s="1"/>
  <c r="T1528" i="6" s="1"/>
  <c r="R1528" i="6" l="1"/>
  <c r="Q1528" i="6"/>
  <c r="P1528" i="6"/>
  <c r="O1529" i="6" s="1"/>
  <c r="T1529" i="6" s="1"/>
  <c r="S1528" i="6"/>
  <c r="S1529" i="6" s="1"/>
  <c r="R1529" i="6" l="1"/>
  <c r="Q1529" i="6"/>
  <c r="P1529" i="6"/>
  <c r="O1530" i="6" s="1"/>
  <c r="T1530" i="6" s="1"/>
  <c r="Q1530" i="6" l="1"/>
  <c r="R1530" i="6"/>
  <c r="P1530" i="6"/>
  <c r="O1531" i="6" s="1"/>
  <c r="S1530" i="6"/>
  <c r="R1531" i="6" l="1"/>
  <c r="Q1531" i="6"/>
  <c r="P1531" i="6"/>
  <c r="O1532" i="6" s="1"/>
  <c r="T1532" i="6" s="1"/>
  <c r="S1531" i="6"/>
  <c r="S1532" i="6" s="1"/>
  <c r="T1531" i="6" l="1"/>
  <c r="R1532" i="6"/>
  <c r="Q1532" i="6"/>
  <c r="P1532" i="6"/>
  <c r="O1533" i="6" s="1"/>
  <c r="T1533" i="6" s="1"/>
  <c r="Q1533" i="6" l="1"/>
  <c r="R1533" i="6"/>
  <c r="P1533" i="6"/>
  <c r="O1534" i="6" s="1"/>
  <c r="T1534" i="6" s="1"/>
  <c r="S1533" i="6"/>
  <c r="S1534" i="6" s="1"/>
  <c r="R1534" i="6" l="1"/>
  <c r="Q1534" i="6"/>
  <c r="P1534" i="6"/>
  <c r="O1535" i="6" s="1"/>
  <c r="T1535" i="6" s="1"/>
  <c r="Q1535" i="6" l="1"/>
  <c r="R1535" i="6"/>
  <c r="P1535" i="6"/>
  <c r="O1536" i="6" s="1"/>
  <c r="T1536" i="6" s="1"/>
  <c r="S1535" i="6"/>
  <c r="S1536" i="6" s="1"/>
  <c r="R1536" i="6" l="1"/>
  <c r="Q1536" i="6"/>
  <c r="P1536" i="6"/>
  <c r="O1537" i="6" s="1"/>
  <c r="T1537" i="6" s="1"/>
  <c r="Q1537" i="6" l="1"/>
  <c r="R1537" i="6"/>
  <c r="P1537" i="6"/>
  <c r="O1538" i="6" s="1"/>
  <c r="T1538" i="6" s="1"/>
  <c r="S1537" i="6"/>
  <c r="S1538" i="6" s="1"/>
  <c r="R1538" i="6" l="1"/>
  <c r="Q1538" i="6"/>
  <c r="P1538" i="6"/>
  <c r="O1539" i="6" s="1"/>
  <c r="T1539" i="6" s="1"/>
  <c r="Q1539" i="6" l="1"/>
  <c r="R1539" i="6"/>
  <c r="P1539" i="6"/>
  <c r="O1540" i="6" s="1"/>
  <c r="T1540" i="6" s="1"/>
  <c r="S1539" i="6"/>
  <c r="S1540" i="6" s="1"/>
  <c r="R1540" i="6" l="1"/>
  <c r="Q1540" i="6"/>
  <c r="P1540" i="6"/>
  <c r="O1541" i="6" s="1"/>
  <c r="T1541" i="6" s="1"/>
  <c r="R1541" i="6" l="1"/>
  <c r="Q1541" i="6"/>
  <c r="P1541" i="6"/>
  <c r="O1542" i="6" s="1"/>
  <c r="T1542" i="6" s="1"/>
  <c r="S1541" i="6"/>
  <c r="S1542" i="6" s="1"/>
  <c r="Q1542" i="6" l="1"/>
  <c r="R1542" i="6"/>
  <c r="P1542" i="6"/>
  <c r="O1543" i="6" s="1"/>
  <c r="T1543" i="6" s="1"/>
  <c r="R1543" i="6" l="1"/>
  <c r="Q1543" i="6"/>
  <c r="P1543" i="6"/>
  <c r="O1544" i="6" s="1"/>
  <c r="T1544" i="6" s="1"/>
  <c r="S1543" i="6"/>
  <c r="S1544" i="6" s="1"/>
  <c r="R1544" i="6" l="1"/>
  <c r="Q1544" i="6"/>
  <c r="P1544" i="6"/>
  <c r="O1545" i="6" s="1"/>
  <c r="T1545" i="6" s="1"/>
  <c r="R1545" i="6" l="1"/>
  <c r="Q1545" i="6"/>
  <c r="P1545" i="6"/>
  <c r="O1546" i="6" s="1"/>
  <c r="S1545" i="6"/>
  <c r="R1546" i="6" l="1"/>
  <c r="Q1546" i="6"/>
  <c r="P1546" i="6"/>
  <c r="O1547" i="6" s="1"/>
  <c r="T1547" i="6" s="1"/>
  <c r="S1546" i="6"/>
  <c r="T1546" i="6" s="1"/>
  <c r="R1547" i="6" l="1"/>
  <c r="Q1547" i="6"/>
  <c r="P1547" i="6"/>
  <c r="O1548" i="6" s="1"/>
  <c r="T1548" i="6" s="1"/>
  <c r="S1547" i="6"/>
  <c r="R1548" i="6" l="1"/>
  <c r="Q1548" i="6"/>
  <c r="P1548" i="6"/>
  <c r="O1549" i="6" s="1"/>
  <c r="T1549" i="6" s="1"/>
  <c r="S1548" i="6"/>
  <c r="S1549" i="6" s="1"/>
  <c r="R1549" i="6" l="1"/>
  <c r="Q1549" i="6"/>
  <c r="P1549" i="6"/>
  <c r="O1550" i="6" s="1"/>
  <c r="T1550" i="6" s="1"/>
  <c r="R1550" i="6" l="1"/>
  <c r="Q1550" i="6"/>
  <c r="P1550" i="6"/>
  <c r="O1551" i="6" s="1"/>
  <c r="T1551" i="6" s="1"/>
  <c r="S1550" i="6"/>
  <c r="S1551" i="6" s="1"/>
  <c r="R1551" i="6" l="1"/>
  <c r="Q1551" i="6"/>
  <c r="P1551" i="6"/>
  <c r="O1552" i="6" s="1"/>
  <c r="T1552" i="6" s="1"/>
  <c r="R1552" i="6" l="1"/>
  <c r="Q1552" i="6"/>
  <c r="P1552" i="6"/>
  <c r="O1553" i="6" s="1"/>
  <c r="T1553" i="6" s="1"/>
  <c r="S1552" i="6"/>
  <c r="S1553" i="6" l="1"/>
  <c r="Q1553" i="6"/>
  <c r="R1553" i="6"/>
  <c r="P1553" i="6"/>
  <c r="O1554" i="6" s="1"/>
  <c r="T1554" i="6" s="1"/>
  <c r="R1554" i="6" l="1"/>
  <c r="Q1554" i="6"/>
  <c r="P1554" i="6"/>
  <c r="O1555" i="6" s="1"/>
  <c r="T1555" i="6" s="1"/>
  <c r="S1554" i="6"/>
  <c r="S1555" i="6" s="1"/>
  <c r="Q1555" i="6" l="1"/>
  <c r="R1555" i="6"/>
  <c r="P1555" i="6"/>
  <c r="O1556" i="6" s="1"/>
  <c r="T1556" i="6" s="1"/>
  <c r="R1556" i="6" l="1"/>
  <c r="Q1556" i="6"/>
  <c r="P1556" i="6"/>
  <c r="O1557" i="6" s="1"/>
  <c r="T1557" i="6" s="1"/>
  <c r="S1556" i="6"/>
  <c r="S1557" i="6" s="1"/>
  <c r="R1557" i="6" l="1"/>
  <c r="Q1557" i="6"/>
  <c r="P1557" i="6"/>
  <c r="O1558" i="6" s="1"/>
  <c r="T1558" i="6" s="1"/>
  <c r="R1558" i="6" l="1"/>
  <c r="Q1558" i="6"/>
  <c r="P1558" i="6"/>
  <c r="O1559" i="6" s="1"/>
  <c r="T1559" i="6" s="1"/>
  <c r="S1558" i="6"/>
  <c r="R1559" i="6" l="1"/>
  <c r="Q1559" i="6"/>
  <c r="P1559" i="6"/>
  <c r="O1560" i="6" s="1"/>
  <c r="T1560" i="6" s="1"/>
  <c r="S1559" i="6"/>
  <c r="S1560" i="6" s="1"/>
  <c r="Q1560" i="6" l="1"/>
  <c r="R1560" i="6"/>
  <c r="P1560" i="6"/>
  <c r="O1561" i="6" s="1"/>
  <c r="T1561" i="6" s="1"/>
  <c r="R1561" i="6" l="1"/>
  <c r="Q1561" i="6"/>
  <c r="P1561" i="6"/>
  <c r="O1562" i="6" s="1"/>
  <c r="T1562" i="6" s="1"/>
  <c r="S1561" i="6"/>
  <c r="S1562" i="6" s="1"/>
  <c r="R1562" i="6" l="1"/>
  <c r="Q1562" i="6"/>
  <c r="P1562" i="6"/>
  <c r="O1563" i="6" s="1"/>
  <c r="T1563" i="6" s="1"/>
  <c r="R1563" i="6" l="1"/>
  <c r="Q1563" i="6"/>
  <c r="P1563" i="6"/>
  <c r="O1564" i="6" s="1"/>
  <c r="T1564" i="6" s="1"/>
  <c r="S1563" i="6"/>
  <c r="Q1564" i="6" l="1"/>
  <c r="R1564" i="6"/>
  <c r="P1564" i="6"/>
  <c r="O1565" i="6" s="1"/>
  <c r="T1565" i="6" s="1"/>
  <c r="S1564" i="6"/>
  <c r="S1565" i="6" s="1"/>
  <c r="R1565" i="6" l="1"/>
  <c r="Q1565" i="6"/>
  <c r="P1565" i="6"/>
  <c r="O1566" i="6" s="1"/>
  <c r="T1566" i="6" s="1"/>
  <c r="R1566" i="6" l="1"/>
  <c r="Q1566" i="6"/>
  <c r="P1566" i="6"/>
  <c r="O1567" i="6" s="1"/>
  <c r="T1567" i="6" s="1"/>
  <c r="S1566" i="6"/>
  <c r="S1567" i="6" s="1"/>
  <c r="R1567" i="6" l="1"/>
  <c r="Q1567" i="6"/>
  <c r="P1567" i="6"/>
  <c r="O1568" i="6" s="1"/>
  <c r="T1568" i="6" s="1"/>
  <c r="R1568" i="6" l="1"/>
  <c r="Q1568" i="6"/>
  <c r="P1568" i="6"/>
  <c r="O1569" i="6" s="1"/>
  <c r="T1569" i="6" s="1"/>
  <c r="S1568" i="6"/>
  <c r="S1569" i="6" s="1"/>
  <c r="R1569" i="6" l="1"/>
  <c r="Q1569" i="6"/>
  <c r="P1569" i="6"/>
  <c r="O1570" i="6" s="1"/>
  <c r="T1570" i="6" s="1"/>
  <c r="R1570" i="6" l="1"/>
  <c r="Q1570" i="6"/>
  <c r="P1570" i="6"/>
  <c r="O1571" i="6" s="1"/>
  <c r="T1571" i="6" s="1"/>
  <c r="S1570" i="6"/>
  <c r="S1571" i="6" s="1"/>
  <c r="R1571" i="6" l="1"/>
  <c r="Q1571" i="6"/>
  <c r="P1571" i="6"/>
  <c r="O1572" i="6" s="1"/>
  <c r="T1572" i="6" s="1"/>
  <c r="R1572" i="6" l="1"/>
  <c r="Q1572" i="6"/>
  <c r="P1572" i="6"/>
  <c r="O1573" i="6" s="1"/>
  <c r="T1573" i="6" s="1"/>
  <c r="S1572" i="6"/>
  <c r="S1573" i="6" s="1"/>
  <c r="R1573" i="6" l="1"/>
  <c r="Q1573" i="6"/>
  <c r="P1573" i="6"/>
  <c r="O1574" i="6" s="1"/>
  <c r="T1574" i="6" s="1"/>
  <c r="R1574" i="6" l="1"/>
  <c r="Q1574" i="6"/>
  <c r="P1574" i="6"/>
  <c r="O1575" i="6" s="1"/>
  <c r="T1575" i="6" s="1"/>
  <c r="S1574" i="6"/>
  <c r="S1575" i="6" s="1"/>
  <c r="Q1575" i="6" l="1"/>
  <c r="R1575" i="6"/>
  <c r="P1575" i="6"/>
  <c r="O1576" i="6" s="1"/>
  <c r="T1576" i="6" s="1"/>
  <c r="R1576" i="6" l="1"/>
  <c r="Q1576" i="6"/>
  <c r="P1576" i="6"/>
  <c r="O1577" i="6" s="1"/>
  <c r="T1577" i="6" s="1"/>
  <c r="S1576" i="6"/>
  <c r="S1577" i="6" s="1"/>
  <c r="Q1577" i="6" l="1"/>
  <c r="R1577" i="6"/>
  <c r="P1577" i="6"/>
  <c r="O1578" i="6" s="1"/>
  <c r="T1578" i="6" s="1"/>
  <c r="R1578" i="6" l="1"/>
  <c r="Q1578" i="6"/>
  <c r="P1578" i="6"/>
  <c r="O1579" i="6" s="1"/>
  <c r="T1579" i="6" s="1"/>
  <c r="S1578" i="6"/>
  <c r="S1579" i="6" s="1"/>
  <c r="Q1579" i="6" l="1"/>
  <c r="R1579" i="6"/>
  <c r="P1579" i="6"/>
  <c r="O1580" i="6" s="1"/>
  <c r="T1580" i="6" s="1"/>
  <c r="Q1580" i="6" l="1"/>
  <c r="R1580" i="6"/>
  <c r="P1580" i="6"/>
  <c r="O1581" i="6" s="1"/>
  <c r="T1581" i="6" s="1"/>
  <c r="S1580" i="6"/>
  <c r="S1581" i="6" s="1"/>
  <c r="R1581" i="6" l="1"/>
  <c r="Q1581" i="6"/>
  <c r="P1581" i="6"/>
  <c r="O1582" i="6" s="1"/>
  <c r="T1582" i="6" s="1"/>
  <c r="Q1582" i="6" l="1"/>
  <c r="R1582" i="6"/>
  <c r="P1582" i="6"/>
  <c r="O1583" i="6" s="1"/>
  <c r="T1583" i="6" s="1"/>
  <c r="S1582" i="6"/>
  <c r="S1583" i="6" s="1"/>
  <c r="R1583" i="6" l="1"/>
  <c r="Q1583" i="6"/>
  <c r="P1583" i="6"/>
  <c r="O1584" i="6" s="1"/>
  <c r="T1584" i="6" s="1"/>
  <c r="R1584" i="6" l="1"/>
  <c r="Q1584" i="6"/>
  <c r="P1584" i="6"/>
  <c r="O1585" i="6" s="1"/>
  <c r="T1585" i="6" s="1"/>
  <c r="S1584" i="6"/>
  <c r="S1585" i="6" s="1"/>
  <c r="R1585" i="6" l="1"/>
  <c r="Q1585" i="6"/>
  <c r="P1585" i="6"/>
  <c r="O1586" i="6" s="1"/>
  <c r="T1586" i="6" s="1"/>
  <c r="R1586" i="6" l="1"/>
  <c r="Q1586" i="6"/>
  <c r="P1586" i="6"/>
  <c r="O1587" i="6" s="1"/>
  <c r="T1587" i="6" s="1"/>
  <c r="S1586" i="6"/>
  <c r="S1587" i="6" s="1"/>
  <c r="Q1587" i="6" l="1"/>
  <c r="R1587" i="6"/>
  <c r="P1587" i="6"/>
  <c r="O1588" i="6" s="1"/>
  <c r="T1588" i="6" s="1"/>
  <c r="Q1588" i="6" l="1"/>
  <c r="R1588" i="6"/>
  <c r="P1588" i="6"/>
  <c r="O1589" i="6" s="1"/>
  <c r="T1589" i="6" s="1"/>
  <c r="S1588" i="6"/>
  <c r="S1589" i="6" s="1"/>
  <c r="R1589" i="6" l="1"/>
  <c r="Q1589" i="6"/>
  <c r="P1589" i="6"/>
  <c r="O1590" i="6" s="1"/>
  <c r="T1590" i="6" s="1"/>
  <c r="R1590" i="6" l="1"/>
  <c r="Q1590" i="6"/>
  <c r="P1590" i="6"/>
  <c r="O1591" i="6" s="1"/>
  <c r="T1591" i="6" s="1"/>
  <c r="S1590" i="6"/>
  <c r="S1591" i="6" s="1"/>
  <c r="R1591" i="6" l="1"/>
  <c r="Q1591" i="6"/>
  <c r="P1591" i="6"/>
  <c r="O1592" i="6" s="1"/>
  <c r="T1592" i="6" s="1"/>
  <c r="R1592" i="6" l="1"/>
  <c r="Q1592" i="6"/>
  <c r="P1592" i="6"/>
  <c r="O1593" i="6" s="1"/>
  <c r="T1593" i="6" s="1"/>
  <c r="S1592" i="6"/>
  <c r="S1593" i="6" s="1"/>
  <c r="R1593" i="6" l="1"/>
  <c r="Q1593" i="6"/>
  <c r="P1593" i="6"/>
  <c r="O1594" i="6" s="1"/>
  <c r="T1594" i="6" s="1"/>
  <c r="Q1594" i="6" l="1"/>
  <c r="R1594" i="6"/>
  <c r="P1594" i="6"/>
  <c r="O1595" i="6" s="1"/>
  <c r="T1595" i="6" s="1"/>
  <c r="S1594" i="6"/>
  <c r="S1595" i="6" s="1"/>
  <c r="Q1595" i="6" l="1"/>
  <c r="R1595" i="6"/>
  <c r="P1595" i="6"/>
  <c r="O1596" i="6" s="1"/>
  <c r="T1596" i="6" s="1"/>
  <c r="R1596" i="6" l="1"/>
  <c r="Q1596" i="6"/>
  <c r="P1596" i="6"/>
  <c r="O1597" i="6" s="1"/>
  <c r="T1597" i="6" s="1"/>
  <c r="S1596" i="6"/>
  <c r="S1597" i="6" s="1"/>
  <c r="Q1597" i="6" l="1"/>
  <c r="R1597" i="6"/>
  <c r="P1597" i="6"/>
  <c r="O1598" i="6" s="1"/>
  <c r="T1598" i="6" s="1"/>
  <c r="R1598" i="6" l="1"/>
  <c r="Q1598" i="6"/>
  <c r="P1598" i="6"/>
  <c r="O1599" i="6" s="1"/>
  <c r="T1599" i="6" s="1"/>
  <c r="S1598" i="6"/>
  <c r="S1599" i="6" s="1"/>
  <c r="R1599" i="6" l="1"/>
  <c r="Q1599" i="6"/>
  <c r="P1599" i="6"/>
  <c r="O1600" i="6" s="1"/>
  <c r="T1600" i="6" s="1"/>
  <c r="Q1600" i="6" l="1"/>
  <c r="R1600" i="6"/>
  <c r="P1600" i="6"/>
  <c r="O1601" i="6" s="1"/>
  <c r="T1601" i="6" s="1"/>
  <c r="S1600" i="6"/>
  <c r="S1601" i="6" s="1"/>
  <c r="Q1601" i="6" l="1"/>
  <c r="R1601" i="6"/>
  <c r="P1601" i="6"/>
  <c r="O1602" i="6" s="1"/>
  <c r="T1602" i="6" s="1"/>
  <c r="R1602" i="6" l="1"/>
  <c r="Q1602" i="6"/>
  <c r="P1602" i="6"/>
  <c r="O1603" i="6" s="1"/>
  <c r="T1603" i="6" s="1"/>
  <c r="S1602" i="6"/>
  <c r="S1603" i="6" s="1"/>
  <c r="R1603" i="6" l="1"/>
  <c r="Q1603" i="6"/>
  <c r="P1603" i="6"/>
  <c r="O1604" i="6" s="1"/>
  <c r="T1604" i="6" s="1"/>
  <c r="R1604" i="6" l="1"/>
  <c r="Q1604" i="6"/>
  <c r="P1604" i="6"/>
  <c r="O1605" i="6" s="1"/>
  <c r="T1605" i="6" s="1"/>
  <c r="S1604" i="6"/>
  <c r="S1605" i="6" s="1"/>
  <c r="R1605" i="6" l="1"/>
  <c r="Q1605" i="6"/>
  <c r="P1605" i="6"/>
  <c r="O1606" i="6" s="1"/>
  <c r="T1606" i="6" s="1"/>
  <c r="R1606" i="6" l="1"/>
  <c r="Q1606" i="6"/>
  <c r="P1606" i="6"/>
  <c r="O1607" i="6" s="1"/>
  <c r="T1607" i="6" s="1"/>
  <c r="S1606" i="6"/>
  <c r="R1607" i="6" l="1"/>
  <c r="Q1607" i="6"/>
  <c r="P1607" i="6"/>
  <c r="O1608" i="6" s="1"/>
  <c r="T1608" i="6" s="1"/>
  <c r="S1607" i="6"/>
  <c r="S1608" i="6" s="1"/>
  <c r="R1608" i="6" l="1"/>
  <c r="Q1608" i="6"/>
  <c r="P1608" i="6"/>
  <c r="O1609" i="6" s="1"/>
  <c r="T1609" i="6" s="1"/>
  <c r="Q1609" i="6" l="1"/>
  <c r="R1609" i="6"/>
  <c r="P1609" i="6"/>
  <c r="O1610" i="6" s="1"/>
  <c r="T1610" i="6" s="1"/>
  <c r="S1609" i="6"/>
  <c r="S1610" i="6" s="1"/>
  <c r="R1610" i="6" l="1"/>
  <c r="Q1610" i="6"/>
  <c r="P1610" i="6"/>
  <c r="O1611" i="6" s="1"/>
  <c r="T1611" i="6" s="1"/>
  <c r="R1611" i="6" l="1"/>
  <c r="Q1611" i="6"/>
  <c r="P1611" i="6"/>
  <c r="O1612" i="6" s="1"/>
  <c r="T1612" i="6" s="1"/>
  <c r="S1611" i="6"/>
  <c r="S1612" i="6" s="1"/>
  <c r="R1612" i="6" l="1"/>
  <c r="Q1612" i="6"/>
  <c r="P1612" i="6"/>
  <c r="O1613" i="6" s="1"/>
  <c r="T1613" i="6" s="1"/>
  <c r="R1613" i="6" l="1"/>
  <c r="Q1613" i="6"/>
  <c r="P1613" i="6"/>
  <c r="O1614" i="6" s="1"/>
  <c r="T1614" i="6" s="1"/>
  <c r="S1613" i="6"/>
  <c r="S1614" i="6" s="1"/>
  <c r="R1614" i="6" l="1"/>
  <c r="Q1614" i="6"/>
  <c r="P1614" i="6"/>
  <c r="O1615" i="6" s="1"/>
  <c r="T1615" i="6" s="1"/>
  <c r="Q1615" i="6" l="1"/>
  <c r="R1615" i="6"/>
  <c r="P1615" i="6"/>
  <c r="O1616" i="6" s="1"/>
  <c r="T1616" i="6" s="1"/>
  <c r="S1615" i="6"/>
  <c r="S1616" i="6" s="1"/>
  <c r="R1616" i="6" l="1"/>
  <c r="Q1616" i="6"/>
  <c r="P1616" i="6"/>
  <c r="O1617" i="6" s="1"/>
  <c r="T1617" i="6" s="1"/>
  <c r="R1617" i="6" l="1"/>
  <c r="Q1617" i="6"/>
  <c r="P1617" i="6"/>
  <c r="O1618" i="6" s="1"/>
  <c r="T1618" i="6" s="1"/>
  <c r="S1617" i="6"/>
  <c r="S1618" i="6" s="1"/>
  <c r="R1618" i="6" l="1"/>
  <c r="Q1618" i="6"/>
  <c r="P1618" i="6"/>
  <c r="O1619" i="6" s="1"/>
  <c r="T1619" i="6" s="1"/>
  <c r="R1619" i="6" l="1"/>
  <c r="Q1619" i="6"/>
  <c r="P1619" i="6"/>
  <c r="O1620" i="6" s="1"/>
  <c r="T1620" i="6" s="1"/>
  <c r="S1619" i="6"/>
  <c r="S1620" i="6" s="1"/>
  <c r="R1620" i="6" l="1"/>
  <c r="Q1620" i="6"/>
  <c r="P1620" i="6"/>
  <c r="O1621" i="6" s="1"/>
  <c r="T1621" i="6" s="1"/>
  <c r="R1621" i="6" l="1"/>
  <c r="Q1621" i="6"/>
  <c r="P1621" i="6"/>
  <c r="O1622" i="6" s="1"/>
  <c r="S1621" i="6"/>
  <c r="R1622" i="6" l="1"/>
  <c r="Q1622" i="6"/>
  <c r="P1622" i="6"/>
  <c r="O1623" i="6" s="1"/>
  <c r="T1623" i="6" s="1"/>
  <c r="S1622" i="6"/>
  <c r="S1623" i="6" s="1"/>
  <c r="T1622" i="6" l="1"/>
  <c r="R1623" i="6"/>
  <c r="Q1623" i="6"/>
  <c r="P1623" i="6"/>
  <c r="O1624" i="6" s="1"/>
  <c r="T1624" i="6" s="1"/>
  <c r="Q1624" i="6" l="1"/>
  <c r="R1624" i="6"/>
  <c r="P1624" i="6"/>
  <c r="O1625" i="6" s="1"/>
  <c r="T1625" i="6" s="1"/>
  <c r="S1624" i="6"/>
  <c r="S1625" i="6" s="1"/>
  <c r="R1625" i="6" l="1"/>
  <c r="Q1625" i="6"/>
  <c r="P1625" i="6"/>
  <c r="O1626" i="6" s="1"/>
  <c r="T1626" i="6" s="1"/>
  <c r="R1626" i="6" l="1"/>
  <c r="Q1626" i="6"/>
  <c r="P1626" i="6"/>
  <c r="O1627" i="6" s="1"/>
  <c r="T1627" i="6" s="1"/>
  <c r="S1626" i="6"/>
  <c r="S1627" i="6" s="1"/>
  <c r="R1627" i="6" l="1"/>
  <c r="Q1627" i="6"/>
  <c r="P1627" i="6"/>
  <c r="O1628" i="6" s="1"/>
  <c r="T1628" i="6" s="1"/>
  <c r="R1628" i="6" l="1"/>
  <c r="Q1628" i="6"/>
  <c r="P1628" i="6"/>
  <c r="O1629" i="6" s="1"/>
  <c r="T1629" i="6" s="1"/>
  <c r="S1628" i="6"/>
  <c r="S1629" i="6" s="1"/>
  <c r="R1629" i="6" l="1"/>
  <c r="Q1629" i="6"/>
  <c r="P1629" i="6"/>
  <c r="O1630" i="6" s="1"/>
  <c r="T1630" i="6" s="1"/>
  <c r="R1630" i="6" l="1"/>
  <c r="Q1630" i="6"/>
  <c r="P1630" i="6"/>
  <c r="O1631" i="6" s="1"/>
  <c r="T1631" i="6" s="1"/>
  <c r="S1630" i="6"/>
  <c r="S1631" i="6" s="1"/>
  <c r="R1631" i="6" l="1"/>
  <c r="Q1631" i="6"/>
  <c r="P1631" i="6"/>
  <c r="O1632" i="6" s="1"/>
  <c r="T1632" i="6" s="1"/>
  <c r="R1632" i="6" l="1"/>
  <c r="Q1632" i="6"/>
  <c r="P1632" i="6"/>
  <c r="O1633" i="6" s="1"/>
  <c r="T1633" i="6" s="1"/>
  <c r="S1632" i="6"/>
  <c r="S1633" i="6" s="1"/>
  <c r="R1633" i="6" l="1"/>
  <c r="Q1633" i="6"/>
  <c r="P1633" i="6"/>
  <c r="O1634" i="6" s="1"/>
  <c r="Q1634" i="6" l="1"/>
  <c r="R1634" i="6"/>
  <c r="P1634" i="6"/>
  <c r="O1635" i="6" s="1"/>
  <c r="T1635" i="6" s="1"/>
  <c r="S1634" i="6"/>
  <c r="T1634" i="6" s="1"/>
  <c r="R1635" i="6" l="1"/>
  <c r="Q1635" i="6"/>
  <c r="P1635" i="6"/>
  <c r="O1636" i="6" s="1"/>
  <c r="T1636" i="6" s="1"/>
  <c r="S1635" i="6"/>
  <c r="S1636" i="6" s="1"/>
  <c r="Q1636" i="6" l="1"/>
  <c r="R1636" i="6"/>
  <c r="P1636" i="6"/>
  <c r="O1637" i="6" s="1"/>
  <c r="T1637" i="6" s="1"/>
  <c r="Q1637" i="6" l="1"/>
  <c r="R1637" i="6"/>
  <c r="P1637" i="6"/>
  <c r="O1638" i="6" s="1"/>
  <c r="T1638" i="6" s="1"/>
  <c r="S1637" i="6"/>
  <c r="S1638" i="6" s="1"/>
  <c r="R1638" i="6" l="1"/>
  <c r="Q1638" i="6"/>
  <c r="P1638" i="6"/>
  <c r="O1639" i="6" s="1"/>
  <c r="T1639" i="6" s="1"/>
  <c r="R1639" i="6" l="1"/>
  <c r="Q1639" i="6"/>
  <c r="P1639" i="6"/>
  <c r="O1640" i="6" s="1"/>
  <c r="T1640" i="6" s="1"/>
  <c r="S1639" i="6"/>
  <c r="S1640" i="6" s="1"/>
  <c r="R1640" i="6" l="1"/>
  <c r="Q1640" i="6"/>
  <c r="P1640" i="6"/>
  <c r="O1641" i="6" s="1"/>
  <c r="T1641" i="6" s="1"/>
  <c r="R1641" i="6" l="1"/>
  <c r="Q1641" i="6"/>
  <c r="P1641" i="6"/>
  <c r="O1642" i="6" s="1"/>
  <c r="T1642" i="6" s="1"/>
  <c r="S1641" i="6"/>
  <c r="S1642" i="6" s="1"/>
  <c r="R1642" i="6" l="1"/>
  <c r="Q1642" i="6"/>
  <c r="P1642" i="6"/>
  <c r="O1643" i="6" s="1"/>
  <c r="T1643" i="6" s="1"/>
  <c r="R1643" i="6" l="1"/>
  <c r="Q1643" i="6"/>
  <c r="P1643" i="6"/>
  <c r="O1644" i="6" s="1"/>
  <c r="T1644" i="6" s="1"/>
  <c r="S1643" i="6"/>
  <c r="S1644" i="6" l="1"/>
  <c r="R1644" i="6"/>
  <c r="Q1644" i="6"/>
  <c r="P1644" i="6"/>
  <c r="O1645" i="6" s="1"/>
  <c r="T1645" i="6" s="1"/>
  <c r="R1645" i="6" l="1"/>
  <c r="Q1645" i="6"/>
  <c r="P1645" i="6"/>
  <c r="O1646" i="6" s="1"/>
  <c r="T1646" i="6" s="1"/>
  <c r="S1645" i="6"/>
  <c r="S1646" i="6" s="1"/>
  <c r="Q1646" i="6" l="1"/>
  <c r="R1646" i="6"/>
  <c r="P1646" i="6"/>
  <c r="O1647" i="6" s="1"/>
  <c r="T1647" i="6" s="1"/>
  <c r="R1647" i="6" l="1"/>
  <c r="Q1647" i="6"/>
  <c r="P1647" i="6"/>
  <c r="O1648" i="6" s="1"/>
  <c r="T1648" i="6" s="1"/>
  <c r="S1647" i="6"/>
  <c r="S1648" i="6" s="1"/>
  <c r="R1648" i="6" l="1"/>
  <c r="Q1648" i="6"/>
  <c r="P1648" i="6"/>
  <c r="O1649" i="6" s="1"/>
  <c r="T1649" i="6" s="1"/>
  <c r="R1649" i="6" l="1"/>
  <c r="Q1649" i="6"/>
  <c r="P1649" i="6"/>
  <c r="O1650" i="6" s="1"/>
  <c r="T1650" i="6" s="1"/>
  <c r="S1649" i="6"/>
  <c r="S1650" i="6" l="1"/>
  <c r="R1650" i="6"/>
  <c r="Q1650" i="6"/>
  <c r="P1650" i="6"/>
  <c r="O1651" i="6" s="1"/>
  <c r="R1651" i="6" l="1"/>
  <c r="Q1651" i="6"/>
  <c r="P1651" i="6"/>
  <c r="O1652" i="6" s="1"/>
  <c r="T1652" i="6" s="1"/>
  <c r="S1651" i="6"/>
  <c r="S1652" i="6" s="1"/>
  <c r="T1651" i="6" l="1"/>
  <c r="R1652" i="6"/>
  <c r="Q1652" i="6"/>
  <c r="P1652" i="6"/>
  <c r="O1653" i="6" s="1"/>
  <c r="T1653" i="6" s="1"/>
  <c r="Q1653" i="6" l="1"/>
  <c r="R1653" i="6"/>
  <c r="P1653" i="6"/>
  <c r="O1654" i="6" s="1"/>
  <c r="T1654" i="6" s="1"/>
  <c r="S1653" i="6"/>
  <c r="S1654" i="6" s="1"/>
  <c r="R1654" i="6" l="1"/>
  <c r="Q1654" i="6"/>
  <c r="P1654" i="6"/>
  <c r="O1655" i="6" s="1"/>
  <c r="T1655" i="6" s="1"/>
  <c r="Q1655" i="6" l="1"/>
  <c r="R1655" i="6"/>
  <c r="P1655" i="6"/>
  <c r="O1656" i="6" s="1"/>
  <c r="T1656" i="6" s="1"/>
  <c r="S1655" i="6"/>
  <c r="S1656" i="6" s="1"/>
  <c r="R1656" i="6" l="1"/>
  <c r="Q1656" i="6"/>
  <c r="P1656" i="6"/>
  <c r="O1657" i="6" s="1"/>
  <c r="T1657" i="6" s="1"/>
  <c r="R1657" i="6" l="1"/>
  <c r="Q1657" i="6"/>
  <c r="P1657" i="6"/>
  <c r="O1658" i="6" s="1"/>
  <c r="T1658" i="6" s="1"/>
  <c r="S1657" i="6"/>
  <c r="S1658" i="6" s="1"/>
  <c r="R1658" i="6" l="1"/>
  <c r="Q1658" i="6"/>
  <c r="P1658" i="6"/>
  <c r="O1659" i="6" s="1"/>
  <c r="T1659" i="6" s="1"/>
  <c r="R1659" i="6" l="1"/>
  <c r="Q1659" i="6"/>
  <c r="P1659" i="6"/>
  <c r="O1660" i="6" s="1"/>
  <c r="T1660" i="6" s="1"/>
  <c r="S1659" i="6"/>
  <c r="S1660" i="6" s="1"/>
  <c r="R1660" i="6" l="1"/>
  <c r="Q1660" i="6"/>
  <c r="P1660" i="6"/>
  <c r="O1661" i="6" s="1"/>
  <c r="T1661" i="6" s="1"/>
  <c r="R1661" i="6" l="1"/>
  <c r="Q1661" i="6"/>
  <c r="P1661" i="6"/>
  <c r="O1662" i="6" s="1"/>
  <c r="T1662" i="6" s="1"/>
  <c r="S1661" i="6"/>
  <c r="S1662" i="6" s="1"/>
  <c r="Q1662" i="6" l="1"/>
  <c r="R1662" i="6"/>
  <c r="P1662" i="6"/>
  <c r="O1663" i="6" s="1"/>
  <c r="T1663" i="6" s="1"/>
  <c r="R1663" i="6" l="1"/>
  <c r="Q1663" i="6"/>
  <c r="P1663" i="6"/>
  <c r="O1664" i="6" s="1"/>
  <c r="T1664" i="6" s="1"/>
  <c r="S1663" i="6"/>
  <c r="S1664" i="6" s="1"/>
  <c r="R1664" i="6" l="1"/>
  <c r="Q1664" i="6"/>
  <c r="P1664" i="6"/>
  <c r="O1665" i="6" s="1"/>
  <c r="T1665" i="6" s="1"/>
  <c r="R1665" i="6" l="1"/>
  <c r="Q1665" i="6"/>
  <c r="P1665" i="6"/>
  <c r="O1666" i="6" s="1"/>
  <c r="T1666" i="6" s="1"/>
  <c r="S1665" i="6"/>
  <c r="S1666" i="6" s="1"/>
  <c r="R1666" i="6" l="1"/>
  <c r="Q1666" i="6"/>
  <c r="P1666" i="6"/>
  <c r="O1667" i="6" s="1"/>
  <c r="T1667" i="6" s="1"/>
  <c r="R1667" i="6" l="1"/>
  <c r="Q1667" i="6"/>
  <c r="P1667" i="6"/>
  <c r="O1668" i="6" s="1"/>
  <c r="T1668" i="6" s="1"/>
  <c r="S1667" i="6"/>
  <c r="S1668" i="6" s="1"/>
  <c r="R1668" i="6" l="1"/>
  <c r="Q1668" i="6"/>
  <c r="P1668" i="6"/>
  <c r="O1669" i="6" s="1"/>
  <c r="T1669" i="6" s="1"/>
  <c r="R1669" i="6" l="1"/>
  <c r="Q1669" i="6"/>
  <c r="P1669" i="6"/>
  <c r="O1670" i="6" s="1"/>
  <c r="T1670" i="6" s="1"/>
  <c r="S1669" i="6"/>
  <c r="S1670" i="6" s="1"/>
  <c r="Q1670" i="6" l="1"/>
  <c r="R1670" i="6"/>
  <c r="P1670" i="6"/>
  <c r="O1671" i="6" s="1"/>
  <c r="T1671" i="6" s="1"/>
  <c r="R1671" i="6" l="1"/>
  <c r="Q1671" i="6"/>
  <c r="P1671" i="6"/>
  <c r="O1672" i="6" s="1"/>
  <c r="T1672" i="6" s="1"/>
  <c r="S1671" i="6"/>
  <c r="S1672" i="6" s="1"/>
  <c r="R1672" i="6" l="1"/>
  <c r="Q1672" i="6"/>
  <c r="P1672" i="6"/>
  <c r="O1673" i="6" s="1"/>
  <c r="T1673" i="6" s="1"/>
  <c r="R1673" i="6" l="1"/>
  <c r="Q1673" i="6"/>
  <c r="P1673" i="6"/>
  <c r="O1674" i="6" s="1"/>
  <c r="T1674" i="6" s="1"/>
  <c r="S1673" i="6"/>
  <c r="S1674" i="6" s="1"/>
  <c r="R1674" i="6" l="1"/>
  <c r="Q1674" i="6"/>
  <c r="P1674" i="6"/>
  <c r="O1675" i="6" s="1"/>
  <c r="T1675" i="6" s="1"/>
  <c r="Q1675" i="6" l="1"/>
  <c r="R1675" i="6"/>
  <c r="P1675" i="6"/>
  <c r="O1676" i="6" s="1"/>
  <c r="T1676" i="6" s="1"/>
  <c r="S1675" i="6"/>
  <c r="S1676" i="6" s="1"/>
  <c r="Q1676" i="6" l="1"/>
  <c r="R1676" i="6"/>
  <c r="P1676" i="6"/>
  <c r="O1677" i="6" s="1"/>
  <c r="R1677" i="6" l="1"/>
  <c r="Q1677" i="6"/>
  <c r="P1677" i="6"/>
  <c r="O1678" i="6" s="1"/>
  <c r="T1678" i="6" s="1"/>
  <c r="S1677" i="6"/>
  <c r="T1677" i="6" s="1"/>
  <c r="R1678" i="6" l="1"/>
  <c r="Q1678" i="6"/>
  <c r="P1678" i="6"/>
  <c r="O1679" i="6" s="1"/>
  <c r="T1679" i="6" s="1"/>
  <c r="S1678" i="6"/>
  <c r="R1679" i="6" l="1"/>
  <c r="Q1679" i="6"/>
  <c r="P1679" i="6"/>
  <c r="O1680" i="6" s="1"/>
  <c r="T1680" i="6" s="1"/>
  <c r="S1679" i="6"/>
  <c r="S1680" i="6" s="1"/>
  <c r="Q1680" i="6" l="1"/>
  <c r="R1680" i="6"/>
  <c r="P1680" i="6"/>
  <c r="O1681" i="6" s="1"/>
  <c r="T1681" i="6" s="1"/>
  <c r="R1681" i="6" l="1"/>
  <c r="Q1681" i="6"/>
  <c r="P1681" i="6"/>
  <c r="O1682" i="6" s="1"/>
  <c r="T1682" i="6" s="1"/>
  <c r="S1681" i="6"/>
  <c r="R1682" i="6" l="1"/>
  <c r="Q1682" i="6"/>
  <c r="P1682" i="6"/>
  <c r="O1683" i="6" s="1"/>
  <c r="T1683" i="6" s="1"/>
  <c r="S1682" i="6"/>
  <c r="S1683" i="6" s="1"/>
  <c r="R1683" i="6" l="1"/>
  <c r="Q1683" i="6"/>
  <c r="P1683" i="6"/>
  <c r="O1684" i="6" s="1"/>
  <c r="T1684" i="6" s="1"/>
  <c r="R1684" i="6" l="1"/>
  <c r="Q1684" i="6"/>
  <c r="P1684" i="6"/>
  <c r="O1685" i="6" s="1"/>
  <c r="T1685" i="6" s="1"/>
  <c r="S1684" i="6"/>
  <c r="S1685" i="6" s="1"/>
  <c r="R1685" i="6" l="1"/>
  <c r="Q1685" i="6"/>
  <c r="P1685" i="6"/>
  <c r="O1686" i="6" s="1"/>
  <c r="T1686" i="6" s="1"/>
  <c r="R1686" i="6" l="1"/>
  <c r="Q1686" i="6"/>
  <c r="P1686" i="6"/>
  <c r="O1687" i="6" s="1"/>
  <c r="T1687" i="6" s="1"/>
  <c r="S1686" i="6"/>
  <c r="S1687" i="6" s="1"/>
  <c r="Q1687" i="6" l="1"/>
  <c r="R1687" i="6"/>
  <c r="P1687" i="6"/>
  <c r="O1688" i="6" s="1"/>
  <c r="T1688" i="6" s="1"/>
  <c r="R1688" i="6" l="1"/>
  <c r="Q1688" i="6"/>
  <c r="P1688" i="6"/>
  <c r="O1689" i="6" s="1"/>
  <c r="T1689" i="6" s="1"/>
  <c r="S1688" i="6"/>
  <c r="S1689" i="6" s="1"/>
  <c r="R1689" i="6" l="1"/>
  <c r="Q1689" i="6"/>
  <c r="P1689" i="6"/>
  <c r="O1690" i="6" s="1"/>
  <c r="T1690" i="6" s="1"/>
  <c r="R1690" i="6" l="1"/>
  <c r="Q1690" i="6"/>
  <c r="P1690" i="6"/>
  <c r="O1691" i="6" s="1"/>
  <c r="T1691" i="6" s="1"/>
  <c r="S1690" i="6"/>
  <c r="S1691" i="6" s="1"/>
  <c r="R1691" i="6" l="1"/>
  <c r="Q1691" i="6"/>
  <c r="P1691" i="6"/>
  <c r="O1692" i="6" s="1"/>
  <c r="T1692" i="6" s="1"/>
  <c r="R1692" i="6" l="1"/>
  <c r="Q1692" i="6"/>
  <c r="P1692" i="6"/>
  <c r="O1693" i="6" s="1"/>
  <c r="T1693" i="6" s="1"/>
  <c r="S1692" i="6"/>
  <c r="S1693" i="6" s="1"/>
  <c r="R1693" i="6" l="1"/>
  <c r="Q1693" i="6"/>
  <c r="P1693" i="6"/>
  <c r="O1694" i="6" s="1"/>
  <c r="T1694" i="6" s="1"/>
  <c r="R1694" i="6" l="1"/>
  <c r="Q1694" i="6"/>
  <c r="P1694" i="6"/>
  <c r="O1695" i="6" s="1"/>
  <c r="T1695" i="6" s="1"/>
  <c r="S1694" i="6"/>
  <c r="R1695" i="6" l="1"/>
  <c r="Q1695" i="6"/>
  <c r="P1695" i="6"/>
  <c r="O1696" i="6" s="1"/>
  <c r="T1696" i="6" s="1"/>
  <c r="S1695" i="6"/>
  <c r="S1696" i="6" s="1"/>
  <c r="R1696" i="6" l="1"/>
  <c r="Q1696" i="6"/>
  <c r="P1696" i="6"/>
  <c r="O1697" i="6" s="1"/>
  <c r="T1697" i="6" s="1"/>
  <c r="R1697" i="6" l="1"/>
  <c r="Q1697" i="6"/>
  <c r="P1697" i="6"/>
  <c r="O1698" i="6" s="1"/>
  <c r="T1698" i="6" s="1"/>
  <c r="S1697" i="6"/>
  <c r="R1698" i="6" l="1"/>
  <c r="Q1698" i="6"/>
  <c r="P1698" i="6"/>
  <c r="O1699" i="6" s="1"/>
  <c r="T1699" i="6" s="1"/>
  <c r="S1698" i="6"/>
  <c r="S1699" i="6" s="1"/>
  <c r="R1699" i="6" l="1"/>
  <c r="Q1699" i="6"/>
  <c r="P1699" i="6"/>
  <c r="O1700" i="6" s="1"/>
  <c r="T1700" i="6" s="1"/>
  <c r="Q1700" i="6" l="1"/>
  <c r="R1700" i="6"/>
  <c r="P1700" i="6"/>
  <c r="O1701" i="6" s="1"/>
  <c r="T1701" i="6" s="1"/>
  <c r="S1700" i="6"/>
  <c r="S1701" i="6" s="1"/>
  <c r="R1701" i="6" l="1"/>
  <c r="Q1701" i="6"/>
  <c r="P1701" i="6"/>
  <c r="O1702" i="6" s="1"/>
  <c r="R1702" i="6" l="1"/>
  <c r="Q1702" i="6"/>
  <c r="P1702" i="6"/>
  <c r="O1703" i="6" s="1"/>
  <c r="T1703" i="6" s="1"/>
  <c r="S1702" i="6"/>
  <c r="T1702" i="6" s="1"/>
  <c r="S1703" i="6" l="1"/>
  <c r="R1703" i="6"/>
  <c r="Q1703" i="6"/>
  <c r="P1703" i="6"/>
  <c r="O1704" i="6" s="1"/>
  <c r="T1704" i="6" s="1"/>
  <c r="R1704" i="6" l="1"/>
  <c r="Q1704" i="6"/>
  <c r="P1704" i="6"/>
  <c r="O1705" i="6" s="1"/>
  <c r="T1705" i="6" s="1"/>
  <c r="S1704" i="6"/>
  <c r="S1705" i="6" s="1"/>
  <c r="R1705" i="6" l="1"/>
  <c r="Q1705" i="6"/>
  <c r="P1705" i="6"/>
  <c r="O1706" i="6" s="1"/>
  <c r="T1706" i="6" s="1"/>
  <c r="Q1706" i="6" l="1"/>
  <c r="R1706" i="6"/>
  <c r="P1706" i="6"/>
  <c r="O1707" i="6" s="1"/>
  <c r="T1707" i="6" s="1"/>
  <c r="S1706" i="6"/>
  <c r="S1707" i="6" s="1"/>
  <c r="R1707" i="6" l="1"/>
  <c r="Q1707" i="6"/>
  <c r="P1707" i="6"/>
  <c r="O1708" i="6" s="1"/>
  <c r="T1708" i="6" s="1"/>
  <c r="R1708" i="6" l="1"/>
  <c r="Q1708" i="6"/>
  <c r="P1708" i="6"/>
  <c r="O1709" i="6" s="1"/>
  <c r="T1709" i="6" s="1"/>
  <c r="S1708" i="6"/>
  <c r="S1709" i="6" l="1"/>
  <c r="R1709" i="6"/>
  <c r="Q1709" i="6"/>
  <c r="P1709" i="6"/>
  <c r="O1710" i="6" s="1"/>
  <c r="T1710" i="6" s="1"/>
  <c r="R1710" i="6" l="1"/>
  <c r="Q1710" i="6"/>
  <c r="P1710" i="6"/>
  <c r="O1711" i="6" s="1"/>
  <c r="T1711" i="6" s="1"/>
  <c r="S1710" i="6"/>
  <c r="S1711" i="6" s="1"/>
  <c r="R1711" i="6" l="1"/>
  <c r="Q1711" i="6"/>
  <c r="P1711" i="6"/>
  <c r="O1712" i="6" s="1"/>
  <c r="T1712" i="6" s="1"/>
  <c r="R1712" i="6" l="1"/>
  <c r="Q1712" i="6"/>
  <c r="P1712" i="6"/>
  <c r="O1713" i="6" s="1"/>
  <c r="T1713" i="6" s="1"/>
  <c r="S1712" i="6"/>
  <c r="S1713" i="6" s="1"/>
  <c r="Q1713" i="6" l="1"/>
  <c r="R1713" i="6"/>
  <c r="P1713" i="6"/>
  <c r="O1714" i="6" s="1"/>
  <c r="T1714" i="6" s="1"/>
  <c r="R1714" i="6" l="1"/>
  <c r="Q1714" i="6"/>
  <c r="P1714" i="6"/>
  <c r="O1715" i="6" s="1"/>
  <c r="T1715" i="6" s="1"/>
  <c r="S1714" i="6"/>
  <c r="S1715" i="6" s="1"/>
  <c r="R1715" i="6" l="1"/>
  <c r="Q1715" i="6"/>
  <c r="P1715" i="6"/>
  <c r="O1716" i="6" s="1"/>
  <c r="T1716" i="6" s="1"/>
  <c r="Q1716" i="6" l="1"/>
  <c r="R1716" i="6"/>
  <c r="P1716" i="6"/>
  <c r="O1717" i="6" s="1"/>
  <c r="T1717" i="6" s="1"/>
  <c r="S1716" i="6"/>
  <c r="S1717" i="6" s="1"/>
  <c r="R1717" i="6" l="1"/>
  <c r="Q1717" i="6"/>
  <c r="P1717" i="6"/>
  <c r="O1718" i="6" s="1"/>
  <c r="T1718" i="6" s="1"/>
  <c r="R1718" i="6" l="1"/>
  <c r="Q1718" i="6"/>
  <c r="P1718" i="6"/>
  <c r="O1719" i="6" s="1"/>
  <c r="T1719" i="6" s="1"/>
  <c r="S1718" i="6"/>
  <c r="S1719" i="6" s="1"/>
  <c r="R1719" i="6" l="1"/>
  <c r="Q1719" i="6"/>
  <c r="P1719" i="6"/>
  <c r="O1720" i="6" s="1"/>
  <c r="T1720" i="6" s="1"/>
  <c r="R1720" i="6" l="1"/>
  <c r="Q1720" i="6"/>
  <c r="P1720" i="6"/>
  <c r="O1721" i="6" s="1"/>
  <c r="T1721" i="6" s="1"/>
  <c r="S1720" i="6"/>
  <c r="S1721" i="6" s="1"/>
  <c r="Q1721" i="6" l="1"/>
  <c r="R1721" i="6"/>
  <c r="P1721" i="6"/>
  <c r="O1722" i="6" s="1"/>
  <c r="T1722" i="6" s="1"/>
  <c r="R1722" i="6" l="1"/>
  <c r="Q1722" i="6"/>
  <c r="P1722" i="6"/>
  <c r="O1723" i="6" s="1"/>
  <c r="T1723" i="6" s="1"/>
  <c r="S1722" i="6"/>
  <c r="S1723" i="6" s="1"/>
  <c r="R1723" i="6" l="1"/>
  <c r="Q1723" i="6"/>
  <c r="P1723" i="6"/>
  <c r="O1724" i="6" s="1"/>
  <c r="T1724" i="6" s="1"/>
  <c r="R1724" i="6" l="1"/>
  <c r="Q1724" i="6"/>
  <c r="P1724" i="6"/>
  <c r="O1725" i="6" s="1"/>
  <c r="T1725" i="6" s="1"/>
  <c r="S1724" i="6"/>
  <c r="S1725" i="6" s="1"/>
  <c r="R1725" i="6" l="1"/>
  <c r="Q1725" i="6"/>
  <c r="P1725" i="6"/>
  <c r="O1726" i="6" s="1"/>
  <c r="T1726" i="6" s="1"/>
  <c r="Q1726" i="6" l="1"/>
  <c r="R1726" i="6"/>
  <c r="P1726" i="6"/>
  <c r="O1727" i="6" s="1"/>
  <c r="T1727" i="6" s="1"/>
  <c r="S1726" i="6"/>
  <c r="S1727" i="6" s="1"/>
  <c r="R1727" i="6" l="1"/>
  <c r="Q1727" i="6"/>
  <c r="P1727" i="6"/>
  <c r="O1728" i="6" s="1"/>
  <c r="T1728" i="6" s="1"/>
  <c r="R1728" i="6" l="1"/>
  <c r="Q1728" i="6"/>
  <c r="P1728" i="6"/>
  <c r="O1729" i="6" s="1"/>
  <c r="T1729" i="6" s="1"/>
  <c r="S1728" i="6"/>
  <c r="S1729" i="6" s="1"/>
  <c r="R1729" i="6" l="1"/>
  <c r="Q1729" i="6"/>
  <c r="P1729" i="6"/>
  <c r="O1730" i="6" s="1"/>
  <c r="T1730" i="6" s="1"/>
  <c r="R1730" i="6" l="1"/>
  <c r="Q1730" i="6"/>
  <c r="P1730" i="6"/>
  <c r="O1731" i="6" s="1"/>
  <c r="T1731" i="6" s="1"/>
  <c r="S1730" i="6"/>
  <c r="S1731" i="6" s="1"/>
  <c r="R1731" i="6" l="1"/>
  <c r="Q1731" i="6"/>
  <c r="P1731" i="6"/>
  <c r="O1732" i="6" s="1"/>
  <c r="T1732" i="6" s="1"/>
  <c r="R1732" i="6" l="1"/>
  <c r="Q1732" i="6"/>
  <c r="P1732" i="6"/>
  <c r="O1733" i="6" s="1"/>
  <c r="T1733" i="6" s="1"/>
  <c r="S1732" i="6"/>
  <c r="S1733" i="6" s="1"/>
  <c r="R1733" i="6" l="1"/>
  <c r="Q1733" i="6"/>
  <c r="P1733" i="6"/>
  <c r="O1734" i="6" s="1"/>
  <c r="T1734" i="6" s="1"/>
  <c r="R1734" i="6" l="1"/>
  <c r="Q1734" i="6"/>
  <c r="P1734" i="6"/>
  <c r="O1735" i="6" s="1"/>
  <c r="T1735" i="6" s="1"/>
  <c r="S1734" i="6"/>
  <c r="S1735" i="6" s="1"/>
  <c r="R1735" i="6" l="1"/>
  <c r="Q1735" i="6"/>
  <c r="P1735" i="6"/>
  <c r="O1736" i="6" s="1"/>
  <c r="T1736" i="6" s="1"/>
  <c r="R1736" i="6" l="1"/>
  <c r="Q1736" i="6"/>
  <c r="P1736" i="6"/>
  <c r="O1737" i="6" s="1"/>
  <c r="S1736" i="6"/>
  <c r="R1737" i="6" l="1"/>
  <c r="Q1737" i="6"/>
  <c r="P1737" i="6"/>
  <c r="O1738" i="6" s="1"/>
  <c r="T1738" i="6" s="1"/>
  <c r="S1737" i="6"/>
  <c r="T1737" i="6" s="1"/>
  <c r="R1738" i="6" l="1"/>
  <c r="Q1738" i="6"/>
  <c r="P1738" i="6"/>
  <c r="O1739" i="6" s="1"/>
  <c r="T1739" i="6" s="1"/>
  <c r="S1738" i="6"/>
  <c r="R1739" i="6" l="1"/>
  <c r="Q1739" i="6"/>
  <c r="P1739" i="6"/>
  <c r="O1740" i="6" s="1"/>
  <c r="T1740" i="6" s="1"/>
  <c r="S1739" i="6"/>
  <c r="S1740" i="6" s="1"/>
  <c r="R1740" i="6" l="1"/>
  <c r="Q1740" i="6"/>
  <c r="P1740" i="6"/>
  <c r="O1741" i="6" s="1"/>
  <c r="T1741" i="6" s="1"/>
  <c r="Q1741" i="6" l="1"/>
  <c r="R1741" i="6"/>
  <c r="P1741" i="6"/>
  <c r="O1742" i="6" s="1"/>
  <c r="T1742" i="6" s="1"/>
  <c r="S1741" i="6"/>
  <c r="S1742" i="6" s="1"/>
  <c r="R1742" i="6" l="1"/>
  <c r="Q1742" i="6"/>
  <c r="P1742" i="6"/>
  <c r="O1743" i="6" s="1"/>
  <c r="T1743" i="6" s="1"/>
  <c r="R1743" i="6" l="1"/>
  <c r="Q1743" i="6"/>
  <c r="P1743" i="6"/>
  <c r="O1744" i="6" s="1"/>
  <c r="T1744" i="6" s="1"/>
  <c r="S1743" i="6"/>
  <c r="S1744" i="6" s="1"/>
  <c r="Q1744" i="6" l="1"/>
  <c r="R1744" i="6"/>
  <c r="P1744" i="6"/>
  <c r="O1745" i="6" s="1"/>
  <c r="T1745" i="6" s="1"/>
  <c r="R1745" i="6" l="1"/>
  <c r="Q1745" i="6"/>
  <c r="P1745" i="6"/>
  <c r="O1746" i="6" s="1"/>
  <c r="T1746" i="6" s="1"/>
  <c r="S1745" i="6"/>
  <c r="S1746" i="6" s="1"/>
  <c r="R1746" i="6" l="1"/>
  <c r="Q1746" i="6"/>
  <c r="P1746" i="6"/>
  <c r="O1747" i="6" s="1"/>
  <c r="T1747" i="6" s="1"/>
  <c r="Q1747" i="6" l="1"/>
  <c r="R1747" i="6"/>
  <c r="P1747" i="6"/>
  <c r="O1748" i="6" s="1"/>
  <c r="T1748" i="6" s="1"/>
  <c r="S1747" i="6"/>
  <c r="S1748" i="6" s="1"/>
  <c r="R1748" i="6" l="1"/>
  <c r="Q1748" i="6"/>
  <c r="P1748" i="6"/>
  <c r="O1749" i="6" s="1"/>
  <c r="T1749" i="6" s="1"/>
  <c r="R1749" i="6" l="1"/>
  <c r="Q1749" i="6"/>
  <c r="P1749" i="6"/>
  <c r="O1750" i="6" s="1"/>
  <c r="T1750" i="6" s="1"/>
  <c r="S1749" i="6"/>
  <c r="S1750" i="6" s="1"/>
  <c r="R1750" i="6" l="1"/>
  <c r="Q1750" i="6"/>
  <c r="P1750" i="6"/>
  <c r="O1751" i="6" s="1"/>
  <c r="T1751" i="6" s="1"/>
  <c r="R1751" i="6" l="1"/>
  <c r="Q1751" i="6"/>
  <c r="P1751" i="6"/>
  <c r="O1752" i="6" s="1"/>
  <c r="T1752" i="6" s="1"/>
  <c r="S1751" i="6"/>
  <c r="S1752" i="6" s="1"/>
  <c r="R1752" i="6" l="1"/>
  <c r="Q1752" i="6"/>
  <c r="P1752" i="6"/>
  <c r="O1753" i="6" s="1"/>
  <c r="T1753" i="6" s="1"/>
  <c r="R1753" i="6" l="1"/>
  <c r="Q1753" i="6"/>
  <c r="P1753" i="6"/>
  <c r="O1754" i="6" s="1"/>
  <c r="T1754" i="6" s="1"/>
  <c r="S1753" i="6"/>
  <c r="S1754" i="6" s="1"/>
  <c r="R1754" i="6" l="1"/>
  <c r="Q1754" i="6"/>
  <c r="P1754" i="6"/>
  <c r="O1755" i="6" s="1"/>
  <c r="T1755" i="6" s="1"/>
  <c r="R1755" i="6" l="1"/>
  <c r="Q1755" i="6"/>
  <c r="P1755" i="6"/>
  <c r="O1756" i="6" s="1"/>
  <c r="T1756" i="6" s="1"/>
  <c r="S1755" i="6"/>
  <c r="S1756" i="6" s="1"/>
  <c r="R1756" i="6" l="1"/>
  <c r="Q1756" i="6"/>
  <c r="P1756" i="6"/>
  <c r="O1757" i="6" s="1"/>
  <c r="T1757" i="6" s="1"/>
  <c r="R1757" i="6" l="1"/>
  <c r="Q1757" i="6"/>
  <c r="P1757" i="6"/>
  <c r="O1758" i="6" s="1"/>
  <c r="T1758" i="6" s="1"/>
  <c r="S1757" i="6"/>
  <c r="S1758" i="6" s="1"/>
  <c r="R1758" i="6" l="1"/>
  <c r="Q1758" i="6"/>
  <c r="P1758" i="6"/>
  <c r="O1759" i="6" s="1"/>
  <c r="T1759" i="6" s="1"/>
  <c r="R1759" i="6" l="1"/>
  <c r="Q1759" i="6"/>
  <c r="P1759" i="6"/>
  <c r="O1760" i="6" s="1"/>
  <c r="T1760" i="6" s="1"/>
  <c r="S1759" i="6"/>
  <c r="S1760" i="6" s="1"/>
  <c r="R1760" i="6" l="1"/>
  <c r="Q1760" i="6"/>
  <c r="P1760" i="6"/>
  <c r="O1761" i="6" s="1"/>
  <c r="T1761" i="6" s="1"/>
  <c r="Q1761" i="6" l="1"/>
  <c r="R1761" i="6"/>
  <c r="P1761" i="6"/>
  <c r="O1762" i="6" s="1"/>
  <c r="T1762" i="6" s="1"/>
  <c r="S1761" i="6"/>
  <c r="S1762" i="6" s="1"/>
  <c r="R1762" i="6" l="1"/>
  <c r="Q1762" i="6"/>
  <c r="P1762" i="6"/>
  <c r="O1763" i="6" s="1"/>
  <c r="T1763" i="6" s="1"/>
  <c r="R1763" i="6" l="1"/>
  <c r="Q1763" i="6"/>
  <c r="P1763" i="6"/>
  <c r="O1764" i="6" s="1"/>
  <c r="T1764" i="6" s="1"/>
  <c r="S1763" i="6"/>
  <c r="S1764" i="6" s="1"/>
  <c r="Q1764" i="6" l="1"/>
  <c r="R1764" i="6"/>
  <c r="P1764" i="6"/>
  <c r="O1765" i="6" s="1"/>
  <c r="T1765" i="6" s="1"/>
  <c r="R1765" i="6" l="1"/>
  <c r="Q1765" i="6"/>
  <c r="P1765" i="6"/>
  <c r="O1766" i="6" s="1"/>
  <c r="T1766" i="6" s="1"/>
  <c r="S1765" i="6"/>
  <c r="S1766" i="6" s="1"/>
  <c r="R1766" i="6" l="1"/>
  <c r="Q1766" i="6"/>
  <c r="P1766" i="6"/>
  <c r="O1767" i="6" s="1"/>
  <c r="T1767" i="6" s="1"/>
  <c r="R1767" i="6" l="1"/>
  <c r="Q1767" i="6"/>
  <c r="P1767" i="6"/>
  <c r="O1768" i="6" s="1"/>
  <c r="T1768" i="6" s="1"/>
  <c r="S1767" i="6"/>
  <c r="S1768" i="6" s="1"/>
  <c r="Q1768" i="6" l="1"/>
  <c r="R1768" i="6"/>
  <c r="P1768" i="6"/>
  <c r="O1769" i="6" s="1"/>
  <c r="T1769" i="6" s="1"/>
  <c r="R1769" i="6" l="1"/>
  <c r="Q1769" i="6"/>
  <c r="P1769" i="6"/>
  <c r="O1770" i="6" s="1"/>
  <c r="T1770" i="6" s="1"/>
  <c r="S1769" i="6"/>
  <c r="S1770" i="6" s="1"/>
  <c r="R1770" i="6" l="1"/>
  <c r="Q1770" i="6"/>
  <c r="P1770" i="6"/>
  <c r="O1771" i="6" s="1"/>
  <c r="T1771" i="6" s="1"/>
  <c r="R1771" i="6" l="1"/>
  <c r="Q1771" i="6"/>
  <c r="P1771" i="6"/>
  <c r="O1772" i="6" s="1"/>
  <c r="T1772" i="6" s="1"/>
  <c r="S1771" i="6"/>
  <c r="S1772" i="6" s="1"/>
  <c r="R1772" i="6" l="1"/>
  <c r="Q1772" i="6"/>
  <c r="P1772" i="6"/>
  <c r="O1773" i="6" s="1"/>
  <c r="T1773" i="6" s="1"/>
  <c r="R1773" i="6" l="1"/>
  <c r="Q1773" i="6"/>
  <c r="P1773" i="6"/>
  <c r="O1774" i="6" s="1"/>
  <c r="T1774" i="6" s="1"/>
  <c r="S1773" i="6"/>
  <c r="S1774" i="6" s="1"/>
  <c r="R1774" i="6" l="1"/>
  <c r="Q1774" i="6"/>
  <c r="P1774" i="6"/>
  <c r="O1775" i="6" s="1"/>
  <c r="T1775" i="6" s="1"/>
  <c r="Q1775" i="6" l="1"/>
  <c r="R1775" i="6"/>
  <c r="P1775" i="6"/>
  <c r="O1776" i="6" s="1"/>
  <c r="T1776" i="6" s="1"/>
  <c r="S1775" i="6"/>
  <c r="S1776" i="6" s="1"/>
  <c r="R1776" i="6" l="1"/>
  <c r="Q1776" i="6"/>
  <c r="P1776" i="6"/>
  <c r="O1777" i="6" s="1"/>
  <c r="T1777" i="6" s="1"/>
  <c r="R1777" i="6" l="1"/>
  <c r="Q1777" i="6"/>
  <c r="P1777" i="6"/>
  <c r="O1778" i="6" s="1"/>
  <c r="T1778" i="6" s="1"/>
  <c r="S1777" i="6"/>
  <c r="S1778" i="6" s="1"/>
  <c r="R1778" i="6" l="1"/>
  <c r="Q1778" i="6"/>
  <c r="P1778" i="6"/>
  <c r="O1779" i="6" s="1"/>
  <c r="T1779" i="6" s="1"/>
  <c r="R1779" i="6" l="1"/>
  <c r="Q1779" i="6"/>
  <c r="P1779" i="6"/>
  <c r="O1780" i="6" s="1"/>
  <c r="T1780" i="6" s="1"/>
  <c r="S1779" i="6"/>
  <c r="S1780" i="6" s="1"/>
  <c r="R1780" i="6" l="1"/>
  <c r="Q1780" i="6"/>
  <c r="P1780" i="6"/>
  <c r="O1781" i="6" s="1"/>
  <c r="T1781" i="6" s="1"/>
  <c r="R1781" i="6" l="1"/>
  <c r="Q1781" i="6"/>
  <c r="P1781" i="6"/>
  <c r="O1782" i="6" s="1"/>
  <c r="T1782" i="6" s="1"/>
  <c r="S1781" i="6"/>
  <c r="S1782" i="6" s="1"/>
  <c r="Q1782" i="6" l="1"/>
  <c r="R1782" i="6"/>
  <c r="P1782" i="6"/>
  <c r="O1783" i="6" s="1"/>
  <c r="T1783" i="6" s="1"/>
  <c r="R1783" i="6" l="1"/>
  <c r="Q1783" i="6"/>
  <c r="P1783" i="6"/>
  <c r="O1784" i="6" s="1"/>
  <c r="T1784" i="6" s="1"/>
  <c r="S1783" i="6"/>
  <c r="S1784" i="6" s="1"/>
  <c r="R1784" i="6" l="1"/>
  <c r="Q1784" i="6"/>
  <c r="P1784" i="6"/>
  <c r="O1785" i="6" s="1"/>
  <c r="T1785" i="6" s="1"/>
  <c r="R1785" i="6" l="1"/>
  <c r="Q1785" i="6"/>
  <c r="P1785" i="6"/>
  <c r="O1786" i="6" s="1"/>
  <c r="T1786" i="6" s="1"/>
  <c r="S1785" i="6"/>
  <c r="S1786" i="6" s="1"/>
  <c r="R1786" i="6" l="1"/>
  <c r="Q1786" i="6"/>
  <c r="P1786" i="6"/>
  <c r="O1787" i="6" s="1"/>
  <c r="T1787" i="6" s="1"/>
  <c r="R1787" i="6" l="1"/>
  <c r="Q1787" i="6"/>
  <c r="P1787" i="6"/>
  <c r="O1788" i="6" s="1"/>
  <c r="T1788" i="6" s="1"/>
  <c r="S1787" i="6"/>
  <c r="S1788" i="6" s="1"/>
  <c r="R1788" i="6" l="1"/>
  <c r="Q1788" i="6"/>
  <c r="P1788" i="6"/>
  <c r="O1789" i="6" s="1"/>
  <c r="T1789" i="6" s="1"/>
  <c r="R1789" i="6" l="1"/>
  <c r="Q1789" i="6"/>
  <c r="P1789" i="6"/>
  <c r="O1790" i="6" s="1"/>
  <c r="T1790" i="6" s="1"/>
  <c r="S1789" i="6"/>
  <c r="S1790" i="6" s="1"/>
  <c r="Q1790" i="6" l="1"/>
  <c r="R1790" i="6"/>
  <c r="P1790" i="6"/>
  <c r="O1791" i="6" s="1"/>
  <c r="T1791" i="6" s="1"/>
  <c r="Q1791" i="6" l="1"/>
  <c r="R1791" i="6"/>
  <c r="P1791" i="6"/>
  <c r="O1792" i="6" s="1"/>
  <c r="T1792" i="6" s="1"/>
  <c r="S1791" i="6"/>
  <c r="S1792" i="6" s="1"/>
  <c r="Q1792" i="6" l="1"/>
  <c r="R1792" i="6"/>
  <c r="P1792" i="6"/>
  <c r="O1793" i="6" s="1"/>
  <c r="T1793" i="6" s="1"/>
  <c r="R1793" i="6" l="1"/>
  <c r="Q1793" i="6"/>
  <c r="P1793" i="6"/>
  <c r="O1794" i="6" s="1"/>
  <c r="T1794" i="6" s="1"/>
  <c r="S1793" i="6"/>
  <c r="S1794" i="6" s="1"/>
  <c r="R1794" i="6" l="1"/>
  <c r="Q1794" i="6"/>
  <c r="P1794" i="6"/>
  <c r="O1795" i="6" s="1"/>
  <c r="T1795" i="6" s="1"/>
  <c r="Q1795" i="6" l="1"/>
  <c r="R1795" i="6"/>
  <c r="P1795" i="6"/>
  <c r="O1796" i="6" s="1"/>
  <c r="T1796" i="6" s="1"/>
  <c r="S1795" i="6"/>
  <c r="S1796" i="6" s="1"/>
  <c r="Q1796" i="6" l="1"/>
  <c r="R1796" i="6"/>
  <c r="P1796" i="6"/>
  <c r="O1797" i="6" s="1"/>
  <c r="T1797" i="6" s="1"/>
  <c r="R1797" i="6" l="1"/>
  <c r="Q1797" i="6"/>
  <c r="P1797" i="6"/>
  <c r="O1798" i="6" s="1"/>
  <c r="T1798" i="6" s="1"/>
  <c r="S1797" i="6"/>
  <c r="S1798" i="6" s="1"/>
  <c r="R1798" i="6" l="1"/>
  <c r="Q1798" i="6"/>
  <c r="P1798" i="6"/>
  <c r="O1799" i="6" s="1"/>
  <c r="T1799" i="6" s="1"/>
  <c r="R1799" i="6" l="1"/>
  <c r="Q1799" i="6"/>
  <c r="P1799" i="6"/>
  <c r="O1800" i="6" s="1"/>
  <c r="T1800" i="6" s="1"/>
  <c r="S1799" i="6"/>
  <c r="S1800" i="6" s="1"/>
  <c r="R1800" i="6" l="1"/>
  <c r="Q1800" i="6"/>
  <c r="P1800" i="6"/>
  <c r="O1801" i="6" s="1"/>
  <c r="T1801" i="6" s="1"/>
  <c r="R1801" i="6" l="1"/>
  <c r="Q1801" i="6"/>
  <c r="P1801" i="6"/>
  <c r="O1802" i="6" s="1"/>
  <c r="T1802" i="6" s="1"/>
  <c r="S1801" i="6"/>
  <c r="S1802" i="6" s="1"/>
  <c r="R1802" i="6" l="1"/>
  <c r="Q1802" i="6"/>
  <c r="P1802" i="6"/>
  <c r="O1803" i="6" s="1"/>
  <c r="R1803" i="6" l="1"/>
  <c r="Q1803" i="6"/>
  <c r="P1803" i="6"/>
  <c r="O1804" i="6" s="1"/>
  <c r="T1804" i="6" s="1"/>
  <c r="S1803" i="6"/>
  <c r="S1804" i="6" s="1"/>
  <c r="T1803" i="6" l="1"/>
  <c r="R1804" i="6"/>
  <c r="Q1804" i="6"/>
  <c r="P1804" i="6"/>
  <c r="O1805" i="6" s="1"/>
  <c r="T1805" i="6" s="1"/>
  <c r="R1805" i="6" l="1"/>
  <c r="Q1805" i="6"/>
  <c r="P1805" i="6"/>
  <c r="O1806" i="6" s="1"/>
  <c r="T1806" i="6" s="1"/>
  <c r="S1805" i="6"/>
  <c r="S1806" i="6" s="1"/>
  <c r="R1806" i="6" l="1"/>
  <c r="Q1806" i="6"/>
  <c r="P1806" i="6"/>
  <c r="O1807" i="6" s="1"/>
  <c r="T1807" i="6" s="1"/>
  <c r="R1807" i="6" l="1"/>
  <c r="Q1807" i="6"/>
  <c r="P1807" i="6"/>
  <c r="O1808" i="6" s="1"/>
  <c r="T1808" i="6" s="1"/>
  <c r="S1807" i="6"/>
  <c r="S1808" i="6" s="1"/>
  <c r="R1808" i="6" l="1"/>
  <c r="Q1808" i="6"/>
  <c r="P1808" i="6"/>
  <c r="O1809" i="6" s="1"/>
  <c r="T1809" i="6" s="1"/>
  <c r="R1809" i="6" l="1"/>
  <c r="Q1809" i="6"/>
  <c r="P1809" i="6"/>
  <c r="O1810" i="6" s="1"/>
  <c r="T1810" i="6" s="1"/>
  <c r="S1809" i="6"/>
  <c r="R1810" i="6" l="1"/>
  <c r="Q1810" i="6"/>
  <c r="P1810" i="6"/>
  <c r="O1811" i="6" s="1"/>
  <c r="T1811" i="6" s="1"/>
  <c r="S1810" i="6"/>
  <c r="S1811" i="6" s="1"/>
  <c r="R1811" i="6" l="1"/>
  <c r="Q1811" i="6"/>
  <c r="P1811" i="6"/>
  <c r="O1812" i="6" s="1"/>
  <c r="T1812" i="6" s="1"/>
  <c r="R1812" i="6" l="1"/>
  <c r="Q1812" i="6"/>
  <c r="P1812" i="6"/>
  <c r="O1813" i="6" s="1"/>
  <c r="T1813" i="6" s="1"/>
  <c r="S1812" i="6"/>
  <c r="S1813" i="6" s="1"/>
  <c r="R1813" i="6" l="1"/>
  <c r="Q1813" i="6"/>
  <c r="P1813" i="6"/>
  <c r="O1814" i="6" s="1"/>
  <c r="T1814" i="6" s="1"/>
  <c r="R1814" i="6" l="1"/>
  <c r="Q1814" i="6"/>
  <c r="P1814" i="6"/>
  <c r="O1815" i="6" s="1"/>
  <c r="T1815" i="6" s="1"/>
  <c r="S1814" i="6"/>
  <c r="S1815" i="6" s="1"/>
  <c r="Q1815" i="6" l="1"/>
  <c r="R1815" i="6"/>
  <c r="P1815" i="6"/>
  <c r="O1816" i="6" s="1"/>
  <c r="T1816" i="6" s="1"/>
  <c r="R1816" i="6" l="1"/>
  <c r="Q1816" i="6"/>
  <c r="P1816" i="6"/>
  <c r="O1817" i="6" s="1"/>
  <c r="T1817" i="6" s="1"/>
  <c r="S1816" i="6"/>
  <c r="S1817" i="6" s="1"/>
  <c r="R1817" i="6" l="1"/>
  <c r="Q1817" i="6"/>
  <c r="P1817" i="6"/>
  <c r="O1818" i="6" s="1"/>
  <c r="T1818" i="6" s="1"/>
  <c r="R1818" i="6" l="1"/>
  <c r="Q1818" i="6"/>
  <c r="P1818" i="6"/>
  <c r="O1819" i="6" s="1"/>
  <c r="T1819" i="6" s="1"/>
  <c r="S1818" i="6"/>
  <c r="S1819" i="6" s="1"/>
  <c r="R1819" i="6" l="1"/>
  <c r="Q1819" i="6"/>
  <c r="P1819" i="6"/>
  <c r="O1820" i="6" s="1"/>
  <c r="T1820" i="6" s="1"/>
  <c r="R1820" i="6" l="1"/>
  <c r="Q1820" i="6"/>
  <c r="P1820" i="6"/>
  <c r="O1821" i="6" s="1"/>
  <c r="T1821" i="6" s="1"/>
  <c r="S1820" i="6"/>
  <c r="S1821" i="6" s="1"/>
  <c r="R1821" i="6" l="1"/>
  <c r="Q1821" i="6"/>
  <c r="P1821" i="6"/>
  <c r="O1822" i="6" s="1"/>
  <c r="T1822" i="6" s="1"/>
  <c r="R1822" i="6" l="1"/>
  <c r="Q1822" i="6"/>
  <c r="P1822" i="6"/>
  <c r="O1823" i="6" s="1"/>
  <c r="T1823" i="6" s="1"/>
  <c r="S1822" i="6"/>
  <c r="S1823" i="6" s="1"/>
  <c r="R1823" i="6" l="1"/>
  <c r="Q1823" i="6"/>
  <c r="P1823" i="6"/>
  <c r="O1824" i="6" s="1"/>
  <c r="T1824" i="6" s="1"/>
  <c r="R1824" i="6" l="1"/>
  <c r="Q1824" i="6"/>
  <c r="P1824" i="6"/>
  <c r="O1825" i="6" s="1"/>
  <c r="T1825" i="6" s="1"/>
  <c r="S1824" i="6"/>
  <c r="S1825" i="6" s="1"/>
  <c r="Q1825" i="6" l="1"/>
  <c r="R1825" i="6"/>
  <c r="P1825" i="6"/>
  <c r="O1826" i="6" s="1"/>
  <c r="T1826" i="6" s="1"/>
  <c r="R1826" i="6" l="1"/>
  <c r="Q1826" i="6"/>
  <c r="P1826" i="6"/>
  <c r="O1827" i="6" s="1"/>
  <c r="T1827" i="6" s="1"/>
  <c r="S1826" i="6"/>
  <c r="Q1827" i="6" l="1"/>
  <c r="R1827" i="6"/>
  <c r="P1827" i="6"/>
  <c r="O1828" i="6" s="1"/>
  <c r="T1828" i="6" s="1"/>
  <c r="S1827" i="6"/>
  <c r="R1828" i="6" l="1"/>
  <c r="Q1828" i="6"/>
  <c r="P1828" i="6"/>
  <c r="O1829" i="6" s="1"/>
  <c r="T1829" i="6" s="1"/>
  <c r="S1828" i="6"/>
  <c r="Q1829" i="6" l="1"/>
  <c r="R1829" i="6"/>
  <c r="P1829" i="6"/>
  <c r="O1830" i="6" s="1"/>
  <c r="T1830" i="6" s="1"/>
  <c r="S1829" i="6"/>
  <c r="S1830" i="6" s="1"/>
  <c r="R1830" i="6" l="1"/>
  <c r="Q1830" i="6"/>
  <c r="P1830" i="6"/>
  <c r="O1831" i="6" s="1"/>
  <c r="R1831" i="6" l="1"/>
  <c r="Q1831" i="6"/>
  <c r="P1831" i="6"/>
  <c r="O1832" i="6" s="1"/>
  <c r="T1832" i="6" s="1"/>
  <c r="S1831" i="6"/>
  <c r="T1831" i="6" s="1"/>
  <c r="R1832" i="6" l="1"/>
  <c r="Q1832" i="6"/>
  <c r="P1832" i="6"/>
  <c r="O1833" i="6" s="1"/>
  <c r="T1833" i="6" s="1"/>
  <c r="S1832" i="6"/>
  <c r="S1833" i="6" s="1"/>
  <c r="R1833" i="6" l="1"/>
  <c r="Q1833" i="6"/>
  <c r="P1833" i="6"/>
  <c r="O1834" i="6" s="1"/>
  <c r="T1834" i="6" s="1"/>
  <c r="R1834" i="6" l="1"/>
  <c r="Q1834" i="6"/>
  <c r="P1834" i="6"/>
  <c r="O1835" i="6" s="1"/>
  <c r="T1835" i="6" s="1"/>
  <c r="S1834" i="6"/>
  <c r="S1835" i="6" s="1"/>
  <c r="Q1835" i="6" l="1"/>
  <c r="R1835" i="6"/>
  <c r="P1835" i="6"/>
  <c r="O1836" i="6" s="1"/>
  <c r="T1836" i="6" s="1"/>
  <c r="R1836" i="6" l="1"/>
  <c r="Q1836" i="6"/>
  <c r="P1836" i="6"/>
  <c r="O1837" i="6" s="1"/>
  <c r="T1837" i="6" s="1"/>
  <c r="S1836" i="6"/>
  <c r="S1837" i="6" s="1"/>
  <c r="R1837" i="6" l="1"/>
  <c r="Q1837" i="6"/>
  <c r="P1837" i="6"/>
  <c r="O1838" i="6" s="1"/>
  <c r="T1838" i="6" s="1"/>
  <c r="R1838" i="6" l="1"/>
  <c r="Q1838" i="6"/>
  <c r="P1838" i="6"/>
  <c r="O1839" i="6" s="1"/>
  <c r="T1839" i="6" s="1"/>
  <c r="S1838" i="6"/>
  <c r="S1839" i="6" s="1"/>
  <c r="R1839" i="6" l="1"/>
  <c r="Q1839" i="6"/>
  <c r="P1839" i="6"/>
  <c r="O1840" i="6" s="1"/>
  <c r="T1840" i="6" s="1"/>
  <c r="R1840" i="6" l="1"/>
  <c r="Q1840" i="6"/>
  <c r="P1840" i="6"/>
  <c r="O1841" i="6" s="1"/>
  <c r="T1841" i="6" s="1"/>
  <c r="S1840" i="6"/>
  <c r="S1841" i="6" s="1"/>
  <c r="R1841" i="6" l="1"/>
  <c r="Q1841" i="6"/>
  <c r="P1841" i="6"/>
  <c r="O1842" i="6" s="1"/>
  <c r="T1842" i="6" s="1"/>
  <c r="R1842" i="6" l="1"/>
  <c r="Q1842" i="6"/>
  <c r="P1842" i="6"/>
  <c r="O1843" i="6" s="1"/>
  <c r="T1843" i="6" s="1"/>
  <c r="S1842" i="6"/>
  <c r="S1843" i="6" s="1"/>
  <c r="R1843" i="6" l="1"/>
  <c r="Q1843" i="6"/>
  <c r="P1843" i="6"/>
  <c r="O1844" i="6" s="1"/>
  <c r="T1844" i="6" s="1"/>
  <c r="R1844" i="6" l="1"/>
  <c r="Q1844" i="6"/>
  <c r="P1844" i="6"/>
  <c r="O1845" i="6" s="1"/>
  <c r="T1845" i="6" s="1"/>
  <c r="S1844" i="6"/>
  <c r="S1845" i="6" s="1"/>
  <c r="R1845" i="6" l="1"/>
  <c r="Q1845" i="6"/>
  <c r="P1845" i="6"/>
  <c r="O1846" i="6" s="1"/>
  <c r="T1846" i="6" s="1"/>
  <c r="Q1846" i="6" l="1"/>
  <c r="R1846" i="6"/>
  <c r="P1846" i="6"/>
  <c r="O1847" i="6" s="1"/>
  <c r="T1847" i="6" s="1"/>
  <c r="S1846" i="6"/>
  <c r="S1847" i="6" s="1"/>
  <c r="R1847" i="6" l="1"/>
  <c r="Q1847" i="6"/>
  <c r="P1847" i="6"/>
  <c r="O1848" i="6" s="1"/>
  <c r="T1848" i="6" s="1"/>
  <c r="R1848" i="6" l="1"/>
  <c r="Q1848" i="6"/>
  <c r="P1848" i="6"/>
  <c r="O1849" i="6" s="1"/>
  <c r="T1849" i="6" s="1"/>
  <c r="S1848" i="6"/>
  <c r="S1849" i="6" s="1"/>
  <c r="R1849" i="6" l="1"/>
  <c r="Q1849" i="6"/>
  <c r="P1849" i="6"/>
  <c r="O1850" i="6" s="1"/>
  <c r="T1850" i="6" s="1"/>
  <c r="R1850" i="6" l="1"/>
  <c r="Q1850" i="6"/>
  <c r="P1850" i="6"/>
  <c r="O1851" i="6" s="1"/>
  <c r="T1851" i="6" s="1"/>
  <c r="S1850" i="6"/>
  <c r="S1851" i="6" s="1"/>
  <c r="R1851" i="6" l="1"/>
  <c r="Q1851" i="6"/>
  <c r="P1851" i="6"/>
  <c r="O1852" i="6" s="1"/>
  <c r="T1852" i="6" s="1"/>
  <c r="R1852" i="6" l="1"/>
  <c r="Q1852" i="6"/>
  <c r="P1852" i="6"/>
  <c r="O1853" i="6" s="1"/>
  <c r="T1853" i="6" s="1"/>
  <c r="S1852" i="6"/>
  <c r="S1853" i="6" s="1"/>
  <c r="R1853" i="6" l="1"/>
  <c r="Q1853" i="6"/>
  <c r="P1853" i="6"/>
  <c r="O1854" i="6" s="1"/>
  <c r="T1854" i="6" s="1"/>
  <c r="R1854" i="6" l="1"/>
  <c r="Q1854" i="6"/>
  <c r="P1854" i="6"/>
  <c r="O1855" i="6" s="1"/>
  <c r="T1855" i="6" s="1"/>
  <c r="S1854" i="6"/>
  <c r="S1855" i="6" s="1"/>
  <c r="Q1855" i="6" l="1"/>
  <c r="R1855" i="6"/>
  <c r="P1855" i="6"/>
  <c r="O1856" i="6" s="1"/>
  <c r="T1856" i="6" s="1"/>
  <c r="R1856" i="6" l="1"/>
  <c r="Q1856" i="6"/>
  <c r="P1856" i="6"/>
  <c r="O1857" i="6" s="1"/>
  <c r="T1857" i="6" s="1"/>
  <c r="S1856" i="6"/>
  <c r="S1857" i="6" s="1"/>
  <c r="R1857" i="6" l="1"/>
  <c r="Q1857" i="6"/>
  <c r="P1857" i="6"/>
  <c r="O1858" i="6" s="1"/>
  <c r="T1858" i="6" s="1"/>
  <c r="R1858" i="6" l="1"/>
  <c r="Q1858" i="6"/>
  <c r="P1858" i="6"/>
  <c r="O1859" i="6" s="1"/>
  <c r="S1858" i="6"/>
  <c r="R1859" i="6" l="1"/>
  <c r="Q1859" i="6"/>
  <c r="P1859" i="6"/>
  <c r="O1860" i="6" s="1"/>
  <c r="T1860" i="6" s="1"/>
  <c r="S1859" i="6"/>
  <c r="T1859" i="6" s="1"/>
  <c r="R1860" i="6" l="1"/>
  <c r="Q1860" i="6"/>
  <c r="P1860" i="6"/>
  <c r="O1861" i="6" s="1"/>
  <c r="T1861" i="6" s="1"/>
  <c r="S1860" i="6"/>
  <c r="S1861" i="6" s="1"/>
  <c r="R1861" i="6" l="1"/>
  <c r="Q1861" i="6"/>
  <c r="P1861" i="6"/>
  <c r="O1862" i="6" s="1"/>
  <c r="T1862" i="6" s="1"/>
  <c r="R1862" i="6" l="1"/>
  <c r="Q1862" i="6"/>
  <c r="P1862" i="6"/>
  <c r="O1863" i="6" s="1"/>
  <c r="T1863" i="6" s="1"/>
  <c r="S1862" i="6"/>
  <c r="S1863" i="6" s="1"/>
  <c r="R1863" i="6" l="1"/>
  <c r="Q1863" i="6"/>
  <c r="P1863" i="6"/>
  <c r="O1864" i="6" s="1"/>
  <c r="T1864" i="6" s="1"/>
  <c r="Q1864" i="6" l="1"/>
  <c r="R1864" i="6"/>
  <c r="P1864" i="6"/>
  <c r="O1865" i="6" s="1"/>
  <c r="T1865" i="6" s="1"/>
  <c r="S1864" i="6"/>
  <c r="R1865" i="6" l="1"/>
  <c r="Q1865" i="6"/>
  <c r="P1865" i="6"/>
  <c r="O1866" i="6" s="1"/>
  <c r="T1866" i="6" s="1"/>
  <c r="S1865" i="6"/>
  <c r="S1866" i="6" s="1"/>
  <c r="R1866" i="6" l="1"/>
  <c r="Q1866" i="6"/>
  <c r="P1866" i="6"/>
  <c r="O1867" i="6" s="1"/>
  <c r="T1867" i="6" s="1"/>
  <c r="R1867" i="6" l="1"/>
  <c r="Q1867" i="6"/>
  <c r="P1867" i="6"/>
  <c r="O1868" i="6" s="1"/>
  <c r="T1868" i="6" s="1"/>
  <c r="S1867" i="6"/>
  <c r="R1868" i="6" l="1"/>
  <c r="Q1868" i="6"/>
  <c r="P1868" i="6"/>
  <c r="O1869" i="6" s="1"/>
  <c r="T1869" i="6" s="1"/>
  <c r="S1868" i="6"/>
  <c r="R1869" i="6" l="1"/>
  <c r="Q1869" i="6"/>
  <c r="P1869" i="6"/>
  <c r="O1870" i="6" s="1"/>
  <c r="T1870" i="6" s="1"/>
  <c r="S1869" i="6"/>
  <c r="S1870" i="6" s="1"/>
  <c r="R1870" i="6" l="1"/>
  <c r="Q1870" i="6"/>
  <c r="P1870" i="6"/>
  <c r="O1871" i="6" s="1"/>
  <c r="T1871" i="6" s="1"/>
  <c r="R1871" i="6" l="1"/>
  <c r="Q1871" i="6"/>
  <c r="P1871" i="6"/>
  <c r="O1872" i="6" s="1"/>
  <c r="T1872" i="6" s="1"/>
  <c r="S1871" i="6"/>
  <c r="S1872" i="6" s="1"/>
  <c r="R1872" i="6" l="1"/>
  <c r="Q1872" i="6"/>
  <c r="P1872" i="6"/>
  <c r="O1873" i="6" s="1"/>
  <c r="T1873" i="6" s="1"/>
  <c r="R1873" i="6" l="1"/>
  <c r="Q1873" i="6"/>
  <c r="P1873" i="6"/>
  <c r="O1874" i="6" s="1"/>
  <c r="T1874" i="6" s="1"/>
  <c r="S1873" i="6"/>
  <c r="S1874" i="6" s="1"/>
  <c r="R1874" i="6" l="1"/>
  <c r="Q1874" i="6"/>
  <c r="P1874" i="6"/>
  <c r="O1875" i="6" s="1"/>
  <c r="T1875" i="6" s="1"/>
  <c r="Q1875" i="6" l="1"/>
  <c r="R1875" i="6"/>
  <c r="P1875" i="6"/>
  <c r="O1876" i="6" s="1"/>
  <c r="T1876" i="6" s="1"/>
  <c r="S1875" i="6"/>
  <c r="S1876" i="6" s="1"/>
  <c r="R1876" i="6" l="1"/>
  <c r="Q1876" i="6"/>
  <c r="P1876" i="6"/>
  <c r="O1877" i="6" s="1"/>
  <c r="T1877" i="6" s="1"/>
  <c r="R1877" i="6" l="1"/>
  <c r="Q1877" i="6"/>
  <c r="P1877" i="6"/>
  <c r="O1878" i="6" s="1"/>
  <c r="T1878" i="6" s="1"/>
  <c r="S1877" i="6"/>
  <c r="S1878" i="6" s="1"/>
  <c r="R1878" i="6" l="1"/>
  <c r="Q1878" i="6"/>
  <c r="P1878" i="6"/>
  <c r="O1879" i="6" s="1"/>
  <c r="T1879" i="6" s="1"/>
  <c r="R1879" i="6" l="1"/>
  <c r="Q1879" i="6"/>
  <c r="P1879" i="6"/>
  <c r="O1880" i="6" s="1"/>
  <c r="S1879" i="6"/>
  <c r="R1880" i="6" l="1"/>
  <c r="Q1880" i="6"/>
  <c r="P1880" i="6"/>
  <c r="O1881" i="6" s="1"/>
  <c r="T1881" i="6" s="1"/>
  <c r="S1880" i="6"/>
  <c r="S1881" i="6" s="1"/>
  <c r="T1880" i="6" l="1"/>
  <c r="R1881" i="6"/>
  <c r="Q1881" i="6"/>
  <c r="P1881" i="6"/>
  <c r="O1882" i="6" s="1"/>
  <c r="T1882" i="6" s="1"/>
  <c r="R1882" i="6" l="1"/>
  <c r="Q1882" i="6"/>
  <c r="P1882" i="6"/>
  <c r="O1883" i="6" s="1"/>
  <c r="T1883" i="6" s="1"/>
  <c r="S1882" i="6"/>
  <c r="S1883" i="6" s="1"/>
  <c r="Q1883" i="6" l="1"/>
  <c r="R1883" i="6"/>
  <c r="P1883" i="6"/>
  <c r="O1884" i="6" s="1"/>
  <c r="T1884" i="6" s="1"/>
  <c r="R1884" i="6" l="1"/>
  <c r="Q1884" i="6"/>
  <c r="P1884" i="6"/>
  <c r="O1885" i="6" s="1"/>
  <c r="T1885" i="6" s="1"/>
  <c r="S1884" i="6"/>
  <c r="S1885" i="6" s="1"/>
  <c r="R1885" i="6" l="1"/>
  <c r="Q1885" i="6"/>
  <c r="P1885" i="6"/>
  <c r="O1886" i="6" s="1"/>
  <c r="T1886" i="6" s="1"/>
  <c r="R1886" i="6" l="1"/>
  <c r="Q1886" i="6"/>
  <c r="P1886" i="6"/>
  <c r="O1887" i="6" s="1"/>
  <c r="T1887" i="6" s="1"/>
  <c r="S1886" i="6"/>
  <c r="S1887" i="6" s="1"/>
  <c r="R1887" i="6" l="1"/>
  <c r="Q1887" i="6"/>
  <c r="P1887" i="6"/>
  <c r="O1888" i="6" s="1"/>
  <c r="T1888" i="6" s="1"/>
  <c r="Q1888" i="6" l="1"/>
  <c r="R1888" i="6"/>
  <c r="P1888" i="6"/>
  <c r="O1889" i="6" s="1"/>
  <c r="T1889" i="6" s="1"/>
  <c r="S1888" i="6"/>
  <c r="S1889" i="6" s="1"/>
  <c r="R1889" i="6" l="1"/>
  <c r="Q1889" i="6"/>
  <c r="P1889" i="6"/>
  <c r="O1890" i="6" s="1"/>
  <c r="T1890" i="6" s="1"/>
  <c r="R1890" i="6" l="1"/>
  <c r="Q1890" i="6"/>
  <c r="P1890" i="6"/>
  <c r="O1891" i="6" s="1"/>
  <c r="T1891" i="6" s="1"/>
  <c r="S1890" i="6"/>
  <c r="S1891" i="6" s="1"/>
  <c r="R1891" i="6" l="1"/>
  <c r="Q1891" i="6"/>
  <c r="P1891" i="6"/>
  <c r="O1892" i="6" s="1"/>
  <c r="T1892" i="6" s="1"/>
  <c r="R1892" i="6" l="1"/>
  <c r="Q1892" i="6"/>
  <c r="P1892" i="6"/>
  <c r="O1893" i="6" s="1"/>
  <c r="T1893" i="6" s="1"/>
  <c r="S1892" i="6"/>
  <c r="S1893" i="6" s="1"/>
  <c r="R1893" i="6" l="1"/>
  <c r="Q1893" i="6"/>
  <c r="P1893" i="6"/>
  <c r="O1894" i="6" s="1"/>
  <c r="T1894" i="6" s="1"/>
  <c r="R1894" i="6" l="1"/>
  <c r="Q1894" i="6"/>
  <c r="P1894" i="6"/>
  <c r="O1895" i="6" s="1"/>
  <c r="T1895" i="6" s="1"/>
  <c r="S1894" i="6"/>
  <c r="S1895" i="6" s="1"/>
  <c r="Q1895" i="6" l="1"/>
  <c r="R1895" i="6"/>
  <c r="P1895" i="6"/>
  <c r="O1896" i="6" s="1"/>
  <c r="T1896" i="6" s="1"/>
  <c r="R1896" i="6" l="1"/>
  <c r="Q1896" i="6"/>
  <c r="P1896" i="6"/>
  <c r="O1897" i="6" s="1"/>
  <c r="T1897" i="6" s="1"/>
  <c r="S1896" i="6"/>
  <c r="S1897" i="6" s="1"/>
  <c r="R1897" i="6" l="1"/>
  <c r="Q1897" i="6"/>
  <c r="P1897" i="6"/>
  <c r="O1898" i="6" s="1"/>
  <c r="T1898" i="6" s="1"/>
  <c r="R1898" i="6" l="1"/>
  <c r="Q1898" i="6"/>
  <c r="P1898" i="6"/>
  <c r="O1899" i="6" s="1"/>
  <c r="T1899" i="6" s="1"/>
  <c r="S1898" i="6"/>
  <c r="S1899" i="6" s="1"/>
  <c r="R1899" i="6" l="1"/>
  <c r="Q1899" i="6"/>
  <c r="P1899" i="6"/>
  <c r="O1900" i="6" s="1"/>
  <c r="T1900" i="6" s="1"/>
  <c r="R1900" i="6" l="1"/>
  <c r="Q1900" i="6"/>
  <c r="P1900" i="6"/>
  <c r="O1901" i="6" s="1"/>
  <c r="T1901" i="6" s="1"/>
  <c r="S1900" i="6"/>
  <c r="S1901" i="6" s="1"/>
  <c r="Q1901" i="6" l="1"/>
  <c r="R1901" i="6"/>
  <c r="P1901" i="6"/>
  <c r="O1902" i="6" s="1"/>
  <c r="T1902" i="6" s="1"/>
  <c r="R1902" i="6" l="1"/>
  <c r="Q1902" i="6"/>
  <c r="P1902" i="6"/>
  <c r="O1903" i="6" s="1"/>
  <c r="T1903" i="6" s="1"/>
  <c r="S1902" i="6"/>
  <c r="S1903" i="6" s="1"/>
  <c r="Q1903" i="6" l="1"/>
  <c r="R1903" i="6"/>
  <c r="P1903" i="6"/>
  <c r="O1904" i="6" s="1"/>
  <c r="T1904" i="6" s="1"/>
  <c r="R1904" i="6" l="1"/>
  <c r="Q1904" i="6"/>
  <c r="P1904" i="6"/>
  <c r="O1905" i="6" s="1"/>
  <c r="T1905" i="6" s="1"/>
  <c r="S1904" i="6"/>
  <c r="S1905" i="6" s="1"/>
  <c r="R1905" i="6" l="1"/>
  <c r="Q1905" i="6"/>
  <c r="P1905" i="6"/>
  <c r="O1906" i="6" s="1"/>
  <c r="T1906" i="6" s="1"/>
  <c r="R1906" i="6" l="1"/>
  <c r="Q1906" i="6"/>
  <c r="P1906" i="6"/>
  <c r="O1907" i="6" s="1"/>
  <c r="T1907" i="6" s="1"/>
  <c r="S1906" i="6"/>
  <c r="S1907" i="6" s="1"/>
  <c r="Q1907" i="6" l="1"/>
  <c r="R1907" i="6"/>
  <c r="P1907" i="6"/>
  <c r="O1908" i="6" s="1"/>
  <c r="T1908" i="6" s="1"/>
  <c r="R1908" i="6" l="1"/>
  <c r="Q1908" i="6"/>
  <c r="P1908" i="6"/>
  <c r="O1909" i="6" s="1"/>
  <c r="T1909" i="6" s="1"/>
  <c r="S1908" i="6"/>
  <c r="S1909" i="6" s="1"/>
  <c r="Q1909" i="6" l="1"/>
  <c r="R1909" i="6"/>
  <c r="P1909" i="6"/>
  <c r="O1910" i="6" s="1"/>
  <c r="T1910" i="6" s="1"/>
  <c r="R1910" i="6" l="1"/>
  <c r="Q1910" i="6"/>
  <c r="P1910" i="6"/>
  <c r="O1911" i="6" s="1"/>
  <c r="T1911" i="6" s="1"/>
  <c r="S1910" i="6"/>
  <c r="Q1911" i="6" l="1"/>
  <c r="R1911" i="6"/>
  <c r="P1911" i="6"/>
  <c r="O1912" i="6" s="1"/>
  <c r="T1912" i="6" s="1"/>
  <c r="S1911" i="6"/>
  <c r="R1912" i="6" l="1"/>
  <c r="Q1912" i="6"/>
  <c r="P1912" i="6"/>
  <c r="O1913" i="6" s="1"/>
  <c r="T1913" i="6" s="1"/>
  <c r="S1912" i="6"/>
  <c r="S1913" i="6" s="1"/>
  <c r="R1913" i="6" l="1"/>
  <c r="Q1913" i="6"/>
  <c r="P1913" i="6"/>
  <c r="O1914" i="6" s="1"/>
  <c r="T1914" i="6" s="1"/>
  <c r="Q1914" i="6" l="1"/>
  <c r="R1914" i="6"/>
  <c r="P1914" i="6"/>
  <c r="O1915" i="6" s="1"/>
  <c r="T1915" i="6" s="1"/>
  <c r="S1914" i="6"/>
  <c r="S1915" i="6" s="1"/>
  <c r="Q1915" i="6" l="1"/>
  <c r="R1915" i="6"/>
  <c r="P1915" i="6"/>
  <c r="O1916" i="6" s="1"/>
  <c r="T1916" i="6" s="1"/>
  <c r="R1916" i="6" l="1"/>
  <c r="Q1916" i="6"/>
  <c r="P1916" i="6"/>
  <c r="O1917" i="6" s="1"/>
  <c r="T1917" i="6" s="1"/>
  <c r="S1916" i="6"/>
  <c r="Q1917" i="6" l="1"/>
  <c r="R1917" i="6"/>
  <c r="P1917" i="6"/>
  <c r="O1918" i="6" s="1"/>
  <c r="T1918" i="6" s="1"/>
  <c r="S1917" i="6"/>
  <c r="S1918" i="6" l="1"/>
  <c r="R1918" i="6"/>
  <c r="Q1918" i="6"/>
  <c r="P1918" i="6"/>
  <c r="O1919" i="6" s="1"/>
  <c r="T1919" i="6" s="1"/>
  <c r="R1919" i="6" l="1"/>
  <c r="Q1919" i="6"/>
  <c r="P1919" i="6"/>
  <c r="O1920" i="6" s="1"/>
  <c r="T1920" i="6" s="1"/>
  <c r="S1919" i="6"/>
  <c r="R1920" i="6" l="1"/>
  <c r="Q1920" i="6"/>
  <c r="P1920" i="6"/>
  <c r="O1921" i="6" s="1"/>
  <c r="T1921" i="6" s="1"/>
  <c r="S1920" i="6"/>
  <c r="S1921" i="6" s="1"/>
  <c r="R1921" i="6" l="1"/>
  <c r="Q1921" i="6"/>
  <c r="P1921" i="6"/>
  <c r="O1922" i="6" s="1"/>
  <c r="T1922" i="6" s="1"/>
  <c r="R1922" i="6" l="1"/>
  <c r="Q1922" i="6"/>
  <c r="P1922" i="6"/>
  <c r="O1923" i="6" s="1"/>
  <c r="T1923" i="6" s="1"/>
  <c r="S1922" i="6"/>
  <c r="S1923" i="6" s="1"/>
  <c r="R1923" i="6" l="1"/>
  <c r="Q1923" i="6"/>
  <c r="P1923" i="6"/>
  <c r="O1924" i="6" s="1"/>
  <c r="T1924" i="6" s="1"/>
  <c r="R1924" i="6" l="1"/>
  <c r="Q1924" i="6"/>
  <c r="P1924" i="6"/>
  <c r="O1925" i="6" s="1"/>
  <c r="T1925" i="6" s="1"/>
  <c r="S1924" i="6"/>
  <c r="S1925" i="6" s="1"/>
  <c r="R1925" i="6" l="1"/>
  <c r="Q1925" i="6"/>
  <c r="P1925" i="6"/>
  <c r="O1926" i="6" s="1"/>
  <c r="T1926" i="6" s="1"/>
  <c r="R1926" i="6" l="1"/>
  <c r="Q1926" i="6"/>
  <c r="P1926" i="6"/>
  <c r="O1927" i="6" s="1"/>
  <c r="T1927" i="6" s="1"/>
  <c r="S1926" i="6"/>
  <c r="S1927" i="6" s="1"/>
  <c r="R1927" i="6" l="1"/>
  <c r="Q1927" i="6"/>
  <c r="P1927" i="6"/>
  <c r="O1928" i="6" s="1"/>
  <c r="T1928" i="6" s="1"/>
  <c r="R1928" i="6" l="1"/>
  <c r="Q1928" i="6"/>
  <c r="P1928" i="6"/>
  <c r="O1929" i="6" s="1"/>
  <c r="T1929" i="6" s="1"/>
  <c r="S1928" i="6"/>
  <c r="S1929" i="6" s="1"/>
  <c r="R1929" i="6" l="1"/>
  <c r="Q1929" i="6"/>
  <c r="P1929" i="6"/>
  <c r="O1930" i="6" s="1"/>
  <c r="T1930" i="6" s="1"/>
  <c r="R1930" i="6" l="1"/>
  <c r="Q1930" i="6"/>
  <c r="P1930" i="6"/>
  <c r="O1931" i="6" s="1"/>
  <c r="T1931" i="6" s="1"/>
  <c r="S1930" i="6"/>
  <c r="S1931" i="6" s="1"/>
  <c r="R1931" i="6" l="1"/>
  <c r="Q1931" i="6"/>
  <c r="P1931" i="6"/>
  <c r="O1932" i="6" s="1"/>
  <c r="T1932" i="6" s="1"/>
  <c r="R1932" i="6" l="1"/>
  <c r="Q1932" i="6"/>
  <c r="P1932" i="6"/>
  <c r="O1933" i="6" s="1"/>
  <c r="T1933" i="6" s="1"/>
  <c r="S1932" i="6"/>
  <c r="S1933" i="6" s="1"/>
  <c r="R1933" i="6" l="1"/>
  <c r="Q1933" i="6"/>
  <c r="P1933" i="6"/>
  <c r="O1934" i="6" s="1"/>
  <c r="T1934" i="6" s="1"/>
  <c r="R1934" i="6" l="1"/>
  <c r="Q1934" i="6"/>
  <c r="P1934" i="6"/>
  <c r="O1935" i="6" s="1"/>
  <c r="T1935" i="6" s="1"/>
  <c r="S1934" i="6"/>
  <c r="S1935" i="6" s="1"/>
  <c r="Q1935" i="6" l="1"/>
  <c r="R1935" i="6"/>
  <c r="P1935" i="6"/>
  <c r="O1936" i="6" s="1"/>
  <c r="T1936" i="6" s="1"/>
  <c r="R1936" i="6" l="1"/>
  <c r="Q1936" i="6"/>
  <c r="P1936" i="6"/>
  <c r="O1937" i="6" s="1"/>
  <c r="T1937" i="6" s="1"/>
  <c r="S1936" i="6"/>
  <c r="S1937" i="6" l="1"/>
  <c r="R1937" i="6"/>
  <c r="Q1937" i="6"/>
  <c r="P1937" i="6"/>
  <c r="O1938" i="6" s="1"/>
  <c r="T1938" i="6" s="1"/>
  <c r="R1938" i="6" l="1"/>
  <c r="Q1938" i="6"/>
  <c r="P1938" i="6"/>
  <c r="O1939" i="6" s="1"/>
  <c r="T1939" i="6" s="1"/>
  <c r="S1938" i="6"/>
  <c r="S1939" i="6" s="1"/>
  <c r="Q1939" i="6" l="1"/>
  <c r="R1939" i="6"/>
  <c r="P1939" i="6"/>
  <c r="O1940" i="6" s="1"/>
  <c r="T1940" i="6" s="1"/>
  <c r="R1940" i="6" l="1"/>
  <c r="Q1940" i="6"/>
  <c r="P1940" i="6"/>
  <c r="O1941" i="6" s="1"/>
  <c r="T1941" i="6" s="1"/>
  <c r="S1940" i="6"/>
  <c r="S1941" i="6" s="1"/>
  <c r="R1941" i="6" l="1"/>
  <c r="Q1941" i="6"/>
  <c r="P1941" i="6"/>
  <c r="O1942" i="6" s="1"/>
  <c r="T1942" i="6" s="1"/>
  <c r="Q1942" i="6" l="1"/>
  <c r="R1942" i="6"/>
  <c r="P1942" i="6"/>
  <c r="O1943" i="6" s="1"/>
  <c r="T1943" i="6" s="1"/>
  <c r="S1942" i="6"/>
  <c r="S1943" i="6" s="1"/>
  <c r="R1943" i="6" l="1"/>
  <c r="Q1943" i="6"/>
  <c r="P1943" i="6"/>
  <c r="O1944" i="6" s="1"/>
  <c r="T1944" i="6" s="1"/>
  <c r="R1944" i="6" l="1"/>
  <c r="Q1944" i="6"/>
  <c r="P1944" i="6"/>
  <c r="O1945" i="6" s="1"/>
  <c r="T1945" i="6" s="1"/>
  <c r="S1944" i="6"/>
  <c r="S1945" i="6" s="1"/>
  <c r="R1945" i="6" l="1"/>
  <c r="Q1945" i="6"/>
  <c r="P1945" i="6"/>
  <c r="O1946" i="6" s="1"/>
  <c r="T1946" i="6" s="1"/>
  <c r="R1946" i="6" l="1"/>
  <c r="Q1946" i="6"/>
  <c r="P1946" i="6"/>
  <c r="O1947" i="6" s="1"/>
  <c r="T1947" i="6" s="1"/>
  <c r="S1946" i="6"/>
  <c r="S1947" i="6" s="1"/>
  <c r="R1947" i="6" l="1"/>
  <c r="Q1947" i="6"/>
  <c r="P1947" i="6"/>
  <c r="O1948" i="6" s="1"/>
  <c r="T1948" i="6" s="1"/>
  <c r="R1948" i="6" l="1"/>
  <c r="Q1948" i="6"/>
  <c r="P1948" i="6"/>
  <c r="O1949" i="6" s="1"/>
  <c r="T1949" i="6" s="1"/>
  <c r="S1948" i="6"/>
  <c r="S1949" i="6" s="1"/>
  <c r="R1949" i="6" l="1"/>
  <c r="Q1949" i="6"/>
  <c r="P1949" i="6"/>
  <c r="O1950" i="6" s="1"/>
  <c r="T1950" i="6" s="1"/>
  <c r="R1950" i="6" l="1"/>
  <c r="Q1950" i="6"/>
  <c r="P1950" i="6"/>
  <c r="O1951" i="6" s="1"/>
  <c r="T1951" i="6" s="1"/>
  <c r="S1950" i="6"/>
  <c r="S1951" i="6" s="1"/>
  <c r="Q1951" i="6" l="1"/>
  <c r="R1951" i="6"/>
  <c r="P1951" i="6"/>
  <c r="O1952" i="6" s="1"/>
  <c r="T1952" i="6" s="1"/>
  <c r="R1952" i="6" l="1"/>
  <c r="Q1952" i="6"/>
  <c r="P1952" i="6"/>
  <c r="O1953" i="6" s="1"/>
  <c r="T1953" i="6" s="1"/>
  <c r="S1952" i="6"/>
  <c r="S1953" i="6" l="1"/>
  <c r="Q1953" i="6"/>
  <c r="R1953" i="6"/>
  <c r="P1953" i="6"/>
  <c r="O1954" i="6" s="1"/>
  <c r="T1954" i="6" s="1"/>
  <c r="Q1954" i="6" l="1"/>
  <c r="R1954" i="6"/>
  <c r="P1954" i="6"/>
  <c r="O1955" i="6" s="1"/>
  <c r="T1955" i="6" s="1"/>
  <c r="S1954" i="6"/>
  <c r="S1955" i="6" s="1"/>
  <c r="Q1955" i="6" l="1"/>
  <c r="R1955" i="6"/>
  <c r="P1955" i="6"/>
  <c r="O1956" i="6" s="1"/>
  <c r="T1956" i="6" s="1"/>
  <c r="R1956" i="6" l="1"/>
  <c r="Q1956" i="6"/>
  <c r="P1956" i="6"/>
  <c r="O1957" i="6" s="1"/>
  <c r="T1957" i="6" s="1"/>
  <c r="S1956" i="6"/>
  <c r="S1957" i="6" s="1"/>
  <c r="R1957" i="6" l="1"/>
  <c r="Q1957" i="6"/>
  <c r="P1957" i="6"/>
  <c r="O1958" i="6" s="1"/>
  <c r="T1958" i="6" s="1"/>
  <c r="R1958" i="6" l="1"/>
  <c r="Q1958" i="6"/>
  <c r="P1958" i="6"/>
  <c r="O1959" i="6" s="1"/>
  <c r="T1959" i="6" s="1"/>
  <c r="S1958" i="6"/>
  <c r="S1959" i="6" s="1"/>
  <c r="R1959" i="6" l="1"/>
  <c r="Q1959" i="6"/>
  <c r="P1959" i="6"/>
  <c r="O1960" i="6" s="1"/>
  <c r="T1960" i="6" s="1"/>
  <c r="R1960" i="6" l="1"/>
  <c r="Q1960" i="6"/>
  <c r="P1960" i="6"/>
  <c r="O1961" i="6" s="1"/>
  <c r="T1961" i="6" s="1"/>
  <c r="S1960" i="6"/>
  <c r="S1961" i="6" s="1"/>
  <c r="Q1961" i="6" l="1"/>
  <c r="R1961" i="6"/>
  <c r="P1961" i="6"/>
  <c r="O1962" i="6" s="1"/>
  <c r="T1962" i="6" s="1"/>
  <c r="R1962" i="6" l="1"/>
  <c r="Q1962" i="6"/>
  <c r="P1962" i="6"/>
  <c r="O1963" i="6" s="1"/>
  <c r="T1963" i="6" s="1"/>
  <c r="S1962" i="6"/>
  <c r="S1963" i="6" s="1"/>
  <c r="R1963" i="6" l="1"/>
  <c r="Q1963" i="6"/>
  <c r="P1963" i="6"/>
  <c r="O1964" i="6" s="1"/>
  <c r="T1964" i="6" s="1"/>
  <c r="R1964" i="6" l="1"/>
  <c r="Q1964" i="6"/>
  <c r="P1964" i="6"/>
  <c r="O1965" i="6" s="1"/>
  <c r="T1965" i="6" s="1"/>
  <c r="S1964" i="6"/>
  <c r="S1965" i="6" s="1"/>
  <c r="R1965" i="6" l="1"/>
  <c r="Q1965" i="6"/>
  <c r="P1965" i="6"/>
  <c r="O1966" i="6" s="1"/>
  <c r="T1966" i="6" s="1"/>
  <c r="R1966" i="6" l="1"/>
  <c r="Q1966" i="6"/>
  <c r="P1966" i="6"/>
  <c r="O1967" i="6" s="1"/>
  <c r="T1967" i="6" s="1"/>
  <c r="S1966" i="6"/>
  <c r="S1967" i="6" s="1"/>
  <c r="R1967" i="6" l="1"/>
  <c r="Q1967" i="6"/>
  <c r="P1967" i="6"/>
  <c r="O1968" i="6" s="1"/>
  <c r="T1968" i="6" s="1"/>
  <c r="R1968" i="6" l="1"/>
  <c r="Q1968" i="6"/>
  <c r="P1968" i="6"/>
  <c r="O1969" i="6" s="1"/>
  <c r="S1968" i="6"/>
  <c r="R1969" i="6" l="1"/>
  <c r="Q1969" i="6"/>
  <c r="P1969" i="6"/>
  <c r="O1970" i="6" s="1"/>
  <c r="T1970" i="6" s="1"/>
  <c r="S1969" i="6"/>
  <c r="T1969" i="6" s="1"/>
  <c r="R1970" i="6" l="1"/>
  <c r="Q1970" i="6"/>
  <c r="P1970" i="6"/>
  <c r="O1971" i="6" s="1"/>
  <c r="T1971" i="6" s="1"/>
  <c r="S1970" i="6"/>
  <c r="R1971" i="6" l="1"/>
  <c r="Q1971" i="6"/>
  <c r="P1971" i="6"/>
  <c r="O1972" i="6" s="1"/>
  <c r="T1972" i="6" s="1"/>
  <c r="S1971" i="6"/>
  <c r="S1972" i="6" s="1"/>
  <c r="R1972" i="6" l="1"/>
  <c r="Q1972" i="6"/>
  <c r="P1972" i="6"/>
  <c r="O1973" i="6" s="1"/>
  <c r="T1973" i="6" s="1"/>
  <c r="R1973" i="6" l="1"/>
  <c r="Q1973" i="6"/>
  <c r="P1973" i="6"/>
  <c r="O1974" i="6" s="1"/>
  <c r="T1974" i="6" s="1"/>
  <c r="S1973" i="6"/>
  <c r="S1974" i="6" s="1"/>
  <c r="R1974" i="6" l="1"/>
  <c r="Q1974" i="6"/>
  <c r="P1974" i="6"/>
  <c r="O1975" i="6" s="1"/>
  <c r="T1975" i="6" s="1"/>
  <c r="Q1975" i="6" l="1"/>
  <c r="R1975" i="6"/>
  <c r="P1975" i="6"/>
  <c r="O1976" i="6" s="1"/>
  <c r="T1976" i="6" s="1"/>
  <c r="S1975" i="6"/>
  <c r="S1976" i="6" s="1"/>
  <c r="R1976" i="6" l="1"/>
  <c r="Q1976" i="6"/>
  <c r="P1976" i="6"/>
  <c r="O1977" i="6" s="1"/>
  <c r="T1977" i="6" s="1"/>
  <c r="Q1977" i="6" l="1"/>
  <c r="R1977" i="6"/>
  <c r="P1977" i="6"/>
  <c r="O1978" i="6" s="1"/>
  <c r="T1978" i="6" s="1"/>
  <c r="S1977" i="6"/>
  <c r="S1978" i="6" s="1"/>
  <c r="R1978" i="6" l="1"/>
  <c r="Q1978" i="6"/>
  <c r="P1978" i="6"/>
  <c r="O1979" i="6" s="1"/>
  <c r="T1979" i="6" s="1"/>
  <c r="R1979" i="6" l="1"/>
  <c r="Q1979" i="6"/>
  <c r="P1979" i="6"/>
  <c r="O1980" i="6" s="1"/>
  <c r="T1980" i="6" s="1"/>
  <c r="S1979" i="6"/>
  <c r="S1980" i="6" s="1"/>
  <c r="R1980" i="6" l="1"/>
  <c r="Q1980" i="6"/>
  <c r="P1980" i="6"/>
  <c r="O1981" i="6" s="1"/>
  <c r="T1981" i="6" s="1"/>
  <c r="R1981" i="6" l="1"/>
  <c r="Q1981" i="6"/>
  <c r="P1981" i="6"/>
  <c r="O1982" i="6" s="1"/>
  <c r="T1982" i="6" s="1"/>
  <c r="S1981" i="6"/>
  <c r="R1982" i="6" l="1"/>
  <c r="Q1982" i="6"/>
  <c r="P1982" i="6"/>
  <c r="O1983" i="6" s="1"/>
  <c r="T1983" i="6" s="1"/>
  <c r="S1982" i="6"/>
  <c r="S1983" i="6" s="1"/>
  <c r="Q1983" i="6" l="1"/>
  <c r="R1983" i="6"/>
  <c r="P1983" i="6"/>
  <c r="O1984" i="6" s="1"/>
  <c r="T1984" i="6" s="1"/>
  <c r="R1984" i="6" l="1"/>
  <c r="Q1984" i="6"/>
  <c r="P1984" i="6"/>
  <c r="O1985" i="6" s="1"/>
  <c r="T1985" i="6" s="1"/>
  <c r="S1984" i="6"/>
  <c r="S1985" i="6" s="1"/>
  <c r="R1985" i="6" l="1"/>
  <c r="Q1985" i="6"/>
  <c r="P1985" i="6"/>
  <c r="O1986" i="6" s="1"/>
  <c r="T1986" i="6" s="1"/>
  <c r="R1986" i="6" l="1"/>
  <c r="Q1986" i="6"/>
  <c r="P1986" i="6"/>
  <c r="O1987" i="6" s="1"/>
  <c r="T1987" i="6" s="1"/>
  <c r="S1986" i="6"/>
  <c r="S1987" i="6" s="1"/>
  <c r="R1987" i="6" l="1"/>
  <c r="Q1987" i="6"/>
  <c r="P1987" i="6"/>
  <c r="O1988" i="6" s="1"/>
  <c r="R1988" i="6" l="1"/>
  <c r="Q1988" i="6"/>
  <c r="S1988" i="6"/>
  <c r="T1988" i="6" s="1"/>
  <c r="W8" i="6" l="1"/>
  <c r="W7" i="6"/>
  <c r="W5" i="6"/>
  <c r="W4" i="6"/>
  <c r="W3" i="6"/>
  <c r="W2" i="6"/>
  <c r="W6" i="6" l="1"/>
</calcChain>
</file>

<file path=xl/sharedStrings.xml><?xml version="1.0" encoding="utf-8"?>
<sst xmlns="http://schemas.openxmlformats.org/spreadsheetml/2006/main" count="42" uniqueCount="42">
  <si>
    <t>Date</t>
  </si>
  <si>
    <t>Open</t>
  </si>
  <si>
    <t>High</t>
  </si>
  <si>
    <t>Low</t>
  </si>
  <si>
    <t>Close</t>
  </si>
  <si>
    <t>Volume</t>
  </si>
  <si>
    <t>Signal</t>
  </si>
  <si>
    <t>Trade</t>
  </si>
  <si>
    <t>Gains</t>
  </si>
  <si>
    <t>Losses</t>
  </si>
  <si>
    <t>Avg Gain</t>
  </si>
  <si>
    <t>Avg Loss</t>
  </si>
  <si>
    <t>MAR</t>
  </si>
  <si>
    <t>RSI</t>
  </si>
  <si>
    <t>MAR = Mean Average Return</t>
  </si>
  <si>
    <t>MAR = Average Gain / Average Loss</t>
  </si>
  <si>
    <t>RSI  =  100 - (100 / ( MAR + 1 ) )</t>
  </si>
  <si>
    <t>Oversold &lt;30, Overbought &gt; 70</t>
  </si>
  <si>
    <t>Net Position</t>
  </si>
  <si>
    <t>Trade Price</t>
  </si>
  <si>
    <t>Returns</t>
  </si>
  <si>
    <t>Positive Returns</t>
  </si>
  <si>
    <t>Negative Returns</t>
  </si>
  <si>
    <t>Positive Trades</t>
  </si>
  <si>
    <t>Negative Trades</t>
  </si>
  <si>
    <t>Hit Ratio</t>
  </si>
  <si>
    <t>Average Returns</t>
  </si>
  <si>
    <t>PERFORMANCE METRICS</t>
  </si>
  <si>
    <t>&lt;--- Close Out Position for Performance Measurement</t>
  </si>
  <si>
    <t>CLOSE OUT FINAL POSITION</t>
  </si>
  <si>
    <t>At the very bottom in RED we close out the net position for performance measurement</t>
  </si>
  <si>
    <t>Don't count the returns of the very first trade setting up our postion</t>
  </si>
  <si>
    <t>INITIAL RETURN</t>
  </si>
  <si>
    <t>CALCULATION</t>
  </si>
  <si>
    <t>LABEL</t>
  </si>
  <si>
    <t>Total Returns</t>
  </si>
  <si>
    <t>RSI Buy Signal</t>
  </si>
  <si>
    <t>RSI Sell Signal</t>
  </si>
  <si>
    <t>RSI Overbought</t>
  </si>
  <si>
    <t>RSI Oversold</t>
  </si>
  <si>
    <t>This column in yellow is used to chart the RSI buy and sell signals</t>
  </si>
  <si>
    <t>RSI BUY/SELL SIGNAL COLUMNS FOR CHARTING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</si>
</sst>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0" fillId="3" borderId="0" xfId="0" applyFill="1" applyAlignment="1">
      <alignment horizontal="center"/>
    </xf>
    <xf numFmtId="0" fontId="4" fillId="0" borderId="0" xfId="0" applyFont="1"/>
    <xf numFmtId="10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2" fillId="4" borderId="0" xfId="0" applyFont="1" applyFill="1"/>
    <xf numFmtId="0" fontId="2" fillId="2" borderId="0" xfId="0" applyFont="1" applyFill="1" applyAlignment="1">
      <alignment horizontal="center" vertical="center"/>
    </xf>
  </cellXfs>
  <cellStyles count="1">
    <cellStyle name="Normal" xfId="0" builtinId="0"/>
  </cellStyles>
  <dxfs count="2">
    <dxf>
      <font>
        <color rgb="FFC00000"/>
      </font>
    </dxf>
    <dxf>
      <font>
        <color rgb="FF006600"/>
      </font>
    </dxf>
  </dxfs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'RSI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'RSI Strategy'!$E$2:$E$1988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293984"/>
        <c:axId val="173219936"/>
      </c:lineChart>
      <c:lineChart>
        <c:grouping val="standard"/>
        <c:varyColors val="0"/>
        <c:ser>
          <c:idx val="1"/>
          <c:order val="1"/>
          <c:tx>
            <c:strRef>
              <c:f>'RSI Strategy'!$L$1</c:f>
              <c:strCache>
                <c:ptCount val="1"/>
                <c:pt idx="0">
                  <c:v>RSI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cat>
          <c:val>
            <c:numRef>
              <c:f>'RSI Strategy'!$L$2:$L$1988</c:f>
              <c:numCache>
                <c:formatCode>General</c:formatCode>
                <c:ptCount val="1987"/>
                <c:pt idx="14">
                  <c:v>51.432532347504633</c:v>
                </c:pt>
                <c:pt idx="15">
                  <c:v>50.998393389947211</c:v>
                </c:pt>
                <c:pt idx="16">
                  <c:v>51.976608187134488</c:v>
                </c:pt>
                <c:pt idx="17">
                  <c:v>57.018219142930462</c:v>
                </c:pt>
                <c:pt idx="18">
                  <c:v>59.79547900968786</c:v>
                </c:pt>
                <c:pt idx="19">
                  <c:v>58.808933002481382</c:v>
                </c:pt>
                <c:pt idx="20">
                  <c:v>46.199021207177815</c:v>
                </c:pt>
                <c:pt idx="21">
                  <c:v>36.233565351894846</c:v>
                </c:pt>
                <c:pt idx="22">
                  <c:v>34.742306266221746</c:v>
                </c:pt>
                <c:pt idx="23">
                  <c:v>25.487364620938649</c:v>
                </c:pt>
                <c:pt idx="24">
                  <c:v>22.927557879014202</c:v>
                </c:pt>
                <c:pt idx="25">
                  <c:v>26.027977956761347</c:v>
                </c:pt>
                <c:pt idx="26">
                  <c:v>32.667450058754412</c:v>
                </c:pt>
                <c:pt idx="27">
                  <c:v>34.25051334702259</c:v>
                </c:pt>
                <c:pt idx="28">
                  <c:v>43.653121072475933</c:v>
                </c:pt>
                <c:pt idx="29">
                  <c:v>45.852249277754829</c:v>
                </c:pt>
                <c:pt idx="30">
                  <c:v>56.174636174636184</c:v>
                </c:pt>
                <c:pt idx="31">
                  <c:v>57.088926174496621</c:v>
                </c:pt>
                <c:pt idx="32">
                  <c:v>59.92970123022841</c:v>
                </c:pt>
                <c:pt idx="33">
                  <c:v>51.962533452274741</c:v>
                </c:pt>
                <c:pt idx="34">
                  <c:v>58.487167942368295</c:v>
                </c:pt>
                <c:pt idx="35">
                  <c:v>54.514060187469148</c:v>
                </c:pt>
                <c:pt idx="36">
                  <c:v>64.748201438848866</c:v>
                </c:pt>
                <c:pt idx="37">
                  <c:v>78.106508875739578</c:v>
                </c:pt>
                <c:pt idx="38">
                  <c:v>71.60161507402411</c:v>
                </c:pt>
                <c:pt idx="39">
                  <c:v>77.833214540270802</c:v>
                </c:pt>
                <c:pt idx="40">
                  <c:v>75.965996908809842</c:v>
                </c:pt>
                <c:pt idx="41">
                  <c:v>73.688155922038945</c:v>
                </c:pt>
                <c:pt idx="42">
                  <c:v>67.274305555555529</c:v>
                </c:pt>
                <c:pt idx="43">
                  <c:v>65.253456221198178</c:v>
                </c:pt>
                <c:pt idx="44">
                  <c:v>60.932642487046678</c:v>
                </c:pt>
                <c:pt idx="45">
                  <c:v>68.104906937394219</c:v>
                </c:pt>
                <c:pt idx="46">
                  <c:v>73.262411347517741</c:v>
                </c:pt>
                <c:pt idx="47">
                  <c:v>84.319526627218934</c:v>
                </c:pt>
                <c:pt idx="48">
                  <c:v>87.065283709578992</c:v>
                </c:pt>
                <c:pt idx="49">
                  <c:v>87.968217934165693</c:v>
                </c:pt>
                <c:pt idx="50">
                  <c:v>89.021232522009313</c:v>
                </c:pt>
                <c:pt idx="51">
                  <c:v>76.968325791855179</c:v>
                </c:pt>
                <c:pt idx="52">
                  <c:v>76.621621621621614</c:v>
                </c:pt>
                <c:pt idx="53">
                  <c:v>77.687016337059305</c:v>
                </c:pt>
                <c:pt idx="54">
                  <c:v>76.788908765652934</c:v>
                </c:pt>
                <c:pt idx="55">
                  <c:v>80.481036077705809</c:v>
                </c:pt>
                <c:pt idx="56">
                  <c:v>77.991931869116939</c:v>
                </c:pt>
                <c:pt idx="57">
                  <c:v>69.771176234443999</c:v>
                </c:pt>
                <c:pt idx="58">
                  <c:v>61.992337164750943</c:v>
                </c:pt>
                <c:pt idx="59">
                  <c:v>50.216606498194956</c:v>
                </c:pt>
                <c:pt idx="60">
                  <c:v>55.256327060350394</c:v>
                </c:pt>
                <c:pt idx="61">
                  <c:v>52.088772845952988</c:v>
                </c:pt>
                <c:pt idx="62">
                  <c:v>42.129795625672266</c:v>
                </c:pt>
                <c:pt idx="63">
                  <c:v>38.137217324645441</c:v>
                </c:pt>
                <c:pt idx="64">
                  <c:v>32.833957553058696</c:v>
                </c:pt>
                <c:pt idx="65">
                  <c:v>34.865223155103862</c:v>
                </c:pt>
                <c:pt idx="66">
                  <c:v>40.061028770706216</c:v>
                </c:pt>
                <c:pt idx="67">
                  <c:v>47.418738049713191</c:v>
                </c:pt>
                <c:pt idx="68">
                  <c:v>47.338184603600183</c:v>
                </c:pt>
                <c:pt idx="69">
                  <c:v>44.595588235294144</c:v>
                </c:pt>
                <c:pt idx="70">
                  <c:v>45.126488095238123</c:v>
                </c:pt>
                <c:pt idx="71">
                  <c:v>42.191304347826083</c:v>
                </c:pt>
                <c:pt idx="72">
                  <c:v>44.497432134996345</c:v>
                </c:pt>
                <c:pt idx="73">
                  <c:v>52.247667514843116</c:v>
                </c:pt>
                <c:pt idx="74">
                  <c:v>35.699481865285051</c:v>
                </c:pt>
                <c:pt idx="75">
                  <c:v>40.587931923672024</c:v>
                </c:pt>
                <c:pt idx="76">
                  <c:v>45.236799129014706</c:v>
                </c:pt>
                <c:pt idx="77">
                  <c:v>37.01450631726722</c:v>
                </c:pt>
                <c:pt idx="78">
                  <c:v>32.887931034482747</c:v>
                </c:pt>
                <c:pt idx="79">
                  <c:v>38.488576449912102</c:v>
                </c:pt>
                <c:pt idx="80">
                  <c:v>35.602575896964083</c:v>
                </c:pt>
                <c:pt idx="81">
                  <c:v>17.384196185286058</c:v>
                </c:pt>
                <c:pt idx="82">
                  <c:v>20.752744380554034</c:v>
                </c:pt>
                <c:pt idx="83">
                  <c:v>23.451327433628279</c:v>
                </c:pt>
                <c:pt idx="84">
                  <c:v>18.769366976538237</c:v>
                </c:pt>
                <c:pt idx="85">
                  <c:v>41.93548387096773</c:v>
                </c:pt>
                <c:pt idx="86">
                  <c:v>38.858695652173893</c:v>
                </c:pt>
                <c:pt idx="87">
                  <c:v>39.885496183206101</c:v>
                </c:pt>
                <c:pt idx="88">
                  <c:v>44.444444444444436</c:v>
                </c:pt>
                <c:pt idx="89">
                  <c:v>41.715399610136451</c:v>
                </c:pt>
                <c:pt idx="90">
                  <c:v>35.587929240374635</c:v>
                </c:pt>
                <c:pt idx="91">
                  <c:v>37.227866473149518</c:v>
                </c:pt>
                <c:pt idx="92">
                  <c:v>36.421725239616627</c:v>
                </c:pt>
                <c:pt idx="93">
                  <c:v>37.682672233820483</c:v>
                </c:pt>
                <c:pt idx="94">
                  <c:v>34.3424479166667</c:v>
                </c:pt>
                <c:pt idx="95">
                  <c:v>35.426460711887202</c:v>
                </c:pt>
                <c:pt idx="96">
                  <c:v>29.59309494451297</c:v>
                </c:pt>
                <c:pt idx="97">
                  <c:v>42.699448068238844</c:v>
                </c:pt>
                <c:pt idx="98">
                  <c:v>50.126796280642452</c:v>
                </c:pt>
                <c:pt idx="99">
                  <c:v>43.827356394795295</c:v>
                </c:pt>
                <c:pt idx="100">
                  <c:v>45.622728774364063</c:v>
                </c:pt>
                <c:pt idx="101">
                  <c:v>43.341006247944755</c:v>
                </c:pt>
                <c:pt idx="102">
                  <c:v>46.474060267163708</c:v>
                </c:pt>
                <c:pt idx="103">
                  <c:v>50.469483568075134</c:v>
                </c:pt>
                <c:pt idx="104">
                  <c:v>56.43044619422573</c:v>
                </c:pt>
                <c:pt idx="105">
                  <c:v>55.898602534936614</c:v>
                </c:pt>
                <c:pt idx="106">
                  <c:v>60.013956734124235</c:v>
                </c:pt>
                <c:pt idx="107">
                  <c:v>51.003619611714356</c:v>
                </c:pt>
                <c:pt idx="108">
                  <c:v>60.056925996204903</c:v>
                </c:pt>
                <c:pt idx="109">
                  <c:v>62.530193236714965</c:v>
                </c:pt>
                <c:pt idx="110">
                  <c:v>74.033638241369147</c:v>
                </c:pt>
                <c:pt idx="111">
                  <c:v>59.629883481836892</c:v>
                </c:pt>
                <c:pt idx="112">
                  <c:v>60.928689883913748</c:v>
                </c:pt>
                <c:pt idx="113">
                  <c:v>58.608573436401976</c:v>
                </c:pt>
                <c:pt idx="114">
                  <c:v>64.092664092664108</c:v>
                </c:pt>
                <c:pt idx="115">
                  <c:v>66.946191474493347</c:v>
                </c:pt>
                <c:pt idx="116">
                  <c:v>58.898614150255256</c:v>
                </c:pt>
                <c:pt idx="117">
                  <c:v>57.806065144140724</c:v>
                </c:pt>
                <c:pt idx="118">
                  <c:v>52.768284347231727</c:v>
                </c:pt>
                <c:pt idx="119">
                  <c:v>51.759973181361048</c:v>
                </c:pt>
                <c:pt idx="120">
                  <c:v>54.775188710206741</c:v>
                </c:pt>
                <c:pt idx="121">
                  <c:v>57.098871022921649</c:v>
                </c:pt>
                <c:pt idx="122">
                  <c:v>50.190114068441062</c:v>
                </c:pt>
                <c:pt idx="123">
                  <c:v>40.451021846370672</c:v>
                </c:pt>
                <c:pt idx="124">
                  <c:v>35.887708649468877</c:v>
                </c:pt>
                <c:pt idx="125">
                  <c:v>38.866064092029561</c:v>
                </c:pt>
                <c:pt idx="126">
                  <c:v>44.123169357867077</c:v>
                </c:pt>
                <c:pt idx="127">
                  <c:v>46.125995655322257</c:v>
                </c:pt>
                <c:pt idx="128">
                  <c:v>47.752808988764009</c:v>
                </c:pt>
                <c:pt idx="129">
                  <c:v>45.276292335115862</c:v>
                </c:pt>
                <c:pt idx="130">
                  <c:v>54.395419333108826</c:v>
                </c:pt>
                <c:pt idx="131">
                  <c:v>46.309787773202409</c:v>
                </c:pt>
                <c:pt idx="132">
                  <c:v>50.413793103448249</c:v>
                </c:pt>
                <c:pt idx="133">
                  <c:v>58.5818181818182</c:v>
                </c:pt>
                <c:pt idx="134">
                  <c:v>68.8457330415755</c:v>
                </c:pt>
                <c:pt idx="135">
                  <c:v>70.385906040268509</c:v>
                </c:pt>
                <c:pt idx="136">
                  <c:v>71.594449164542652</c:v>
                </c:pt>
                <c:pt idx="137">
                  <c:v>82.025389497980427</c:v>
                </c:pt>
                <c:pt idx="138">
                  <c:v>80.795314426633851</c:v>
                </c:pt>
                <c:pt idx="139">
                  <c:v>80.995055624227433</c:v>
                </c:pt>
                <c:pt idx="140">
                  <c:v>79.71635883905013</c:v>
                </c:pt>
                <c:pt idx="141">
                  <c:v>78.905982905982896</c:v>
                </c:pt>
                <c:pt idx="142">
                  <c:v>77.861499820595625</c:v>
                </c:pt>
                <c:pt idx="143">
                  <c:v>76.705549664192233</c:v>
                </c:pt>
                <c:pt idx="144">
                  <c:v>67.894345238095156</c:v>
                </c:pt>
                <c:pt idx="145">
                  <c:v>76.777450567942722</c:v>
                </c:pt>
                <c:pt idx="146">
                  <c:v>72.941646682653825</c:v>
                </c:pt>
                <c:pt idx="147">
                  <c:v>78.076424870466269</c:v>
                </c:pt>
                <c:pt idx="148">
                  <c:v>69.749776586237672</c:v>
                </c:pt>
                <c:pt idx="149">
                  <c:v>66.088060965283603</c:v>
                </c:pt>
                <c:pt idx="150">
                  <c:v>69.819140919366944</c:v>
                </c:pt>
                <c:pt idx="151">
                  <c:v>58.125472411186671</c:v>
                </c:pt>
                <c:pt idx="152">
                  <c:v>55.23740485683215</c:v>
                </c:pt>
                <c:pt idx="153">
                  <c:v>55.117540687160968</c:v>
                </c:pt>
                <c:pt idx="154">
                  <c:v>51.992263056092831</c:v>
                </c:pt>
                <c:pt idx="155">
                  <c:v>51.911935110081131</c:v>
                </c:pt>
                <c:pt idx="156">
                  <c:v>48.340491995314324</c:v>
                </c:pt>
                <c:pt idx="157">
                  <c:v>57.301038062283752</c:v>
                </c:pt>
                <c:pt idx="158">
                  <c:v>61.922365988909448</c:v>
                </c:pt>
                <c:pt idx="159">
                  <c:v>61.1983924004385</c:v>
                </c:pt>
                <c:pt idx="160">
                  <c:v>64.521014767133721</c:v>
                </c:pt>
                <c:pt idx="161">
                  <c:v>50.993723849372444</c:v>
                </c:pt>
                <c:pt idx="162">
                  <c:v>46.180356117174028</c:v>
                </c:pt>
                <c:pt idx="163">
                  <c:v>57.449494949494955</c:v>
                </c:pt>
                <c:pt idx="164">
                  <c:v>35.917159763313506</c:v>
                </c:pt>
                <c:pt idx="165">
                  <c:v>38.152105593965985</c:v>
                </c:pt>
                <c:pt idx="166">
                  <c:v>40.412782956058543</c:v>
                </c:pt>
                <c:pt idx="167">
                  <c:v>52.910052910052883</c:v>
                </c:pt>
                <c:pt idx="168">
                  <c:v>44.766260162601625</c:v>
                </c:pt>
                <c:pt idx="169">
                  <c:v>41.992373689227783</c:v>
                </c:pt>
                <c:pt idx="170">
                  <c:v>52.162956740865177</c:v>
                </c:pt>
                <c:pt idx="171">
                  <c:v>50.109505037231713</c:v>
                </c:pt>
                <c:pt idx="172">
                  <c:v>52.894954507857733</c:v>
                </c:pt>
                <c:pt idx="173">
                  <c:v>52.353663528448628</c:v>
                </c:pt>
                <c:pt idx="174">
                  <c:v>53.717693836978135</c:v>
                </c:pt>
                <c:pt idx="175">
                  <c:v>58.738036157391001</c:v>
                </c:pt>
                <c:pt idx="176">
                  <c:v>63.624999999999986</c:v>
                </c:pt>
                <c:pt idx="177">
                  <c:v>55.427914991384256</c:v>
                </c:pt>
                <c:pt idx="178">
                  <c:v>66.782911944202283</c:v>
                </c:pt>
                <c:pt idx="179">
                  <c:v>70.404411764705927</c:v>
                </c:pt>
                <c:pt idx="180">
                  <c:v>77.142857142857181</c:v>
                </c:pt>
                <c:pt idx="181">
                  <c:v>68.558319246558824</c:v>
                </c:pt>
                <c:pt idx="182">
                  <c:v>72.18408339689806</c:v>
                </c:pt>
                <c:pt idx="183">
                  <c:v>74.849041743239752</c:v>
                </c:pt>
                <c:pt idx="184">
                  <c:v>70.438472418670472</c:v>
                </c:pt>
                <c:pt idx="185">
                  <c:v>64.315352697095435</c:v>
                </c:pt>
                <c:pt idx="186">
                  <c:v>62.770562770562798</c:v>
                </c:pt>
                <c:pt idx="187">
                  <c:v>65.934736200060996</c:v>
                </c:pt>
                <c:pt idx="188">
                  <c:v>71.144407129940589</c:v>
                </c:pt>
                <c:pt idx="189">
                  <c:v>66.448979591836704</c:v>
                </c:pt>
                <c:pt idx="190">
                  <c:v>60.435678539888137</c:v>
                </c:pt>
                <c:pt idx="191">
                  <c:v>70.096965905536422</c:v>
                </c:pt>
                <c:pt idx="192">
                  <c:v>61.490479317137215</c:v>
                </c:pt>
                <c:pt idx="193">
                  <c:v>59.668684294361256</c:v>
                </c:pt>
                <c:pt idx="194">
                  <c:v>44.420692603676763</c:v>
                </c:pt>
                <c:pt idx="195">
                  <c:v>57.149467838963453</c:v>
                </c:pt>
                <c:pt idx="196">
                  <c:v>71.018455228981523</c:v>
                </c:pt>
                <c:pt idx="197">
                  <c:v>67.737704918032733</c:v>
                </c:pt>
                <c:pt idx="198">
                  <c:v>56.171832517672627</c:v>
                </c:pt>
                <c:pt idx="199">
                  <c:v>64.886418559690668</c:v>
                </c:pt>
                <c:pt idx="200">
                  <c:v>60.787437414656338</c:v>
                </c:pt>
                <c:pt idx="201">
                  <c:v>58.340992647058812</c:v>
                </c:pt>
                <c:pt idx="202">
                  <c:v>55.97377367654201</c:v>
                </c:pt>
                <c:pt idx="203">
                  <c:v>66.607634789452987</c:v>
                </c:pt>
                <c:pt idx="204">
                  <c:v>71.195059934616779</c:v>
                </c:pt>
                <c:pt idx="205">
                  <c:v>69.047178538390341</c:v>
                </c:pt>
                <c:pt idx="206">
                  <c:v>68.151935719503285</c:v>
                </c:pt>
                <c:pt idx="207">
                  <c:v>70.253396988615492</c:v>
                </c:pt>
                <c:pt idx="208">
                  <c:v>70.694752402069483</c:v>
                </c:pt>
                <c:pt idx="209">
                  <c:v>69.651741293532325</c:v>
                </c:pt>
                <c:pt idx="210">
                  <c:v>62.684894666069027</c:v>
                </c:pt>
                <c:pt idx="211">
                  <c:v>65.194627816981551</c:v>
                </c:pt>
                <c:pt idx="212">
                  <c:v>79.675405742821468</c:v>
                </c:pt>
                <c:pt idx="213">
                  <c:v>77.121978639685196</c:v>
                </c:pt>
                <c:pt idx="214">
                  <c:v>78.850574712643692</c:v>
                </c:pt>
                <c:pt idx="215">
                  <c:v>83.216419849311521</c:v>
                </c:pt>
                <c:pt idx="216">
                  <c:v>81.07791446983012</c:v>
                </c:pt>
                <c:pt idx="217">
                  <c:v>58.509532062391678</c:v>
                </c:pt>
                <c:pt idx="218">
                  <c:v>45.627225959635943</c:v>
                </c:pt>
                <c:pt idx="219">
                  <c:v>51.286903860711625</c:v>
                </c:pt>
                <c:pt idx="220">
                  <c:v>50.259643916913966</c:v>
                </c:pt>
                <c:pt idx="221">
                  <c:v>46.292217327459561</c:v>
                </c:pt>
                <c:pt idx="222">
                  <c:v>38.539119804400919</c:v>
                </c:pt>
                <c:pt idx="223">
                  <c:v>46.172376873661612</c:v>
                </c:pt>
                <c:pt idx="224">
                  <c:v>44.945284002084378</c:v>
                </c:pt>
                <c:pt idx="225">
                  <c:v>38.765489829319598</c:v>
                </c:pt>
                <c:pt idx="226">
                  <c:v>38.965276159403331</c:v>
                </c:pt>
                <c:pt idx="227">
                  <c:v>43.409680207432999</c:v>
                </c:pt>
                <c:pt idx="228">
                  <c:v>50.640634533251962</c:v>
                </c:pt>
                <c:pt idx="229">
                  <c:v>46.682776801405993</c:v>
                </c:pt>
                <c:pt idx="230">
                  <c:v>47.761515281963007</c:v>
                </c:pt>
                <c:pt idx="231">
                  <c:v>57.100388749142468</c:v>
                </c:pt>
                <c:pt idx="232">
                  <c:v>59.806008989827276</c:v>
                </c:pt>
                <c:pt idx="233">
                  <c:v>58.681906614786016</c:v>
                </c:pt>
                <c:pt idx="234">
                  <c:v>59.521460286137135</c:v>
                </c:pt>
                <c:pt idx="235">
                  <c:v>58.868016589412093</c:v>
                </c:pt>
                <c:pt idx="236">
                  <c:v>65.535035306898408</c:v>
                </c:pt>
                <c:pt idx="237">
                  <c:v>61.001843884449947</c:v>
                </c:pt>
                <c:pt idx="238">
                  <c:v>64.869228285437487</c:v>
                </c:pt>
                <c:pt idx="239">
                  <c:v>78.348214285714235</c:v>
                </c:pt>
                <c:pt idx="240">
                  <c:v>79.221706533380896</c:v>
                </c:pt>
                <c:pt idx="241">
                  <c:v>80.811078140454953</c:v>
                </c:pt>
                <c:pt idx="242">
                  <c:v>81.054687499999943</c:v>
                </c:pt>
                <c:pt idx="243">
                  <c:v>77.390180878552883</c:v>
                </c:pt>
                <c:pt idx="244">
                  <c:v>71.209753047827377</c:v>
                </c:pt>
                <c:pt idx="245">
                  <c:v>64.184852374839522</c:v>
                </c:pt>
                <c:pt idx="246">
                  <c:v>64.081107177341465</c:v>
                </c:pt>
                <c:pt idx="247">
                  <c:v>63.070814030443387</c:v>
                </c:pt>
                <c:pt idx="248">
                  <c:v>70.714537134811621</c:v>
                </c:pt>
                <c:pt idx="249">
                  <c:v>76.957726957726862</c:v>
                </c:pt>
                <c:pt idx="250">
                  <c:v>82.317880794701978</c:v>
                </c:pt>
                <c:pt idx="251">
                  <c:v>79.608482871125616</c:v>
                </c:pt>
                <c:pt idx="252">
                  <c:v>75.66551832132788</c:v>
                </c:pt>
                <c:pt idx="253">
                  <c:v>68.976799524092769</c:v>
                </c:pt>
                <c:pt idx="254">
                  <c:v>67.324561403508739</c:v>
                </c:pt>
                <c:pt idx="255">
                  <c:v>61.456023651145593</c:v>
                </c:pt>
                <c:pt idx="256">
                  <c:v>41.308276111311919</c:v>
                </c:pt>
                <c:pt idx="257">
                  <c:v>39.632454923717106</c:v>
                </c:pt>
                <c:pt idx="258">
                  <c:v>34.521292660827569</c:v>
                </c:pt>
                <c:pt idx="259">
                  <c:v>48.952134540750336</c:v>
                </c:pt>
                <c:pt idx="260">
                  <c:v>45.867059112092257</c:v>
                </c:pt>
                <c:pt idx="261">
                  <c:v>44.936252104883344</c:v>
                </c:pt>
                <c:pt idx="262">
                  <c:v>47.965446692430142</c:v>
                </c:pt>
                <c:pt idx="263">
                  <c:v>58.306010928961733</c:v>
                </c:pt>
                <c:pt idx="264">
                  <c:v>54.209748892171341</c:v>
                </c:pt>
                <c:pt idx="265">
                  <c:v>58.153792257838496</c:v>
                </c:pt>
                <c:pt idx="266">
                  <c:v>59.626436781609222</c:v>
                </c:pt>
                <c:pt idx="267">
                  <c:v>62.044477667725673</c:v>
                </c:pt>
                <c:pt idx="268">
                  <c:v>55.401459854014583</c:v>
                </c:pt>
                <c:pt idx="269">
                  <c:v>55.090040426313863</c:v>
                </c:pt>
                <c:pt idx="270">
                  <c:v>57.410953657602413</c:v>
                </c:pt>
                <c:pt idx="271">
                  <c:v>55.272861356932133</c:v>
                </c:pt>
                <c:pt idx="272">
                  <c:v>60.407011887971002</c:v>
                </c:pt>
                <c:pt idx="273">
                  <c:v>59.567901234567906</c:v>
                </c:pt>
                <c:pt idx="274">
                  <c:v>62.782197376908201</c:v>
                </c:pt>
                <c:pt idx="275">
                  <c:v>55.439529143725053</c:v>
                </c:pt>
                <c:pt idx="276">
                  <c:v>48.81516587677725</c:v>
                </c:pt>
                <c:pt idx="277">
                  <c:v>31.077449303689235</c:v>
                </c:pt>
                <c:pt idx="278">
                  <c:v>28.661559260928371</c:v>
                </c:pt>
                <c:pt idx="279">
                  <c:v>21.117717003567208</c:v>
                </c:pt>
                <c:pt idx="280">
                  <c:v>21.057623903248768</c:v>
                </c:pt>
                <c:pt idx="281">
                  <c:v>29.035049762007802</c:v>
                </c:pt>
                <c:pt idx="282">
                  <c:v>29.815596534103562</c:v>
                </c:pt>
                <c:pt idx="283">
                  <c:v>26.114206128133702</c:v>
                </c:pt>
                <c:pt idx="284">
                  <c:v>32.825517733872928</c:v>
                </c:pt>
                <c:pt idx="285">
                  <c:v>33.196918632643246</c:v>
                </c:pt>
                <c:pt idx="286">
                  <c:v>47.664307381193083</c:v>
                </c:pt>
                <c:pt idx="287">
                  <c:v>39.841933984193389</c:v>
                </c:pt>
                <c:pt idx="288">
                  <c:v>37.194450561550305</c:v>
                </c:pt>
                <c:pt idx="289">
                  <c:v>41.015055852355516</c:v>
                </c:pt>
                <c:pt idx="290">
                  <c:v>44.447368421052609</c:v>
                </c:pt>
                <c:pt idx="291">
                  <c:v>45.967960901439078</c:v>
                </c:pt>
                <c:pt idx="292">
                  <c:v>57.634032634032643</c:v>
                </c:pt>
                <c:pt idx="293">
                  <c:v>65.665349143610001</c:v>
                </c:pt>
                <c:pt idx="294">
                  <c:v>61.303813038130379</c:v>
                </c:pt>
                <c:pt idx="295">
                  <c:v>49.025739716141459</c:v>
                </c:pt>
                <c:pt idx="296">
                  <c:v>54.933399111988152</c:v>
                </c:pt>
                <c:pt idx="297">
                  <c:v>57.173396674584318</c:v>
                </c:pt>
                <c:pt idx="298">
                  <c:v>49.849502199583213</c:v>
                </c:pt>
                <c:pt idx="299">
                  <c:v>47.225268699276135</c:v>
                </c:pt>
                <c:pt idx="300">
                  <c:v>39.71435730393388</c:v>
                </c:pt>
                <c:pt idx="301">
                  <c:v>38.184890176200831</c:v>
                </c:pt>
                <c:pt idx="302">
                  <c:v>47.55707762557077</c:v>
                </c:pt>
                <c:pt idx="303">
                  <c:v>46.893291310220633</c:v>
                </c:pt>
                <c:pt idx="304">
                  <c:v>44.206281833616309</c:v>
                </c:pt>
                <c:pt idx="305">
                  <c:v>42.025469981807149</c:v>
                </c:pt>
                <c:pt idx="306">
                  <c:v>38.267918088737204</c:v>
                </c:pt>
                <c:pt idx="307">
                  <c:v>29.927519289221408</c:v>
                </c:pt>
                <c:pt idx="308">
                  <c:v>40.766703176341771</c:v>
                </c:pt>
                <c:pt idx="309">
                  <c:v>52.508802816901422</c:v>
                </c:pt>
                <c:pt idx="310">
                  <c:v>50.504587155963314</c:v>
                </c:pt>
                <c:pt idx="311">
                  <c:v>52.633889376646181</c:v>
                </c:pt>
                <c:pt idx="312">
                  <c:v>59.735307312696293</c:v>
                </c:pt>
                <c:pt idx="313">
                  <c:v>73.919856727109931</c:v>
                </c:pt>
                <c:pt idx="314">
                  <c:v>69.990319457889655</c:v>
                </c:pt>
                <c:pt idx="315">
                  <c:v>76.606295817162575</c:v>
                </c:pt>
                <c:pt idx="316">
                  <c:v>76.766595289079234</c:v>
                </c:pt>
                <c:pt idx="317">
                  <c:v>76.39036863413591</c:v>
                </c:pt>
                <c:pt idx="318">
                  <c:v>74.054947324932883</c:v>
                </c:pt>
                <c:pt idx="319">
                  <c:v>76.832404629232769</c:v>
                </c:pt>
                <c:pt idx="320">
                  <c:v>71.814903846153868</c:v>
                </c:pt>
                <c:pt idx="321">
                  <c:v>76.389643309795446</c:v>
                </c:pt>
                <c:pt idx="322">
                  <c:v>68.434913468773559</c:v>
                </c:pt>
                <c:pt idx="323">
                  <c:v>54.356556661428307</c:v>
                </c:pt>
                <c:pt idx="324">
                  <c:v>57.315480078380148</c:v>
                </c:pt>
                <c:pt idx="325">
                  <c:v>61.716461628588178</c:v>
                </c:pt>
                <c:pt idx="326">
                  <c:v>55.658914728682156</c:v>
                </c:pt>
                <c:pt idx="327">
                  <c:v>52.1229645411657</c:v>
                </c:pt>
                <c:pt idx="328">
                  <c:v>51.326240071931657</c:v>
                </c:pt>
                <c:pt idx="329">
                  <c:v>44.724919093851099</c:v>
                </c:pt>
                <c:pt idx="330">
                  <c:v>36.657903384817637</c:v>
                </c:pt>
                <c:pt idx="331">
                  <c:v>40.419365837026952</c:v>
                </c:pt>
                <c:pt idx="332">
                  <c:v>42.666906604282893</c:v>
                </c:pt>
                <c:pt idx="333">
                  <c:v>40.234176141184463</c:v>
                </c:pt>
                <c:pt idx="334">
                  <c:v>42.574968576045947</c:v>
                </c:pt>
                <c:pt idx="335">
                  <c:v>32.31026785714289</c:v>
                </c:pt>
                <c:pt idx="336">
                  <c:v>42.527723992254884</c:v>
                </c:pt>
                <c:pt idx="337">
                  <c:v>48.194693796130082</c:v>
                </c:pt>
                <c:pt idx="338">
                  <c:v>44.721157939548768</c:v>
                </c:pt>
                <c:pt idx="339">
                  <c:v>28.358620689655183</c:v>
                </c:pt>
                <c:pt idx="340">
                  <c:v>28.0644280644281</c:v>
                </c:pt>
                <c:pt idx="341">
                  <c:v>31.64721141374838</c:v>
                </c:pt>
                <c:pt idx="342">
                  <c:v>34.592868547099499</c:v>
                </c:pt>
                <c:pt idx="343">
                  <c:v>39.768542872172588</c:v>
                </c:pt>
                <c:pt idx="344">
                  <c:v>49.008264462809883</c:v>
                </c:pt>
                <c:pt idx="345">
                  <c:v>49.782962561041728</c:v>
                </c:pt>
                <c:pt idx="346">
                  <c:v>54.419225634178886</c:v>
                </c:pt>
                <c:pt idx="347">
                  <c:v>57.996585088218517</c:v>
                </c:pt>
                <c:pt idx="348">
                  <c:v>53.364755171510907</c:v>
                </c:pt>
                <c:pt idx="349">
                  <c:v>53.575184016824359</c:v>
                </c:pt>
                <c:pt idx="350">
                  <c:v>45.960832313341484</c:v>
                </c:pt>
                <c:pt idx="351">
                  <c:v>52.833753148614605</c:v>
                </c:pt>
                <c:pt idx="352">
                  <c:v>53.722582638245271</c:v>
                </c:pt>
                <c:pt idx="353">
                  <c:v>55.068986202759469</c:v>
                </c:pt>
                <c:pt idx="354">
                  <c:v>70.341962288271006</c:v>
                </c:pt>
                <c:pt idx="355">
                  <c:v>63.663865546218481</c:v>
                </c:pt>
                <c:pt idx="356">
                  <c:v>56.546134663341618</c:v>
                </c:pt>
                <c:pt idx="357">
                  <c:v>56.98858377044116</c:v>
                </c:pt>
                <c:pt idx="358">
                  <c:v>57.409104796822469</c:v>
                </c:pt>
                <c:pt idx="359">
                  <c:v>55.306187880731038</c:v>
                </c:pt>
                <c:pt idx="360">
                  <c:v>53.764510779436108</c:v>
                </c:pt>
                <c:pt idx="361">
                  <c:v>57.802273510161911</c:v>
                </c:pt>
                <c:pt idx="362">
                  <c:v>58.918539325842602</c:v>
                </c:pt>
                <c:pt idx="363">
                  <c:v>72.816952868103684</c:v>
                </c:pt>
                <c:pt idx="364">
                  <c:v>67.76556776556771</c:v>
                </c:pt>
                <c:pt idx="365">
                  <c:v>52.052238805970184</c:v>
                </c:pt>
                <c:pt idx="366">
                  <c:v>39.058100844637842</c:v>
                </c:pt>
                <c:pt idx="367">
                  <c:v>30.906324712019128</c:v>
                </c:pt>
                <c:pt idx="368">
                  <c:v>36.228686058174524</c:v>
                </c:pt>
                <c:pt idx="369">
                  <c:v>34.094770624882031</c:v>
                </c:pt>
                <c:pt idx="370">
                  <c:v>39.512752188808562</c:v>
                </c:pt>
                <c:pt idx="371">
                  <c:v>45.432692307692328</c:v>
                </c:pt>
                <c:pt idx="372">
                  <c:v>45.036319612590788</c:v>
                </c:pt>
                <c:pt idx="373">
                  <c:v>45.282369146005493</c:v>
                </c:pt>
                <c:pt idx="374">
                  <c:v>47.261865250580819</c:v>
                </c:pt>
                <c:pt idx="375">
                  <c:v>49.20076726342711</c:v>
                </c:pt>
                <c:pt idx="376">
                  <c:v>52.707110241356837</c:v>
                </c:pt>
                <c:pt idx="377">
                  <c:v>49.099478202322857</c:v>
                </c:pt>
                <c:pt idx="378">
                  <c:v>49.190556492411474</c:v>
                </c:pt>
                <c:pt idx="379">
                  <c:v>55.932521087160225</c:v>
                </c:pt>
                <c:pt idx="380">
                  <c:v>68.221941992433784</c:v>
                </c:pt>
                <c:pt idx="381">
                  <c:v>73.025871766029255</c:v>
                </c:pt>
                <c:pt idx="382">
                  <c:v>62.487487487487506</c:v>
                </c:pt>
                <c:pt idx="383">
                  <c:v>66.462603140803793</c:v>
                </c:pt>
                <c:pt idx="384">
                  <c:v>64.616680707666347</c:v>
                </c:pt>
                <c:pt idx="385">
                  <c:v>45.68090992929605</c:v>
                </c:pt>
                <c:pt idx="386">
                  <c:v>48.678478071449334</c:v>
                </c:pt>
                <c:pt idx="387">
                  <c:v>42.371541501976282</c:v>
                </c:pt>
                <c:pt idx="388">
                  <c:v>42.112228692429881</c:v>
                </c:pt>
                <c:pt idx="389">
                  <c:v>35.79467471863849</c:v>
                </c:pt>
                <c:pt idx="390">
                  <c:v>31.190669921345247</c:v>
                </c:pt>
                <c:pt idx="391">
                  <c:v>36.164021164021193</c:v>
                </c:pt>
                <c:pt idx="392">
                  <c:v>39.550858652575982</c:v>
                </c:pt>
                <c:pt idx="393">
                  <c:v>39.994754786257595</c:v>
                </c:pt>
                <c:pt idx="394">
                  <c:v>36.462093862815898</c:v>
                </c:pt>
                <c:pt idx="395">
                  <c:v>37.860438292964226</c:v>
                </c:pt>
                <c:pt idx="396">
                  <c:v>44.075972264094048</c:v>
                </c:pt>
                <c:pt idx="397">
                  <c:v>46.769033909149108</c:v>
                </c:pt>
                <c:pt idx="398">
                  <c:v>44.147582697201067</c:v>
                </c:pt>
                <c:pt idx="399">
                  <c:v>45.612882024318075</c:v>
                </c:pt>
                <c:pt idx="400">
                  <c:v>32.605682605682631</c:v>
                </c:pt>
                <c:pt idx="401">
                  <c:v>29.187344913151421</c:v>
                </c:pt>
                <c:pt idx="402">
                  <c:v>16.121730382293833</c:v>
                </c:pt>
                <c:pt idx="403">
                  <c:v>13.829557713052921</c:v>
                </c:pt>
                <c:pt idx="404">
                  <c:v>21.277478224803033</c:v>
                </c:pt>
                <c:pt idx="405">
                  <c:v>17.143462598008057</c:v>
                </c:pt>
                <c:pt idx="406">
                  <c:v>13.025129483982369</c:v>
                </c:pt>
                <c:pt idx="407">
                  <c:v>19.709580308128224</c:v>
                </c:pt>
                <c:pt idx="408">
                  <c:v>25.95133104687244</c:v>
                </c:pt>
                <c:pt idx="409">
                  <c:v>24.363692118981916</c:v>
                </c:pt>
                <c:pt idx="410">
                  <c:v>20.451640391989784</c:v>
                </c:pt>
                <c:pt idx="411">
                  <c:v>19.933554817275748</c:v>
                </c:pt>
                <c:pt idx="412">
                  <c:v>32.262287278352971</c:v>
                </c:pt>
                <c:pt idx="413">
                  <c:v>32.362420914408503</c:v>
                </c:pt>
                <c:pt idx="414">
                  <c:v>32.54111151122315</c:v>
                </c:pt>
                <c:pt idx="415">
                  <c:v>35.614818707304252</c:v>
                </c:pt>
                <c:pt idx="416">
                  <c:v>51.785043216835781</c:v>
                </c:pt>
                <c:pt idx="417">
                  <c:v>60.17304667016257</c:v>
                </c:pt>
                <c:pt idx="418">
                  <c:v>54.974506471434182</c:v>
                </c:pt>
                <c:pt idx="419">
                  <c:v>56.453511180855237</c:v>
                </c:pt>
                <c:pt idx="420">
                  <c:v>62.137959983209747</c:v>
                </c:pt>
                <c:pt idx="421">
                  <c:v>58.597962852007178</c:v>
                </c:pt>
                <c:pt idx="422">
                  <c:v>55.783074708046705</c:v>
                </c:pt>
                <c:pt idx="423">
                  <c:v>59.101694915254214</c:v>
                </c:pt>
                <c:pt idx="424">
                  <c:v>59.719129988011638</c:v>
                </c:pt>
                <c:pt idx="425">
                  <c:v>63.092355586302325</c:v>
                </c:pt>
                <c:pt idx="426">
                  <c:v>56.784123126771966</c:v>
                </c:pt>
                <c:pt idx="427">
                  <c:v>65.547043802789233</c:v>
                </c:pt>
                <c:pt idx="428">
                  <c:v>65.086795396918291</c:v>
                </c:pt>
                <c:pt idx="429">
                  <c:v>63.17682695948502</c:v>
                </c:pt>
                <c:pt idx="430">
                  <c:v>58.234915181447278</c:v>
                </c:pt>
                <c:pt idx="431">
                  <c:v>50.244988864142528</c:v>
                </c:pt>
                <c:pt idx="432">
                  <c:v>44.532175286221872</c:v>
                </c:pt>
                <c:pt idx="433">
                  <c:v>42.57347100873708</c:v>
                </c:pt>
                <c:pt idx="434">
                  <c:v>42.675916749256693</c:v>
                </c:pt>
                <c:pt idx="435">
                  <c:v>51.629970984809688</c:v>
                </c:pt>
                <c:pt idx="436">
                  <c:v>52.006773920406452</c:v>
                </c:pt>
                <c:pt idx="437">
                  <c:v>57.860110803324105</c:v>
                </c:pt>
                <c:pt idx="438">
                  <c:v>59.129511677282352</c:v>
                </c:pt>
                <c:pt idx="439">
                  <c:v>58.830867937978951</c:v>
                </c:pt>
                <c:pt idx="440">
                  <c:v>55.890777162497606</c:v>
                </c:pt>
                <c:pt idx="441">
                  <c:v>50.378787878787875</c:v>
                </c:pt>
                <c:pt idx="442">
                  <c:v>54.549431321084839</c:v>
                </c:pt>
                <c:pt idx="443">
                  <c:v>59.923420548819394</c:v>
                </c:pt>
                <c:pt idx="444">
                  <c:v>46.09589041095888</c:v>
                </c:pt>
                <c:pt idx="445">
                  <c:v>57.322348094747646</c:v>
                </c:pt>
                <c:pt idx="446">
                  <c:v>73.715939233180535</c:v>
                </c:pt>
                <c:pt idx="447">
                  <c:v>79.407558733401359</c:v>
                </c:pt>
                <c:pt idx="448">
                  <c:v>74.454581515271656</c:v>
                </c:pt>
                <c:pt idx="449">
                  <c:v>48.814363143631439</c:v>
                </c:pt>
                <c:pt idx="450">
                  <c:v>50.173124484748541</c:v>
                </c:pt>
                <c:pt idx="451">
                  <c:v>47.182978723404268</c:v>
                </c:pt>
                <c:pt idx="452">
                  <c:v>52.285558186122728</c:v>
                </c:pt>
                <c:pt idx="453">
                  <c:v>56.106550510973364</c:v>
                </c:pt>
                <c:pt idx="454">
                  <c:v>58.373053701938346</c:v>
                </c:pt>
                <c:pt idx="455">
                  <c:v>58.308205046817974</c:v>
                </c:pt>
                <c:pt idx="456">
                  <c:v>60.866974527037087</c:v>
                </c:pt>
                <c:pt idx="457">
                  <c:v>57.856703567035652</c:v>
                </c:pt>
                <c:pt idx="458">
                  <c:v>60.949141561386476</c:v>
                </c:pt>
                <c:pt idx="459">
                  <c:v>55.108416023520753</c:v>
                </c:pt>
                <c:pt idx="460">
                  <c:v>52.353506243996158</c:v>
                </c:pt>
                <c:pt idx="461">
                  <c:v>42.308551015851748</c:v>
                </c:pt>
                <c:pt idx="462">
                  <c:v>46.518105849582177</c:v>
                </c:pt>
                <c:pt idx="463">
                  <c:v>80.532786885245912</c:v>
                </c:pt>
                <c:pt idx="464">
                  <c:v>79.503775620280464</c:v>
                </c:pt>
                <c:pt idx="465">
                  <c:v>80.341569767441882</c:v>
                </c:pt>
                <c:pt idx="466">
                  <c:v>77.27771679473112</c:v>
                </c:pt>
                <c:pt idx="467">
                  <c:v>66.461808604038623</c:v>
                </c:pt>
                <c:pt idx="468">
                  <c:v>58.496395468589093</c:v>
                </c:pt>
                <c:pt idx="469">
                  <c:v>46.2164361269324</c:v>
                </c:pt>
                <c:pt idx="470">
                  <c:v>26.735218508997448</c:v>
                </c:pt>
                <c:pt idx="471">
                  <c:v>36.490250696378801</c:v>
                </c:pt>
                <c:pt idx="472">
                  <c:v>33.260790714544754</c:v>
                </c:pt>
                <c:pt idx="473">
                  <c:v>45.460030165912528</c:v>
                </c:pt>
                <c:pt idx="474">
                  <c:v>39.285714285714299</c:v>
                </c:pt>
                <c:pt idx="475">
                  <c:v>47.324810606060609</c:v>
                </c:pt>
                <c:pt idx="476">
                  <c:v>47.162194253146502</c:v>
                </c:pt>
                <c:pt idx="477">
                  <c:v>48.279869827986957</c:v>
                </c:pt>
                <c:pt idx="478">
                  <c:v>50.839593460008828</c:v>
                </c:pt>
                <c:pt idx="479">
                  <c:v>59.291869614087666</c:v>
                </c:pt>
                <c:pt idx="480">
                  <c:v>60.635696821515893</c:v>
                </c:pt>
                <c:pt idx="481">
                  <c:v>61.976163014225307</c:v>
                </c:pt>
                <c:pt idx="482">
                  <c:v>62.011925370263484</c:v>
                </c:pt>
                <c:pt idx="483">
                  <c:v>68.131868131868217</c:v>
                </c:pt>
                <c:pt idx="484">
                  <c:v>75.127692649344922</c:v>
                </c:pt>
                <c:pt idx="485">
                  <c:v>72.825830780108504</c:v>
                </c:pt>
                <c:pt idx="486">
                  <c:v>80.59587471352188</c:v>
                </c:pt>
                <c:pt idx="487">
                  <c:v>77.171959257040243</c:v>
                </c:pt>
                <c:pt idx="488">
                  <c:v>73.515981735159826</c:v>
                </c:pt>
                <c:pt idx="489">
                  <c:v>67.99347471451884</c:v>
                </c:pt>
                <c:pt idx="490">
                  <c:v>62.614173228346459</c:v>
                </c:pt>
                <c:pt idx="491">
                  <c:v>63.330244053135651</c:v>
                </c:pt>
                <c:pt idx="492">
                  <c:v>55.648395721925169</c:v>
                </c:pt>
                <c:pt idx="493">
                  <c:v>40.679481448368385</c:v>
                </c:pt>
                <c:pt idx="494">
                  <c:v>52.657866571530526</c:v>
                </c:pt>
                <c:pt idx="495">
                  <c:v>49.966147596479381</c:v>
                </c:pt>
                <c:pt idx="496">
                  <c:v>47.307692307692342</c:v>
                </c:pt>
                <c:pt idx="497">
                  <c:v>47.828904731043409</c:v>
                </c:pt>
                <c:pt idx="498">
                  <c:v>43.494055482166516</c:v>
                </c:pt>
                <c:pt idx="499">
                  <c:v>49.970184853905742</c:v>
                </c:pt>
                <c:pt idx="500">
                  <c:v>54.140475539764921</c:v>
                </c:pt>
                <c:pt idx="501">
                  <c:v>47.710843373493972</c:v>
                </c:pt>
                <c:pt idx="502">
                  <c:v>57.457922228670938</c:v>
                </c:pt>
                <c:pt idx="503">
                  <c:v>57.474600870827288</c:v>
                </c:pt>
                <c:pt idx="504">
                  <c:v>61.860042411390531</c:v>
                </c:pt>
                <c:pt idx="505">
                  <c:v>54.490592829250929</c:v>
                </c:pt>
                <c:pt idx="506">
                  <c:v>54.89985693848358</c:v>
                </c:pt>
                <c:pt idx="507">
                  <c:v>43.80952380952376</c:v>
                </c:pt>
                <c:pt idx="508">
                  <c:v>22.374301675977563</c:v>
                </c:pt>
                <c:pt idx="509">
                  <c:v>23.043728423475173</c:v>
                </c:pt>
                <c:pt idx="510">
                  <c:v>34.027777777777757</c:v>
                </c:pt>
                <c:pt idx="511">
                  <c:v>33.676975945017148</c:v>
                </c:pt>
                <c:pt idx="512">
                  <c:v>30.061349693251501</c:v>
                </c:pt>
                <c:pt idx="513">
                  <c:v>23.515805705474179</c:v>
                </c:pt>
                <c:pt idx="514">
                  <c:v>17.103064066852397</c:v>
                </c:pt>
                <c:pt idx="515">
                  <c:v>19.591576260370161</c:v>
                </c:pt>
                <c:pt idx="516">
                  <c:v>25.014997000599905</c:v>
                </c:pt>
                <c:pt idx="517">
                  <c:v>29.411764705882334</c:v>
                </c:pt>
                <c:pt idx="518">
                  <c:v>32.394366197183118</c:v>
                </c:pt>
                <c:pt idx="519">
                  <c:v>33.706943685073838</c:v>
                </c:pt>
                <c:pt idx="520">
                  <c:v>41.649797570850218</c:v>
                </c:pt>
                <c:pt idx="521">
                  <c:v>47.599768652400243</c:v>
                </c:pt>
                <c:pt idx="522">
                  <c:v>70.214236351071136</c:v>
                </c:pt>
                <c:pt idx="523">
                  <c:v>76.079027355623055</c:v>
                </c:pt>
                <c:pt idx="524">
                  <c:v>75.881091020533177</c:v>
                </c:pt>
                <c:pt idx="525">
                  <c:v>79.054680259499492</c:v>
                </c:pt>
                <c:pt idx="526">
                  <c:v>96.08220937700699</c:v>
                </c:pt>
                <c:pt idx="527">
                  <c:v>96.647363608655894</c:v>
                </c:pt>
                <c:pt idx="528">
                  <c:v>96.664645239539112</c:v>
                </c:pt>
                <c:pt idx="529">
                  <c:v>93.325526932084259</c:v>
                </c:pt>
                <c:pt idx="530">
                  <c:v>89.667673716012018</c:v>
                </c:pt>
                <c:pt idx="531">
                  <c:v>90.382452193475743</c:v>
                </c:pt>
                <c:pt idx="532">
                  <c:v>81.805782869612599</c:v>
                </c:pt>
                <c:pt idx="533">
                  <c:v>81.845400108873122</c:v>
                </c:pt>
                <c:pt idx="534">
                  <c:v>80.536912751677789</c:v>
                </c:pt>
                <c:pt idx="535">
                  <c:v>83.793386171084947</c:v>
                </c:pt>
                <c:pt idx="536">
                  <c:v>82.670952659263548</c:v>
                </c:pt>
                <c:pt idx="537">
                  <c:v>81.204437400950837</c:v>
                </c:pt>
                <c:pt idx="538">
                  <c:v>68.970013037809622</c:v>
                </c:pt>
                <c:pt idx="539">
                  <c:v>58.16881258941342</c:v>
                </c:pt>
                <c:pt idx="540">
                  <c:v>50.729232720355085</c:v>
                </c:pt>
                <c:pt idx="541">
                  <c:v>47.021839841164798</c:v>
                </c:pt>
                <c:pt idx="542">
                  <c:v>44.567776656575823</c:v>
                </c:pt>
                <c:pt idx="543">
                  <c:v>47.43138634764253</c:v>
                </c:pt>
                <c:pt idx="544">
                  <c:v>45.69491525423728</c:v>
                </c:pt>
                <c:pt idx="545">
                  <c:v>34.908536585365923</c:v>
                </c:pt>
                <c:pt idx="546">
                  <c:v>36.905721192586654</c:v>
                </c:pt>
                <c:pt idx="547">
                  <c:v>42.595307917888569</c:v>
                </c:pt>
                <c:pt idx="548">
                  <c:v>33.739837398374036</c:v>
                </c:pt>
                <c:pt idx="549">
                  <c:v>30.267379679144483</c:v>
                </c:pt>
                <c:pt idx="550">
                  <c:v>19.971469329529327</c:v>
                </c:pt>
                <c:pt idx="551">
                  <c:v>19.489092996555783</c:v>
                </c:pt>
                <c:pt idx="552">
                  <c:v>24.55274521900067</c:v>
                </c:pt>
                <c:pt idx="553">
                  <c:v>21.61281563942444</c:v>
                </c:pt>
                <c:pt idx="554">
                  <c:v>27.36486486486487</c:v>
                </c:pt>
                <c:pt idx="555">
                  <c:v>40.50660316085736</c:v>
                </c:pt>
                <c:pt idx="556">
                  <c:v>39.539306846999168</c:v>
                </c:pt>
                <c:pt idx="557">
                  <c:v>43.312859124232226</c:v>
                </c:pt>
                <c:pt idx="558">
                  <c:v>41.354521377222859</c:v>
                </c:pt>
                <c:pt idx="559">
                  <c:v>44.993569722579473</c:v>
                </c:pt>
                <c:pt idx="560">
                  <c:v>44.911058133137736</c:v>
                </c:pt>
                <c:pt idx="561">
                  <c:v>38.009613672779089</c:v>
                </c:pt>
                <c:pt idx="562">
                  <c:v>46.495933552517741</c:v>
                </c:pt>
                <c:pt idx="563">
                  <c:v>49.551313427965411</c:v>
                </c:pt>
                <c:pt idx="564">
                  <c:v>54.183764495985727</c:v>
                </c:pt>
                <c:pt idx="565">
                  <c:v>52.715890259620693</c:v>
                </c:pt>
                <c:pt idx="566">
                  <c:v>49.026959471522936</c:v>
                </c:pt>
                <c:pt idx="567">
                  <c:v>57.113144758735444</c:v>
                </c:pt>
                <c:pt idx="568">
                  <c:v>50.66151027885202</c:v>
                </c:pt>
                <c:pt idx="569">
                  <c:v>39.559659090909129</c:v>
                </c:pt>
                <c:pt idx="570">
                  <c:v>31.350844277673559</c:v>
                </c:pt>
                <c:pt idx="571">
                  <c:v>27.11155378486059</c:v>
                </c:pt>
                <c:pt idx="572">
                  <c:v>35.796024894599483</c:v>
                </c:pt>
                <c:pt idx="573">
                  <c:v>34.08903544929926</c:v>
                </c:pt>
                <c:pt idx="574">
                  <c:v>36.96245017830924</c:v>
                </c:pt>
                <c:pt idx="575">
                  <c:v>38.480017471063569</c:v>
                </c:pt>
                <c:pt idx="576">
                  <c:v>26.823320771447626</c:v>
                </c:pt>
                <c:pt idx="577">
                  <c:v>49.992425390092421</c:v>
                </c:pt>
                <c:pt idx="578">
                  <c:v>48.968689716575156</c:v>
                </c:pt>
                <c:pt idx="579">
                  <c:v>52.249375173562903</c:v>
                </c:pt>
                <c:pt idx="580">
                  <c:v>55.618135736412292</c:v>
                </c:pt>
                <c:pt idx="581">
                  <c:v>56.53356233004147</c:v>
                </c:pt>
                <c:pt idx="582">
                  <c:v>64.428191489361694</c:v>
                </c:pt>
                <c:pt idx="583">
                  <c:v>67.375704766786214</c:v>
                </c:pt>
                <c:pt idx="584">
                  <c:v>81.129293822792235</c:v>
                </c:pt>
                <c:pt idx="585">
                  <c:v>80.408283154648217</c:v>
                </c:pt>
                <c:pt idx="586">
                  <c:v>78.24403840198201</c:v>
                </c:pt>
                <c:pt idx="587">
                  <c:v>63.266881028938904</c:v>
                </c:pt>
                <c:pt idx="588">
                  <c:v>65.017148456638878</c:v>
                </c:pt>
                <c:pt idx="589">
                  <c:v>67.981033191914122</c:v>
                </c:pt>
                <c:pt idx="590">
                  <c:v>72.006344171292611</c:v>
                </c:pt>
                <c:pt idx="591">
                  <c:v>56.270985581670942</c:v>
                </c:pt>
                <c:pt idx="592">
                  <c:v>61.992619926199268</c:v>
                </c:pt>
                <c:pt idx="593">
                  <c:v>56.856665871690929</c:v>
                </c:pt>
                <c:pt idx="594">
                  <c:v>54.462072384729808</c:v>
                </c:pt>
                <c:pt idx="595">
                  <c:v>52.08629682313898</c:v>
                </c:pt>
                <c:pt idx="596">
                  <c:v>38.842482100238684</c:v>
                </c:pt>
                <c:pt idx="597">
                  <c:v>36.650185414091418</c:v>
                </c:pt>
                <c:pt idx="598">
                  <c:v>31.961500165947555</c:v>
                </c:pt>
                <c:pt idx="599">
                  <c:v>31.750741839762597</c:v>
                </c:pt>
                <c:pt idx="600">
                  <c:v>32.36974789915962</c:v>
                </c:pt>
                <c:pt idx="601">
                  <c:v>64.981273408239716</c:v>
                </c:pt>
                <c:pt idx="602">
                  <c:v>60.437235543018318</c:v>
                </c:pt>
                <c:pt idx="603">
                  <c:v>56.24024960998441</c:v>
                </c:pt>
                <c:pt idx="604">
                  <c:v>60.879284649776402</c:v>
                </c:pt>
                <c:pt idx="605">
                  <c:v>49.187236604455066</c:v>
                </c:pt>
                <c:pt idx="606">
                  <c:v>43.062200956937822</c:v>
                </c:pt>
                <c:pt idx="607">
                  <c:v>51.484674329501871</c:v>
                </c:pt>
                <c:pt idx="608">
                  <c:v>61.417939678809269</c:v>
                </c:pt>
                <c:pt idx="609">
                  <c:v>61.6110019646365</c:v>
                </c:pt>
                <c:pt idx="610">
                  <c:v>58.031088082901569</c:v>
                </c:pt>
                <c:pt idx="611">
                  <c:v>53.864930838079729</c:v>
                </c:pt>
                <c:pt idx="612">
                  <c:v>58.41584158415835</c:v>
                </c:pt>
                <c:pt idx="613">
                  <c:v>60.726194886995195</c:v>
                </c:pt>
                <c:pt idx="614">
                  <c:v>62.037708484409023</c:v>
                </c:pt>
                <c:pt idx="615">
                  <c:v>65.660872417185985</c:v>
                </c:pt>
                <c:pt idx="616">
                  <c:v>55.522682445759436</c:v>
                </c:pt>
                <c:pt idx="617">
                  <c:v>59.899229401304126</c:v>
                </c:pt>
                <c:pt idx="618">
                  <c:v>52.012969467711436</c:v>
                </c:pt>
                <c:pt idx="619">
                  <c:v>49.85754985754987</c:v>
                </c:pt>
                <c:pt idx="620">
                  <c:v>55.285190999476725</c:v>
                </c:pt>
                <c:pt idx="621">
                  <c:v>47.49421742482653</c:v>
                </c:pt>
                <c:pt idx="622">
                  <c:v>45.737051792828638</c:v>
                </c:pt>
                <c:pt idx="623">
                  <c:v>51.720487030174702</c:v>
                </c:pt>
                <c:pt idx="624">
                  <c:v>57.288135593220289</c:v>
                </c:pt>
                <c:pt idx="625">
                  <c:v>60.568127106403473</c:v>
                </c:pt>
                <c:pt idx="626">
                  <c:v>52.687662798958115</c:v>
                </c:pt>
                <c:pt idx="627">
                  <c:v>47.597204019222367</c:v>
                </c:pt>
                <c:pt idx="628">
                  <c:v>48.684491978609607</c:v>
                </c:pt>
                <c:pt idx="629">
                  <c:v>42.844304650640275</c:v>
                </c:pt>
                <c:pt idx="630">
                  <c:v>47.807835820895505</c:v>
                </c:pt>
                <c:pt idx="631">
                  <c:v>46.523297491039443</c:v>
                </c:pt>
                <c:pt idx="632">
                  <c:v>52.337184873949603</c:v>
                </c:pt>
                <c:pt idx="633">
                  <c:v>60.375643744319895</c:v>
                </c:pt>
                <c:pt idx="634">
                  <c:v>50.716493397021623</c:v>
                </c:pt>
                <c:pt idx="635">
                  <c:v>59.347265960492436</c:v>
                </c:pt>
                <c:pt idx="636">
                  <c:v>43.004789513486273</c:v>
                </c:pt>
                <c:pt idx="637">
                  <c:v>35.398655139289161</c:v>
                </c:pt>
                <c:pt idx="638">
                  <c:v>34.533949866147495</c:v>
                </c:pt>
                <c:pt idx="639">
                  <c:v>30.148013502986217</c:v>
                </c:pt>
                <c:pt idx="640">
                  <c:v>40.742624618514725</c:v>
                </c:pt>
                <c:pt idx="641">
                  <c:v>43.21553817102776</c:v>
                </c:pt>
                <c:pt idx="642">
                  <c:v>39.368131868131918</c:v>
                </c:pt>
                <c:pt idx="643">
                  <c:v>42.32167832167837</c:v>
                </c:pt>
                <c:pt idx="644">
                  <c:v>36.768652710681707</c:v>
                </c:pt>
                <c:pt idx="645">
                  <c:v>41.53846153846149</c:v>
                </c:pt>
                <c:pt idx="646">
                  <c:v>42.508540751586125</c:v>
                </c:pt>
                <c:pt idx="647">
                  <c:v>46.579500350221835</c:v>
                </c:pt>
                <c:pt idx="648">
                  <c:v>47.308513161014957</c:v>
                </c:pt>
                <c:pt idx="649">
                  <c:v>45.963035019455212</c:v>
                </c:pt>
                <c:pt idx="650">
                  <c:v>58.813003280644281</c:v>
                </c:pt>
                <c:pt idx="651">
                  <c:v>63.942931258106377</c:v>
                </c:pt>
                <c:pt idx="652">
                  <c:v>69.102528480133387</c:v>
                </c:pt>
                <c:pt idx="653">
                  <c:v>62.744579587519866</c:v>
                </c:pt>
                <c:pt idx="654">
                  <c:v>59.971590909090956</c:v>
                </c:pt>
                <c:pt idx="655">
                  <c:v>67.398202009518798</c:v>
                </c:pt>
                <c:pt idx="656">
                  <c:v>64.450063211125141</c:v>
                </c:pt>
                <c:pt idx="657">
                  <c:v>64.105182537656376</c:v>
                </c:pt>
                <c:pt idx="658">
                  <c:v>67.499999999999972</c:v>
                </c:pt>
                <c:pt idx="659">
                  <c:v>65.298507462686558</c:v>
                </c:pt>
                <c:pt idx="660">
                  <c:v>67.939538583930002</c:v>
                </c:pt>
                <c:pt idx="661">
                  <c:v>63.121924548933841</c:v>
                </c:pt>
                <c:pt idx="662">
                  <c:v>75.242718446601927</c:v>
                </c:pt>
                <c:pt idx="663">
                  <c:v>73.930374701036357</c:v>
                </c:pt>
                <c:pt idx="664">
                  <c:v>72.405470635559112</c:v>
                </c:pt>
                <c:pt idx="665">
                  <c:v>79.200574437529909</c:v>
                </c:pt>
                <c:pt idx="666">
                  <c:v>71.850013785497609</c:v>
                </c:pt>
                <c:pt idx="667">
                  <c:v>80.982400840556778</c:v>
                </c:pt>
                <c:pt idx="668">
                  <c:v>70.898437499999915</c:v>
                </c:pt>
                <c:pt idx="669">
                  <c:v>65.30720338983042</c:v>
                </c:pt>
                <c:pt idx="670">
                  <c:v>70.935130581297273</c:v>
                </c:pt>
                <c:pt idx="671">
                  <c:v>74.073146292585051</c:v>
                </c:pt>
                <c:pt idx="672">
                  <c:v>77.21641972309925</c:v>
                </c:pt>
                <c:pt idx="673">
                  <c:v>76.770678553739401</c:v>
                </c:pt>
                <c:pt idx="674">
                  <c:v>74.127986816808459</c:v>
                </c:pt>
                <c:pt idx="675">
                  <c:v>70.988953182535425</c:v>
                </c:pt>
                <c:pt idx="676">
                  <c:v>69.275766016713021</c:v>
                </c:pt>
                <c:pt idx="677">
                  <c:v>72.880934625901048</c:v>
                </c:pt>
                <c:pt idx="678">
                  <c:v>74.125527164475244</c:v>
                </c:pt>
                <c:pt idx="679">
                  <c:v>67.700626067159817</c:v>
                </c:pt>
                <c:pt idx="680">
                  <c:v>49.749058971141771</c:v>
                </c:pt>
                <c:pt idx="681">
                  <c:v>36.924868957483973</c:v>
                </c:pt>
                <c:pt idx="682">
                  <c:v>45.757753071971919</c:v>
                </c:pt>
                <c:pt idx="683">
                  <c:v>43.703427719821178</c:v>
                </c:pt>
                <c:pt idx="684">
                  <c:v>40.821428571428605</c:v>
                </c:pt>
                <c:pt idx="685">
                  <c:v>36.293733179546344</c:v>
                </c:pt>
                <c:pt idx="686">
                  <c:v>32.462977396726444</c:v>
                </c:pt>
                <c:pt idx="687">
                  <c:v>27.81737622808707</c:v>
                </c:pt>
                <c:pt idx="688">
                  <c:v>34.032428621783609</c:v>
                </c:pt>
                <c:pt idx="689">
                  <c:v>37.577076532462826</c:v>
                </c:pt>
                <c:pt idx="690">
                  <c:v>37.235594456601035</c:v>
                </c:pt>
                <c:pt idx="691">
                  <c:v>31.015731209943695</c:v>
                </c:pt>
                <c:pt idx="692">
                  <c:v>28.771471247199429</c:v>
                </c:pt>
                <c:pt idx="693">
                  <c:v>28.069216757741387</c:v>
                </c:pt>
                <c:pt idx="694">
                  <c:v>38.512035010940927</c:v>
                </c:pt>
                <c:pt idx="695">
                  <c:v>46.90553745928338</c:v>
                </c:pt>
                <c:pt idx="696">
                  <c:v>38.909710391822856</c:v>
                </c:pt>
                <c:pt idx="697">
                  <c:v>47.968069666182913</c:v>
                </c:pt>
                <c:pt idx="698">
                  <c:v>52.0472440944882</c:v>
                </c:pt>
                <c:pt idx="699">
                  <c:v>51.0843373493976</c:v>
                </c:pt>
                <c:pt idx="700">
                  <c:v>49.055148476668023</c:v>
                </c:pt>
                <c:pt idx="701">
                  <c:v>62.804005722460644</c:v>
                </c:pt>
                <c:pt idx="702">
                  <c:v>47.670924117205089</c:v>
                </c:pt>
                <c:pt idx="703">
                  <c:v>55.136876006441241</c:v>
                </c:pt>
                <c:pt idx="704">
                  <c:v>47.121916338934511</c:v>
                </c:pt>
                <c:pt idx="705">
                  <c:v>49.333826794966626</c:v>
                </c:pt>
                <c:pt idx="706">
                  <c:v>54.631147540983598</c:v>
                </c:pt>
                <c:pt idx="707">
                  <c:v>56.675170068027242</c:v>
                </c:pt>
                <c:pt idx="708">
                  <c:v>57.022353437368253</c:v>
                </c:pt>
                <c:pt idx="709">
                  <c:v>61.170439982913351</c:v>
                </c:pt>
                <c:pt idx="710">
                  <c:v>61.006825938566571</c:v>
                </c:pt>
                <c:pt idx="711">
                  <c:v>63.189689891260613</c:v>
                </c:pt>
                <c:pt idx="712">
                  <c:v>64.32964329643292</c:v>
                </c:pt>
                <c:pt idx="713">
                  <c:v>59.499036608863157</c:v>
                </c:pt>
                <c:pt idx="714">
                  <c:v>68.89409925752247</c:v>
                </c:pt>
                <c:pt idx="715">
                  <c:v>61.460836136472913</c:v>
                </c:pt>
                <c:pt idx="716">
                  <c:v>69.023205612520215</c:v>
                </c:pt>
                <c:pt idx="717">
                  <c:v>60.684931506849253</c:v>
                </c:pt>
                <c:pt idx="718">
                  <c:v>56.867779204107869</c:v>
                </c:pt>
                <c:pt idx="719">
                  <c:v>40.212373037857859</c:v>
                </c:pt>
                <c:pt idx="720">
                  <c:v>37.673010380622827</c:v>
                </c:pt>
                <c:pt idx="721">
                  <c:v>32.707472775065654</c:v>
                </c:pt>
                <c:pt idx="722">
                  <c:v>36.227758007117437</c:v>
                </c:pt>
                <c:pt idx="723">
                  <c:v>38.588074023303669</c:v>
                </c:pt>
                <c:pt idx="724">
                  <c:v>37.186261558784722</c:v>
                </c:pt>
                <c:pt idx="725">
                  <c:v>35.569105691056876</c:v>
                </c:pt>
                <c:pt idx="726">
                  <c:v>38.120450033090727</c:v>
                </c:pt>
                <c:pt idx="727">
                  <c:v>41.170323928944661</c:v>
                </c:pt>
                <c:pt idx="728">
                  <c:v>37.675276752767502</c:v>
                </c:pt>
                <c:pt idx="729">
                  <c:v>44.308405029781589</c:v>
                </c:pt>
                <c:pt idx="730">
                  <c:v>47.240094818828275</c:v>
                </c:pt>
                <c:pt idx="731">
                  <c:v>38.726278546156337</c:v>
                </c:pt>
                <c:pt idx="732">
                  <c:v>40.7307171853857</c:v>
                </c:pt>
                <c:pt idx="733">
                  <c:v>44.975719088531925</c:v>
                </c:pt>
                <c:pt idx="734">
                  <c:v>42.083187696609627</c:v>
                </c:pt>
                <c:pt idx="735">
                  <c:v>41.360357265544522</c:v>
                </c:pt>
                <c:pt idx="736">
                  <c:v>32.601572739187432</c:v>
                </c:pt>
                <c:pt idx="737">
                  <c:v>31.11185532484923</c:v>
                </c:pt>
                <c:pt idx="738">
                  <c:v>31.641689373296927</c:v>
                </c:pt>
                <c:pt idx="739">
                  <c:v>35.258064516129096</c:v>
                </c:pt>
                <c:pt idx="740">
                  <c:v>26.454885210891604</c:v>
                </c:pt>
                <c:pt idx="741">
                  <c:v>27.860696517412947</c:v>
                </c:pt>
                <c:pt idx="742">
                  <c:v>34.420376100928408</c:v>
                </c:pt>
                <c:pt idx="743">
                  <c:v>35.495200187309749</c:v>
                </c:pt>
                <c:pt idx="744">
                  <c:v>36.637534498620091</c:v>
                </c:pt>
                <c:pt idx="745">
                  <c:v>41.989881956155152</c:v>
                </c:pt>
                <c:pt idx="746">
                  <c:v>41.500000000000007</c:v>
                </c:pt>
                <c:pt idx="747">
                  <c:v>42.710120068610635</c:v>
                </c:pt>
                <c:pt idx="748">
                  <c:v>50.820877235971551</c:v>
                </c:pt>
                <c:pt idx="749">
                  <c:v>54.940397350993337</c:v>
                </c:pt>
                <c:pt idx="750">
                  <c:v>62.378167641325518</c:v>
                </c:pt>
                <c:pt idx="751">
                  <c:v>60.757314974182414</c:v>
                </c:pt>
                <c:pt idx="752">
                  <c:v>65.410140695513604</c:v>
                </c:pt>
                <c:pt idx="753">
                  <c:v>65.085744908895975</c:v>
                </c:pt>
                <c:pt idx="754">
                  <c:v>79.094757408010267</c:v>
                </c:pt>
                <c:pt idx="755">
                  <c:v>79.128738621586322</c:v>
                </c:pt>
                <c:pt idx="756">
                  <c:v>64.13637825667405</c:v>
                </c:pt>
                <c:pt idx="757">
                  <c:v>52.058346839546225</c:v>
                </c:pt>
                <c:pt idx="758">
                  <c:v>62.183584760930643</c:v>
                </c:pt>
                <c:pt idx="759">
                  <c:v>65.795559666974981</c:v>
                </c:pt>
                <c:pt idx="760">
                  <c:v>67.487799209853549</c:v>
                </c:pt>
                <c:pt idx="761">
                  <c:v>72.595704948646059</c:v>
                </c:pt>
                <c:pt idx="762">
                  <c:v>72.298253893345859</c:v>
                </c:pt>
                <c:pt idx="763">
                  <c:v>72.520710059171563</c:v>
                </c:pt>
                <c:pt idx="764">
                  <c:v>64.701942397856627</c:v>
                </c:pt>
                <c:pt idx="765">
                  <c:v>61.502546689303905</c:v>
                </c:pt>
                <c:pt idx="766">
                  <c:v>57.002457002457035</c:v>
                </c:pt>
                <c:pt idx="767">
                  <c:v>56.614829839981951</c:v>
                </c:pt>
                <c:pt idx="768">
                  <c:v>59.947701024188305</c:v>
                </c:pt>
                <c:pt idx="769">
                  <c:v>59.798775153105865</c:v>
                </c:pt>
                <c:pt idx="770">
                  <c:v>66.666666666666742</c:v>
                </c:pt>
                <c:pt idx="771">
                  <c:v>73.331560755118346</c:v>
                </c:pt>
                <c:pt idx="772">
                  <c:v>63.300492610837516</c:v>
                </c:pt>
                <c:pt idx="773">
                  <c:v>55.767599660729402</c:v>
                </c:pt>
                <c:pt idx="774">
                  <c:v>57.670454545454518</c:v>
                </c:pt>
                <c:pt idx="775">
                  <c:v>55.274442538593476</c:v>
                </c:pt>
                <c:pt idx="776">
                  <c:v>53.788214443952143</c:v>
                </c:pt>
                <c:pt idx="777">
                  <c:v>65.25960320810475</c:v>
                </c:pt>
                <c:pt idx="778">
                  <c:v>84.838224228743485</c:v>
                </c:pt>
                <c:pt idx="779">
                  <c:v>87.879968823071096</c:v>
                </c:pt>
                <c:pt idx="780">
                  <c:v>88.500784929356428</c:v>
                </c:pt>
                <c:pt idx="781">
                  <c:v>89.239809034153595</c:v>
                </c:pt>
                <c:pt idx="782">
                  <c:v>89.267399267399355</c:v>
                </c:pt>
                <c:pt idx="783">
                  <c:v>85.309090909091012</c:v>
                </c:pt>
                <c:pt idx="784">
                  <c:v>76.070038910505787</c:v>
                </c:pt>
                <c:pt idx="785">
                  <c:v>78.446261682242948</c:v>
                </c:pt>
                <c:pt idx="786">
                  <c:v>80.442701036704904</c:v>
                </c:pt>
                <c:pt idx="787">
                  <c:v>79.205673758865217</c:v>
                </c:pt>
                <c:pt idx="788">
                  <c:v>78.69805289160125</c:v>
                </c:pt>
                <c:pt idx="789">
                  <c:v>80.395827761433509</c:v>
                </c:pt>
                <c:pt idx="790">
                  <c:v>81.59678634195329</c:v>
                </c:pt>
                <c:pt idx="791">
                  <c:v>74.533844189016563</c:v>
                </c:pt>
                <c:pt idx="792">
                  <c:v>74.317362184440981</c:v>
                </c:pt>
                <c:pt idx="793">
                  <c:v>71.641420412217428</c:v>
                </c:pt>
                <c:pt idx="794">
                  <c:v>74.789714011054983</c:v>
                </c:pt>
                <c:pt idx="795">
                  <c:v>74.98211304555204</c:v>
                </c:pt>
                <c:pt idx="796">
                  <c:v>75.984432234432177</c:v>
                </c:pt>
                <c:pt idx="797">
                  <c:v>80.583730076588608</c:v>
                </c:pt>
                <c:pt idx="798">
                  <c:v>84.082073434125249</c:v>
                </c:pt>
                <c:pt idx="799">
                  <c:v>76.634093376764355</c:v>
                </c:pt>
                <c:pt idx="800">
                  <c:v>73.753859726510768</c:v>
                </c:pt>
                <c:pt idx="801">
                  <c:v>71.529411764705856</c:v>
                </c:pt>
                <c:pt idx="802">
                  <c:v>72.914122914122899</c:v>
                </c:pt>
                <c:pt idx="803">
                  <c:v>71.021119094273857</c:v>
                </c:pt>
                <c:pt idx="804">
                  <c:v>66.777645659928623</c:v>
                </c:pt>
                <c:pt idx="805">
                  <c:v>64.626006904487895</c:v>
                </c:pt>
                <c:pt idx="806">
                  <c:v>60.457936712117323</c:v>
                </c:pt>
                <c:pt idx="807">
                  <c:v>66.005509641873289</c:v>
                </c:pt>
                <c:pt idx="808">
                  <c:v>57.701516360734246</c:v>
                </c:pt>
                <c:pt idx="809">
                  <c:v>50.986436498150375</c:v>
                </c:pt>
                <c:pt idx="810">
                  <c:v>48.426856957508875</c:v>
                </c:pt>
                <c:pt idx="811">
                  <c:v>45.115636865723125</c:v>
                </c:pt>
                <c:pt idx="812">
                  <c:v>41.624203821655996</c:v>
                </c:pt>
                <c:pt idx="813">
                  <c:v>50.381932912653568</c:v>
                </c:pt>
                <c:pt idx="814">
                  <c:v>44.934834123222771</c:v>
                </c:pt>
                <c:pt idx="815">
                  <c:v>38.778118609406931</c:v>
                </c:pt>
                <c:pt idx="816">
                  <c:v>31.658291457286396</c:v>
                </c:pt>
                <c:pt idx="817">
                  <c:v>28.074473297403216</c:v>
                </c:pt>
                <c:pt idx="818">
                  <c:v>34.007817889169928</c:v>
                </c:pt>
                <c:pt idx="819">
                  <c:v>46.461137646547989</c:v>
                </c:pt>
                <c:pt idx="820">
                  <c:v>45.406243081691393</c:v>
                </c:pt>
                <c:pt idx="821">
                  <c:v>40.309609971853632</c:v>
                </c:pt>
                <c:pt idx="822">
                  <c:v>37.102146558105098</c:v>
                </c:pt>
                <c:pt idx="823">
                  <c:v>39.238469789059749</c:v>
                </c:pt>
                <c:pt idx="824">
                  <c:v>32.997953615279727</c:v>
                </c:pt>
                <c:pt idx="825">
                  <c:v>27.853799063737867</c:v>
                </c:pt>
                <c:pt idx="826">
                  <c:v>27.021834061135394</c:v>
                </c:pt>
                <c:pt idx="827">
                  <c:v>25.658362989323876</c:v>
                </c:pt>
                <c:pt idx="828">
                  <c:v>25.271643883631285</c:v>
                </c:pt>
                <c:pt idx="829">
                  <c:v>25.508579515301633</c:v>
                </c:pt>
                <c:pt idx="830">
                  <c:v>26.766205389657742</c:v>
                </c:pt>
                <c:pt idx="831">
                  <c:v>30.663139996221474</c:v>
                </c:pt>
                <c:pt idx="832">
                  <c:v>39.538714991762781</c:v>
                </c:pt>
                <c:pt idx="833">
                  <c:v>30.418051425572884</c:v>
                </c:pt>
                <c:pt idx="834">
                  <c:v>39.378238341968924</c:v>
                </c:pt>
                <c:pt idx="835">
                  <c:v>43.468358548885625</c:v>
                </c:pt>
                <c:pt idx="836">
                  <c:v>51.383113361055841</c:v>
                </c:pt>
                <c:pt idx="837">
                  <c:v>52.691766361717086</c:v>
                </c:pt>
                <c:pt idx="838">
                  <c:v>57.540826128722365</c:v>
                </c:pt>
                <c:pt idx="839">
                  <c:v>57.025894897182027</c:v>
                </c:pt>
                <c:pt idx="840">
                  <c:v>54.813323572474353</c:v>
                </c:pt>
                <c:pt idx="841">
                  <c:v>54.994531534815891</c:v>
                </c:pt>
                <c:pt idx="842">
                  <c:v>63.335259002503342</c:v>
                </c:pt>
                <c:pt idx="843">
                  <c:v>67.34234234234232</c:v>
                </c:pt>
                <c:pt idx="844">
                  <c:v>69.624833365073272</c:v>
                </c:pt>
                <c:pt idx="845">
                  <c:v>68.337885290674976</c:v>
                </c:pt>
                <c:pt idx="846">
                  <c:v>63.322033898305044</c:v>
                </c:pt>
                <c:pt idx="847">
                  <c:v>68.897824030274379</c:v>
                </c:pt>
                <c:pt idx="848">
                  <c:v>57.571258907363408</c:v>
                </c:pt>
                <c:pt idx="849">
                  <c:v>49.452310980496939</c:v>
                </c:pt>
                <c:pt idx="850">
                  <c:v>54.321583775953663</c:v>
                </c:pt>
                <c:pt idx="851">
                  <c:v>53.81986819624111</c:v>
                </c:pt>
                <c:pt idx="852">
                  <c:v>50.330974663318841</c:v>
                </c:pt>
                <c:pt idx="853">
                  <c:v>52.269024901093786</c:v>
                </c:pt>
                <c:pt idx="854">
                  <c:v>63.178621659634338</c:v>
                </c:pt>
                <c:pt idx="855">
                  <c:v>52.856073833873801</c:v>
                </c:pt>
                <c:pt idx="856">
                  <c:v>48.376113148245146</c:v>
                </c:pt>
                <c:pt idx="857">
                  <c:v>53.909582030139319</c:v>
                </c:pt>
                <c:pt idx="858">
                  <c:v>49.041182018233279</c:v>
                </c:pt>
                <c:pt idx="859">
                  <c:v>61.306776779208114</c:v>
                </c:pt>
                <c:pt idx="860">
                  <c:v>58.407310704960814</c:v>
                </c:pt>
                <c:pt idx="861">
                  <c:v>50.751969443781306</c:v>
                </c:pt>
                <c:pt idx="862">
                  <c:v>44.814502529510939</c:v>
                </c:pt>
                <c:pt idx="863">
                  <c:v>44.947145877378468</c:v>
                </c:pt>
                <c:pt idx="864">
                  <c:v>38.901923979352432</c:v>
                </c:pt>
                <c:pt idx="865">
                  <c:v>34.490566037735903</c:v>
                </c:pt>
                <c:pt idx="866">
                  <c:v>35.955940204563362</c:v>
                </c:pt>
                <c:pt idx="867">
                  <c:v>32.48656570591109</c:v>
                </c:pt>
                <c:pt idx="868">
                  <c:v>29.301608283762931</c:v>
                </c:pt>
                <c:pt idx="869">
                  <c:v>39.067934152562003</c:v>
                </c:pt>
                <c:pt idx="870">
                  <c:v>37.754873403540238</c:v>
                </c:pt>
                <c:pt idx="871">
                  <c:v>34.21162693433709</c:v>
                </c:pt>
                <c:pt idx="872">
                  <c:v>44.130705025750316</c:v>
                </c:pt>
                <c:pt idx="873">
                  <c:v>45.296470179099295</c:v>
                </c:pt>
                <c:pt idx="874">
                  <c:v>48.878778030549256</c:v>
                </c:pt>
                <c:pt idx="875">
                  <c:v>48.516129032258064</c:v>
                </c:pt>
                <c:pt idx="876">
                  <c:v>55.697980684811242</c:v>
                </c:pt>
                <c:pt idx="877">
                  <c:v>58.084599890129979</c:v>
                </c:pt>
                <c:pt idx="878">
                  <c:v>63.838862559241669</c:v>
                </c:pt>
                <c:pt idx="879">
                  <c:v>62.041195601672591</c:v>
                </c:pt>
                <c:pt idx="880">
                  <c:v>59.304219096965227</c:v>
                </c:pt>
                <c:pt idx="881">
                  <c:v>61.935683364254793</c:v>
                </c:pt>
                <c:pt idx="882">
                  <c:v>67.485760781122849</c:v>
                </c:pt>
                <c:pt idx="883">
                  <c:v>70.798012277111937</c:v>
                </c:pt>
                <c:pt idx="884">
                  <c:v>76.493281894372728</c:v>
                </c:pt>
                <c:pt idx="885">
                  <c:v>82.034159496596885</c:v>
                </c:pt>
                <c:pt idx="886">
                  <c:v>80.102403641018327</c:v>
                </c:pt>
                <c:pt idx="887">
                  <c:v>78.575803981623267</c:v>
                </c:pt>
                <c:pt idx="888">
                  <c:v>72.341762211402539</c:v>
                </c:pt>
                <c:pt idx="889">
                  <c:v>83.397786371516247</c:v>
                </c:pt>
                <c:pt idx="890">
                  <c:v>83.196112835740365</c:v>
                </c:pt>
                <c:pt idx="891">
                  <c:v>85.812672176308581</c:v>
                </c:pt>
                <c:pt idx="892">
                  <c:v>85.179856115107967</c:v>
                </c:pt>
                <c:pt idx="893">
                  <c:v>87.682701858947098</c:v>
                </c:pt>
                <c:pt idx="894">
                  <c:v>88.258820168547373</c:v>
                </c:pt>
                <c:pt idx="895">
                  <c:v>88.852691218130332</c:v>
                </c:pt>
                <c:pt idx="896">
                  <c:v>89.040523603954895</c:v>
                </c:pt>
                <c:pt idx="897">
                  <c:v>88.063097224328857</c:v>
                </c:pt>
                <c:pt idx="898">
                  <c:v>86.131130251362336</c:v>
                </c:pt>
                <c:pt idx="899">
                  <c:v>86.060070671378128</c:v>
                </c:pt>
                <c:pt idx="900">
                  <c:v>86.705981465880427</c:v>
                </c:pt>
                <c:pt idx="901">
                  <c:v>85.41589648798525</c:v>
                </c:pt>
                <c:pt idx="902">
                  <c:v>77.068045363575749</c:v>
                </c:pt>
                <c:pt idx="903">
                  <c:v>71.36609745939198</c:v>
                </c:pt>
                <c:pt idx="904">
                  <c:v>62.602688573562382</c:v>
                </c:pt>
                <c:pt idx="905">
                  <c:v>62.948575656677782</c:v>
                </c:pt>
                <c:pt idx="906">
                  <c:v>60.099601593625515</c:v>
                </c:pt>
                <c:pt idx="907">
                  <c:v>47.445381042490986</c:v>
                </c:pt>
                <c:pt idx="908">
                  <c:v>50.540590067802839</c:v>
                </c:pt>
                <c:pt idx="909">
                  <c:v>43.078913324708928</c:v>
                </c:pt>
                <c:pt idx="910">
                  <c:v>38.163330155703839</c:v>
                </c:pt>
                <c:pt idx="911">
                  <c:v>44.817808024953926</c:v>
                </c:pt>
                <c:pt idx="912">
                  <c:v>51.742959930529707</c:v>
                </c:pt>
                <c:pt idx="913">
                  <c:v>49.500194729326253</c:v>
                </c:pt>
                <c:pt idx="914">
                  <c:v>46.130790190735681</c:v>
                </c:pt>
                <c:pt idx="915">
                  <c:v>54.362880886426609</c:v>
                </c:pt>
                <c:pt idx="916">
                  <c:v>64.635294117647035</c:v>
                </c:pt>
                <c:pt idx="917">
                  <c:v>69.226044226044209</c:v>
                </c:pt>
                <c:pt idx="918">
                  <c:v>75.262665140954937</c:v>
                </c:pt>
                <c:pt idx="919">
                  <c:v>67.084432717678084</c:v>
                </c:pt>
                <c:pt idx="920">
                  <c:v>70.140194905111969</c:v>
                </c:pt>
                <c:pt idx="921">
                  <c:v>67.182510439695392</c:v>
                </c:pt>
                <c:pt idx="922">
                  <c:v>67.347943856193041</c:v>
                </c:pt>
                <c:pt idx="923">
                  <c:v>72.100175746924435</c:v>
                </c:pt>
                <c:pt idx="924">
                  <c:v>74.806758943016376</c:v>
                </c:pt>
                <c:pt idx="925">
                  <c:v>68.131657230592097</c:v>
                </c:pt>
                <c:pt idx="926">
                  <c:v>62.822364349081909</c:v>
                </c:pt>
                <c:pt idx="927">
                  <c:v>55.784847616317954</c:v>
                </c:pt>
                <c:pt idx="928">
                  <c:v>59.614193434209376</c:v>
                </c:pt>
                <c:pt idx="929">
                  <c:v>54.632206759443342</c:v>
                </c:pt>
                <c:pt idx="930">
                  <c:v>52.018502943650141</c:v>
                </c:pt>
                <c:pt idx="931">
                  <c:v>39.778051787916127</c:v>
                </c:pt>
                <c:pt idx="932">
                  <c:v>36.842105263157883</c:v>
                </c:pt>
                <c:pt idx="933">
                  <c:v>41.111111111111114</c:v>
                </c:pt>
                <c:pt idx="934">
                  <c:v>31.538332494547873</c:v>
                </c:pt>
                <c:pt idx="935">
                  <c:v>39.855840576637689</c:v>
                </c:pt>
                <c:pt idx="936">
                  <c:v>41.488916771225391</c:v>
                </c:pt>
                <c:pt idx="937">
                  <c:v>38.375241779497038</c:v>
                </c:pt>
                <c:pt idx="938">
                  <c:v>41.829468687237515</c:v>
                </c:pt>
                <c:pt idx="939">
                  <c:v>58.763523956723326</c:v>
                </c:pt>
                <c:pt idx="940">
                  <c:v>62.541228207947235</c:v>
                </c:pt>
                <c:pt idx="941">
                  <c:v>78.951438292607534</c:v>
                </c:pt>
                <c:pt idx="942">
                  <c:v>68.584936419954346</c:v>
                </c:pt>
                <c:pt idx="943">
                  <c:v>70.718735754444623</c:v>
                </c:pt>
                <c:pt idx="944">
                  <c:v>67.327034440719316</c:v>
                </c:pt>
                <c:pt idx="945">
                  <c:v>74.248199915290172</c:v>
                </c:pt>
                <c:pt idx="946">
                  <c:v>79.275082377002633</c:v>
                </c:pt>
                <c:pt idx="947">
                  <c:v>82.299227347225496</c:v>
                </c:pt>
                <c:pt idx="948">
                  <c:v>64.518950437317756</c:v>
                </c:pt>
                <c:pt idx="949">
                  <c:v>67.407697581040026</c:v>
                </c:pt>
                <c:pt idx="950">
                  <c:v>61.143681789483175</c:v>
                </c:pt>
                <c:pt idx="951">
                  <c:v>64.639782510194806</c:v>
                </c:pt>
                <c:pt idx="952">
                  <c:v>60.032217648111697</c:v>
                </c:pt>
                <c:pt idx="953">
                  <c:v>48.515683345780445</c:v>
                </c:pt>
                <c:pt idx="954">
                  <c:v>52.915563903355249</c:v>
                </c:pt>
                <c:pt idx="955">
                  <c:v>47.581098818676153</c:v>
                </c:pt>
                <c:pt idx="956">
                  <c:v>50.817265342076965</c:v>
                </c:pt>
                <c:pt idx="957">
                  <c:v>50.109213661636204</c:v>
                </c:pt>
                <c:pt idx="958">
                  <c:v>53.124695330018533</c:v>
                </c:pt>
                <c:pt idx="959">
                  <c:v>47.480680061823776</c:v>
                </c:pt>
                <c:pt idx="960">
                  <c:v>35.635812602601376</c:v>
                </c:pt>
                <c:pt idx="961">
                  <c:v>30.74616922051969</c:v>
                </c:pt>
                <c:pt idx="962">
                  <c:v>47.789527328322087</c:v>
                </c:pt>
                <c:pt idx="963">
                  <c:v>50.158112381415684</c:v>
                </c:pt>
                <c:pt idx="964">
                  <c:v>52.441505595116965</c:v>
                </c:pt>
                <c:pt idx="965">
                  <c:v>50.698655417875052</c:v>
                </c:pt>
                <c:pt idx="966">
                  <c:v>53.625209146681527</c:v>
                </c:pt>
                <c:pt idx="967">
                  <c:v>55.852454255010144</c:v>
                </c:pt>
                <c:pt idx="968">
                  <c:v>43.2559649407564</c:v>
                </c:pt>
                <c:pt idx="969">
                  <c:v>46.902654867256665</c:v>
                </c:pt>
                <c:pt idx="970">
                  <c:v>43.960036330608531</c:v>
                </c:pt>
                <c:pt idx="971">
                  <c:v>39.131817459055533</c:v>
                </c:pt>
                <c:pt idx="972">
                  <c:v>31.069865700920445</c:v>
                </c:pt>
                <c:pt idx="973">
                  <c:v>35.391816397402991</c:v>
                </c:pt>
                <c:pt idx="974">
                  <c:v>37.468946368551805</c:v>
                </c:pt>
                <c:pt idx="975">
                  <c:v>42.074171316048577</c:v>
                </c:pt>
                <c:pt idx="976">
                  <c:v>30.093209054593913</c:v>
                </c:pt>
                <c:pt idx="977">
                  <c:v>20.632884327560461</c:v>
                </c:pt>
                <c:pt idx="978">
                  <c:v>30.561797752809028</c:v>
                </c:pt>
                <c:pt idx="979">
                  <c:v>32.3110624315444</c:v>
                </c:pt>
                <c:pt idx="980">
                  <c:v>35.427190863167141</c:v>
                </c:pt>
                <c:pt idx="981">
                  <c:v>38.359096313912012</c:v>
                </c:pt>
                <c:pt idx="982">
                  <c:v>40.254554529573262</c:v>
                </c:pt>
                <c:pt idx="983">
                  <c:v>38.834951456310677</c:v>
                </c:pt>
                <c:pt idx="984">
                  <c:v>43.271555197421392</c:v>
                </c:pt>
                <c:pt idx="985">
                  <c:v>61.474296799224071</c:v>
                </c:pt>
                <c:pt idx="986">
                  <c:v>64.554899164799409</c:v>
                </c:pt>
                <c:pt idx="987">
                  <c:v>55.386979066641096</c:v>
                </c:pt>
                <c:pt idx="988">
                  <c:v>47.91856026177058</c:v>
                </c:pt>
                <c:pt idx="989">
                  <c:v>54.663734652739613</c:v>
                </c:pt>
                <c:pt idx="990">
                  <c:v>60.092529129540758</c:v>
                </c:pt>
                <c:pt idx="991">
                  <c:v>61.85086551264984</c:v>
                </c:pt>
                <c:pt idx="992">
                  <c:v>62.591806756977327</c:v>
                </c:pt>
                <c:pt idx="993">
                  <c:v>65.877623939258612</c:v>
                </c:pt>
                <c:pt idx="994">
                  <c:v>62.960787193420508</c:v>
                </c:pt>
                <c:pt idx="995">
                  <c:v>67.216430683055847</c:v>
                </c:pt>
                <c:pt idx="996">
                  <c:v>67.74345303434221</c:v>
                </c:pt>
                <c:pt idx="997">
                  <c:v>71.902745526567458</c:v>
                </c:pt>
                <c:pt idx="998">
                  <c:v>70.650095602294527</c:v>
                </c:pt>
                <c:pt idx="999">
                  <c:v>64.677843523997439</c:v>
                </c:pt>
                <c:pt idx="1000">
                  <c:v>65.96814752724228</c:v>
                </c:pt>
                <c:pt idx="1001">
                  <c:v>74.416548797736965</c:v>
                </c:pt>
                <c:pt idx="1002">
                  <c:v>85.445480862013611</c:v>
                </c:pt>
                <c:pt idx="1003">
                  <c:v>85.44782119311796</c:v>
                </c:pt>
                <c:pt idx="1004">
                  <c:v>75.267127592709102</c:v>
                </c:pt>
                <c:pt idx="1005">
                  <c:v>76.454749439042729</c:v>
                </c:pt>
                <c:pt idx="1006">
                  <c:v>75.239893031304163</c:v>
                </c:pt>
                <c:pt idx="1007">
                  <c:v>75.232100708103957</c:v>
                </c:pt>
                <c:pt idx="1008">
                  <c:v>82.948490230905961</c:v>
                </c:pt>
                <c:pt idx="1009">
                  <c:v>74.864771550236014</c:v>
                </c:pt>
                <c:pt idx="1010">
                  <c:v>78.088267908627216</c:v>
                </c:pt>
                <c:pt idx="1011">
                  <c:v>74.076425034911836</c:v>
                </c:pt>
                <c:pt idx="1012">
                  <c:v>55.41310541310542</c:v>
                </c:pt>
                <c:pt idx="1013">
                  <c:v>63.069299142609921</c:v>
                </c:pt>
                <c:pt idx="1014">
                  <c:v>59.410195613515135</c:v>
                </c:pt>
                <c:pt idx="1015">
                  <c:v>58.020528957818264</c:v>
                </c:pt>
                <c:pt idx="1016">
                  <c:v>52.386587771203168</c:v>
                </c:pt>
                <c:pt idx="1017">
                  <c:v>50.733752620545069</c:v>
                </c:pt>
                <c:pt idx="1018">
                  <c:v>51.935617003714391</c:v>
                </c:pt>
                <c:pt idx="1019">
                  <c:v>48.298407376362093</c:v>
                </c:pt>
                <c:pt idx="1020">
                  <c:v>47.274268757948306</c:v>
                </c:pt>
                <c:pt idx="1021">
                  <c:v>44.334049409237352</c:v>
                </c:pt>
                <c:pt idx="1022">
                  <c:v>37.080129502225809</c:v>
                </c:pt>
                <c:pt idx="1023">
                  <c:v>36.738171611868445</c:v>
                </c:pt>
                <c:pt idx="1024">
                  <c:v>30.365983885059677</c:v>
                </c:pt>
                <c:pt idx="1025">
                  <c:v>35.949891852919961</c:v>
                </c:pt>
                <c:pt idx="1026">
                  <c:v>45.672086100297655</c:v>
                </c:pt>
                <c:pt idx="1027">
                  <c:v>21.699766355140241</c:v>
                </c:pt>
                <c:pt idx="1028">
                  <c:v>22.155956463396492</c:v>
                </c:pt>
                <c:pt idx="1029">
                  <c:v>24.44773906597473</c:v>
                </c:pt>
                <c:pt idx="1030">
                  <c:v>26.988102692548509</c:v>
                </c:pt>
                <c:pt idx="1031">
                  <c:v>33.289722343363877</c:v>
                </c:pt>
                <c:pt idx="1032">
                  <c:v>41.40668523676883</c:v>
                </c:pt>
                <c:pt idx="1033">
                  <c:v>43.180827886710262</c:v>
                </c:pt>
                <c:pt idx="1034">
                  <c:v>43.60210341805432</c:v>
                </c:pt>
                <c:pt idx="1035">
                  <c:v>47.318870241506332</c:v>
                </c:pt>
                <c:pt idx="1036">
                  <c:v>42.647895335608602</c:v>
                </c:pt>
                <c:pt idx="1037">
                  <c:v>51.750427882371241</c:v>
                </c:pt>
                <c:pt idx="1038">
                  <c:v>54.337526547949729</c:v>
                </c:pt>
                <c:pt idx="1039">
                  <c:v>48.996350364963504</c:v>
                </c:pt>
                <c:pt idx="1040">
                  <c:v>51.318807339449563</c:v>
                </c:pt>
                <c:pt idx="1041">
                  <c:v>70.248188685062473</c:v>
                </c:pt>
                <c:pt idx="1042">
                  <c:v>73.690168175937984</c:v>
                </c:pt>
                <c:pt idx="1043">
                  <c:v>73.031659207691135</c:v>
                </c:pt>
                <c:pt idx="1044">
                  <c:v>73.685912987223134</c:v>
                </c:pt>
                <c:pt idx="1045">
                  <c:v>68.32191780821924</c:v>
                </c:pt>
                <c:pt idx="1046">
                  <c:v>61.218067382450968</c:v>
                </c:pt>
                <c:pt idx="1047">
                  <c:v>46.781723015985278</c:v>
                </c:pt>
                <c:pt idx="1048">
                  <c:v>48.017134171618082</c:v>
                </c:pt>
                <c:pt idx="1049">
                  <c:v>47.414034106793402</c:v>
                </c:pt>
                <c:pt idx="1050">
                  <c:v>44.749340369393153</c:v>
                </c:pt>
                <c:pt idx="1051">
                  <c:v>41.124379444519001</c:v>
                </c:pt>
                <c:pt idx="1052">
                  <c:v>42.287527593818957</c:v>
                </c:pt>
                <c:pt idx="1053">
                  <c:v>32.776497695852484</c:v>
                </c:pt>
                <c:pt idx="1054">
                  <c:v>42.546114302993608</c:v>
                </c:pt>
                <c:pt idx="1055">
                  <c:v>32.344213649851596</c:v>
                </c:pt>
                <c:pt idx="1056">
                  <c:v>35.548086866597671</c:v>
                </c:pt>
                <c:pt idx="1057">
                  <c:v>39.276580197296262</c:v>
                </c:pt>
                <c:pt idx="1058">
                  <c:v>37.014188772362708</c:v>
                </c:pt>
                <c:pt idx="1059">
                  <c:v>33.538289547233063</c:v>
                </c:pt>
                <c:pt idx="1060">
                  <c:v>34.595524956970706</c:v>
                </c:pt>
                <c:pt idx="1061">
                  <c:v>44.332634521313722</c:v>
                </c:pt>
                <c:pt idx="1062">
                  <c:v>47.564507635597678</c:v>
                </c:pt>
                <c:pt idx="1063">
                  <c:v>49.6523827581848</c:v>
                </c:pt>
                <c:pt idx="1064">
                  <c:v>53.066738719265047</c:v>
                </c:pt>
                <c:pt idx="1065">
                  <c:v>53.683203498701637</c:v>
                </c:pt>
                <c:pt idx="1066">
                  <c:v>52.240989493283671</c:v>
                </c:pt>
                <c:pt idx="1067">
                  <c:v>68.553357119688641</c:v>
                </c:pt>
                <c:pt idx="1068">
                  <c:v>56.366152629497869</c:v>
                </c:pt>
                <c:pt idx="1069">
                  <c:v>49.828870545600978</c:v>
                </c:pt>
                <c:pt idx="1070">
                  <c:v>56.288370461322565</c:v>
                </c:pt>
                <c:pt idx="1071">
                  <c:v>64.333762702161167</c:v>
                </c:pt>
                <c:pt idx="1072">
                  <c:v>56.20857821683132</c:v>
                </c:pt>
                <c:pt idx="1073">
                  <c:v>67.331904634342379</c:v>
                </c:pt>
                <c:pt idx="1074">
                  <c:v>67.059138346267076</c:v>
                </c:pt>
                <c:pt idx="1075">
                  <c:v>66.225617241849733</c:v>
                </c:pt>
                <c:pt idx="1076">
                  <c:v>61.756126021003496</c:v>
                </c:pt>
                <c:pt idx="1077">
                  <c:v>54.638505280259977</c:v>
                </c:pt>
                <c:pt idx="1078">
                  <c:v>53.010718789407292</c:v>
                </c:pt>
                <c:pt idx="1079">
                  <c:v>54.413869890249721</c:v>
                </c:pt>
                <c:pt idx="1080">
                  <c:v>58.628963153384724</c:v>
                </c:pt>
                <c:pt idx="1081">
                  <c:v>59.229859820976117</c:v>
                </c:pt>
                <c:pt idx="1082">
                  <c:v>62.730114623132984</c:v>
                </c:pt>
                <c:pt idx="1083">
                  <c:v>62.610504420176817</c:v>
                </c:pt>
                <c:pt idx="1084">
                  <c:v>50.255416593271143</c:v>
                </c:pt>
                <c:pt idx="1085">
                  <c:v>27.17664821338704</c:v>
                </c:pt>
                <c:pt idx="1086">
                  <c:v>37.396121883656491</c:v>
                </c:pt>
                <c:pt idx="1087">
                  <c:v>23.151668779045224</c:v>
                </c:pt>
                <c:pt idx="1088">
                  <c:v>46.800947867298532</c:v>
                </c:pt>
                <c:pt idx="1089">
                  <c:v>48.571428571428491</c:v>
                </c:pt>
                <c:pt idx="1090">
                  <c:v>44.547379565907917</c:v>
                </c:pt>
                <c:pt idx="1091">
                  <c:v>39.544172932330838</c:v>
                </c:pt>
                <c:pt idx="1092">
                  <c:v>26.056665118439412</c:v>
                </c:pt>
                <c:pt idx="1093">
                  <c:v>32.07225145782958</c:v>
                </c:pt>
                <c:pt idx="1094">
                  <c:v>35.276201024505056</c:v>
                </c:pt>
                <c:pt idx="1095">
                  <c:v>36.994609164420474</c:v>
                </c:pt>
                <c:pt idx="1096">
                  <c:v>38.760806916426539</c:v>
                </c:pt>
                <c:pt idx="1097">
                  <c:v>44.28753180661576</c:v>
                </c:pt>
                <c:pt idx="1098">
                  <c:v>45.538984824699064</c:v>
                </c:pt>
                <c:pt idx="1099">
                  <c:v>48.554550025138262</c:v>
                </c:pt>
                <c:pt idx="1100">
                  <c:v>50.006172077521256</c:v>
                </c:pt>
                <c:pt idx="1101">
                  <c:v>47.872843299456392</c:v>
                </c:pt>
                <c:pt idx="1102">
                  <c:v>39.412532637075728</c:v>
                </c:pt>
                <c:pt idx="1103">
                  <c:v>38.459509364283832</c:v>
                </c:pt>
                <c:pt idx="1104">
                  <c:v>36.864728192161806</c:v>
                </c:pt>
                <c:pt idx="1105">
                  <c:v>42.513227513227527</c:v>
                </c:pt>
                <c:pt idx="1106">
                  <c:v>58.681760087639205</c:v>
                </c:pt>
                <c:pt idx="1107">
                  <c:v>58.385435821993426</c:v>
                </c:pt>
                <c:pt idx="1108">
                  <c:v>62.48342175066314</c:v>
                </c:pt>
                <c:pt idx="1109">
                  <c:v>64.783691254279489</c:v>
                </c:pt>
                <c:pt idx="1110">
                  <c:v>66.299329858525653</c:v>
                </c:pt>
                <c:pt idx="1111">
                  <c:v>58.929374718848436</c:v>
                </c:pt>
                <c:pt idx="1112">
                  <c:v>68.83682920185241</c:v>
                </c:pt>
                <c:pt idx="1113">
                  <c:v>68.053616308293783</c:v>
                </c:pt>
                <c:pt idx="1114">
                  <c:v>58.356164383561712</c:v>
                </c:pt>
                <c:pt idx="1115">
                  <c:v>65.593887473952364</c:v>
                </c:pt>
                <c:pt idx="1116">
                  <c:v>68.60904407555816</c:v>
                </c:pt>
                <c:pt idx="1117">
                  <c:v>65.276113713103172</c:v>
                </c:pt>
                <c:pt idx="1118">
                  <c:v>73.896499238965035</c:v>
                </c:pt>
                <c:pt idx="1119">
                  <c:v>73.113101903695451</c:v>
                </c:pt>
                <c:pt idx="1120">
                  <c:v>76.006984866123432</c:v>
                </c:pt>
                <c:pt idx="1121">
                  <c:v>79.048490393412663</c:v>
                </c:pt>
                <c:pt idx="1122">
                  <c:v>78.229639801415473</c:v>
                </c:pt>
                <c:pt idx="1123">
                  <c:v>70.013066202090613</c:v>
                </c:pt>
                <c:pt idx="1124">
                  <c:v>68.679631525076786</c:v>
                </c:pt>
                <c:pt idx="1125">
                  <c:v>73.64341085271316</c:v>
                </c:pt>
                <c:pt idx="1126">
                  <c:v>68.35789748271813</c:v>
                </c:pt>
                <c:pt idx="1127">
                  <c:v>73.122091734987805</c:v>
                </c:pt>
                <c:pt idx="1128">
                  <c:v>75.411334552102261</c:v>
                </c:pt>
                <c:pt idx="1129">
                  <c:v>63.87815412593767</c:v>
                </c:pt>
                <c:pt idx="1130">
                  <c:v>56.320493722068527</c:v>
                </c:pt>
                <c:pt idx="1131">
                  <c:v>62.84253578732104</c:v>
                </c:pt>
                <c:pt idx="1132">
                  <c:v>62.19309196837284</c:v>
                </c:pt>
                <c:pt idx="1133">
                  <c:v>58.768896354115206</c:v>
                </c:pt>
                <c:pt idx="1134">
                  <c:v>59.31382242436225</c:v>
                </c:pt>
                <c:pt idx="1135">
                  <c:v>47.970947659672539</c:v>
                </c:pt>
                <c:pt idx="1136">
                  <c:v>51.691286662384897</c:v>
                </c:pt>
                <c:pt idx="1137">
                  <c:v>58.021978021978022</c:v>
                </c:pt>
                <c:pt idx="1138">
                  <c:v>62.753510140405631</c:v>
                </c:pt>
                <c:pt idx="1139">
                  <c:v>65.288505224897762</c:v>
                </c:pt>
                <c:pt idx="1140">
                  <c:v>66.73310382315637</c:v>
                </c:pt>
                <c:pt idx="1141">
                  <c:v>62.097440132122195</c:v>
                </c:pt>
                <c:pt idx="1142">
                  <c:v>65.143475906876091</c:v>
                </c:pt>
                <c:pt idx="1143">
                  <c:v>73.654493032196115</c:v>
                </c:pt>
                <c:pt idx="1144">
                  <c:v>79.654410809406301</c:v>
                </c:pt>
                <c:pt idx="1145">
                  <c:v>65.02402365405942</c:v>
                </c:pt>
                <c:pt idx="1146">
                  <c:v>63.00495178524892</c:v>
                </c:pt>
                <c:pt idx="1147">
                  <c:v>67.321080478975148</c:v>
                </c:pt>
                <c:pt idx="1148">
                  <c:v>64.025695931477529</c:v>
                </c:pt>
                <c:pt idx="1149">
                  <c:v>61.246959416207957</c:v>
                </c:pt>
                <c:pt idx="1150">
                  <c:v>55.511463844797177</c:v>
                </c:pt>
                <c:pt idx="1151">
                  <c:v>50.708949534990104</c:v>
                </c:pt>
                <c:pt idx="1152">
                  <c:v>38.454216638111504</c:v>
                </c:pt>
                <c:pt idx="1153">
                  <c:v>31.85075885328834</c:v>
                </c:pt>
                <c:pt idx="1154">
                  <c:v>29.109214270080997</c:v>
                </c:pt>
                <c:pt idx="1155">
                  <c:v>24.320799826124698</c:v>
                </c:pt>
                <c:pt idx="1156">
                  <c:v>21.29805862200223</c:v>
                </c:pt>
                <c:pt idx="1157">
                  <c:v>19.363548698167719</c:v>
                </c:pt>
                <c:pt idx="1158">
                  <c:v>20.24193548387089</c:v>
                </c:pt>
                <c:pt idx="1159">
                  <c:v>37.922258213789839</c:v>
                </c:pt>
                <c:pt idx="1160">
                  <c:v>49.243284146802871</c:v>
                </c:pt>
                <c:pt idx="1161">
                  <c:v>51.845085860431197</c:v>
                </c:pt>
                <c:pt idx="1162">
                  <c:v>57.936217008797612</c:v>
                </c:pt>
                <c:pt idx="1163">
                  <c:v>59.96964522860933</c:v>
                </c:pt>
                <c:pt idx="1164">
                  <c:v>60.84616812024499</c:v>
                </c:pt>
                <c:pt idx="1165">
                  <c:v>63.370527125817596</c:v>
                </c:pt>
                <c:pt idx="1166">
                  <c:v>70.71219812336561</c:v>
                </c:pt>
                <c:pt idx="1167">
                  <c:v>63.300879396984868</c:v>
                </c:pt>
                <c:pt idx="1168">
                  <c:v>64.889290555806568</c:v>
                </c:pt>
                <c:pt idx="1169">
                  <c:v>71.310799670239064</c:v>
                </c:pt>
                <c:pt idx="1170">
                  <c:v>79.540229885057471</c:v>
                </c:pt>
                <c:pt idx="1171">
                  <c:v>73.088297422898236</c:v>
                </c:pt>
                <c:pt idx="1172">
                  <c:v>73.49192863211556</c:v>
                </c:pt>
                <c:pt idx="1173">
                  <c:v>71.687840290381146</c:v>
                </c:pt>
                <c:pt idx="1174">
                  <c:v>55.628008073280562</c:v>
                </c:pt>
                <c:pt idx="1175">
                  <c:v>52.682926829268247</c:v>
                </c:pt>
                <c:pt idx="1176">
                  <c:v>56.031583564848667</c:v>
                </c:pt>
                <c:pt idx="1177">
                  <c:v>66.411273772061861</c:v>
                </c:pt>
                <c:pt idx="1178">
                  <c:v>70.950183410247291</c:v>
                </c:pt>
                <c:pt idx="1179">
                  <c:v>71.413600372612962</c:v>
                </c:pt>
                <c:pt idx="1180">
                  <c:v>60.367553865652674</c:v>
                </c:pt>
                <c:pt idx="1181">
                  <c:v>56.966869991627789</c:v>
                </c:pt>
                <c:pt idx="1182">
                  <c:v>61.70710940825883</c:v>
                </c:pt>
                <c:pt idx="1183">
                  <c:v>54.585831667777057</c:v>
                </c:pt>
                <c:pt idx="1184">
                  <c:v>63.073833205814822</c:v>
                </c:pt>
                <c:pt idx="1185">
                  <c:v>63.043686072077215</c:v>
                </c:pt>
                <c:pt idx="1186">
                  <c:v>65.818830879071839</c:v>
                </c:pt>
                <c:pt idx="1187">
                  <c:v>60.394792104157915</c:v>
                </c:pt>
                <c:pt idx="1188">
                  <c:v>60.511698367278193</c:v>
                </c:pt>
                <c:pt idx="1189">
                  <c:v>62.73174733388025</c:v>
                </c:pt>
                <c:pt idx="1190">
                  <c:v>57.315233785822031</c:v>
                </c:pt>
                <c:pt idx="1191">
                  <c:v>56.360832690824978</c:v>
                </c:pt>
                <c:pt idx="1192">
                  <c:v>48.582498582498587</c:v>
                </c:pt>
                <c:pt idx="1193">
                  <c:v>45.97309251750827</c:v>
                </c:pt>
                <c:pt idx="1194">
                  <c:v>33.440579127287378</c:v>
                </c:pt>
                <c:pt idx="1195">
                  <c:v>34.713331477873666</c:v>
                </c:pt>
                <c:pt idx="1196">
                  <c:v>29.248982053988854</c:v>
                </c:pt>
                <c:pt idx="1197">
                  <c:v>32.3312276428952</c:v>
                </c:pt>
                <c:pt idx="1198">
                  <c:v>24.202898550724669</c:v>
                </c:pt>
                <c:pt idx="1199">
                  <c:v>25.197479364515885</c:v>
                </c:pt>
                <c:pt idx="1200">
                  <c:v>22.792231586661785</c:v>
                </c:pt>
                <c:pt idx="1201">
                  <c:v>28.705103969754305</c:v>
                </c:pt>
                <c:pt idx="1202">
                  <c:v>38.273921200750465</c:v>
                </c:pt>
                <c:pt idx="1203">
                  <c:v>41.229010360843134</c:v>
                </c:pt>
                <c:pt idx="1204">
                  <c:v>41.982719417917224</c:v>
                </c:pt>
                <c:pt idx="1205">
                  <c:v>38.763559566093853</c:v>
                </c:pt>
                <c:pt idx="1206">
                  <c:v>38.083561256248217</c:v>
                </c:pt>
                <c:pt idx="1207">
                  <c:v>39.414348462664712</c:v>
                </c:pt>
                <c:pt idx="1208">
                  <c:v>74.367033350794514</c:v>
                </c:pt>
                <c:pt idx="1209">
                  <c:v>80.128778393847298</c:v>
                </c:pt>
                <c:pt idx="1210">
                  <c:v>78.42346471127405</c:v>
                </c:pt>
                <c:pt idx="1211">
                  <c:v>78.387807565185469</c:v>
                </c:pt>
                <c:pt idx="1212">
                  <c:v>78.256050249399635</c:v>
                </c:pt>
                <c:pt idx="1213">
                  <c:v>71.820956256358016</c:v>
                </c:pt>
                <c:pt idx="1214">
                  <c:v>66.660829977236887</c:v>
                </c:pt>
                <c:pt idx="1215">
                  <c:v>67.149758454106205</c:v>
                </c:pt>
                <c:pt idx="1216">
                  <c:v>62.571260074700227</c:v>
                </c:pt>
                <c:pt idx="1217">
                  <c:v>60.374609781477588</c:v>
                </c:pt>
                <c:pt idx="1218">
                  <c:v>59.337287788913898</c:v>
                </c:pt>
                <c:pt idx="1219">
                  <c:v>55.69672131147545</c:v>
                </c:pt>
                <c:pt idx="1220">
                  <c:v>66.529689747277644</c:v>
                </c:pt>
                <c:pt idx="1221">
                  <c:v>64.643641445398259</c:v>
                </c:pt>
                <c:pt idx="1222">
                  <c:v>69.396924140314468</c:v>
                </c:pt>
                <c:pt idx="1223">
                  <c:v>60.439560439560481</c:v>
                </c:pt>
                <c:pt idx="1224">
                  <c:v>57.050511124473864</c:v>
                </c:pt>
                <c:pt idx="1225">
                  <c:v>54.965321563682224</c:v>
                </c:pt>
                <c:pt idx="1226">
                  <c:v>44.599972553862983</c:v>
                </c:pt>
                <c:pt idx="1227">
                  <c:v>40.824017083280999</c:v>
                </c:pt>
                <c:pt idx="1228">
                  <c:v>42.409793814432952</c:v>
                </c:pt>
                <c:pt idx="1229">
                  <c:v>36.572608396421188</c:v>
                </c:pt>
                <c:pt idx="1230">
                  <c:v>32.059067071487632</c:v>
                </c:pt>
                <c:pt idx="1231">
                  <c:v>21.890277023356788</c:v>
                </c:pt>
                <c:pt idx="1232">
                  <c:v>18.37874814730354</c:v>
                </c:pt>
                <c:pt idx="1233">
                  <c:v>32.085561497326168</c:v>
                </c:pt>
                <c:pt idx="1234">
                  <c:v>28.622521970161372</c:v>
                </c:pt>
                <c:pt idx="1235">
                  <c:v>31.608151735270312</c:v>
                </c:pt>
                <c:pt idx="1236">
                  <c:v>31.594349142280535</c:v>
                </c:pt>
                <c:pt idx="1237">
                  <c:v>34.449967581586307</c:v>
                </c:pt>
                <c:pt idx="1238">
                  <c:v>36.640018015989142</c:v>
                </c:pt>
                <c:pt idx="1239">
                  <c:v>33.476215368531072</c:v>
                </c:pt>
                <c:pt idx="1240">
                  <c:v>41.678856757060863</c:v>
                </c:pt>
                <c:pt idx="1241">
                  <c:v>51.274930573087595</c:v>
                </c:pt>
                <c:pt idx="1242">
                  <c:v>51.89431704885348</c:v>
                </c:pt>
                <c:pt idx="1243">
                  <c:v>55.959285122499708</c:v>
                </c:pt>
                <c:pt idx="1244">
                  <c:v>56.366237482117334</c:v>
                </c:pt>
                <c:pt idx="1245">
                  <c:v>65.630690785480198</c:v>
                </c:pt>
                <c:pt idx="1246">
                  <c:v>75.292479108635177</c:v>
                </c:pt>
                <c:pt idx="1247">
                  <c:v>50.48200950441273</c:v>
                </c:pt>
                <c:pt idx="1248">
                  <c:v>46.667508204998718</c:v>
                </c:pt>
                <c:pt idx="1249">
                  <c:v>47.916666666666714</c:v>
                </c:pt>
                <c:pt idx="1250">
                  <c:v>50.206246317030057</c:v>
                </c:pt>
                <c:pt idx="1251">
                  <c:v>49.563679245282984</c:v>
                </c:pt>
                <c:pt idx="1252">
                  <c:v>47.826589595375751</c:v>
                </c:pt>
                <c:pt idx="1253">
                  <c:v>55.008933889219747</c:v>
                </c:pt>
                <c:pt idx="1254">
                  <c:v>54.140359397765899</c:v>
                </c:pt>
                <c:pt idx="1255">
                  <c:v>51.153798178869906</c:v>
                </c:pt>
                <c:pt idx="1256">
                  <c:v>47.703989393756757</c:v>
                </c:pt>
                <c:pt idx="1257">
                  <c:v>42.724068479355459</c:v>
                </c:pt>
                <c:pt idx="1258">
                  <c:v>46.009802689455825</c:v>
                </c:pt>
                <c:pt idx="1259">
                  <c:v>40.952773201537688</c:v>
                </c:pt>
                <c:pt idx="1260">
                  <c:v>44.529034184206601</c:v>
                </c:pt>
                <c:pt idx="1261">
                  <c:v>61.416512250360327</c:v>
                </c:pt>
                <c:pt idx="1262">
                  <c:v>74.234592445328005</c:v>
                </c:pt>
                <c:pt idx="1263">
                  <c:v>71.881102191364675</c:v>
                </c:pt>
                <c:pt idx="1264">
                  <c:v>43.2643063905589</c:v>
                </c:pt>
                <c:pt idx="1265">
                  <c:v>50.885478158205437</c:v>
                </c:pt>
                <c:pt idx="1266">
                  <c:v>60.537803387462887</c:v>
                </c:pt>
                <c:pt idx="1267">
                  <c:v>48.75102040816332</c:v>
                </c:pt>
                <c:pt idx="1268">
                  <c:v>52.032396088019588</c:v>
                </c:pt>
                <c:pt idx="1269">
                  <c:v>56.344586728754358</c:v>
                </c:pt>
                <c:pt idx="1270">
                  <c:v>50.246561121204266</c:v>
                </c:pt>
                <c:pt idx="1271">
                  <c:v>43.359462486002265</c:v>
                </c:pt>
                <c:pt idx="1272">
                  <c:v>44.036291214870523</c:v>
                </c:pt>
                <c:pt idx="1273">
                  <c:v>44.337959903062327</c:v>
                </c:pt>
                <c:pt idx="1274">
                  <c:v>53.376236672750004</c:v>
                </c:pt>
                <c:pt idx="1275">
                  <c:v>57.322360853021863</c:v>
                </c:pt>
                <c:pt idx="1276">
                  <c:v>58.303795279674965</c:v>
                </c:pt>
                <c:pt idx="1277">
                  <c:v>61.023112978826596</c:v>
                </c:pt>
                <c:pt idx="1278">
                  <c:v>67.227564102564116</c:v>
                </c:pt>
                <c:pt idx="1279">
                  <c:v>66.569793842521136</c:v>
                </c:pt>
                <c:pt idx="1280">
                  <c:v>64.234356781966596</c:v>
                </c:pt>
                <c:pt idx="1281">
                  <c:v>65.689586645468964</c:v>
                </c:pt>
                <c:pt idx="1282">
                  <c:v>60.819382343766222</c:v>
                </c:pt>
                <c:pt idx="1283">
                  <c:v>59.343979283556301</c:v>
                </c:pt>
                <c:pt idx="1284">
                  <c:v>69.633571169427967</c:v>
                </c:pt>
                <c:pt idx="1285">
                  <c:v>82.837001870234474</c:v>
                </c:pt>
                <c:pt idx="1286">
                  <c:v>86.299954065227354</c:v>
                </c:pt>
                <c:pt idx="1287">
                  <c:v>80.643420058296428</c:v>
                </c:pt>
                <c:pt idx="1288">
                  <c:v>68.080715432240282</c:v>
                </c:pt>
                <c:pt idx="1289">
                  <c:v>57.050261541960424</c:v>
                </c:pt>
                <c:pt idx="1290">
                  <c:v>50.897060694744845</c:v>
                </c:pt>
                <c:pt idx="1291">
                  <c:v>40.291894709408389</c:v>
                </c:pt>
                <c:pt idx="1292">
                  <c:v>42.76938827745073</c:v>
                </c:pt>
                <c:pt idx="1293">
                  <c:v>35.934038887521524</c:v>
                </c:pt>
                <c:pt idx="1294">
                  <c:v>32.970711297071148</c:v>
                </c:pt>
                <c:pt idx="1295">
                  <c:v>39.130434782608674</c:v>
                </c:pt>
                <c:pt idx="1296">
                  <c:v>38.320904498436363</c:v>
                </c:pt>
                <c:pt idx="1297">
                  <c:v>42.601298410566379</c:v>
                </c:pt>
                <c:pt idx="1298">
                  <c:v>42.831661092530624</c:v>
                </c:pt>
                <c:pt idx="1299">
                  <c:v>44.179570012253528</c:v>
                </c:pt>
                <c:pt idx="1300">
                  <c:v>24.911708774789446</c:v>
                </c:pt>
                <c:pt idx="1301">
                  <c:v>25.783776184450986</c:v>
                </c:pt>
                <c:pt idx="1302">
                  <c:v>25.00340831629174</c:v>
                </c:pt>
                <c:pt idx="1303">
                  <c:v>29.297365119197011</c:v>
                </c:pt>
                <c:pt idx="1304">
                  <c:v>39.211646751819835</c:v>
                </c:pt>
                <c:pt idx="1305">
                  <c:v>42.221236320615155</c:v>
                </c:pt>
                <c:pt idx="1306">
                  <c:v>38.661323834965856</c:v>
                </c:pt>
                <c:pt idx="1307">
                  <c:v>44.251271116942803</c:v>
                </c:pt>
                <c:pt idx="1308">
                  <c:v>53.519379844961215</c:v>
                </c:pt>
                <c:pt idx="1309">
                  <c:v>58.069930069930095</c:v>
                </c:pt>
                <c:pt idx="1310">
                  <c:v>64.762840303115368</c:v>
                </c:pt>
                <c:pt idx="1311">
                  <c:v>58.706844336765577</c:v>
                </c:pt>
                <c:pt idx="1312">
                  <c:v>57.021276595744688</c:v>
                </c:pt>
                <c:pt idx="1313">
                  <c:v>51.564344746162909</c:v>
                </c:pt>
                <c:pt idx="1314">
                  <c:v>48.812517462978484</c:v>
                </c:pt>
                <c:pt idx="1315">
                  <c:v>38.969440107071158</c:v>
                </c:pt>
                <c:pt idx="1316">
                  <c:v>40.281300438090888</c:v>
                </c:pt>
                <c:pt idx="1317">
                  <c:v>39.884726224783861</c:v>
                </c:pt>
                <c:pt idx="1318">
                  <c:v>35.209342775500033</c:v>
                </c:pt>
                <c:pt idx="1319">
                  <c:v>38.044015825914947</c:v>
                </c:pt>
                <c:pt idx="1320">
                  <c:v>44.217766379109364</c:v>
                </c:pt>
                <c:pt idx="1321">
                  <c:v>44.541029207232221</c:v>
                </c:pt>
                <c:pt idx="1322">
                  <c:v>38.718977187264969</c:v>
                </c:pt>
                <c:pt idx="1323">
                  <c:v>27.998286693318079</c:v>
                </c:pt>
                <c:pt idx="1324">
                  <c:v>21.360330814202115</c:v>
                </c:pt>
                <c:pt idx="1325">
                  <c:v>25.929549902152658</c:v>
                </c:pt>
                <c:pt idx="1326">
                  <c:v>32.453792224346685</c:v>
                </c:pt>
                <c:pt idx="1327">
                  <c:v>30.360124016217497</c:v>
                </c:pt>
                <c:pt idx="1328">
                  <c:v>45.88763552732447</c:v>
                </c:pt>
                <c:pt idx="1329">
                  <c:v>57.146753955264622</c:v>
                </c:pt>
                <c:pt idx="1330">
                  <c:v>68.207844259948473</c:v>
                </c:pt>
                <c:pt idx="1331">
                  <c:v>62.590306055431512</c:v>
                </c:pt>
                <c:pt idx="1332">
                  <c:v>59.497433126182152</c:v>
                </c:pt>
                <c:pt idx="1333">
                  <c:v>55.613472333600647</c:v>
                </c:pt>
                <c:pt idx="1334">
                  <c:v>52.584237578526555</c:v>
                </c:pt>
                <c:pt idx="1335">
                  <c:v>52.866874822594419</c:v>
                </c:pt>
                <c:pt idx="1336">
                  <c:v>52.49436302142049</c:v>
                </c:pt>
                <c:pt idx="1337">
                  <c:v>58.909183803806343</c:v>
                </c:pt>
                <c:pt idx="1338">
                  <c:v>62.425554953979429</c:v>
                </c:pt>
                <c:pt idx="1339">
                  <c:v>66.469380359946825</c:v>
                </c:pt>
                <c:pt idx="1340">
                  <c:v>60.537320998606006</c:v>
                </c:pt>
                <c:pt idx="1341">
                  <c:v>70.972382048331326</c:v>
                </c:pt>
                <c:pt idx="1342">
                  <c:v>62.877115526122097</c:v>
                </c:pt>
                <c:pt idx="1343">
                  <c:v>65.84473126565203</c:v>
                </c:pt>
                <c:pt idx="1344">
                  <c:v>61.722797927461109</c:v>
                </c:pt>
                <c:pt idx="1345">
                  <c:v>73.027433843165653</c:v>
                </c:pt>
                <c:pt idx="1346">
                  <c:v>69.533055940822834</c:v>
                </c:pt>
                <c:pt idx="1347">
                  <c:v>76.438550793274828</c:v>
                </c:pt>
                <c:pt idx="1348">
                  <c:v>73.105134474327528</c:v>
                </c:pt>
                <c:pt idx="1349">
                  <c:v>62.319484558986794</c:v>
                </c:pt>
                <c:pt idx="1350">
                  <c:v>64.786480931719524</c:v>
                </c:pt>
                <c:pt idx="1351">
                  <c:v>51.207983193277286</c:v>
                </c:pt>
                <c:pt idx="1352">
                  <c:v>59.925422241719687</c:v>
                </c:pt>
                <c:pt idx="1353">
                  <c:v>38.051282051282044</c:v>
                </c:pt>
                <c:pt idx="1354">
                  <c:v>30.459770114942529</c:v>
                </c:pt>
                <c:pt idx="1355">
                  <c:v>28.02534318901796</c:v>
                </c:pt>
                <c:pt idx="1356">
                  <c:v>28.267733108819115</c:v>
                </c:pt>
                <c:pt idx="1357">
                  <c:v>29.516267123287662</c:v>
                </c:pt>
                <c:pt idx="1358">
                  <c:v>33.888777353944946</c:v>
                </c:pt>
                <c:pt idx="1359">
                  <c:v>36.939869781692849</c:v>
                </c:pt>
                <c:pt idx="1360">
                  <c:v>48.527349228611484</c:v>
                </c:pt>
                <c:pt idx="1361">
                  <c:v>43.765029199587723</c:v>
                </c:pt>
                <c:pt idx="1362">
                  <c:v>43.90832328106152</c:v>
                </c:pt>
                <c:pt idx="1363">
                  <c:v>45.394619632994832</c:v>
                </c:pt>
                <c:pt idx="1364">
                  <c:v>52.384651235047443</c:v>
                </c:pt>
                <c:pt idx="1365">
                  <c:v>55.103707333006703</c:v>
                </c:pt>
                <c:pt idx="1366">
                  <c:v>41.941747572815501</c:v>
                </c:pt>
                <c:pt idx="1367">
                  <c:v>53.388249922287798</c:v>
                </c:pt>
                <c:pt idx="1368">
                  <c:v>63.248020622353117</c:v>
                </c:pt>
                <c:pt idx="1369">
                  <c:v>66.700370744860095</c:v>
                </c:pt>
                <c:pt idx="1370">
                  <c:v>69.01850109752273</c:v>
                </c:pt>
                <c:pt idx="1371">
                  <c:v>65.32994164297466</c:v>
                </c:pt>
                <c:pt idx="1372">
                  <c:v>59.592980386373625</c:v>
                </c:pt>
                <c:pt idx="1373">
                  <c:v>46.55106464363125</c:v>
                </c:pt>
                <c:pt idx="1374">
                  <c:v>35.295594326597239</c:v>
                </c:pt>
                <c:pt idx="1375">
                  <c:v>42.193687747509948</c:v>
                </c:pt>
                <c:pt idx="1376">
                  <c:v>41.619318181818187</c:v>
                </c:pt>
                <c:pt idx="1377">
                  <c:v>49.52603992416639</c:v>
                </c:pt>
                <c:pt idx="1378">
                  <c:v>43.60252979810263</c:v>
                </c:pt>
                <c:pt idx="1379">
                  <c:v>46.725643382352949</c:v>
                </c:pt>
                <c:pt idx="1380">
                  <c:v>53.455882352941195</c:v>
                </c:pt>
                <c:pt idx="1381">
                  <c:v>45.868091762252384</c:v>
                </c:pt>
                <c:pt idx="1382">
                  <c:v>43.812250996015969</c:v>
                </c:pt>
                <c:pt idx="1383">
                  <c:v>36.105085562786236</c:v>
                </c:pt>
                <c:pt idx="1384">
                  <c:v>34.062927496580087</c:v>
                </c:pt>
                <c:pt idx="1385">
                  <c:v>34.838463495293894</c:v>
                </c:pt>
                <c:pt idx="1386">
                  <c:v>37.657514259185653</c:v>
                </c:pt>
                <c:pt idx="1387">
                  <c:v>47.451868629671587</c:v>
                </c:pt>
                <c:pt idx="1388">
                  <c:v>51.097560975609781</c:v>
                </c:pt>
                <c:pt idx="1389">
                  <c:v>50.212841433132276</c:v>
                </c:pt>
                <c:pt idx="1390">
                  <c:v>51.849816849816833</c:v>
                </c:pt>
                <c:pt idx="1391">
                  <c:v>41.899318531545426</c:v>
                </c:pt>
                <c:pt idx="1392">
                  <c:v>51.335767826254141</c:v>
                </c:pt>
                <c:pt idx="1393">
                  <c:v>51.697825257535307</c:v>
                </c:pt>
                <c:pt idx="1394">
                  <c:v>44.955323901712596</c:v>
                </c:pt>
                <c:pt idx="1395">
                  <c:v>51.974898486526364</c:v>
                </c:pt>
                <c:pt idx="1396">
                  <c:v>64.120155757463337</c:v>
                </c:pt>
                <c:pt idx="1397">
                  <c:v>80.752435337588224</c:v>
                </c:pt>
                <c:pt idx="1398">
                  <c:v>70.559495665878671</c:v>
                </c:pt>
                <c:pt idx="1399">
                  <c:v>77.35899137358993</c:v>
                </c:pt>
                <c:pt idx="1400">
                  <c:v>73.41107124551516</c:v>
                </c:pt>
                <c:pt idx="1401">
                  <c:v>76.508547492358261</c:v>
                </c:pt>
                <c:pt idx="1402">
                  <c:v>79.910133617121929</c:v>
                </c:pt>
                <c:pt idx="1403">
                  <c:v>70.034129692832778</c:v>
                </c:pt>
                <c:pt idx="1404">
                  <c:v>68.544705489366493</c:v>
                </c:pt>
                <c:pt idx="1405">
                  <c:v>56.389117889530098</c:v>
                </c:pt>
                <c:pt idx="1406">
                  <c:v>51.926411096127907</c:v>
                </c:pt>
                <c:pt idx="1407">
                  <c:v>50.343249427917598</c:v>
                </c:pt>
                <c:pt idx="1408">
                  <c:v>52.337608605709555</c:v>
                </c:pt>
                <c:pt idx="1409">
                  <c:v>49.866209996789038</c:v>
                </c:pt>
                <c:pt idx="1410">
                  <c:v>45.45660291954286</c:v>
                </c:pt>
                <c:pt idx="1411">
                  <c:v>33.254364089775578</c:v>
                </c:pt>
                <c:pt idx="1412">
                  <c:v>44.777009301216353</c:v>
                </c:pt>
                <c:pt idx="1413">
                  <c:v>36.648426812585498</c:v>
                </c:pt>
                <c:pt idx="1414">
                  <c:v>33.057749259624842</c:v>
                </c:pt>
                <c:pt idx="1415">
                  <c:v>21.807988787666389</c:v>
                </c:pt>
                <c:pt idx="1416">
                  <c:v>22.385714285714286</c:v>
                </c:pt>
                <c:pt idx="1417">
                  <c:v>28.07803006076108</c:v>
                </c:pt>
                <c:pt idx="1418">
                  <c:v>28.660029378162193</c:v>
                </c:pt>
                <c:pt idx="1419">
                  <c:v>43.81527036435363</c:v>
                </c:pt>
                <c:pt idx="1420">
                  <c:v>46.206558981889373</c:v>
                </c:pt>
                <c:pt idx="1421">
                  <c:v>42.666666666666622</c:v>
                </c:pt>
                <c:pt idx="1422">
                  <c:v>43.906720160481392</c:v>
                </c:pt>
                <c:pt idx="1423">
                  <c:v>45.012722646310444</c:v>
                </c:pt>
                <c:pt idx="1424">
                  <c:v>46.577145866245388</c:v>
                </c:pt>
                <c:pt idx="1425">
                  <c:v>47.173333333333353</c:v>
                </c:pt>
                <c:pt idx="1426">
                  <c:v>28.715365239294584</c:v>
                </c:pt>
                <c:pt idx="1427">
                  <c:v>42.712550607287483</c:v>
                </c:pt>
                <c:pt idx="1428">
                  <c:v>68.059351815697099</c:v>
                </c:pt>
                <c:pt idx="1429">
                  <c:v>69.276629570747332</c:v>
                </c:pt>
                <c:pt idx="1430">
                  <c:v>69.03148664806713</c:v>
                </c:pt>
                <c:pt idx="1431">
                  <c:v>77.484787018255744</c:v>
                </c:pt>
                <c:pt idx="1432">
                  <c:v>85.334750265674955</c:v>
                </c:pt>
                <c:pt idx="1433">
                  <c:v>80.794839783603919</c:v>
                </c:pt>
                <c:pt idx="1434">
                  <c:v>67.884615384615358</c:v>
                </c:pt>
                <c:pt idx="1435">
                  <c:v>64.266799073154672</c:v>
                </c:pt>
                <c:pt idx="1436">
                  <c:v>63.064250411861686</c:v>
                </c:pt>
                <c:pt idx="1437">
                  <c:v>56.087148535256887</c:v>
                </c:pt>
                <c:pt idx="1438">
                  <c:v>56.87608569774175</c:v>
                </c:pt>
                <c:pt idx="1439">
                  <c:v>45.057339449541239</c:v>
                </c:pt>
                <c:pt idx="1440">
                  <c:v>42.725846222819989</c:v>
                </c:pt>
                <c:pt idx="1441">
                  <c:v>36.812167676517852</c:v>
                </c:pt>
                <c:pt idx="1442">
                  <c:v>37.07671469030911</c:v>
                </c:pt>
                <c:pt idx="1443">
                  <c:v>42.989056087551305</c:v>
                </c:pt>
                <c:pt idx="1444">
                  <c:v>43.428053888825985</c:v>
                </c:pt>
                <c:pt idx="1445">
                  <c:v>36.303377947737459</c:v>
                </c:pt>
                <c:pt idx="1446">
                  <c:v>23.127685696746539</c:v>
                </c:pt>
                <c:pt idx="1447">
                  <c:v>23.57634543178979</c:v>
                </c:pt>
                <c:pt idx="1448">
                  <c:v>27.345309381237598</c:v>
                </c:pt>
                <c:pt idx="1449">
                  <c:v>26.059138855265473</c:v>
                </c:pt>
                <c:pt idx="1450">
                  <c:v>26.424688760301635</c:v>
                </c:pt>
                <c:pt idx="1451">
                  <c:v>36.077705827937137</c:v>
                </c:pt>
                <c:pt idx="1452">
                  <c:v>40.513085399448997</c:v>
                </c:pt>
                <c:pt idx="1453">
                  <c:v>63.525917926565988</c:v>
                </c:pt>
                <c:pt idx="1454">
                  <c:v>53.380217785843939</c:v>
                </c:pt>
                <c:pt idx="1455">
                  <c:v>56.736842105263158</c:v>
                </c:pt>
                <c:pt idx="1456">
                  <c:v>46.613468275593604</c:v>
                </c:pt>
                <c:pt idx="1457">
                  <c:v>35.221887117621733</c:v>
                </c:pt>
                <c:pt idx="1458">
                  <c:v>37.223382045929057</c:v>
                </c:pt>
                <c:pt idx="1459">
                  <c:v>26.995884773662553</c:v>
                </c:pt>
                <c:pt idx="1460">
                  <c:v>25.157232704402503</c:v>
                </c:pt>
                <c:pt idx="1461">
                  <c:v>29.112795363352703</c:v>
                </c:pt>
                <c:pt idx="1462">
                  <c:v>26.221389372239358</c:v>
                </c:pt>
                <c:pt idx="1463">
                  <c:v>31.077229980051385</c:v>
                </c:pt>
                <c:pt idx="1464">
                  <c:v>37.472513258310734</c:v>
                </c:pt>
                <c:pt idx="1465">
                  <c:v>33.010492332526283</c:v>
                </c:pt>
                <c:pt idx="1466">
                  <c:v>26.200162733930071</c:v>
                </c:pt>
                <c:pt idx="1467">
                  <c:v>25.324419976405878</c:v>
                </c:pt>
                <c:pt idx="1468">
                  <c:v>30.878438331854483</c:v>
                </c:pt>
                <c:pt idx="1469">
                  <c:v>28.389765589091468</c:v>
                </c:pt>
                <c:pt idx="1470">
                  <c:v>31.433418150975427</c:v>
                </c:pt>
                <c:pt idx="1471">
                  <c:v>33.684395295769647</c:v>
                </c:pt>
                <c:pt idx="1472">
                  <c:v>29.551359778278126</c:v>
                </c:pt>
                <c:pt idx="1473">
                  <c:v>35.601001669449047</c:v>
                </c:pt>
                <c:pt idx="1474">
                  <c:v>37.843833185448105</c:v>
                </c:pt>
                <c:pt idx="1475">
                  <c:v>35.92499428310073</c:v>
                </c:pt>
                <c:pt idx="1476">
                  <c:v>53.712190650779192</c:v>
                </c:pt>
                <c:pt idx="1477">
                  <c:v>54.910714285714327</c:v>
                </c:pt>
                <c:pt idx="1478">
                  <c:v>46.744002109148425</c:v>
                </c:pt>
                <c:pt idx="1479">
                  <c:v>46.682464454976184</c:v>
                </c:pt>
                <c:pt idx="1480">
                  <c:v>52.331759149941028</c:v>
                </c:pt>
                <c:pt idx="1481">
                  <c:v>67.502088554720231</c:v>
                </c:pt>
                <c:pt idx="1482">
                  <c:v>71.270310192023757</c:v>
                </c:pt>
                <c:pt idx="1483">
                  <c:v>62.133209129017381</c:v>
                </c:pt>
                <c:pt idx="1484">
                  <c:v>67.494824016563214</c:v>
                </c:pt>
                <c:pt idx="1485">
                  <c:v>57.127526381684937</c:v>
                </c:pt>
                <c:pt idx="1486">
                  <c:v>63.127514430645505</c:v>
                </c:pt>
                <c:pt idx="1487">
                  <c:v>69.461298032726631</c:v>
                </c:pt>
                <c:pt idx="1488">
                  <c:v>74.485949280328995</c:v>
                </c:pt>
                <c:pt idx="1489">
                  <c:v>71.899827288428426</c:v>
                </c:pt>
                <c:pt idx="1490">
                  <c:v>58.782729322004556</c:v>
                </c:pt>
                <c:pt idx="1491">
                  <c:v>59.017241379310342</c:v>
                </c:pt>
                <c:pt idx="1492">
                  <c:v>54.919093851132722</c:v>
                </c:pt>
                <c:pt idx="1493">
                  <c:v>48.729361091170141</c:v>
                </c:pt>
                <c:pt idx="1494">
                  <c:v>46.328146328146303</c:v>
                </c:pt>
                <c:pt idx="1495">
                  <c:v>46.342794759825289</c:v>
                </c:pt>
                <c:pt idx="1496">
                  <c:v>40.083960625361861</c:v>
                </c:pt>
                <c:pt idx="1497">
                  <c:v>47.247706422018304</c:v>
                </c:pt>
                <c:pt idx="1498">
                  <c:v>38.143602764846889</c:v>
                </c:pt>
                <c:pt idx="1499">
                  <c:v>38.805970149253689</c:v>
                </c:pt>
                <c:pt idx="1500">
                  <c:v>30.479360852196976</c:v>
                </c:pt>
                <c:pt idx="1501">
                  <c:v>28.847462239760475</c:v>
                </c:pt>
                <c:pt idx="1502">
                  <c:v>21.740958788898197</c:v>
                </c:pt>
                <c:pt idx="1503">
                  <c:v>25.68581957144805</c:v>
                </c:pt>
                <c:pt idx="1504">
                  <c:v>28.971255673222402</c:v>
                </c:pt>
                <c:pt idx="1505">
                  <c:v>24.940047961630682</c:v>
                </c:pt>
                <c:pt idx="1506">
                  <c:v>24.536017615602375</c:v>
                </c:pt>
                <c:pt idx="1507">
                  <c:v>38.178325596286228</c:v>
                </c:pt>
                <c:pt idx="1508">
                  <c:v>42.631403858948808</c:v>
                </c:pt>
                <c:pt idx="1509">
                  <c:v>39.074368486133196</c:v>
                </c:pt>
                <c:pt idx="1510">
                  <c:v>42.952665845504093</c:v>
                </c:pt>
                <c:pt idx="1511">
                  <c:v>49.009122365523794</c:v>
                </c:pt>
                <c:pt idx="1512">
                  <c:v>56.861078047951018</c:v>
                </c:pt>
                <c:pt idx="1513">
                  <c:v>63.489652553635807</c:v>
                </c:pt>
                <c:pt idx="1514">
                  <c:v>79.332477535301763</c:v>
                </c:pt>
                <c:pt idx="1515">
                  <c:v>79.79329255431341</c:v>
                </c:pt>
                <c:pt idx="1516">
                  <c:v>86.350282485875766</c:v>
                </c:pt>
                <c:pt idx="1517">
                  <c:v>66.173682214637836</c:v>
                </c:pt>
                <c:pt idx="1518">
                  <c:v>50.3055878928987</c:v>
                </c:pt>
                <c:pt idx="1519">
                  <c:v>48.410241980866665</c:v>
                </c:pt>
                <c:pt idx="1520">
                  <c:v>42.942718083114904</c:v>
                </c:pt>
                <c:pt idx="1521">
                  <c:v>41.090065713181275</c:v>
                </c:pt>
                <c:pt idx="1522">
                  <c:v>45.790846573393402</c:v>
                </c:pt>
                <c:pt idx="1523">
                  <c:v>43.393466601657742</c:v>
                </c:pt>
                <c:pt idx="1524">
                  <c:v>43.192660550458761</c:v>
                </c:pt>
                <c:pt idx="1525">
                  <c:v>40.300809872734234</c:v>
                </c:pt>
                <c:pt idx="1526">
                  <c:v>39.111052838599754</c:v>
                </c:pt>
                <c:pt idx="1527">
                  <c:v>39.19842312746389</c:v>
                </c:pt>
                <c:pt idx="1528">
                  <c:v>31.615161757604994</c:v>
                </c:pt>
                <c:pt idx="1529">
                  <c:v>27.443365695792835</c:v>
                </c:pt>
                <c:pt idx="1530">
                  <c:v>27.443365695792906</c:v>
                </c:pt>
                <c:pt idx="1531">
                  <c:v>31.264593830650156</c:v>
                </c:pt>
                <c:pt idx="1532">
                  <c:v>35.431754874651844</c:v>
                </c:pt>
                <c:pt idx="1533">
                  <c:v>50.879551820728281</c:v>
                </c:pt>
                <c:pt idx="1534">
                  <c:v>64.475574712643692</c:v>
                </c:pt>
                <c:pt idx="1535">
                  <c:v>66.531302876480567</c:v>
                </c:pt>
                <c:pt idx="1536">
                  <c:v>60.617343262070641</c:v>
                </c:pt>
                <c:pt idx="1537">
                  <c:v>60.66834956124535</c:v>
                </c:pt>
                <c:pt idx="1538">
                  <c:v>59.990217657128873</c:v>
                </c:pt>
                <c:pt idx="1539">
                  <c:v>54.297444047146122</c:v>
                </c:pt>
                <c:pt idx="1540">
                  <c:v>55.835679549526489</c:v>
                </c:pt>
                <c:pt idx="1541">
                  <c:v>54.921953675730109</c:v>
                </c:pt>
                <c:pt idx="1542">
                  <c:v>58.895788336933073</c:v>
                </c:pt>
                <c:pt idx="1543">
                  <c:v>68.129294191130668</c:v>
                </c:pt>
                <c:pt idx="1544">
                  <c:v>70.273812991552688</c:v>
                </c:pt>
                <c:pt idx="1545">
                  <c:v>75.961422543701104</c:v>
                </c:pt>
                <c:pt idx="1546">
                  <c:v>83.559596462822341</c:v>
                </c:pt>
                <c:pt idx="1547">
                  <c:v>79.905617293347618</c:v>
                </c:pt>
                <c:pt idx="1548">
                  <c:v>76.999477260846945</c:v>
                </c:pt>
                <c:pt idx="1549">
                  <c:v>71.508260030036539</c:v>
                </c:pt>
                <c:pt idx="1550">
                  <c:v>75.254007676676494</c:v>
                </c:pt>
                <c:pt idx="1551">
                  <c:v>78.367603860679864</c:v>
                </c:pt>
                <c:pt idx="1552">
                  <c:v>80.631222994552019</c:v>
                </c:pt>
                <c:pt idx="1553">
                  <c:v>66.316440049443742</c:v>
                </c:pt>
                <c:pt idx="1554">
                  <c:v>66.358024691358025</c:v>
                </c:pt>
                <c:pt idx="1555">
                  <c:v>66.71838634600465</c:v>
                </c:pt>
                <c:pt idx="1556">
                  <c:v>74.02782168827062</c:v>
                </c:pt>
                <c:pt idx="1557">
                  <c:v>72.146048374672603</c:v>
                </c:pt>
                <c:pt idx="1558">
                  <c:v>61.823825007389885</c:v>
                </c:pt>
                <c:pt idx="1559">
                  <c:v>61.913889708050739</c:v>
                </c:pt>
                <c:pt idx="1560">
                  <c:v>60.887341005451241</c:v>
                </c:pt>
                <c:pt idx="1561">
                  <c:v>58.526011560693618</c:v>
                </c:pt>
                <c:pt idx="1562">
                  <c:v>57.244206211571793</c:v>
                </c:pt>
                <c:pt idx="1563">
                  <c:v>47.015408520005153</c:v>
                </c:pt>
                <c:pt idx="1564">
                  <c:v>44.486645430041648</c:v>
                </c:pt>
                <c:pt idx="1565">
                  <c:v>40.837232831668146</c:v>
                </c:pt>
                <c:pt idx="1566">
                  <c:v>41.341692789968612</c:v>
                </c:pt>
                <c:pt idx="1567">
                  <c:v>54.839579401455943</c:v>
                </c:pt>
                <c:pt idx="1568">
                  <c:v>55.315459517140191</c:v>
                </c:pt>
                <c:pt idx="1569">
                  <c:v>58.485639686684095</c:v>
                </c:pt>
                <c:pt idx="1570">
                  <c:v>57.212055974165779</c:v>
                </c:pt>
                <c:pt idx="1571">
                  <c:v>57.568372596804736</c:v>
                </c:pt>
                <c:pt idx="1572">
                  <c:v>56.072794408545406</c:v>
                </c:pt>
                <c:pt idx="1573">
                  <c:v>45.297882816346601</c:v>
                </c:pt>
                <c:pt idx="1574">
                  <c:v>42.047531992687368</c:v>
                </c:pt>
                <c:pt idx="1575">
                  <c:v>41.078066914498159</c:v>
                </c:pt>
                <c:pt idx="1576">
                  <c:v>48.904443091905073</c:v>
                </c:pt>
                <c:pt idx="1577">
                  <c:v>63.457614542756517</c:v>
                </c:pt>
                <c:pt idx="1578">
                  <c:v>68.916196615632629</c:v>
                </c:pt>
                <c:pt idx="1579">
                  <c:v>75.826839826839844</c:v>
                </c:pt>
                <c:pt idx="1580">
                  <c:v>62.132167479401431</c:v>
                </c:pt>
                <c:pt idx="1581">
                  <c:v>60.704938056185689</c:v>
                </c:pt>
                <c:pt idx="1582">
                  <c:v>60.393950052761198</c:v>
                </c:pt>
                <c:pt idx="1583">
                  <c:v>54.071490845684401</c:v>
                </c:pt>
                <c:pt idx="1584">
                  <c:v>53.765139547130055</c:v>
                </c:pt>
                <c:pt idx="1585">
                  <c:v>50.428054000658612</c:v>
                </c:pt>
                <c:pt idx="1586">
                  <c:v>52.278545826932913</c:v>
                </c:pt>
                <c:pt idx="1587">
                  <c:v>48.373341756159157</c:v>
                </c:pt>
                <c:pt idx="1588">
                  <c:v>57.636338909288696</c:v>
                </c:pt>
                <c:pt idx="1589">
                  <c:v>59.733712512926566</c:v>
                </c:pt>
                <c:pt idx="1590">
                  <c:v>58.086652314316474</c:v>
                </c:pt>
                <c:pt idx="1591">
                  <c:v>63.352941176470623</c:v>
                </c:pt>
                <c:pt idx="1592">
                  <c:v>55.242100943783342</c:v>
                </c:pt>
                <c:pt idx="1593">
                  <c:v>56.686190807108154</c:v>
                </c:pt>
                <c:pt idx="1594">
                  <c:v>63.273641218975818</c:v>
                </c:pt>
                <c:pt idx="1595">
                  <c:v>58.335105251966844</c:v>
                </c:pt>
                <c:pt idx="1596">
                  <c:v>54.516335682254983</c:v>
                </c:pt>
                <c:pt idx="1597">
                  <c:v>58.555092444159456</c:v>
                </c:pt>
                <c:pt idx="1598">
                  <c:v>55.848349130298928</c:v>
                </c:pt>
                <c:pt idx="1599">
                  <c:v>54.910394265232952</c:v>
                </c:pt>
                <c:pt idx="1600">
                  <c:v>56.812884085611365</c:v>
                </c:pt>
                <c:pt idx="1601">
                  <c:v>58.678047712847459</c:v>
                </c:pt>
                <c:pt idx="1602">
                  <c:v>51.023641238118465</c:v>
                </c:pt>
                <c:pt idx="1603">
                  <c:v>50.993781246189499</c:v>
                </c:pt>
                <c:pt idx="1604">
                  <c:v>48.148625983744047</c:v>
                </c:pt>
                <c:pt idx="1605">
                  <c:v>45.408856289051876</c:v>
                </c:pt>
                <c:pt idx="1606">
                  <c:v>62.562884292901053</c:v>
                </c:pt>
                <c:pt idx="1607">
                  <c:v>52.92460646230316</c:v>
                </c:pt>
                <c:pt idx="1608">
                  <c:v>52.901193633952239</c:v>
                </c:pt>
                <c:pt idx="1609">
                  <c:v>52.604681833168414</c:v>
                </c:pt>
                <c:pt idx="1610">
                  <c:v>44.610652872920447</c:v>
                </c:pt>
                <c:pt idx="1611">
                  <c:v>33.780867897386756</c:v>
                </c:pt>
                <c:pt idx="1612">
                  <c:v>32.695208260819157</c:v>
                </c:pt>
                <c:pt idx="1613">
                  <c:v>41.435318511692245</c:v>
                </c:pt>
                <c:pt idx="1614">
                  <c:v>49.713668287412197</c:v>
                </c:pt>
                <c:pt idx="1615">
                  <c:v>45.441975308641979</c:v>
                </c:pt>
                <c:pt idx="1616">
                  <c:v>45.941088367448828</c:v>
                </c:pt>
                <c:pt idx="1617">
                  <c:v>42.6637957551523</c:v>
                </c:pt>
                <c:pt idx="1618">
                  <c:v>38.139191434373281</c:v>
                </c:pt>
                <c:pt idx="1619">
                  <c:v>32.421094686376392</c:v>
                </c:pt>
                <c:pt idx="1620">
                  <c:v>29.733097933326448</c:v>
                </c:pt>
                <c:pt idx="1621">
                  <c:v>30.35959084677846</c:v>
                </c:pt>
                <c:pt idx="1622">
                  <c:v>32.036636822064423</c:v>
                </c:pt>
                <c:pt idx="1623">
                  <c:v>37.463186757388065</c:v>
                </c:pt>
                <c:pt idx="1624">
                  <c:v>37.075376884422134</c:v>
                </c:pt>
                <c:pt idx="1625">
                  <c:v>42.766056109436583</c:v>
                </c:pt>
                <c:pt idx="1626">
                  <c:v>50.260326275598757</c:v>
                </c:pt>
                <c:pt idx="1627">
                  <c:v>49.057945254177007</c:v>
                </c:pt>
                <c:pt idx="1628">
                  <c:v>43.855295807757656</c:v>
                </c:pt>
                <c:pt idx="1629">
                  <c:v>52.097747681436772</c:v>
                </c:pt>
                <c:pt idx="1630">
                  <c:v>58.590951306886019</c:v>
                </c:pt>
                <c:pt idx="1631">
                  <c:v>58.990114881111353</c:v>
                </c:pt>
                <c:pt idx="1632">
                  <c:v>71.490909090909042</c:v>
                </c:pt>
                <c:pt idx="1633">
                  <c:v>75.199476782210581</c:v>
                </c:pt>
                <c:pt idx="1634">
                  <c:v>72.501812907904252</c:v>
                </c:pt>
                <c:pt idx="1635">
                  <c:v>78.101178101178078</c:v>
                </c:pt>
                <c:pt idx="1636">
                  <c:v>74.903334944417537</c:v>
                </c:pt>
                <c:pt idx="1637">
                  <c:v>65.704603879411081</c:v>
                </c:pt>
                <c:pt idx="1638">
                  <c:v>79.052439195838616</c:v>
                </c:pt>
                <c:pt idx="1639">
                  <c:v>81.104860810615904</c:v>
                </c:pt>
                <c:pt idx="1640">
                  <c:v>79.160038180082736</c:v>
                </c:pt>
                <c:pt idx="1641">
                  <c:v>77.117903930131007</c:v>
                </c:pt>
                <c:pt idx="1642">
                  <c:v>78.192109205926414</c:v>
                </c:pt>
                <c:pt idx="1643">
                  <c:v>79.895641497851457</c:v>
                </c:pt>
                <c:pt idx="1644">
                  <c:v>78.904991948470212</c:v>
                </c:pt>
                <c:pt idx="1645">
                  <c:v>69.820461669991431</c:v>
                </c:pt>
                <c:pt idx="1646">
                  <c:v>55.978122615110664</c:v>
                </c:pt>
                <c:pt idx="1647">
                  <c:v>52.640941434044912</c:v>
                </c:pt>
                <c:pt idx="1648">
                  <c:v>48.026973026973003</c:v>
                </c:pt>
                <c:pt idx="1649">
                  <c:v>28.218430034129668</c:v>
                </c:pt>
                <c:pt idx="1650">
                  <c:v>38.017336100598278</c:v>
                </c:pt>
                <c:pt idx="1651">
                  <c:v>39.352963477821326</c:v>
                </c:pt>
                <c:pt idx="1652">
                  <c:v>37.759185158239397</c:v>
                </c:pt>
                <c:pt idx="1653">
                  <c:v>35.747904947767211</c:v>
                </c:pt>
                <c:pt idx="1654">
                  <c:v>33.793928843433832</c:v>
                </c:pt>
                <c:pt idx="1655">
                  <c:v>39.446711115533908</c:v>
                </c:pt>
                <c:pt idx="1656">
                  <c:v>33.914918643403269</c:v>
                </c:pt>
                <c:pt idx="1657">
                  <c:v>28.890279516061739</c:v>
                </c:pt>
                <c:pt idx="1658">
                  <c:v>25.59205500381978</c:v>
                </c:pt>
                <c:pt idx="1659">
                  <c:v>26.51814994911237</c:v>
                </c:pt>
                <c:pt idx="1660">
                  <c:v>28.016726403823228</c:v>
                </c:pt>
                <c:pt idx="1661">
                  <c:v>19.743761353857963</c:v>
                </c:pt>
                <c:pt idx="1662">
                  <c:v>25.779064158224813</c:v>
                </c:pt>
                <c:pt idx="1663">
                  <c:v>29.826614189979878</c:v>
                </c:pt>
                <c:pt idx="1664">
                  <c:v>19.596252509480294</c:v>
                </c:pt>
                <c:pt idx="1665">
                  <c:v>20.876901140684438</c:v>
                </c:pt>
                <c:pt idx="1666">
                  <c:v>28.213094005292845</c:v>
                </c:pt>
                <c:pt idx="1667">
                  <c:v>37.614578786556109</c:v>
                </c:pt>
                <c:pt idx="1668">
                  <c:v>39.282051282051292</c:v>
                </c:pt>
                <c:pt idx="1669">
                  <c:v>33.739584628777564</c:v>
                </c:pt>
                <c:pt idx="1670">
                  <c:v>33.52694018783987</c:v>
                </c:pt>
                <c:pt idx="1671">
                  <c:v>37.004038964124518</c:v>
                </c:pt>
                <c:pt idx="1672">
                  <c:v>36.353816610657702</c:v>
                </c:pt>
                <c:pt idx="1673">
                  <c:v>44.303195913033129</c:v>
                </c:pt>
                <c:pt idx="1674">
                  <c:v>47.758709016393446</c:v>
                </c:pt>
                <c:pt idx="1675">
                  <c:v>70.177886292291618</c:v>
                </c:pt>
                <c:pt idx="1676">
                  <c:v>64.875640782229027</c:v>
                </c:pt>
                <c:pt idx="1677">
                  <c:v>59.543230016313139</c:v>
                </c:pt>
                <c:pt idx="1678">
                  <c:v>65.230341540905556</c:v>
                </c:pt>
                <c:pt idx="1679">
                  <c:v>61.036789297658885</c:v>
                </c:pt>
                <c:pt idx="1680">
                  <c:v>55.712777191129923</c:v>
                </c:pt>
                <c:pt idx="1681">
                  <c:v>39.504688627073897</c:v>
                </c:pt>
                <c:pt idx="1682">
                  <c:v>43.921113689095172</c:v>
                </c:pt>
                <c:pt idx="1683">
                  <c:v>33.75</c:v>
                </c:pt>
                <c:pt idx="1684">
                  <c:v>47.74723176785028</c:v>
                </c:pt>
                <c:pt idx="1685">
                  <c:v>42.740785990633249</c:v>
                </c:pt>
                <c:pt idx="1686">
                  <c:v>49.83945772386727</c:v>
                </c:pt>
                <c:pt idx="1687">
                  <c:v>41.81309904153354</c:v>
                </c:pt>
                <c:pt idx="1688">
                  <c:v>45.50123253903039</c:v>
                </c:pt>
                <c:pt idx="1689">
                  <c:v>48.213937146203378</c:v>
                </c:pt>
                <c:pt idx="1690">
                  <c:v>49.380247900839585</c:v>
                </c:pt>
                <c:pt idx="1691">
                  <c:v>47.454370797310283</c:v>
                </c:pt>
                <c:pt idx="1692">
                  <c:v>48.261039468542386</c:v>
                </c:pt>
                <c:pt idx="1693">
                  <c:v>56.130527128789346</c:v>
                </c:pt>
                <c:pt idx="1694">
                  <c:v>51.802862837470521</c:v>
                </c:pt>
                <c:pt idx="1695">
                  <c:v>54.426042261564831</c:v>
                </c:pt>
                <c:pt idx="1696">
                  <c:v>44.797390109890081</c:v>
                </c:pt>
                <c:pt idx="1697">
                  <c:v>45.651793525809282</c:v>
                </c:pt>
                <c:pt idx="1698">
                  <c:v>41.140799696797401</c:v>
                </c:pt>
                <c:pt idx="1699">
                  <c:v>44.118731563421889</c:v>
                </c:pt>
                <c:pt idx="1700">
                  <c:v>28.541557762676462</c:v>
                </c:pt>
                <c:pt idx="1701">
                  <c:v>30.572916666666615</c:v>
                </c:pt>
                <c:pt idx="1702">
                  <c:v>20.743738932456296</c:v>
                </c:pt>
                <c:pt idx="1703">
                  <c:v>14.25954997383559</c:v>
                </c:pt>
                <c:pt idx="1704">
                  <c:v>12.512914705544645</c:v>
                </c:pt>
                <c:pt idx="1705">
                  <c:v>17.504982999179234</c:v>
                </c:pt>
                <c:pt idx="1706">
                  <c:v>29.022434270632374</c:v>
                </c:pt>
                <c:pt idx="1707">
                  <c:v>23.15044924488619</c:v>
                </c:pt>
                <c:pt idx="1708">
                  <c:v>23.47809228383089</c:v>
                </c:pt>
                <c:pt idx="1709">
                  <c:v>24.983040992344172</c:v>
                </c:pt>
                <c:pt idx="1710">
                  <c:v>27.463312368972694</c:v>
                </c:pt>
                <c:pt idx="1711">
                  <c:v>33.67595048629525</c:v>
                </c:pt>
                <c:pt idx="1712">
                  <c:v>36.037092304412688</c:v>
                </c:pt>
                <c:pt idx="1713">
                  <c:v>47.350412353044355</c:v>
                </c:pt>
                <c:pt idx="1714">
                  <c:v>50.519516989609635</c:v>
                </c:pt>
                <c:pt idx="1715">
                  <c:v>47.880163413527015</c:v>
                </c:pt>
                <c:pt idx="1716">
                  <c:v>61.706349206349238</c:v>
                </c:pt>
                <c:pt idx="1717">
                  <c:v>61.952191235059757</c:v>
                </c:pt>
                <c:pt idx="1718">
                  <c:v>63.744021862901356</c:v>
                </c:pt>
                <c:pt idx="1719">
                  <c:v>57.113016710642015</c:v>
                </c:pt>
                <c:pt idx="1720">
                  <c:v>49.070870178136616</c:v>
                </c:pt>
                <c:pt idx="1721">
                  <c:v>52.37313636985369</c:v>
                </c:pt>
                <c:pt idx="1722">
                  <c:v>58.950969213226919</c:v>
                </c:pt>
                <c:pt idx="1723">
                  <c:v>58.048276752291201</c:v>
                </c:pt>
                <c:pt idx="1724">
                  <c:v>59.191361125062762</c:v>
                </c:pt>
                <c:pt idx="1725">
                  <c:v>55.711500974658911</c:v>
                </c:pt>
                <c:pt idx="1726">
                  <c:v>52.660091679399933</c:v>
                </c:pt>
                <c:pt idx="1727">
                  <c:v>43.15262718932447</c:v>
                </c:pt>
                <c:pt idx="1728">
                  <c:v>50.008187326019346</c:v>
                </c:pt>
                <c:pt idx="1729">
                  <c:v>55.028561537130038</c:v>
                </c:pt>
                <c:pt idx="1730">
                  <c:v>59.789506268379533</c:v>
                </c:pt>
                <c:pt idx="1731">
                  <c:v>57.459467499628175</c:v>
                </c:pt>
                <c:pt idx="1732">
                  <c:v>64.286902978865044</c:v>
                </c:pt>
                <c:pt idx="1733">
                  <c:v>67.96270232230826</c:v>
                </c:pt>
                <c:pt idx="1734">
                  <c:v>69.392400630362502</c:v>
                </c:pt>
                <c:pt idx="1735">
                  <c:v>79.309147717410184</c:v>
                </c:pt>
                <c:pt idx="1736">
                  <c:v>72.902472260074006</c:v>
                </c:pt>
                <c:pt idx="1737">
                  <c:v>76.548447310368232</c:v>
                </c:pt>
                <c:pt idx="1738">
                  <c:v>76.619861275587937</c:v>
                </c:pt>
                <c:pt idx="1739">
                  <c:v>77.591228370738264</c:v>
                </c:pt>
                <c:pt idx="1740">
                  <c:v>77.560473494595882</c:v>
                </c:pt>
                <c:pt idx="1741">
                  <c:v>73.944223107569599</c:v>
                </c:pt>
                <c:pt idx="1742">
                  <c:v>59.486709440879899</c:v>
                </c:pt>
                <c:pt idx="1743">
                  <c:v>48.826291079812208</c:v>
                </c:pt>
                <c:pt idx="1744">
                  <c:v>43.891557995881897</c:v>
                </c:pt>
                <c:pt idx="1745">
                  <c:v>50.315485848206229</c:v>
                </c:pt>
                <c:pt idx="1746">
                  <c:v>52.976827094474203</c:v>
                </c:pt>
                <c:pt idx="1747">
                  <c:v>60.014242478191186</c:v>
                </c:pt>
                <c:pt idx="1748">
                  <c:v>44.095443515772473</c:v>
                </c:pt>
                <c:pt idx="1749">
                  <c:v>40.731742175217967</c:v>
                </c:pt>
                <c:pt idx="1750">
                  <c:v>45.188168309956936</c:v>
                </c:pt>
                <c:pt idx="1751">
                  <c:v>41.629695356403445</c:v>
                </c:pt>
                <c:pt idx="1752">
                  <c:v>38.647784376427552</c:v>
                </c:pt>
                <c:pt idx="1753">
                  <c:v>38.477865372953275</c:v>
                </c:pt>
                <c:pt idx="1754">
                  <c:v>41.060275962236695</c:v>
                </c:pt>
                <c:pt idx="1755">
                  <c:v>41.128681270854464</c:v>
                </c:pt>
                <c:pt idx="1756">
                  <c:v>52.782764811490118</c:v>
                </c:pt>
                <c:pt idx="1757">
                  <c:v>63.356643356643396</c:v>
                </c:pt>
                <c:pt idx="1758">
                  <c:v>55.058905058905104</c:v>
                </c:pt>
                <c:pt idx="1759">
                  <c:v>38.744901986580736</c:v>
                </c:pt>
                <c:pt idx="1760">
                  <c:v>31.924231924231918</c:v>
                </c:pt>
                <c:pt idx="1761">
                  <c:v>34.90170090567706</c:v>
                </c:pt>
                <c:pt idx="1762">
                  <c:v>47.810743693634819</c:v>
                </c:pt>
                <c:pt idx="1763">
                  <c:v>47.667103538663156</c:v>
                </c:pt>
                <c:pt idx="1764">
                  <c:v>45.323839518006288</c:v>
                </c:pt>
                <c:pt idx="1765">
                  <c:v>46.78128748500599</c:v>
                </c:pt>
                <c:pt idx="1766">
                  <c:v>53.15045519885004</c:v>
                </c:pt>
                <c:pt idx="1767">
                  <c:v>61.43379366368805</c:v>
                </c:pt>
                <c:pt idx="1768">
                  <c:v>61.034164358264086</c:v>
                </c:pt>
                <c:pt idx="1769">
                  <c:v>59.086210461029566</c:v>
                </c:pt>
                <c:pt idx="1770">
                  <c:v>56.648411829134702</c:v>
                </c:pt>
                <c:pt idx="1771">
                  <c:v>59.258878023674711</c:v>
                </c:pt>
                <c:pt idx="1772">
                  <c:v>57.489514679448774</c:v>
                </c:pt>
                <c:pt idx="1773">
                  <c:v>77.688554584265077</c:v>
                </c:pt>
                <c:pt idx="1774">
                  <c:v>81.857127557031191</c:v>
                </c:pt>
                <c:pt idx="1775">
                  <c:v>71.192431645701234</c:v>
                </c:pt>
                <c:pt idx="1776">
                  <c:v>73.677210981286237</c:v>
                </c:pt>
                <c:pt idx="1777">
                  <c:v>73.66970733561385</c:v>
                </c:pt>
                <c:pt idx="1778">
                  <c:v>70.299477974173499</c:v>
                </c:pt>
                <c:pt idx="1779">
                  <c:v>69.57215237380376</c:v>
                </c:pt>
                <c:pt idx="1780">
                  <c:v>68.108958599665655</c:v>
                </c:pt>
                <c:pt idx="1781">
                  <c:v>61.040900735294187</c:v>
                </c:pt>
                <c:pt idx="1782">
                  <c:v>56.612555341128413</c:v>
                </c:pt>
                <c:pt idx="1783">
                  <c:v>60.174007612833101</c:v>
                </c:pt>
                <c:pt idx="1784">
                  <c:v>60.598235420701556</c:v>
                </c:pt>
                <c:pt idx="1785">
                  <c:v>58.215426745778203</c:v>
                </c:pt>
                <c:pt idx="1786">
                  <c:v>65.961744089343028</c:v>
                </c:pt>
                <c:pt idx="1787">
                  <c:v>59.280841387151838</c:v>
                </c:pt>
                <c:pt idx="1788">
                  <c:v>54.288689314070069</c:v>
                </c:pt>
                <c:pt idx="1789">
                  <c:v>65.500141683196418</c:v>
                </c:pt>
                <c:pt idx="1790">
                  <c:v>57.644807792659599</c:v>
                </c:pt>
                <c:pt idx="1791">
                  <c:v>48.485314470244511</c:v>
                </c:pt>
                <c:pt idx="1792">
                  <c:v>53.317112733171108</c:v>
                </c:pt>
                <c:pt idx="1793">
                  <c:v>49.900891972249696</c:v>
                </c:pt>
                <c:pt idx="1794">
                  <c:v>43.136272545090179</c:v>
                </c:pt>
                <c:pt idx="1795">
                  <c:v>39.720129171151719</c:v>
                </c:pt>
                <c:pt idx="1796">
                  <c:v>40.517647058823528</c:v>
                </c:pt>
                <c:pt idx="1797">
                  <c:v>38.710198803943641</c:v>
                </c:pt>
                <c:pt idx="1798">
                  <c:v>39.152759948652104</c:v>
                </c:pt>
                <c:pt idx="1799">
                  <c:v>37.201365187713265</c:v>
                </c:pt>
                <c:pt idx="1800">
                  <c:v>31.238321725836528</c:v>
                </c:pt>
                <c:pt idx="1801">
                  <c:v>23.063623789764748</c:v>
                </c:pt>
                <c:pt idx="1802">
                  <c:v>28.943371664135242</c:v>
                </c:pt>
                <c:pt idx="1803">
                  <c:v>21.095431714900599</c:v>
                </c:pt>
                <c:pt idx="1804">
                  <c:v>29.266723842195489</c:v>
                </c:pt>
                <c:pt idx="1805">
                  <c:v>35.135135135135059</c:v>
                </c:pt>
                <c:pt idx="1806">
                  <c:v>32.309711286089239</c:v>
                </c:pt>
                <c:pt idx="1807">
                  <c:v>29.477969348658974</c:v>
                </c:pt>
                <c:pt idx="1808">
                  <c:v>24.156200941915188</c:v>
                </c:pt>
                <c:pt idx="1809">
                  <c:v>26.141431301762537</c:v>
                </c:pt>
                <c:pt idx="1810">
                  <c:v>27.192401148663507</c:v>
                </c:pt>
                <c:pt idx="1811">
                  <c:v>20.013755158184367</c:v>
                </c:pt>
                <c:pt idx="1812">
                  <c:v>24.086161879895556</c:v>
                </c:pt>
                <c:pt idx="1813">
                  <c:v>22.976338729763384</c:v>
                </c:pt>
                <c:pt idx="1814">
                  <c:v>29.176706827309147</c:v>
                </c:pt>
                <c:pt idx="1815">
                  <c:v>29.592668024439874</c:v>
                </c:pt>
                <c:pt idx="1816">
                  <c:v>30.757832345469865</c:v>
                </c:pt>
                <c:pt idx="1817">
                  <c:v>29.934074989699141</c:v>
                </c:pt>
                <c:pt idx="1818">
                  <c:v>17.948190789473571</c:v>
                </c:pt>
                <c:pt idx="1819">
                  <c:v>23.859371913884985</c:v>
                </c:pt>
                <c:pt idx="1820">
                  <c:v>36.223118279569874</c:v>
                </c:pt>
                <c:pt idx="1821">
                  <c:v>38.67264573991028</c:v>
                </c:pt>
                <c:pt idx="1822">
                  <c:v>48.178770949720651</c:v>
                </c:pt>
                <c:pt idx="1823">
                  <c:v>55.95084087968953</c:v>
                </c:pt>
                <c:pt idx="1824">
                  <c:v>59.271031998304736</c:v>
                </c:pt>
                <c:pt idx="1825">
                  <c:v>56.757305194805134</c:v>
                </c:pt>
                <c:pt idx="1826">
                  <c:v>55.051676861421591</c:v>
                </c:pt>
                <c:pt idx="1827">
                  <c:v>60.672232926568135</c:v>
                </c:pt>
                <c:pt idx="1828">
                  <c:v>58.382419574082434</c:v>
                </c:pt>
                <c:pt idx="1829">
                  <c:v>71.937348498974387</c:v>
                </c:pt>
                <c:pt idx="1830">
                  <c:v>74.727148703956289</c:v>
                </c:pt>
                <c:pt idx="1831">
                  <c:v>81.87525590282506</c:v>
                </c:pt>
                <c:pt idx="1832">
                  <c:v>81.9759497130363</c:v>
                </c:pt>
                <c:pt idx="1833">
                  <c:v>82.335610017409891</c:v>
                </c:pt>
                <c:pt idx="1834">
                  <c:v>77.473182359952233</c:v>
                </c:pt>
                <c:pt idx="1835">
                  <c:v>81.303813038130372</c:v>
                </c:pt>
                <c:pt idx="1836">
                  <c:v>86.056438226227144</c:v>
                </c:pt>
                <c:pt idx="1837">
                  <c:v>76.429051782111628</c:v>
                </c:pt>
                <c:pt idx="1838">
                  <c:v>74.954689623923841</c:v>
                </c:pt>
                <c:pt idx="1839">
                  <c:v>74.675544520934451</c:v>
                </c:pt>
                <c:pt idx="1840">
                  <c:v>72.895134130763012</c:v>
                </c:pt>
                <c:pt idx="1841">
                  <c:v>72.628122434619456</c:v>
                </c:pt>
                <c:pt idx="1842">
                  <c:v>73.060941828254883</c:v>
                </c:pt>
                <c:pt idx="1843">
                  <c:v>71.411073003429692</c:v>
                </c:pt>
                <c:pt idx="1844">
                  <c:v>75.382343634637721</c:v>
                </c:pt>
                <c:pt idx="1845">
                  <c:v>58.339487287688591</c:v>
                </c:pt>
                <c:pt idx="1846">
                  <c:v>51.341565314269779</c:v>
                </c:pt>
                <c:pt idx="1847">
                  <c:v>47.698270157859916</c:v>
                </c:pt>
                <c:pt idx="1848">
                  <c:v>46.800222593210904</c:v>
                </c:pt>
                <c:pt idx="1849">
                  <c:v>39.986971896519641</c:v>
                </c:pt>
                <c:pt idx="1850">
                  <c:v>34.260958205912303</c:v>
                </c:pt>
                <c:pt idx="1851">
                  <c:v>33.399582629434533</c:v>
                </c:pt>
                <c:pt idx="1852">
                  <c:v>32.999509081983291</c:v>
                </c:pt>
                <c:pt idx="1853">
                  <c:v>38.508180943214619</c:v>
                </c:pt>
                <c:pt idx="1854">
                  <c:v>40.384251372326332</c:v>
                </c:pt>
                <c:pt idx="1855">
                  <c:v>36.848214285714299</c:v>
                </c:pt>
                <c:pt idx="1856">
                  <c:v>34.821030081228216</c:v>
                </c:pt>
                <c:pt idx="1857">
                  <c:v>28.146143437077143</c:v>
                </c:pt>
                <c:pt idx="1858">
                  <c:v>13.293836399542641</c:v>
                </c:pt>
                <c:pt idx="1859">
                  <c:v>17.460122699386517</c:v>
                </c:pt>
                <c:pt idx="1860">
                  <c:v>21.518221684560729</c:v>
                </c:pt>
                <c:pt idx="1861">
                  <c:v>29.04534260466464</c:v>
                </c:pt>
                <c:pt idx="1862">
                  <c:v>33.125371360665497</c:v>
                </c:pt>
                <c:pt idx="1863">
                  <c:v>36.236594085147836</c:v>
                </c:pt>
                <c:pt idx="1864">
                  <c:v>30.960320106702298</c:v>
                </c:pt>
                <c:pt idx="1865">
                  <c:v>37.236815720874361</c:v>
                </c:pt>
                <c:pt idx="1866">
                  <c:v>36.63444466364178</c:v>
                </c:pt>
                <c:pt idx="1867">
                  <c:v>50.500847588226222</c:v>
                </c:pt>
                <c:pt idx="1868">
                  <c:v>54.375000000000014</c:v>
                </c:pt>
                <c:pt idx="1869">
                  <c:v>54.740454740454666</c:v>
                </c:pt>
                <c:pt idx="1870">
                  <c:v>57.467767637259158</c:v>
                </c:pt>
                <c:pt idx="1871">
                  <c:v>54.95220944729185</c:v>
                </c:pt>
                <c:pt idx="1872">
                  <c:v>57.643126997965652</c:v>
                </c:pt>
                <c:pt idx="1873">
                  <c:v>58.333333333333265</c:v>
                </c:pt>
                <c:pt idx="1874">
                  <c:v>65.544422177688645</c:v>
                </c:pt>
                <c:pt idx="1875">
                  <c:v>61.762605342093927</c:v>
                </c:pt>
                <c:pt idx="1876">
                  <c:v>65.260835712431799</c:v>
                </c:pt>
                <c:pt idx="1877">
                  <c:v>69.596938165291149</c:v>
                </c:pt>
                <c:pt idx="1878">
                  <c:v>74.051339285714192</c:v>
                </c:pt>
                <c:pt idx="1879">
                  <c:v>72.904076475112504</c:v>
                </c:pt>
                <c:pt idx="1880">
                  <c:v>64.57420924574204</c:v>
                </c:pt>
                <c:pt idx="1881">
                  <c:v>55.969517358171046</c:v>
                </c:pt>
                <c:pt idx="1882">
                  <c:v>52.105263157894733</c:v>
                </c:pt>
                <c:pt idx="1883">
                  <c:v>58.7977369165488</c:v>
                </c:pt>
                <c:pt idx="1884">
                  <c:v>53.659188034188034</c:v>
                </c:pt>
                <c:pt idx="1885">
                  <c:v>63.485781295807669</c:v>
                </c:pt>
                <c:pt idx="1886">
                  <c:v>67.096254530809517</c:v>
                </c:pt>
                <c:pt idx="1887">
                  <c:v>62.549485352335665</c:v>
                </c:pt>
                <c:pt idx="1888">
                  <c:v>57.905635261056084</c:v>
                </c:pt>
                <c:pt idx="1889">
                  <c:v>59.836305173925766</c:v>
                </c:pt>
                <c:pt idx="1890">
                  <c:v>53.418875569812599</c:v>
                </c:pt>
                <c:pt idx="1891">
                  <c:v>43.631685351957437</c:v>
                </c:pt>
                <c:pt idx="1892">
                  <c:v>30.20550601008145</c:v>
                </c:pt>
                <c:pt idx="1893">
                  <c:v>38.006406632749183</c:v>
                </c:pt>
                <c:pt idx="1894">
                  <c:v>50.998735777496911</c:v>
                </c:pt>
                <c:pt idx="1895">
                  <c:v>56.605463502015247</c:v>
                </c:pt>
                <c:pt idx="1896">
                  <c:v>58.015597920277322</c:v>
                </c:pt>
                <c:pt idx="1897">
                  <c:v>49.187153053132455</c:v>
                </c:pt>
                <c:pt idx="1898">
                  <c:v>53.366315336631459</c:v>
                </c:pt>
                <c:pt idx="1899">
                  <c:v>51.596338468408149</c:v>
                </c:pt>
                <c:pt idx="1900">
                  <c:v>41.120560280140054</c:v>
                </c:pt>
                <c:pt idx="1901">
                  <c:v>41.725888324873104</c:v>
                </c:pt>
                <c:pt idx="1902">
                  <c:v>45.601521635758445</c:v>
                </c:pt>
                <c:pt idx="1903">
                  <c:v>46.328876378137437</c:v>
                </c:pt>
                <c:pt idx="1904">
                  <c:v>39.108910891089103</c:v>
                </c:pt>
                <c:pt idx="1905">
                  <c:v>41.605224352222393</c:v>
                </c:pt>
                <c:pt idx="1906">
                  <c:v>53.129579233828721</c:v>
                </c:pt>
                <c:pt idx="1907">
                  <c:v>42.076502732240435</c:v>
                </c:pt>
                <c:pt idx="1908">
                  <c:v>44.83316481294235</c:v>
                </c:pt>
                <c:pt idx="1909">
                  <c:v>40.592334494773496</c:v>
                </c:pt>
                <c:pt idx="1910">
                  <c:v>33.889490790899231</c:v>
                </c:pt>
                <c:pt idx="1911">
                  <c:v>48.051391862954965</c:v>
                </c:pt>
                <c:pt idx="1912">
                  <c:v>49.944726951138627</c:v>
                </c:pt>
                <c:pt idx="1913">
                  <c:v>47.819209039548007</c:v>
                </c:pt>
                <c:pt idx="1914">
                  <c:v>54.057563297987429</c:v>
                </c:pt>
                <c:pt idx="1915">
                  <c:v>56.362815884476575</c:v>
                </c:pt>
                <c:pt idx="1916">
                  <c:v>53.282223287014794</c:v>
                </c:pt>
                <c:pt idx="1917">
                  <c:v>49.305555555555628</c:v>
                </c:pt>
                <c:pt idx="1918">
                  <c:v>67.728567728567754</c:v>
                </c:pt>
                <c:pt idx="1919">
                  <c:v>61.0695936478281</c:v>
                </c:pt>
                <c:pt idx="1920">
                  <c:v>56.835836354220604</c:v>
                </c:pt>
                <c:pt idx="1921">
                  <c:v>55.415299166877105</c:v>
                </c:pt>
                <c:pt idx="1922">
                  <c:v>58.250591016548462</c:v>
                </c:pt>
                <c:pt idx="1923">
                  <c:v>51.332270553404669</c:v>
                </c:pt>
                <c:pt idx="1924">
                  <c:v>46.207462074620757</c:v>
                </c:pt>
                <c:pt idx="1925">
                  <c:v>41.007194244604335</c:v>
                </c:pt>
                <c:pt idx="1926">
                  <c:v>39.705882352941259</c:v>
                </c:pt>
                <c:pt idx="1927">
                  <c:v>37.964323189926581</c:v>
                </c:pt>
                <c:pt idx="1928">
                  <c:v>37.425910245554611</c:v>
                </c:pt>
                <c:pt idx="1929">
                  <c:v>40.502852313543158</c:v>
                </c:pt>
                <c:pt idx="1930">
                  <c:v>41.908713692946058</c:v>
                </c:pt>
                <c:pt idx="1931">
                  <c:v>51.22566690699346</c:v>
                </c:pt>
                <c:pt idx="1932">
                  <c:v>53.963933310649836</c:v>
                </c:pt>
                <c:pt idx="1933">
                  <c:v>59.717314487632514</c:v>
                </c:pt>
                <c:pt idx="1934">
                  <c:v>62.207856787667843</c:v>
                </c:pt>
                <c:pt idx="1935">
                  <c:v>71.744649981864342</c:v>
                </c:pt>
                <c:pt idx="1936">
                  <c:v>67.394606912267321</c:v>
                </c:pt>
                <c:pt idx="1937">
                  <c:v>71.711456859971747</c:v>
                </c:pt>
                <c:pt idx="1938">
                  <c:v>86.015643517421211</c:v>
                </c:pt>
                <c:pt idx="1939">
                  <c:v>81.245491704736736</c:v>
                </c:pt>
                <c:pt idx="1940">
                  <c:v>76.690876078075249</c:v>
                </c:pt>
                <c:pt idx="1941">
                  <c:v>73.890225235075377</c:v>
                </c:pt>
                <c:pt idx="1942">
                  <c:v>76.77494650846134</c:v>
                </c:pt>
                <c:pt idx="1943">
                  <c:v>78.792184724689108</c:v>
                </c:pt>
                <c:pt idx="1944">
                  <c:v>78.989970086222002</c:v>
                </c:pt>
                <c:pt idx="1945">
                  <c:v>69.398183194549532</c:v>
                </c:pt>
                <c:pt idx="1946">
                  <c:v>66.263300646776543</c:v>
                </c:pt>
                <c:pt idx="1947">
                  <c:v>63.068423289417701</c:v>
                </c:pt>
                <c:pt idx="1948">
                  <c:v>65.914885271621841</c:v>
                </c:pt>
                <c:pt idx="1949">
                  <c:v>69.961977186311714</c:v>
                </c:pt>
                <c:pt idx="1950">
                  <c:v>74.224616389160914</c:v>
                </c:pt>
                <c:pt idx="1951">
                  <c:v>74.999999999999929</c:v>
                </c:pt>
                <c:pt idx="1952">
                  <c:v>68.385820781986851</c:v>
                </c:pt>
                <c:pt idx="1953">
                  <c:v>74.441586571003029</c:v>
                </c:pt>
                <c:pt idx="1954">
                  <c:v>69.572368421052573</c:v>
                </c:pt>
                <c:pt idx="1955">
                  <c:v>71.704263919676634</c:v>
                </c:pt>
                <c:pt idx="1956">
                  <c:v>71.398444708053233</c:v>
                </c:pt>
                <c:pt idx="1957">
                  <c:v>61.776111685625679</c:v>
                </c:pt>
                <c:pt idx="1958">
                  <c:v>60.376126420269003</c:v>
                </c:pt>
                <c:pt idx="1959">
                  <c:v>58.936766955634859</c:v>
                </c:pt>
                <c:pt idx="1960">
                  <c:v>57.235793945831112</c:v>
                </c:pt>
                <c:pt idx="1961">
                  <c:v>58.237909201131636</c:v>
                </c:pt>
                <c:pt idx="1962">
                  <c:v>53.383458646616546</c:v>
                </c:pt>
                <c:pt idx="1963">
                  <c:v>45.830461750516847</c:v>
                </c:pt>
                <c:pt idx="1964">
                  <c:v>40.650865312264898</c:v>
                </c:pt>
                <c:pt idx="1965">
                  <c:v>36.580346424284009</c:v>
                </c:pt>
                <c:pt idx="1966">
                  <c:v>37.414488686195412</c:v>
                </c:pt>
                <c:pt idx="1967">
                  <c:v>23.336089293096393</c:v>
                </c:pt>
                <c:pt idx="1968">
                  <c:v>29.432358089522467</c:v>
                </c:pt>
                <c:pt idx="1969">
                  <c:v>32.009285530049127</c:v>
                </c:pt>
                <c:pt idx="1970">
                  <c:v>13.376413570274991</c:v>
                </c:pt>
                <c:pt idx="1971">
                  <c:v>15.747432483834515</c:v>
                </c:pt>
                <c:pt idx="1972">
                  <c:v>14.440181374259183</c:v>
                </c:pt>
                <c:pt idx="1973">
                  <c:v>46.564221513482217</c:v>
                </c:pt>
                <c:pt idx="1974">
                  <c:v>33.972859148338856</c:v>
                </c:pt>
                <c:pt idx="1975">
                  <c:v>38.478308262480994</c:v>
                </c:pt>
                <c:pt idx="1976">
                  <c:v>27.784410711240014</c:v>
                </c:pt>
                <c:pt idx="1977">
                  <c:v>26.86788718456215</c:v>
                </c:pt>
                <c:pt idx="1978">
                  <c:v>34.474074074074096</c:v>
                </c:pt>
                <c:pt idx="1979">
                  <c:v>36.872128030423106</c:v>
                </c:pt>
                <c:pt idx="1980">
                  <c:v>42.20094140561595</c:v>
                </c:pt>
                <c:pt idx="1981">
                  <c:v>44.435418359057678</c:v>
                </c:pt>
                <c:pt idx="1982">
                  <c:v>52.020202020202028</c:v>
                </c:pt>
                <c:pt idx="1983">
                  <c:v>51.95279572913735</c:v>
                </c:pt>
                <c:pt idx="1984">
                  <c:v>48.251565762004155</c:v>
                </c:pt>
                <c:pt idx="1985">
                  <c:v>51.296098343131995</c:v>
                </c:pt>
                <c:pt idx="1986">
                  <c:v>61.520684076727534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181-4F98-ABE9-114836B1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82624"/>
        <c:axId val="1072236416"/>
      </c:lineChart>
      <c:dateAx>
        <c:axId val="33729398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19936"/>
        <c:crosses val="autoZero"/>
        <c:auto val="1"/>
        <c:lblOffset val="100"/>
        <c:baseTimeUnit val="days"/>
      </c:dateAx>
      <c:valAx>
        <c:axId val="173219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0070C0"/>
                    </a:solidFill>
                  </a:rPr>
                  <a:t>Close</a:t>
                </a:r>
                <a:r>
                  <a:rPr lang="en-GB" baseline="0">
                    <a:solidFill>
                      <a:srgbClr val="0070C0"/>
                    </a:solidFill>
                  </a:rPr>
                  <a:t> Price</a:t>
                </a:r>
                <a:endParaRPr lang="en-GB">
                  <a:solidFill>
                    <a:srgbClr val="0070C0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3984"/>
        <c:crosses val="autoZero"/>
        <c:crossBetween val="between"/>
      </c:valAx>
      <c:valAx>
        <c:axId val="107223641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>
                    <a:solidFill>
                      <a:srgbClr val="C00000"/>
                    </a:solidFill>
                  </a:rPr>
                  <a:t>RSI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82624"/>
        <c:crosses val="max"/>
        <c:crossBetween val="between"/>
      </c:valAx>
      <c:dateAx>
        <c:axId val="337182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072236416"/>
        <c:crosses val="autoZero"/>
        <c:auto val="1"/>
        <c:lblOffset val="100"/>
        <c:baseTimeUnit val="days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RSI SIGNAL</a:t>
            </a:r>
            <a:r>
              <a:rPr lang="en-GB" baseline="0"/>
              <a:t> CHART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'RSI Strategy'!$E$1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Strategy'!$E$2:$E$1988</c:f>
              <c:numCache>
                <c:formatCode>General</c:formatCode>
                <c:ptCount val="1987"/>
                <c:pt idx="0">
                  <c:v>751.65</c:v>
                </c:pt>
                <c:pt idx="1">
                  <c:v>751.85</c:v>
                </c:pt>
                <c:pt idx="2">
                  <c:v>734.85</c:v>
                </c:pt>
                <c:pt idx="3">
                  <c:v>714.4</c:v>
                </c:pt>
                <c:pt idx="4">
                  <c:v>699.8</c:v>
                </c:pt>
                <c:pt idx="5">
                  <c:v>714.2</c:v>
                </c:pt>
                <c:pt idx="6">
                  <c:v>750.05</c:v>
                </c:pt>
                <c:pt idx="7">
                  <c:v>788.55</c:v>
                </c:pt>
                <c:pt idx="8">
                  <c:v>779.85</c:v>
                </c:pt>
                <c:pt idx="9">
                  <c:v>791.4</c:v>
                </c:pt>
                <c:pt idx="10">
                  <c:v>802.2</c:v>
                </c:pt>
                <c:pt idx="11">
                  <c:v>780.7</c:v>
                </c:pt>
                <c:pt idx="12">
                  <c:v>779.4</c:v>
                </c:pt>
                <c:pt idx="13">
                  <c:v>770.65</c:v>
                </c:pt>
                <c:pt idx="14">
                  <c:v>757.85</c:v>
                </c:pt>
                <c:pt idx="15">
                  <c:v>756.2</c:v>
                </c:pt>
                <c:pt idx="16">
                  <c:v>743.3</c:v>
                </c:pt>
                <c:pt idx="17">
                  <c:v>741.75</c:v>
                </c:pt>
                <c:pt idx="18">
                  <c:v>736.2</c:v>
                </c:pt>
                <c:pt idx="19">
                  <c:v>746.15</c:v>
                </c:pt>
                <c:pt idx="20">
                  <c:v>738.4</c:v>
                </c:pt>
                <c:pt idx="21">
                  <c:v>752.95</c:v>
                </c:pt>
                <c:pt idx="22">
                  <c:v>738.7</c:v>
                </c:pt>
                <c:pt idx="23">
                  <c:v>723.5</c:v>
                </c:pt>
                <c:pt idx="24">
                  <c:v>729.7</c:v>
                </c:pt>
                <c:pt idx="25">
                  <c:v>724.15</c:v>
                </c:pt>
                <c:pt idx="26">
                  <c:v>735.15</c:v>
                </c:pt>
                <c:pt idx="27">
                  <c:v>732.3</c:v>
                </c:pt>
                <c:pt idx="28">
                  <c:v>742.7</c:v>
                </c:pt>
                <c:pt idx="29">
                  <c:v>746.15</c:v>
                </c:pt>
                <c:pt idx="30">
                  <c:v>758.15</c:v>
                </c:pt>
                <c:pt idx="31">
                  <c:v>758.65</c:v>
                </c:pt>
                <c:pt idx="32">
                  <c:v>758.8</c:v>
                </c:pt>
                <c:pt idx="33">
                  <c:v>750.55</c:v>
                </c:pt>
                <c:pt idx="34">
                  <c:v>757.25</c:v>
                </c:pt>
                <c:pt idx="35">
                  <c:v>762.1</c:v>
                </c:pt>
                <c:pt idx="36">
                  <c:v>765.35</c:v>
                </c:pt>
                <c:pt idx="37">
                  <c:v>766.25</c:v>
                </c:pt>
                <c:pt idx="38">
                  <c:v>761.8</c:v>
                </c:pt>
                <c:pt idx="39">
                  <c:v>763.2</c:v>
                </c:pt>
                <c:pt idx="40">
                  <c:v>768.75</c:v>
                </c:pt>
                <c:pt idx="41">
                  <c:v>763.9</c:v>
                </c:pt>
                <c:pt idx="42">
                  <c:v>762.6</c:v>
                </c:pt>
                <c:pt idx="43">
                  <c:v>762.7</c:v>
                </c:pt>
                <c:pt idx="44">
                  <c:v>768.7</c:v>
                </c:pt>
                <c:pt idx="45">
                  <c:v>780.05</c:v>
                </c:pt>
                <c:pt idx="46">
                  <c:v>791.6</c:v>
                </c:pt>
                <c:pt idx="47">
                  <c:v>796.95</c:v>
                </c:pt>
                <c:pt idx="48">
                  <c:v>818</c:v>
                </c:pt>
                <c:pt idx="49">
                  <c:v>829</c:v>
                </c:pt>
                <c:pt idx="50">
                  <c:v>840.7</c:v>
                </c:pt>
                <c:pt idx="51">
                  <c:v>825.85</c:v>
                </c:pt>
                <c:pt idx="52">
                  <c:v>820.9</c:v>
                </c:pt>
                <c:pt idx="53">
                  <c:v>827.6</c:v>
                </c:pt>
                <c:pt idx="54">
                  <c:v>828.65</c:v>
                </c:pt>
                <c:pt idx="55">
                  <c:v>829.8</c:v>
                </c:pt>
                <c:pt idx="56">
                  <c:v>825.05</c:v>
                </c:pt>
                <c:pt idx="57">
                  <c:v>811.95</c:v>
                </c:pt>
                <c:pt idx="58">
                  <c:v>800</c:v>
                </c:pt>
                <c:pt idx="59">
                  <c:v>780.65</c:v>
                </c:pt>
                <c:pt idx="60">
                  <c:v>807.8</c:v>
                </c:pt>
                <c:pt idx="61">
                  <c:v>803.35</c:v>
                </c:pt>
                <c:pt idx="62">
                  <c:v>796.05</c:v>
                </c:pt>
                <c:pt idx="63">
                  <c:v>798.05</c:v>
                </c:pt>
                <c:pt idx="64">
                  <c:v>799.45</c:v>
                </c:pt>
                <c:pt idx="65">
                  <c:v>791.6</c:v>
                </c:pt>
                <c:pt idx="66">
                  <c:v>798.1</c:v>
                </c:pt>
                <c:pt idx="67">
                  <c:v>820.85</c:v>
                </c:pt>
                <c:pt idx="68">
                  <c:v>821.7</c:v>
                </c:pt>
                <c:pt idx="69">
                  <c:v>815.1</c:v>
                </c:pt>
                <c:pt idx="70">
                  <c:v>811.95</c:v>
                </c:pt>
                <c:pt idx="71">
                  <c:v>789.5</c:v>
                </c:pt>
                <c:pt idx="72">
                  <c:v>785</c:v>
                </c:pt>
                <c:pt idx="73">
                  <c:v>785.95</c:v>
                </c:pt>
                <c:pt idx="74">
                  <c:v>780.2</c:v>
                </c:pt>
                <c:pt idx="75">
                  <c:v>785.1</c:v>
                </c:pt>
                <c:pt idx="76">
                  <c:v>787.3</c:v>
                </c:pt>
                <c:pt idx="77">
                  <c:v>770.3</c:v>
                </c:pt>
                <c:pt idx="78">
                  <c:v>759.75</c:v>
                </c:pt>
                <c:pt idx="79">
                  <c:v>765.4</c:v>
                </c:pt>
                <c:pt idx="80">
                  <c:v>766.8</c:v>
                </c:pt>
                <c:pt idx="81">
                  <c:v>761</c:v>
                </c:pt>
                <c:pt idx="82">
                  <c:v>765.75</c:v>
                </c:pt>
                <c:pt idx="83">
                  <c:v>767.1</c:v>
                </c:pt>
                <c:pt idx="84">
                  <c:v>741.4</c:v>
                </c:pt>
                <c:pt idx="85">
                  <c:v>770.25</c:v>
                </c:pt>
                <c:pt idx="86">
                  <c:v>756.3</c:v>
                </c:pt>
                <c:pt idx="87">
                  <c:v>759.45</c:v>
                </c:pt>
                <c:pt idx="88">
                  <c:v>765.6</c:v>
                </c:pt>
                <c:pt idx="89">
                  <c:v>763.85</c:v>
                </c:pt>
                <c:pt idx="90">
                  <c:v>745.75</c:v>
                </c:pt>
                <c:pt idx="91">
                  <c:v>735.1</c:v>
                </c:pt>
                <c:pt idx="92">
                  <c:v>721.5</c:v>
                </c:pt>
                <c:pt idx="93">
                  <c:v>730</c:v>
                </c:pt>
                <c:pt idx="94">
                  <c:v>718.7</c:v>
                </c:pt>
                <c:pt idx="95">
                  <c:v>717.6</c:v>
                </c:pt>
                <c:pt idx="96">
                  <c:v>699.55</c:v>
                </c:pt>
                <c:pt idx="97">
                  <c:v>738</c:v>
                </c:pt>
                <c:pt idx="98">
                  <c:v>741.85</c:v>
                </c:pt>
                <c:pt idx="99">
                  <c:v>750.8</c:v>
                </c:pt>
                <c:pt idx="100">
                  <c:v>743.05</c:v>
                </c:pt>
                <c:pt idx="101">
                  <c:v>739.2</c:v>
                </c:pt>
                <c:pt idx="102">
                  <c:v>754.25</c:v>
                </c:pt>
                <c:pt idx="103">
                  <c:v>765.45</c:v>
                </c:pt>
                <c:pt idx="104">
                  <c:v>765.35</c:v>
                </c:pt>
                <c:pt idx="105">
                  <c:v>753.25</c:v>
                </c:pt>
                <c:pt idx="106">
                  <c:v>750.2</c:v>
                </c:pt>
                <c:pt idx="107">
                  <c:v>733.05</c:v>
                </c:pt>
                <c:pt idx="108">
                  <c:v>750.5</c:v>
                </c:pt>
                <c:pt idx="109">
                  <c:v>759.1</c:v>
                </c:pt>
                <c:pt idx="110">
                  <c:v>781</c:v>
                </c:pt>
                <c:pt idx="111">
                  <c:v>766.1</c:v>
                </c:pt>
                <c:pt idx="112">
                  <c:v>774.8</c:v>
                </c:pt>
                <c:pt idx="113">
                  <c:v>775.3</c:v>
                </c:pt>
                <c:pt idx="114">
                  <c:v>783.2</c:v>
                </c:pt>
                <c:pt idx="115">
                  <c:v>787.7</c:v>
                </c:pt>
                <c:pt idx="116">
                  <c:v>778.65</c:v>
                </c:pt>
                <c:pt idx="117">
                  <c:v>786.3</c:v>
                </c:pt>
                <c:pt idx="118">
                  <c:v>773.45</c:v>
                </c:pt>
                <c:pt idx="119">
                  <c:v>758.5</c:v>
                </c:pt>
                <c:pt idx="120">
                  <c:v>764.75</c:v>
                </c:pt>
                <c:pt idx="121">
                  <c:v>753.8</c:v>
                </c:pt>
                <c:pt idx="122">
                  <c:v>751</c:v>
                </c:pt>
                <c:pt idx="123">
                  <c:v>732</c:v>
                </c:pt>
                <c:pt idx="124">
                  <c:v>743.8</c:v>
                </c:pt>
                <c:pt idx="125">
                  <c:v>739</c:v>
                </c:pt>
                <c:pt idx="126">
                  <c:v>759.15</c:v>
                </c:pt>
                <c:pt idx="127">
                  <c:v>764.6</c:v>
                </c:pt>
                <c:pt idx="128">
                  <c:v>776.8</c:v>
                </c:pt>
                <c:pt idx="129">
                  <c:v>774.45</c:v>
                </c:pt>
                <c:pt idx="130">
                  <c:v>791.7</c:v>
                </c:pt>
                <c:pt idx="131">
                  <c:v>774.65</c:v>
                </c:pt>
                <c:pt idx="132">
                  <c:v>774.65</c:v>
                </c:pt>
                <c:pt idx="133">
                  <c:v>782.1</c:v>
                </c:pt>
                <c:pt idx="134">
                  <c:v>833.65</c:v>
                </c:pt>
                <c:pt idx="135">
                  <c:v>826.7</c:v>
                </c:pt>
                <c:pt idx="136">
                  <c:v>827.25</c:v>
                </c:pt>
                <c:pt idx="137">
                  <c:v>843</c:v>
                </c:pt>
                <c:pt idx="138">
                  <c:v>843.7</c:v>
                </c:pt>
                <c:pt idx="139">
                  <c:v>839.3</c:v>
                </c:pt>
                <c:pt idx="140">
                  <c:v>849.25</c:v>
                </c:pt>
                <c:pt idx="141">
                  <c:v>849.15</c:v>
                </c:pt>
                <c:pt idx="142">
                  <c:v>854.45</c:v>
                </c:pt>
                <c:pt idx="143">
                  <c:v>850</c:v>
                </c:pt>
                <c:pt idx="144">
                  <c:v>839.8</c:v>
                </c:pt>
                <c:pt idx="145">
                  <c:v>838.3</c:v>
                </c:pt>
                <c:pt idx="146">
                  <c:v>832.05</c:v>
                </c:pt>
                <c:pt idx="147">
                  <c:v>868.8</c:v>
                </c:pt>
                <c:pt idx="148">
                  <c:v>877.85</c:v>
                </c:pt>
                <c:pt idx="149">
                  <c:v>864.7</c:v>
                </c:pt>
                <c:pt idx="150">
                  <c:v>879.85</c:v>
                </c:pt>
                <c:pt idx="151">
                  <c:v>864.5</c:v>
                </c:pt>
                <c:pt idx="152">
                  <c:v>858.15</c:v>
                </c:pt>
                <c:pt idx="153">
                  <c:v>853.45</c:v>
                </c:pt>
                <c:pt idx="154">
                  <c:v>854.4</c:v>
                </c:pt>
                <c:pt idx="155">
                  <c:v>854.1</c:v>
                </c:pt>
                <c:pt idx="156">
                  <c:v>850.2</c:v>
                </c:pt>
                <c:pt idx="157">
                  <c:v>871.1</c:v>
                </c:pt>
                <c:pt idx="158">
                  <c:v>872.05</c:v>
                </c:pt>
                <c:pt idx="159">
                  <c:v>868.95</c:v>
                </c:pt>
                <c:pt idx="160">
                  <c:v>870.4</c:v>
                </c:pt>
                <c:pt idx="161">
                  <c:v>870.7</c:v>
                </c:pt>
                <c:pt idx="162">
                  <c:v>871.2</c:v>
                </c:pt>
                <c:pt idx="163">
                  <c:v>876.5</c:v>
                </c:pt>
                <c:pt idx="164">
                  <c:v>856.05</c:v>
                </c:pt>
                <c:pt idx="165">
                  <c:v>845.65</c:v>
                </c:pt>
                <c:pt idx="166">
                  <c:v>843.75</c:v>
                </c:pt>
                <c:pt idx="167">
                  <c:v>858.4</c:v>
                </c:pt>
                <c:pt idx="168">
                  <c:v>844.1</c:v>
                </c:pt>
                <c:pt idx="169">
                  <c:v>837.3</c:v>
                </c:pt>
                <c:pt idx="170">
                  <c:v>855.35</c:v>
                </c:pt>
                <c:pt idx="171">
                  <c:v>871.35</c:v>
                </c:pt>
                <c:pt idx="172">
                  <c:v>879.05</c:v>
                </c:pt>
                <c:pt idx="173">
                  <c:v>874.7</c:v>
                </c:pt>
                <c:pt idx="174">
                  <c:v>879.75</c:v>
                </c:pt>
                <c:pt idx="175">
                  <c:v>895.35</c:v>
                </c:pt>
                <c:pt idx="176">
                  <c:v>914.8</c:v>
                </c:pt>
                <c:pt idx="177">
                  <c:v>895.4</c:v>
                </c:pt>
                <c:pt idx="178">
                  <c:v>913.8</c:v>
                </c:pt>
                <c:pt idx="179">
                  <c:v>912.25</c:v>
                </c:pt>
                <c:pt idx="180">
                  <c:v>953.95</c:v>
                </c:pt>
                <c:pt idx="181">
                  <c:v>935.25</c:v>
                </c:pt>
                <c:pt idx="182">
                  <c:v>931.35</c:v>
                </c:pt>
                <c:pt idx="183">
                  <c:v>931.95</c:v>
                </c:pt>
                <c:pt idx="184">
                  <c:v>927.6</c:v>
                </c:pt>
                <c:pt idx="185">
                  <c:v>919.65</c:v>
                </c:pt>
                <c:pt idx="186">
                  <c:v>920.35</c:v>
                </c:pt>
                <c:pt idx="187">
                  <c:v>926.95</c:v>
                </c:pt>
                <c:pt idx="188">
                  <c:v>961.6</c:v>
                </c:pt>
                <c:pt idx="189">
                  <c:v>955.8</c:v>
                </c:pt>
                <c:pt idx="190">
                  <c:v>950.25</c:v>
                </c:pt>
                <c:pt idx="191">
                  <c:v>959.65</c:v>
                </c:pt>
                <c:pt idx="192">
                  <c:v>948.8</c:v>
                </c:pt>
                <c:pt idx="193">
                  <c:v>942.6</c:v>
                </c:pt>
                <c:pt idx="194">
                  <c:v>940.9</c:v>
                </c:pt>
                <c:pt idx="195">
                  <c:v>950.7</c:v>
                </c:pt>
                <c:pt idx="196">
                  <c:v>992.85</c:v>
                </c:pt>
                <c:pt idx="197">
                  <c:v>986.05</c:v>
                </c:pt>
                <c:pt idx="198">
                  <c:v>950.3</c:v>
                </c:pt>
                <c:pt idx="199">
                  <c:v>981.25</c:v>
                </c:pt>
                <c:pt idx="200">
                  <c:v>967.75</c:v>
                </c:pt>
                <c:pt idx="201">
                  <c:v>963.25</c:v>
                </c:pt>
                <c:pt idx="202">
                  <c:v>986.2</c:v>
                </c:pt>
                <c:pt idx="203">
                  <c:v>1040.2</c:v>
                </c:pt>
                <c:pt idx="204">
                  <c:v>1066.95</c:v>
                </c:pt>
                <c:pt idx="205">
                  <c:v>1062.5999999999999</c:v>
                </c:pt>
                <c:pt idx="206">
                  <c:v>1048.2</c:v>
                </c:pt>
                <c:pt idx="207">
                  <c:v>1052.9000000000001</c:v>
                </c:pt>
                <c:pt idx="208">
                  <c:v>1052.9000000000001</c:v>
                </c:pt>
                <c:pt idx="209">
                  <c:v>1053.4000000000001</c:v>
                </c:pt>
                <c:pt idx="210">
                  <c:v>1049.45</c:v>
                </c:pt>
                <c:pt idx="211">
                  <c:v>1052.8</c:v>
                </c:pt>
                <c:pt idx="212">
                  <c:v>1069.1500000000001</c:v>
                </c:pt>
                <c:pt idx="213">
                  <c:v>1077.75</c:v>
                </c:pt>
                <c:pt idx="214">
                  <c:v>1068.1500000000001</c:v>
                </c:pt>
                <c:pt idx="215">
                  <c:v>1091.0999999999999</c:v>
                </c:pt>
                <c:pt idx="216">
                  <c:v>1092.3</c:v>
                </c:pt>
                <c:pt idx="217">
                  <c:v>1064.75</c:v>
                </c:pt>
                <c:pt idx="218">
                  <c:v>1055.9000000000001</c:v>
                </c:pt>
                <c:pt idx="219">
                  <c:v>1066</c:v>
                </c:pt>
                <c:pt idx="220">
                  <c:v>1048.9000000000001</c:v>
                </c:pt>
                <c:pt idx="221">
                  <c:v>1042.8</c:v>
                </c:pt>
                <c:pt idx="222">
                  <c:v>1015.4</c:v>
                </c:pt>
                <c:pt idx="223">
                  <c:v>1039.0999999999999</c:v>
                </c:pt>
                <c:pt idx="224">
                  <c:v>1030.05</c:v>
                </c:pt>
                <c:pt idx="225">
                  <c:v>1004.75</c:v>
                </c:pt>
                <c:pt idx="226">
                  <c:v>1021.8</c:v>
                </c:pt>
                <c:pt idx="227">
                  <c:v>1047.25</c:v>
                </c:pt>
                <c:pt idx="228">
                  <c:v>1071.3</c:v>
                </c:pt>
                <c:pt idx="229">
                  <c:v>1076</c:v>
                </c:pt>
                <c:pt idx="230">
                  <c:v>1081.9000000000001</c:v>
                </c:pt>
                <c:pt idx="231">
                  <c:v>1095.8</c:v>
                </c:pt>
                <c:pt idx="232">
                  <c:v>1097.3499999999999</c:v>
                </c:pt>
                <c:pt idx="233">
                  <c:v>1101.7</c:v>
                </c:pt>
                <c:pt idx="234">
                  <c:v>1087.5</c:v>
                </c:pt>
                <c:pt idx="235">
                  <c:v>1079.1500000000001</c:v>
                </c:pt>
                <c:pt idx="236">
                  <c:v>1072.5999999999999</c:v>
                </c:pt>
                <c:pt idx="237">
                  <c:v>1074.9000000000001</c:v>
                </c:pt>
                <c:pt idx="238">
                  <c:v>1076.0999999999999</c:v>
                </c:pt>
                <c:pt idx="239">
                  <c:v>1080.95</c:v>
                </c:pt>
                <c:pt idx="240">
                  <c:v>1103.6500000000001</c:v>
                </c:pt>
                <c:pt idx="241">
                  <c:v>1140.7</c:v>
                </c:pt>
                <c:pt idx="242">
                  <c:v>1166.7</c:v>
                </c:pt>
                <c:pt idx="243">
                  <c:v>1160.8</c:v>
                </c:pt>
                <c:pt idx="244">
                  <c:v>1149.75</c:v>
                </c:pt>
                <c:pt idx="245">
                  <c:v>1140</c:v>
                </c:pt>
                <c:pt idx="246">
                  <c:v>1141.0999999999999</c:v>
                </c:pt>
                <c:pt idx="247">
                  <c:v>1141.2</c:v>
                </c:pt>
                <c:pt idx="248">
                  <c:v>1146.3499999999999</c:v>
                </c:pt>
                <c:pt idx="249">
                  <c:v>1156.95</c:v>
                </c:pt>
                <c:pt idx="250">
                  <c:v>1170.2</c:v>
                </c:pt>
                <c:pt idx="251">
                  <c:v>1165.6500000000001</c:v>
                </c:pt>
                <c:pt idx="252">
                  <c:v>1158.05</c:v>
                </c:pt>
                <c:pt idx="253">
                  <c:v>1144.75</c:v>
                </c:pt>
                <c:pt idx="254">
                  <c:v>1158.95</c:v>
                </c:pt>
                <c:pt idx="255">
                  <c:v>1171.7</c:v>
                </c:pt>
                <c:pt idx="256">
                  <c:v>1142.6500000000001</c:v>
                </c:pt>
                <c:pt idx="257">
                  <c:v>1130.9000000000001</c:v>
                </c:pt>
                <c:pt idx="258">
                  <c:v>1098.5</c:v>
                </c:pt>
                <c:pt idx="259">
                  <c:v>1135.95</c:v>
                </c:pt>
                <c:pt idx="260">
                  <c:v>1124.25</c:v>
                </c:pt>
                <c:pt idx="261">
                  <c:v>1120.1500000000001</c:v>
                </c:pt>
                <c:pt idx="262">
                  <c:v>1137.4000000000001</c:v>
                </c:pt>
                <c:pt idx="263">
                  <c:v>1202.55</c:v>
                </c:pt>
                <c:pt idx="264">
                  <c:v>1193</c:v>
                </c:pt>
                <c:pt idx="265">
                  <c:v>1212.2</c:v>
                </c:pt>
                <c:pt idx="266">
                  <c:v>1211.6500000000001</c:v>
                </c:pt>
                <c:pt idx="267">
                  <c:v>1209.2</c:v>
                </c:pt>
                <c:pt idx="268">
                  <c:v>1188.55</c:v>
                </c:pt>
                <c:pt idx="269">
                  <c:v>1199.4000000000001</c:v>
                </c:pt>
                <c:pt idx="270">
                  <c:v>1181.3499999999999</c:v>
                </c:pt>
                <c:pt idx="271">
                  <c:v>1159.5</c:v>
                </c:pt>
                <c:pt idx="272">
                  <c:v>1150.1500000000001</c:v>
                </c:pt>
                <c:pt idx="273">
                  <c:v>1182.45</c:v>
                </c:pt>
                <c:pt idx="274">
                  <c:v>1183.7</c:v>
                </c:pt>
                <c:pt idx="275">
                  <c:v>1148.8</c:v>
                </c:pt>
                <c:pt idx="276">
                  <c:v>1131.1500000000001</c:v>
                </c:pt>
                <c:pt idx="277">
                  <c:v>1125.0999999999999</c:v>
                </c:pt>
                <c:pt idx="278">
                  <c:v>1098.3</c:v>
                </c:pt>
                <c:pt idx="279">
                  <c:v>1090.75</c:v>
                </c:pt>
                <c:pt idx="280">
                  <c:v>1089.5999999999999</c:v>
                </c:pt>
                <c:pt idx="281">
                  <c:v>1112.3</c:v>
                </c:pt>
                <c:pt idx="282">
                  <c:v>1097.7</c:v>
                </c:pt>
                <c:pt idx="283">
                  <c:v>1096.5</c:v>
                </c:pt>
                <c:pt idx="284">
                  <c:v>1109.2</c:v>
                </c:pt>
                <c:pt idx="285">
                  <c:v>1089.7</c:v>
                </c:pt>
                <c:pt idx="286">
                  <c:v>1138.5999999999999</c:v>
                </c:pt>
                <c:pt idx="287">
                  <c:v>1138.75</c:v>
                </c:pt>
                <c:pt idx="288">
                  <c:v>1125.55</c:v>
                </c:pt>
                <c:pt idx="289">
                  <c:v>1111.8</c:v>
                </c:pt>
                <c:pt idx="290">
                  <c:v>1110.05</c:v>
                </c:pt>
                <c:pt idx="291">
                  <c:v>1110.25</c:v>
                </c:pt>
                <c:pt idx="292">
                  <c:v>1124.5</c:v>
                </c:pt>
                <c:pt idx="293">
                  <c:v>1150.2</c:v>
                </c:pt>
                <c:pt idx="294">
                  <c:v>1135.55</c:v>
                </c:pt>
                <c:pt idx="295">
                  <c:v>1108.25</c:v>
                </c:pt>
                <c:pt idx="296">
                  <c:v>1117.7</c:v>
                </c:pt>
                <c:pt idx="297">
                  <c:v>1126.7</c:v>
                </c:pt>
                <c:pt idx="298">
                  <c:v>1108.55</c:v>
                </c:pt>
                <c:pt idx="299">
                  <c:v>1077.05</c:v>
                </c:pt>
                <c:pt idx="300">
                  <c:v>1097.55</c:v>
                </c:pt>
                <c:pt idx="301">
                  <c:v>1089.8</c:v>
                </c:pt>
                <c:pt idx="302">
                  <c:v>1114.8499999999999</c:v>
                </c:pt>
                <c:pt idx="303">
                  <c:v>1098</c:v>
                </c:pt>
                <c:pt idx="304">
                  <c:v>1082.75</c:v>
                </c:pt>
                <c:pt idx="305">
                  <c:v>1070.8</c:v>
                </c:pt>
                <c:pt idx="306">
                  <c:v>1069.5</c:v>
                </c:pt>
                <c:pt idx="307">
                  <c:v>1064.3499999999999</c:v>
                </c:pt>
                <c:pt idx="308">
                  <c:v>1093.4000000000001</c:v>
                </c:pt>
                <c:pt idx="309">
                  <c:v>1119.6500000000001</c:v>
                </c:pt>
                <c:pt idx="310">
                  <c:v>1119.9000000000001</c:v>
                </c:pt>
                <c:pt idx="311">
                  <c:v>1138.7</c:v>
                </c:pt>
                <c:pt idx="312">
                  <c:v>1151.95</c:v>
                </c:pt>
                <c:pt idx="313">
                  <c:v>1183.9000000000001</c:v>
                </c:pt>
                <c:pt idx="314">
                  <c:v>1180.1500000000001</c:v>
                </c:pt>
                <c:pt idx="315">
                  <c:v>1213.2</c:v>
                </c:pt>
                <c:pt idx="316">
                  <c:v>1239.8499999999999</c:v>
                </c:pt>
                <c:pt idx="317">
                  <c:v>1221.8499999999999</c:v>
                </c:pt>
                <c:pt idx="318">
                  <c:v>1199.2</c:v>
                </c:pt>
                <c:pt idx="319">
                  <c:v>1196</c:v>
                </c:pt>
                <c:pt idx="320">
                  <c:v>1178.4000000000001</c:v>
                </c:pt>
                <c:pt idx="321">
                  <c:v>1210.0999999999999</c:v>
                </c:pt>
                <c:pt idx="322">
                  <c:v>1191.4000000000001</c:v>
                </c:pt>
                <c:pt idx="323">
                  <c:v>1144.5999999999999</c:v>
                </c:pt>
                <c:pt idx="324">
                  <c:v>1164.7</c:v>
                </c:pt>
                <c:pt idx="325">
                  <c:v>1218.7</c:v>
                </c:pt>
                <c:pt idx="326">
                  <c:v>1192.0999999999999</c:v>
                </c:pt>
                <c:pt idx="327">
                  <c:v>1197.8499999999999</c:v>
                </c:pt>
                <c:pt idx="328">
                  <c:v>1189</c:v>
                </c:pt>
                <c:pt idx="329">
                  <c:v>1180.5999999999999</c:v>
                </c:pt>
                <c:pt idx="330">
                  <c:v>1158.6500000000001</c:v>
                </c:pt>
                <c:pt idx="331">
                  <c:v>1165.6500000000001</c:v>
                </c:pt>
                <c:pt idx="332">
                  <c:v>1158.45</c:v>
                </c:pt>
                <c:pt idx="333">
                  <c:v>1138.45</c:v>
                </c:pt>
                <c:pt idx="334">
                  <c:v>1137.05</c:v>
                </c:pt>
                <c:pt idx="335">
                  <c:v>1115</c:v>
                </c:pt>
                <c:pt idx="336">
                  <c:v>1148.95</c:v>
                </c:pt>
                <c:pt idx="337">
                  <c:v>1135.55</c:v>
                </c:pt>
                <c:pt idx="338">
                  <c:v>1139.9000000000001</c:v>
                </c:pt>
                <c:pt idx="339">
                  <c:v>1140.25</c:v>
                </c:pt>
                <c:pt idx="340">
                  <c:v>1111.75</c:v>
                </c:pt>
                <c:pt idx="341">
                  <c:v>1127.0999999999999</c:v>
                </c:pt>
                <c:pt idx="342">
                  <c:v>1131.0999999999999</c:v>
                </c:pt>
                <c:pt idx="343">
                  <c:v>1141.7</c:v>
                </c:pt>
                <c:pt idx="344">
                  <c:v>1155.05</c:v>
                </c:pt>
                <c:pt idx="345">
                  <c:v>1164.8499999999999</c:v>
                </c:pt>
                <c:pt idx="346">
                  <c:v>1175</c:v>
                </c:pt>
                <c:pt idx="347">
                  <c:v>1166.55</c:v>
                </c:pt>
                <c:pt idx="348">
                  <c:v>1149.9000000000001</c:v>
                </c:pt>
                <c:pt idx="349">
                  <c:v>1128.5999999999999</c:v>
                </c:pt>
                <c:pt idx="350">
                  <c:v>1135.75</c:v>
                </c:pt>
                <c:pt idx="351">
                  <c:v>1144.55</c:v>
                </c:pt>
                <c:pt idx="352">
                  <c:v>1151.95</c:v>
                </c:pt>
                <c:pt idx="353">
                  <c:v>1157.1500000000001</c:v>
                </c:pt>
                <c:pt idx="354">
                  <c:v>1175.4000000000001</c:v>
                </c:pt>
                <c:pt idx="355">
                  <c:v>1167.75</c:v>
                </c:pt>
                <c:pt idx="356">
                  <c:v>1152.0999999999999</c:v>
                </c:pt>
                <c:pt idx="357">
                  <c:v>1164.3499999999999</c:v>
                </c:pt>
                <c:pt idx="358">
                  <c:v>1179.3</c:v>
                </c:pt>
                <c:pt idx="359">
                  <c:v>1181.4000000000001</c:v>
                </c:pt>
                <c:pt idx="360">
                  <c:v>1186.3499999999999</c:v>
                </c:pt>
                <c:pt idx="361">
                  <c:v>1189.2</c:v>
                </c:pt>
                <c:pt idx="362">
                  <c:v>1175.3</c:v>
                </c:pt>
                <c:pt idx="363">
                  <c:v>1191.05</c:v>
                </c:pt>
                <c:pt idx="364">
                  <c:v>1184.25</c:v>
                </c:pt>
                <c:pt idx="365">
                  <c:v>1151.1500000000001</c:v>
                </c:pt>
                <c:pt idx="366">
                  <c:v>1109.2</c:v>
                </c:pt>
                <c:pt idx="367">
                  <c:v>1069.3</c:v>
                </c:pt>
                <c:pt idx="368">
                  <c:v>1106.75</c:v>
                </c:pt>
                <c:pt idx="369">
                  <c:v>1083.5</c:v>
                </c:pt>
                <c:pt idx="370">
                  <c:v>1097</c:v>
                </c:pt>
                <c:pt idx="371">
                  <c:v>1137.75</c:v>
                </c:pt>
                <c:pt idx="372">
                  <c:v>1150.5999999999999</c:v>
                </c:pt>
                <c:pt idx="373">
                  <c:v>1154</c:v>
                </c:pt>
                <c:pt idx="374">
                  <c:v>1169.8499999999999</c:v>
                </c:pt>
                <c:pt idx="375">
                  <c:v>1184.2</c:v>
                </c:pt>
                <c:pt idx="376">
                  <c:v>1191.9000000000001</c:v>
                </c:pt>
                <c:pt idx="377">
                  <c:v>1185.7</c:v>
                </c:pt>
                <c:pt idx="378">
                  <c:v>1179.45</c:v>
                </c:pt>
                <c:pt idx="379">
                  <c:v>1182.8</c:v>
                </c:pt>
                <c:pt idx="380">
                  <c:v>1195.9000000000001</c:v>
                </c:pt>
                <c:pt idx="381">
                  <c:v>1171.6500000000001</c:v>
                </c:pt>
                <c:pt idx="382">
                  <c:v>1156.6500000000001</c:v>
                </c:pt>
                <c:pt idx="383">
                  <c:v>1145.3499999999999</c:v>
                </c:pt>
                <c:pt idx="384">
                  <c:v>1149.05</c:v>
                </c:pt>
                <c:pt idx="385">
                  <c:v>1123.7</c:v>
                </c:pt>
                <c:pt idx="386">
                  <c:v>1146.05</c:v>
                </c:pt>
                <c:pt idx="387">
                  <c:v>1125.05</c:v>
                </c:pt>
                <c:pt idx="388">
                  <c:v>1140.05</c:v>
                </c:pt>
                <c:pt idx="389">
                  <c:v>1132.45</c:v>
                </c:pt>
                <c:pt idx="390">
                  <c:v>1122.55</c:v>
                </c:pt>
                <c:pt idx="391">
                  <c:v>1133.4000000000001</c:v>
                </c:pt>
                <c:pt idx="392">
                  <c:v>1139.9000000000001</c:v>
                </c:pt>
                <c:pt idx="393">
                  <c:v>1144.6500000000001</c:v>
                </c:pt>
                <c:pt idx="394">
                  <c:v>1147.1500000000001</c:v>
                </c:pt>
                <c:pt idx="395">
                  <c:v>1129.55</c:v>
                </c:pt>
                <c:pt idx="396">
                  <c:v>1137</c:v>
                </c:pt>
                <c:pt idx="397">
                  <c:v>1135.25</c:v>
                </c:pt>
                <c:pt idx="398">
                  <c:v>1130.6500000000001</c:v>
                </c:pt>
                <c:pt idx="399">
                  <c:v>1110.3499999999999</c:v>
                </c:pt>
                <c:pt idx="400">
                  <c:v>1095.8499999999999</c:v>
                </c:pt>
                <c:pt idx="401">
                  <c:v>1057.95</c:v>
                </c:pt>
                <c:pt idx="402">
                  <c:v>1005.35</c:v>
                </c:pt>
                <c:pt idx="403">
                  <c:v>964.8</c:v>
                </c:pt>
                <c:pt idx="404">
                  <c:v>984.05</c:v>
                </c:pt>
                <c:pt idx="405">
                  <c:v>978.35</c:v>
                </c:pt>
                <c:pt idx="406">
                  <c:v>947.15</c:v>
                </c:pt>
                <c:pt idx="407">
                  <c:v>973.6</c:v>
                </c:pt>
                <c:pt idx="408">
                  <c:v>999.9</c:v>
                </c:pt>
                <c:pt idx="409">
                  <c:v>962.35</c:v>
                </c:pt>
                <c:pt idx="410">
                  <c:v>928.95</c:v>
                </c:pt>
                <c:pt idx="411">
                  <c:v>918.05</c:v>
                </c:pt>
                <c:pt idx="412">
                  <c:v>981.6</c:v>
                </c:pt>
                <c:pt idx="413">
                  <c:v>962.6</c:v>
                </c:pt>
                <c:pt idx="414">
                  <c:v>950.4</c:v>
                </c:pt>
                <c:pt idx="415">
                  <c:v>948.45</c:v>
                </c:pt>
                <c:pt idx="416">
                  <c:v>1019.6</c:v>
                </c:pt>
                <c:pt idx="417">
                  <c:v>1042.4000000000001</c:v>
                </c:pt>
                <c:pt idx="418">
                  <c:v>1022.1</c:v>
                </c:pt>
                <c:pt idx="419">
                  <c:v>1027.7</c:v>
                </c:pt>
                <c:pt idx="420">
                  <c:v>1033.9000000000001</c:v>
                </c:pt>
                <c:pt idx="421">
                  <c:v>1031</c:v>
                </c:pt>
                <c:pt idx="422">
                  <c:v>1036.05</c:v>
                </c:pt>
                <c:pt idx="423">
                  <c:v>1016.05</c:v>
                </c:pt>
                <c:pt idx="424">
                  <c:v>985.7</c:v>
                </c:pt>
                <c:pt idx="425">
                  <c:v>993.75</c:v>
                </c:pt>
                <c:pt idx="426">
                  <c:v>1015.1</c:v>
                </c:pt>
                <c:pt idx="427">
                  <c:v>1041.75</c:v>
                </c:pt>
                <c:pt idx="428">
                  <c:v>1027.75</c:v>
                </c:pt>
                <c:pt idx="429">
                  <c:v>1018.05</c:v>
                </c:pt>
                <c:pt idx="430">
                  <c:v>1057.95</c:v>
                </c:pt>
                <c:pt idx="431">
                  <c:v>1043.5</c:v>
                </c:pt>
                <c:pt idx="432">
                  <c:v>994.4</c:v>
                </c:pt>
                <c:pt idx="433">
                  <c:v>990.3</c:v>
                </c:pt>
                <c:pt idx="434">
                  <c:v>996.95</c:v>
                </c:pt>
                <c:pt idx="435">
                  <c:v>1040.55</c:v>
                </c:pt>
                <c:pt idx="436">
                  <c:v>1047.9000000000001</c:v>
                </c:pt>
                <c:pt idx="437">
                  <c:v>1061.45</c:v>
                </c:pt>
                <c:pt idx="438">
                  <c:v>1037.3</c:v>
                </c:pt>
                <c:pt idx="439">
                  <c:v>1043.3</c:v>
                </c:pt>
                <c:pt idx="440">
                  <c:v>1045.95</c:v>
                </c:pt>
                <c:pt idx="441">
                  <c:v>1043.55</c:v>
                </c:pt>
                <c:pt idx="442">
                  <c:v>1048.55</c:v>
                </c:pt>
                <c:pt idx="443">
                  <c:v>1064.7</c:v>
                </c:pt>
                <c:pt idx="444">
                  <c:v>1040.8499999999999</c:v>
                </c:pt>
                <c:pt idx="445">
                  <c:v>1079.05</c:v>
                </c:pt>
                <c:pt idx="446">
                  <c:v>1092.75</c:v>
                </c:pt>
                <c:pt idx="447">
                  <c:v>1134.25</c:v>
                </c:pt>
                <c:pt idx="448">
                  <c:v>1120.25</c:v>
                </c:pt>
                <c:pt idx="449">
                  <c:v>1033.55</c:v>
                </c:pt>
                <c:pt idx="450">
                  <c:v>1048.95</c:v>
                </c:pt>
                <c:pt idx="451">
                  <c:v>1044.9000000000001</c:v>
                </c:pt>
                <c:pt idx="452">
                  <c:v>1049.8499999999999</c:v>
                </c:pt>
                <c:pt idx="453">
                  <c:v>1079.75</c:v>
                </c:pt>
                <c:pt idx="454">
                  <c:v>1098.6500000000001</c:v>
                </c:pt>
                <c:pt idx="455">
                  <c:v>1095.9000000000001</c:v>
                </c:pt>
                <c:pt idx="456">
                  <c:v>1121.5</c:v>
                </c:pt>
                <c:pt idx="457">
                  <c:v>1115.8</c:v>
                </c:pt>
                <c:pt idx="458">
                  <c:v>1108.45</c:v>
                </c:pt>
                <c:pt idx="459">
                  <c:v>1106.8499999999999</c:v>
                </c:pt>
                <c:pt idx="460">
                  <c:v>1105</c:v>
                </c:pt>
                <c:pt idx="461">
                  <c:v>1099.8</c:v>
                </c:pt>
                <c:pt idx="462">
                  <c:v>1105.25</c:v>
                </c:pt>
                <c:pt idx="463">
                  <c:v>1122.95</c:v>
                </c:pt>
                <c:pt idx="464">
                  <c:v>1131</c:v>
                </c:pt>
                <c:pt idx="465">
                  <c:v>1128.4000000000001</c:v>
                </c:pt>
                <c:pt idx="466">
                  <c:v>1124.4000000000001</c:v>
                </c:pt>
                <c:pt idx="467">
                  <c:v>1117.25</c:v>
                </c:pt>
                <c:pt idx="468">
                  <c:v>1115.1500000000001</c:v>
                </c:pt>
                <c:pt idx="469">
                  <c:v>1086.5999999999999</c:v>
                </c:pt>
                <c:pt idx="470">
                  <c:v>1067.2</c:v>
                </c:pt>
                <c:pt idx="471">
                  <c:v>1081.8499999999999</c:v>
                </c:pt>
                <c:pt idx="472">
                  <c:v>1062.3</c:v>
                </c:pt>
                <c:pt idx="473">
                  <c:v>1091.8</c:v>
                </c:pt>
                <c:pt idx="474">
                  <c:v>1063.9000000000001</c:v>
                </c:pt>
                <c:pt idx="475">
                  <c:v>1088.5</c:v>
                </c:pt>
                <c:pt idx="476">
                  <c:v>1093.3</c:v>
                </c:pt>
                <c:pt idx="477">
                  <c:v>1115.55</c:v>
                </c:pt>
                <c:pt idx="478">
                  <c:v>1134.8</c:v>
                </c:pt>
                <c:pt idx="479">
                  <c:v>1178</c:v>
                </c:pt>
                <c:pt idx="480">
                  <c:v>1180.95</c:v>
                </c:pt>
                <c:pt idx="481">
                  <c:v>1179.55</c:v>
                </c:pt>
                <c:pt idx="482">
                  <c:v>1177.5999999999999</c:v>
                </c:pt>
                <c:pt idx="483">
                  <c:v>1172.4000000000001</c:v>
                </c:pt>
                <c:pt idx="484">
                  <c:v>1180.3499999999999</c:v>
                </c:pt>
                <c:pt idx="485">
                  <c:v>1178.7</c:v>
                </c:pt>
                <c:pt idx="486">
                  <c:v>1182.45</c:v>
                </c:pt>
                <c:pt idx="487">
                  <c:v>1182.5</c:v>
                </c:pt>
                <c:pt idx="488">
                  <c:v>1146.3</c:v>
                </c:pt>
                <c:pt idx="489">
                  <c:v>1143.6500000000001</c:v>
                </c:pt>
                <c:pt idx="490">
                  <c:v>1133.3499999999999</c:v>
                </c:pt>
                <c:pt idx="491">
                  <c:v>1158.7</c:v>
                </c:pt>
                <c:pt idx="492">
                  <c:v>1151.7</c:v>
                </c:pt>
                <c:pt idx="493">
                  <c:v>1157.1500000000001</c:v>
                </c:pt>
                <c:pt idx="494">
                  <c:v>1188.4000000000001</c:v>
                </c:pt>
                <c:pt idx="495">
                  <c:v>1179.45</c:v>
                </c:pt>
                <c:pt idx="496">
                  <c:v>1169.2</c:v>
                </c:pt>
                <c:pt idx="497">
                  <c:v>1165.7</c:v>
                </c:pt>
                <c:pt idx="498">
                  <c:v>1160.6500000000001</c:v>
                </c:pt>
                <c:pt idx="499">
                  <c:v>1178.5999999999999</c:v>
                </c:pt>
                <c:pt idx="500">
                  <c:v>1197.5999999999999</c:v>
                </c:pt>
                <c:pt idx="501">
                  <c:v>1173</c:v>
                </c:pt>
                <c:pt idx="502">
                  <c:v>1172</c:v>
                </c:pt>
                <c:pt idx="503">
                  <c:v>1169.4000000000001</c:v>
                </c:pt>
                <c:pt idx="504">
                  <c:v>1172.5</c:v>
                </c:pt>
                <c:pt idx="505">
                  <c:v>1171.3499999999999</c:v>
                </c:pt>
                <c:pt idx="506">
                  <c:v>1165.4000000000001</c:v>
                </c:pt>
                <c:pt idx="507">
                  <c:v>1137</c:v>
                </c:pt>
                <c:pt idx="508">
                  <c:v>1089.5</c:v>
                </c:pt>
                <c:pt idx="509">
                  <c:v>1085.75</c:v>
                </c:pt>
                <c:pt idx="510">
                  <c:v>1109.4000000000001</c:v>
                </c:pt>
                <c:pt idx="511">
                  <c:v>1103.95</c:v>
                </c:pt>
                <c:pt idx="512">
                  <c:v>1076.1500000000001</c:v>
                </c:pt>
                <c:pt idx="513">
                  <c:v>1075.55</c:v>
                </c:pt>
                <c:pt idx="514">
                  <c:v>1079.5</c:v>
                </c:pt>
                <c:pt idx="515">
                  <c:v>1077.7</c:v>
                </c:pt>
                <c:pt idx="516">
                  <c:v>1088.7</c:v>
                </c:pt>
                <c:pt idx="517">
                  <c:v>1098</c:v>
                </c:pt>
                <c:pt idx="518">
                  <c:v>1108.75</c:v>
                </c:pt>
                <c:pt idx="519">
                  <c:v>1111.75</c:v>
                </c:pt>
                <c:pt idx="520">
                  <c:v>1132.4000000000001</c:v>
                </c:pt>
                <c:pt idx="521">
                  <c:v>1128.7</c:v>
                </c:pt>
                <c:pt idx="522">
                  <c:v>1148</c:v>
                </c:pt>
                <c:pt idx="523">
                  <c:v>1171.55</c:v>
                </c:pt>
                <c:pt idx="524">
                  <c:v>1193.8499999999999</c:v>
                </c:pt>
                <c:pt idx="525">
                  <c:v>1198</c:v>
                </c:pt>
                <c:pt idx="526">
                  <c:v>1219.6500000000001</c:v>
                </c:pt>
                <c:pt idx="527">
                  <c:v>1228.5999999999999</c:v>
                </c:pt>
                <c:pt idx="528">
                  <c:v>1233.4000000000001</c:v>
                </c:pt>
                <c:pt idx="529">
                  <c:v>1225.7</c:v>
                </c:pt>
                <c:pt idx="530">
                  <c:v>1220</c:v>
                </c:pt>
                <c:pt idx="531">
                  <c:v>1241.5999999999999</c:v>
                </c:pt>
                <c:pt idx="532">
                  <c:v>1225.3499999999999</c:v>
                </c:pt>
                <c:pt idx="533">
                  <c:v>1228.75</c:v>
                </c:pt>
                <c:pt idx="534">
                  <c:v>1237.05</c:v>
                </c:pt>
                <c:pt idx="535">
                  <c:v>1252.3499999999999</c:v>
                </c:pt>
                <c:pt idx="536">
                  <c:v>1259.8</c:v>
                </c:pt>
                <c:pt idx="537">
                  <c:v>1270</c:v>
                </c:pt>
                <c:pt idx="538">
                  <c:v>1252.05</c:v>
                </c:pt>
                <c:pt idx="539">
                  <c:v>1226.55</c:v>
                </c:pt>
                <c:pt idx="540">
                  <c:v>1221.95</c:v>
                </c:pt>
                <c:pt idx="541">
                  <c:v>1219.5999999999999</c:v>
                </c:pt>
                <c:pt idx="542">
                  <c:v>1217.25</c:v>
                </c:pt>
                <c:pt idx="543">
                  <c:v>1218.4000000000001</c:v>
                </c:pt>
                <c:pt idx="544">
                  <c:v>1207.3</c:v>
                </c:pt>
                <c:pt idx="545">
                  <c:v>1202</c:v>
                </c:pt>
                <c:pt idx="546">
                  <c:v>1192.8499999999999</c:v>
                </c:pt>
                <c:pt idx="547">
                  <c:v>1208.55</c:v>
                </c:pt>
                <c:pt idx="548">
                  <c:v>1189.05</c:v>
                </c:pt>
                <c:pt idx="549">
                  <c:v>1197</c:v>
                </c:pt>
                <c:pt idx="550">
                  <c:v>1154.55</c:v>
                </c:pt>
                <c:pt idx="551">
                  <c:v>1163.7</c:v>
                </c:pt>
                <c:pt idx="552">
                  <c:v>1169.55</c:v>
                </c:pt>
                <c:pt idx="553">
                  <c:v>1122</c:v>
                </c:pt>
                <c:pt idx="554">
                  <c:v>1134.8499999999999</c:v>
                </c:pt>
                <c:pt idx="555">
                  <c:v>1175.75</c:v>
                </c:pt>
                <c:pt idx="556">
                  <c:v>1167.75</c:v>
                </c:pt>
                <c:pt idx="557">
                  <c:v>1184.6500000000001</c:v>
                </c:pt>
                <c:pt idx="558">
                  <c:v>1161.5999999999999</c:v>
                </c:pt>
                <c:pt idx="559">
                  <c:v>1174.75</c:v>
                </c:pt>
                <c:pt idx="560">
                  <c:v>1165.0999999999999</c:v>
                </c:pt>
                <c:pt idx="561">
                  <c:v>1141.2</c:v>
                </c:pt>
                <c:pt idx="562">
                  <c:v>1168.8</c:v>
                </c:pt>
                <c:pt idx="563">
                  <c:v>1194.25</c:v>
                </c:pt>
                <c:pt idx="564">
                  <c:v>1178</c:v>
                </c:pt>
                <c:pt idx="565">
                  <c:v>1178.45</c:v>
                </c:pt>
                <c:pt idx="566">
                  <c:v>1164.0999999999999</c:v>
                </c:pt>
                <c:pt idx="567">
                  <c:v>1156.2</c:v>
                </c:pt>
                <c:pt idx="568">
                  <c:v>1138.0999999999999</c:v>
                </c:pt>
                <c:pt idx="569">
                  <c:v>1131.6500000000001</c:v>
                </c:pt>
                <c:pt idx="570">
                  <c:v>1068.3499999999999</c:v>
                </c:pt>
                <c:pt idx="571">
                  <c:v>1069.75</c:v>
                </c:pt>
                <c:pt idx="572">
                  <c:v>1090.8499999999999</c:v>
                </c:pt>
                <c:pt idx="573">
                  <c:v>1097.55</c:v>
                </c:pt>
                <c:pt idx="574">
                  <c:v>1102.95</c:v>
                </c:pt>
                <c:pt idx="575">
                  <c:v>1088.45</c:v>
                </c:pt>
                <c:pt idx="576">
                  <c:v>1064.25</c:v>
                </c:pt>
                <c:pt idx="577">
                  <c:v>1194.2</c:v>
                </c:pt>
                <c:pt idx="578">
                  <c:v>1171.05</c:v>
                </c:pt>
                <c:pt idx="579">
                  <c:v>1194.6500000000001</c:v>
                </c:pt>
                <c:pt idx="580">
                  <c:v>1204</c:v>
                </c:pt>
                <c:pt idx="581">
                  <c:v>1201.8499999999999</c:v>
                </c:pt>
                <c:pt idx="582">
                  <c:v>1246.5999999999999</c:v>
                </c:pt>
                <c:pt idx="583">
                  <c:v>1267.25</c:v>
                </c:pt>
                <c:pt idx="584">
                  <c:v>1279.5</c:v>
                </c:pt>
                <c:pt idx="585">
                  <c:v>1276.8</c:v>
                </c:pt>
                <c:pt idx="586">
                  <c:v>1273.25</c:v>
                </c:pt>
                <c:pt idx="587">
                  <c:v>1200.7</c:v>
                </c:pt>
                <c:pt idx="588">
                  <c:v>1225.55</c:v>
                </c:pt>
                <c:pt idx="589">
                  <c:v>1232.55</c:v>
                </c:pt>
                <c:pt idx="590">
                  <c:v>1230.75</c:v>
                </c:pt>
                <c:pt idx="591">
                  <c:v>1225.95</c:v>
                </c:pt>
                <c:pt idx="592">
                  <c:v>1226.3</c:v>
                </c:pt>
                <c:pt idx="593">
                  <c:v>1223.4000000000001</c:v>
                </c:pt>
                <c:pt idx="594">
                  <c:v>1222</c:v>
                </c:pt>
                <c:pt idx="595">
                  <c:v>1210.6500000000001</c:v>
                </c:pt>
                <c:pt idx="596">
                  <c:v>1209.2</c:v>
                </c:pt>
                <c:pt idx="597">
                  <c:v>1224.05</c:v>
                </c:pt>
                <c:pt idx="598">
                  <c:v>1225.1500000000001</c:v>
                </c:pt>
                <c:pt idx="599">
                  <c:v>1221.45</c:v>
                </c:pt>
                <c:pt idx="600">
                  <c:v>1220.8</c:v>
                </c:pt>
                <c:pt idx="601">
                  <c:v>1224.7</c:v>
                </c:pt>
                <c:pt idx="602">
                  <c:v>1240.3499999999999</c:v>
                </c:pt>
                <c:pt idx="603">
                  <c:v>1240.55</c:v>
                </c:pt>
                <c:pt idx="604">
                  <c:v>1245.3499999999999</c:v>
                </c:pt>
                <c:pt idx="605">
                  <c:v>1224.5999999999999</c:v>
                </c:pt>
                <c:pt idx="606">
                  <c:v>1213.25</c:v>
                </c:pt>
                <c:pt idx="607">
                  <c:v>1226.5</c:v>
                </c:pt>
                <c:pt idx="608">
                  <c:v>1251.1500000000001</c:v>
                </c:pt>
                <c:pt idx="609">
                  <c:v>1240.2</c:v>
                </c:pt>
                <c:pt idx="610">
                  <c:v>1230.9000000000001</c:v>
                </c:pt>
                <c:pt idx="611">
                  <c:v>1233.55</c:v>
                </c:pt>
                <c:pt idx="612">
                  <c:v>1248.0999999999999</c:v>
                </c:pt>
                <c:pt idx="613">
                  <c:v>1250.4000000000001</c:v>
                </c:pt>
                <c:pt idx="614">
                  <c:v>1254</c:v>
                </c:pt>
                <c:pt idx="615">
                  <c:v>1272.45</c:v>
                </c:pt>
                <c:pt idx="616">
                  <c:v>1257.1500000000001</c:v>
                </c:pt>
                <c:pt idx="617">
                  <c:v>1273.95</c:v>
                </c:pt>
                <c:pt idx="618">
                  <c:v>1252.8</c:v>
                </c:pt>
                <c:pt idx="619">
                  <c:v>1224.05</c:v>
                </c:pt>
                <c:pt idx="620">
                  <c:v>1233.45</c:v>
                </c:pt>
                <c:pt idx="621">
                  <c:v>1216.75</c:v>
                </c:pt>
                <c:pt idx="622">
                  <c:v>1235.0999999999999</c:v>
                </c:pt>
                <c:pt idx="623">
                  <c:v>1246.7</c:v>
                </c:pt>
                <c:pt idx="624">
                  <c:v>1258.8499999999999</c:v>
                </c:pt>
                <c:pt idx="625">
                  <c:v>1277.45</c:v>
                </c:pt>
                <c:pt idx="626">
                  <c:v>1259.45</c:v>
                </c:pt>
                <c:pt idx="627">
                  <c:v>1239.4000000000001</c:v>
                </c:pt>
                <c:pt idx="628">
                  <c:v>1247.8499999999999</c:v>
                </c:pt>
                <c:pt idx="629">
                  <c:v>1240.5999999999999</c:v>
                </c:pt>
                <c:pt idx="630">
                  <c:v>1247.75</c:v>
                </c:pt>
                <c:pt idx="631">
                  <c:v>1259.4000000000001</c:v>
                </c:pt>
                <c:pt idx="632">
                  <c:v>1261.7</c:v>
                </c:pt>
                <c:pt idx="633">
                  <c:v>1258.3</c:v>
                </c:pt>
                <c:pt idx="634">
                  <c:v>1236</c:v>
                </c:pt>
                <c:pt idx="635">
                  <c:v>1249.4000000000001</c:v>
                </c:pt>
                <c:pt idx="636">
                  <c:v>1207.3499999999999</c:v>
                </c:pt>
                <c:pt idx="637">
                  <c:v>1185.9000000000001</c:v>
                </c:pt>
                <c:pt idx="638">
                  <c:v>1195.3</c:v>
                </c:pt>
                <c:pt idx="639">
                  <c:v>1201</c:v>
                </c:pt>
                <c:pt idx="640">
                  <c:v>1223.05</c:v>
                </c:pt>
                <c:pt idx="641">
                  <c:v>1214.25</c:v>
                </c:pt>
                <c:pt idx="642">
                  <c:v>1209.1500000000001</c:v>
                </c:pt>
                <c:pt idx="643">
                  <c:v>1213.1500000000001</c:v>
                </c:pt>
                <c:pt idx="644">
                  <c:v>1198.45</c:v>
                </c:pt>
                <c:pt idx="645">
                  <c:v>1225.3</c:v>
                </c:pt>
                <c:pt idx="646">
                  <c:v>1231</c:v>
                </c:pt>
                <c:pt idx="647">
                  <c:v>1243.6500000000001</c:v>
                </c:pt>
                <c:pt idx="648">
                  <c:v>1224.6500000000001</c:v>
                </c:pt>
                <c:pt idx="649">
                  <c:v>1232.8</c:v>
                </c:pt>
                <c:pt idx="650">
                  <c:v>1236.9000000000001</c:v>
                </c:pt>
                <c:pt idx="651">
                  <c:v>1228.9000000000001</c:v>
                </c:pt>
                <c:pt idx="652">
                  <c:v>1264.05</c:v>
                </c:pt>
                <c:pt idx="653">
                  <c:v>1249.2</c:v>
                </c:pt>
                <c:pt idx="654">
                  <c:v>1258.1500000000001</c:v>
                </c:pt>
                <c:pt idx="655">
                  <c:v>1280.05</c:v>
                </c:pt>
                <c:pt idx="656">
                  <c:v>1266.3</c:v>
                </c:pt>
                <c:pt idx="657">
                  <c:v>1268.4000000000001</c:v>
                </c:pt>
                <c:pt idx="658">
                  <c:v>1263.55</c:v>
                </c:pt>
                <c:pt idx="659">
                  <c:v>1278.5999999999999</c:v>
                </c:pt>
                <c:pt idx="660">
                  <c:v>1298.6500000000001</c:v>
                </c:pt>
                <c:pt idx="661">
                  <c:v>1291.6500000000001</c:v>
                </c:pt>
                <c:pt idx="662">
                  <c:v>1323.45</c:v>
                </c:pt>
                <c:pt idx="663">
                  <c:v>1322.85</c:v>
                </c:pt>
                <c:pt idx="664">
                  <c:v>1320.45</c:v>
                </c:pt>
                <c:pt idx="665">
                  <c:v>1350.9</c:v>
                </c:pt>
                <c:pt idx="666">
                  <c:v>1343.3</c:v>
                </c:pt>
                <c:pt idx="667">
                  <c:v>1367.15</c:v>
                </c:pt>
                <c:pt idx="668">
                  <c:v>1343.75</c:v>
                </c:pt>
                <c:pt idx="669">
                  <c:v>1337.85</c:v>
                </c:pt>
                <c:pt idx="670">
                  <c:v>1340.85</c:v>
                </c:pt>
                <c:pt idx="671">
                  <c:v>1364.5</c:v>
                </c:pt>
                <c:pt idx="672">
                  <c:v>1375.6</c:v>
                </c:pt>
                <c:pt idx="673">
                  <c:v>1386.7</c:v>
                </c:pt>
                <c:pt idx="674">
                  <c:v>1386.5</c:v>
                </c:pt>
                <c:pt idx="675">
                  <c:v>1371.45</c:v>
                </c:pt>
                <c:pt idx="676">
                  <c:v>1392.65</c:v>
                </c:pt>
                <c:pt idx="677">
                  <c:v>1414.9</c:v>
                </c:pt>
                <c:pt idx="678">
                  <c:v>1417.7</c:v>
                </c:pt>
                <c:pt idx="679">
                  <c:v>1413.1</c:v>
                </c:pt>
                <c:pt idx="680">
                  <c:v>1342.1</c:v>
                </c:pt>
                <c:pt idx="681">
                  <c:v>1299.8</c:v>
                </c:pt>
                <c:pt idx="682">
                  <c:v>1322</c:v>
                </c:pt>
                <c:pt idx="683">
                  <c:v>1304.05</c:v>
                </c:pt>
                <c:pt idx="684">
                  <c:v>1289.45</c:v>
                </c:pt>
                <c:pt idx="685">
                  <c:v>1293.2</c:v>
                </c:pt>
                <c:pt idx="686">
                  <c:v>1285.5999999999999</c:v>
                </c:pt>
                <c:pt idx="687">
                  <c:v>1271.55</c:v>
                </c:pt>
                <c:pt idx="688">
                  <c:v>1295.9000000000001</c:v>
                </c:pt>
                <c:pt idx="689">
                  <c:v>1302.95</c:v>
                </c:pt>
                <c:pt idx="690">
                  <c:v>1322.65</c:v>
                </c:pt>
                <c:pt idx="691">
                  <c:v>1317.15</c:v>
                </c:pt>
                <c:pt idx="692">
                  <c:v>1304</c:v>
                </c:pt>
                <c:pt idx="693">
                  <c:v>1292.7</c:v>
                </c:pt>
                <c:pt idx="694">
                  <c:v>1294.8499999999999</c:v>
                </c:pt>
                <c:pt idx="695">
                  <c:v>1289.3499999999999</c:v>
                </c:pt>
                <c:pt idx="696">
                  <c:v>1289.45</c:v>
                </c:pt>
                <c:pt idx="697">
                  <c:v>1298.45</c:v>
                </c:pt>
                <c:pt idx="698">
                  <c:v>1294.6500000000001</c:v>
                </c:pt>
                <c:pt idx="699">
                  <c:v>1295.9000000000001</c:v>
                </c:pt>
                <c:pt idx="700">
                  <c:v>1283.1500000000001</c:v>
                </c:pt>
                <c:pt idx="701">
                  <c:v>1307.3499999999999</c:v>
                </c:pt>
                <c:pt idx="702">
                  <c:v>1289.7</c:v>
                </c:pt>
                <c:pt idx="703">
                  <c:v>1318.9</c:v>
                </c:pt>
                <c:pt idx="704">
                  <c:v>1314.6</c:v>
                </c:pt>
                <c:pt idx="705">
                  <c:v>1315.35</c:v>
                </c:pt>
                <c:pt idx="706">
                  <c:v>1315.3</c:v>
                </c:pt>
                <c:pt idx="707">
                  <c:v>1308.4000000000001</c:v>
                </c:pt>
                <c:pt idx="708">
                  <c:v>1311.5</c:v>
                </c:pt>
                <c:pt idx="709">
                  <c:v>1315.5</c:v>
                </c:pt>
                <c:pt idx="710">
                  <c:v>1315.25</c:v>
                </c:pt>
                <c:pt idx="711">
                  <c:v>1331.2</c:v>
                </c:pt>
                <c:pt idx="712">
                  <c:v>1329.6</c:v>
                </c:pt>
                <c:pt idx="713">
                  <c:v>1320.55</c:v>
                </c:pt>
                <c:pt idx="714">
                  <c:v>1331.5</c:v>
                </c:pt>
                <c:pt idx="715">
                  <c:v>1331.2</c:v>
                </c:pt>
                <c:pt idx="716">
                  <c:v>1324.95</c:v>
                </c:pt>
                <c:pt idx="717">
                  <c:v>1334.5</c:v>
                </c:pt>
                <c:pt idx="718">
                  <c:v>1325.3</c:v>
                </c:pt>
                <c:pt idx="719">
                  <c:v>1294.1500000000001</c:v>
                </c:pt>
                <c:pt idx="720">
                  <c:v>1286.8</c:v>
                </c:pt>
                <c:pt idx="721">
                  <c:v>1262.3499999999999</c:v>
                </c:pt>
                <c:pt idx="722">
                  <c:v>1272.8</c:v>
                </c:pt>
                <c:pt idx="723">
                  <c:v>1282.2</c:v>
                </c:pt>
                <c:pt idx="724">
                  <c:v>1276.45</c:v>
                </c:pt>
                <c:pt idx="725">
                  <c:v>1288.5999999999999</c:v>
                </c:pt>
                <c:pt idx="726">
                  <c:v>1293.7</c:v>
                </c:pt>
                <c:pt idx="727">
                  <c:v>1295.2</c:v>
                </c:pt>
                <c:pt idx="728">
                  <c:v>1298.0999999999999</c:v>
                </c:pt>
                <c:pt idx="729">
                  <c:v>1314</c:v>
                </c:pt>
                <c:pt idx="730">
                  <c:v>1316.8</c:v>
                </c:pt>
                <c:pt idx="731">
                  <c:v>1299.45</c:v>
                </c:pt>
                <c:pt idx="732">
                  <c:v>1297.9000000000001</c:v>
                </c:pt>
                <c:pt idx="733">
                  <c:v>1280.7</c:v>
                </c:pt>
                <c:pt idx="734">
                  <c:v>1264.1500000000001</c:v>
                </c:pt>
                <c:pt idx="735">
                  <c:v>1237.2</c:v>
                </c:pt>
                <c:pt idx="736">
                  <c:v>1219.7</c:v>
                </c:pt>
                <c:pt idx="737">
                  <c:v>1225.8</c:v>
                </c:pt>
                <c:pt idx="738">
                  <c:v>1222.55</c:v>
                </c:pt>
                <c:pt idx="739">
                  <c:v>1242.9000000000001</c:v>
                </c:pt>
                <c:pt idx="740">
                  <c:v>1205.5</c:v>
                </c:pt>
                <c:pt idx="741">
                  <c:v>1210.6500000000001</c:v>
                </c:pt>
                <c:pt idx="742">
                  <c:v>1232.6500000000001</c:v>
                </c:pt>
                <c:pt idx="743">
                  <c:v>1252.05</c:v>
                </c:pt>
                <c:pt idx="744">
                  <c:v>1258.7</c:v>
                </c:pt>
                <c:pt idx="745">
                  <c:v>1266.2</c:v>
                </c:pt>
                <c:pt idx="746">
                  <c:v>1262.2</c:v>
                </c:pt>
                <c:pt idx="747">
                  <c:v>1250.95</c:v>
                </c:pt>
                <c:pt idx="748">
                  <c:v>1267.5</c:v>
                </c:pt>
                <c:pt idx="749">
                  <c:v>1255.8499999999999</c:v>
                </c:pt>
                <c:pt idx="750">
                  <c:v>1264.1500000000001</c:v>
                </c:pt>
                <c:pt idx="751">
                  <c:v>1263.3</c:v>
                </c:pt>
                <c:pt idx="752">
                  <c:v>1280.5999999999999</c:v>
                </c:pt>
                <c:pt idx="753">
                  <c:v>1299.2</c:v>
                </c:pt>
                <c:pt idx="754">
                  <c:v>1294.8499999999999</c:v>
                </c:pt>
                <c:pt idx="755">
                  <c:v>1300.25</c:v>
                </c:pt>
                <c:pt idx="756">
                  <c:v>1276.5999999999999</c:v>
                </c:pt>
                <c:pt idx="757">
                  <c:v>1258.4000000000001</c:v>
                </c:pt>
                <c:pt idx="758">
                  <c:v>1306.3499999999999</c:v>
                </c:pt>
                <c:pt idx="759">
                  <c:v>1334.5</c:v>
                </c:pt>
                <c:pt idx="760">
                  <c:v>1337.45</c:v>
                </c:pt>
                <c:pt idx="761">
                  <c:v>1347.75</c:v>
                </c:pt>
                <c:pt idx="762">
                  <c:v>1362</c:v>
                </c:pt>
                <c:pt idx="763">
                  <c:v>1351</c:v>
                </c:pt>
                <c:pt idx="764">
                  <c:v>1330</c:v>
                </c:pt>
                <c:pt idx="765">
                  <c:v>1317.5</c:v>
                </c:pt>
                <c:pt idx="766">
                  <c:v>1311.95</c:v>
                </c:pt>
                <c:pt idx="767">
                  <c:v>1328.55</c:v>
                </c:pt>
                <c:pt idx="768">
                  <c:v>1340.5</c:v>
                </c:pt>
                <c:pt idx="769">
                  <c:v>1345.05</c:v>
                </c:pt>
                <c:pt idx="770">
                  <c:v>1344.95</c:v>
                </c:pt>
                <c:pt idx="771">
                  <c:v>1346.15</c:v>
                </c:pt>
                <c:pt idx="772">
                  <c:v>1344.15</c:v>
                </c:pt>
                <c:pt idx="773">
                  <c:v>1348.1</c:v>
                </c:pt>
                <c:pt idx="774">
                  <c:v>1356.35</c:v>
                </c:pt>
                <c:pt idx="775">
                  <c:v>1360.05</c:v>
                </c:pt>
                <c:pt idx="776">
                  <c:v>1370.55</c:v>
                </c:pt>
                <c:pt idx="777">
                  <c:v>1387.15</c:v>
                </c:pt>
                <c:pt idx="778">
                  <c:v>1422.6</c:v>
                </c:pt>
                <c:pt idx="779">
                  <c:v>1414.7</c:v>
                </c:pt>
                <c:pt idx="780">
                  <c:v>1410.05</c:v>
                </c:pt>
                <c:pt idx="781">
                  <c:v>1435.4</c:v>
                </c:pt>
                <c:pt idx="782">
                  <c:v>1447.7</c:v>
                </c:pt>
                <c:pt idx="783">
                  <c:v>1442.15</c:v>
                </c:pt>
                <c:pt idx="784">
                  <c:v>1425.35</c:v>
                </c:pt>
                <c:pt idx="785">
                  <c:v>1443.55</c:v>
                </c:pt>
                <c:pt idx="786">
                  <c:v>1452.8</c:v>
                </c:pt>
                <c:pt idx="787">
                  <c:v>1451.05</c:v>
                </c:pt>
                <c:pt idx="788">
                  <c:v>1455.1</c:v>
                </c:pt>
                <c:pt idx="789">
                  <c:v>1473.7</c:v>
                </c:pt>
                <c:pt idx="790">
                  <c:v>1496.4</c:v>
                </c:pt>
                <c:pt idx="791">
                  <c:v>1483.2</c:v>
                </c:pt>
                <c:pt idx="792">
                  <c:v>1517</c:v>
                </c:pt>
                <c:pt idx="793">
                  <c:v>1501.85</c:v>
                </c:pt>
                <c:pt idx="794">
                  <c:v>1513.2</c:v>
                </c:pt>
                <c:pt idx="795">
                  <c:v>1540.15</c:v>
                </c:pt>
                <c:pt idx="796">
                  <c:v>1561.2</c:v>
                </c:pt>
                <c:pt idx="797">
                  <c:v>1589.9</c:v>
                </c:pt>
                <c:pt idx="798">
                  <c:v>1583.15</c:v>
                </c:pt>
                <c:pt idx="799">
                  <c:v>1566.2</c:v>
                </c:pt>
                <c:pt idx="800">
                  <c:v>1560.5</c:v>
                </c:pt>
                <c:pt idx="801">
                  <c:v>1551.7</c:v>
                </c:pt>
                <c:pt idx="802">
                  <c:v>1567.7</c:v>
                </c:pt>
                <c:pt idx="803">
                  <c:v>1570.25</c:v>
                </c:pt>
                <c:pt idx="804">
                  <c:v>1566.95</c:v>
                </c:pt>
                <c:pt idx="805">
                  <c:v>1546.75</c:v>
                </c:pt>
                <c:pt idx="806">
                  <c:v>1557.65</c:v>
                </c:pt>
                <c:pt idx="807">
                  <c:v>1559.95</c:v>
                </c:pt>
                <c:pt idx="808">
                  <c:v>1542.15</c:v>
                </c:pt>
                <c:pt idx="809">
                  <c:v>1543.35</c:v>
                </c:pt>
                <c:pt idx="810">
                  <c:v>1556.35</c:v>
                </c:pt>
                <c:pt idx="811">
                  <c:v>1575.75</c:v>
                </c:pt>
                <c:pt idx="812">
                  <c:v>1556.85</c:v>
                </c:pt>
                <c:pt idx="813">
                  <c:v>1567.35</c:v>
                </c:pt>
                <c:pt idx="814">
                  <c:v>1543.4</c:v>
                </c:pt>
                <c:pt idx="815">
                  <c:v>1507.8</c:v>
                </c:pt>
                <c:pt idx="816">
                  <c:v>1498.35</c:v>
                </c:pt>
                <c:pt idx="817">
                  <c:v>1480.75</c:v>
                </c:pt>
                <c:pt idx="818">
                  <c:v>1497.4</c:v>
                </c:pt>
                <c:pt idx="819">
                  <c:v>1530.45</c:v>
                </c:pt>
                <c:pt idx="820">
                  <c:v>1536.9</c:v>
                </c:pt>
                <c:pt idx="821">
                  <c:v>1511.75</c:v>
                </c:pt>
                <c:pt idx="822">
                  <c:v>1472.45</c:v>
                </c:pt>
                <c:pt idx="823">
                  <c:v>1483.15</c:v>
                </c:pt>
                <c:pt idx="824">
                  <c:v>1456.65</c:v>
                </c:pt>
                <c:pt idx="825">
                  <c:v>1452.75</c:v>
                </c:pt>
                <c:pt idx="826">
                  <c:v>1425.3</c:v>
                </c:pt>
                <c:pt idx="827">
                  <c:v>1430.55</c:v>
                </c:pt>
                <c:pt idx="828">
                  <c:v>1402.3</c:v>
                </c:pt>
                <c:pt idx="829">
                  <c:v>1369.35</c:v>
                </c:pt>
                <c:pt idx="830">
                  <c:v>1370.75</c:v>
                </c:pt>
                <c:pt idx="831">
                  <c:v>1378.4</c:v>
                </c:pt>
                <c:pt idx="832">
                  <c:v>1433.9</c:v>
                </c:pt>
                <c:pt idx="833">
                  <c:v>1418.5</c:v>
                </c:pt>
                <c:pt idx="834">
                  <c:v>1467.2</c:v>
                </c:pt>
                <c:pt idx="835">
                  <c:v>1471.6</c:v>
                </c:pt>
                <c:pt idx="836">
                  <c:v>1480.1</c:v>
                </c:pt>
                <c:pt idx="837">
                  <c:v>1498.45</c:v>
                </c:pt>
                <c:pt idx="838">
                  <c:v>1495.9</c:v>
                </c:pt>
                <c:pt idx="839">
                  <c:v>1489.65</c:v>
                </c:pt>
                <c:pt idx="840">
                  <c:v>1451.6</c:v>
                </c:pt>
                <c:pt idx="841">
                  <c:v>1457.95</c:v>
                </c:pt>
                <c:pt idx="842">
                  <c:v>1471.55</c:v>
                </c:pt>
                <c:pt idx="843">
                  <c:v>1454.05</c:v>
                </c:pt>
                <c:pt idx="844">
                  <c:v>1473.8</c:v>
                </c:pt>
                <c:pt idx="845">
                  <c:v>1472.4</c:v>
                </c:pt>
                <c:pt idx="846">
                  <c:v>1492.85</c:v>
                </c:pt>
                <c:pt idx="847">
                  <c:v>1498.4</c:v>
                </c:pt>
                <c:pt idx="848">
                  <c:v>1492.7</c:v>
                </c:pt>
                <c:pt idx="849">
                  <c:v>1469.55</c:v>
                </c:pt>
                <c:pt idx="850">
                  <c:v>1498</c:v>
                </c:pt>
                <c:pt idx="851">
                  <c:v>1514.1</c:v>
                </c:pt>
                <c:pt idx="852">
                  <c:v>1497.35</c:v>
                </c:pt>
                <c:pt idx="853">
                  <c:v>1499.4</c:v>
                </c:pt>
                <c:pt idx="854">
                  <c:v>1498.45</c:v>
                </c:pt>
                <c:pt idx="855">
                  <c:v>1469.4</c:v>
                </c:pt>
                <c:pt idx="856">
                  <c:v>1465.35</c:v>
                </c:pt>
                <c:pt idx="857">
                  <c:v>1467.8</c:v>
                </c:pt>
                <c:pt idx="858">
                  <c:v>1470.75</c:v>
                </c:pt>
                <c:pt idx="859">
                  <c:v>1518.95</c:v>
                </c:pt>
                <c:pt idx="860">
                  <c:v>1525.05</c:v>
                </c:pt>
                <c:pt idx="861">
                  <c:v>1501.55</c:v>
                </c:pt>
                <c:pt idx="862">
                  <c:v>1468.1</c:v>
                </c:pt>
                <c:pt idx="863">
                  <c:v>1445.65</c:v>
                </c:pt>
                <c:pt idx="864">
                  <c:v>1450.7</c:v>
                </c:pt>
                <c:pt idx="865">
                  <c:v>1452.45</c:v>
                </c:pt>
                <c:pt idx="866">
                  <c:v>1443.8</c:v>
                </c:pt>
                <c:pt idx="867">
                  <c:v>1427.7</c:v>
                </c:pt>
                <c:pt idx="868">
                  <c:v>1404.5</c:v>
                </c:pt>
                <c:pt idx="869">
                  <c:v>1422.25</c:v>
                </c:pt>
                <c:pt idx="870">
                  <c:v>1410.7</c:v>
                </c:pt>
                <c:pt idx="871">
                  <c:v>1392.3</c:v>
                </c:pt>
                <c:pt idx="872">
                  <c:v>1437.7</c:v>
                </c:pt>
                <c:pt idx="873">
                  <c:v>1491.9</c:v>
                </c:pt>
                <c:pt idx="874">
                  <c:v>1518.15</c:v>
                </c:pt>
                <c:pt idx="875">
                  <c:v>1492.35</c:v>
                </c:pt>
                <c:pt idx="876">
                  <c:v>1500.55</c:v>
                </c:pt>
                <c:pt idx="877">
                  <c:v>1489.8</c:v>
                </c:pt>
                <c:pt idx="878">
                  <c:v>1538.3</c:v>
                </c:pt>
                <c:pt idx="879">
                  <c:v>1530.2</c:v>
                </c:pt>
                <c:pt idx="880">
                  <c:v>1506.65</c:v>
                </c:pt>
                <c:pt idx="881">
                  <c:v>1504.9</c:v>
                </c:pt>
                <c:pt idx="882">
                  <c:v>1511.95</c:v>
                </c:pt>
                <c:pt idx="883">
                  <c:v>1564.55</c:v>
                </c:pt>
                <c:pt idx="884">
                  <c:v>1609.85</c:v>
                </c:pt>
                <c:pt idx="885">
                  <c:v>1641.75</c:v>
                </c:pt>
                <c:pt idx="886">
                  <c:v>1649.35</c:v>
                </c:pt>
                <c:pt idx="887">
                  <c:v>1678.5</c:v>
                </c:pt>
                <c:pt idx="888">
                  <c:v>1660.4</c:v>
                </c:pt>
                <c:pt idx="889">
                  <c:v>1742.8</c:v>
                </c:pt>
                <c:pt idx="890">
                  <c:v>1746.5</c:v>
                </c:pt>
                <c:pt idx="891">
                  <c:v>1749.8</c:v>
                </c:pt>
                <c:pt idx="892">
                  <c:v>1782.8</c:v>
                </c:pt>
                <c:pt idx="893">
                  <c:v>1795.75</c:v>
                </c:pt>
                <c:pt idx="894">
                  <c:v>1774.5</c:v>
                </c:pt>
                <c:pt idx="895">
                  <c:v>1779.2</c:v>
                </c:pt>
                <c:pt idx="896">
                  <c:v>1792.3</c:v>
                </c:pt>
                <c:pt idx="897">
                  <c:v>1815.5</c:v>
                </c:pt>
                <c:pt idx="898">
                  <c:v>1815.4</c:v>
                </c:pt>
                <c:pt idx="899">
                  <c:v>1845.85</c:v>
                </c:pt>
                <c:pt idx="900">
                  <c:v>1867.2</c:v>
                </c:pt>
                <c:pt idx="901">
                  <c:v>1870.1</c:v>
                </c:pt>
                <c:pt idx="902">
                  <c:v>1822.7</c:v>
                </c:pt>
                <c:pt idx="903">
                  <c:v>1845.4</c:v>
                </c:pt>
                <c:pt idx="904">
                  <c:v>1814</c:v>
                </c:pt>
                <c:pt idx="905">
                  <c:v>1819.8</c:v>
                </c:pt>
                <c:pt idx="906">
                  <c:v>1833.5</c:v>
                </c:pt>
                <c:pt idx="907">
                  <c:v>1780.9</c:v>
                </c:pt>
                <c:pt idx="908">
                  <c:v>1777.45</c:v>
                </c:pt>
                <c:pt idx="909">
                  <c:v>1736.4</c:v>
                </c:pt>
                <c:pt idx="910">
                  <c:v>1717.8</c:v>
                </c:pt>
                <c:pt idx="911">
                  <c:v>1778.95</c:v>
                </c:pt>
                <c:pt idx="912">
                  <c:v>1829.45</c:v>
                </c:pt>
                <c:pt idx="913">
                  <c:v>1842</c:v>
                </c:pt>
                <c:pt idx="914">
                  <c:v>1838.8</c:v>
                </c:pt>
                <c:pt idx="915">
                  <c:v>1907.9</c:v>
                </c:pt>
                <c:pt idx="916">
                  <c:v>1947.1</c:v>
                </c:pt>
                <c:pt idx="917">
                  <c:v>2033.2</c:v>
                </c:pt>
                <c:pt idx="918">
                  <c:v>2056.85</c:v>
                </c:pt>
                <c:pt idx="919">
                  <c:v>2001.1</c:v>
                </c:pt>
                <c:pt idx="920">
                  <c:v>2069.1</c:v>
                </c:pt>
                <c:pt idx="921">
                  <c:v>1990.75</c:v>
                </c:pt>
                <c:pt idx="922">
                  <c:v>1988.8</c:v>
                </c:pt>
                <c:pt idx="923">
                  <c:v>1987.9</c:v>
                </c:pt>
                <c:pt idx="924">
                  <c:v>1993.8</c:v>
                </c:pt>
                <c:pt idx="925">
                  <c:v>1967.9</c:v>
                </c:pt>
                <c:pt idx="926">
                  <c:v>1953.75</c:v>
                </c:pt>
                <c:pt idx="927">
                  <c:v>1902.55</c:v>
                </c:pt>
                <c:pt idx="928">
                  <c:v>1947.45</c:v>
                </c:pt>
                <c:pt idx="929">
                  <c:v>1954.5</c:v>
                </c:pt>
                <c:pt idx="930">
                  <c:v>1966.3</c:v>
                </c:pt>
                <c:pt idx="931">
                  <c:v>1950.3</c:v>
                </c:pt>
                <c:pt idx="932">
                  <c:v>1955.1</c:v>
                </c:pt>
                <c:pt idx="933">
                  <c:v>1939.5</c:v>
                </c:pt>
                <c:pt idx="934">
                  <c:v>1959.05</c:v>
                </c:pt>
                <c:pt idx="935">
                  <c:v>1942.9</c:v>
                </c:pt>
                <c:pt idx="936">
                  <c:v>1948.1</c:v>
                </c:pt>
                <c:pt idx="937">
                  <c:v>1927.8</c:v>
                </c:pt>
                <c:pt idx="938">
                  <c:v>1949.05</c:v>
                </c:pt>
                <c:pt idx="939">
                  <c:v>2024.6</c:v>
                </c:pt>
                <c:pt idx="940">
                  <c:v>2033.6</c:v>
                </c:pt>
                <c:pt idx="941">
                  <c:v>2089.75</c:v>
                </c:pt>
                <c:pt idx="942">
                  <c:v>2061.4499999999998</c:v>
                </c:pt>
                <c:pt idx="943">
                  <c:v>2090.85</c:v>
                </c:pt>
                <c:pt idx="944">
                  <c:v>2080</c:v>
                </c:pt>
                <c:pt idx="945">
                  <c:v>2122.0500000000002</c:v>
                </c:pt>
                <c:pt idx="946">
                  <c:v>2212.75</c:v>
                </c:pt>
                <c:pt idx="947">
                  <c:v>2215.4</c:v>
                </c:pt>
                <c:pt idx="948">
                  <c:v>2108.4499999999998</c:v>
                </c:pt>
                <c:pt idx="949">
                  <c:v>2120.65</c:v>
                </c:pt>
                <c:pt idx="950">
                  <c:v>2071.65</c:v>
                </c:pt>
                <c:pt idx="951">
                  <c:v>2089.35</c:v>
                </c:pt>
                <c:pt idx="952">
                  <c:v>2061.15</c:v>
                </c:pt>
                <c:pt idx="953">
                  <c:v>2008.7</c:v>
                </c:pt>
                <c:pt idx="954">
                  <c:v>2067.75</c:v>
                </c:pt>
                <c:pt idx="955">
                  <c:v>2063.9499999999998</c:v>
                </c:pt>
                <c:pt idx="956">
                  <c:v>2069.8000000000002</c:v>
                </c:pt>
                <c:pt idx="957">
                  <c:v>2091.9499999999998</c:v>
                </c:pt>
                <c:pt idx="958">
                  <c:v>2112.0500000000002</c:v>
                </c:pt>
                <c:pt idx="959">
                  <c:v>2097.6</c:v>
                </c:pt>
                <c:pt idx="960">
                  <c:v>2099</c:v>
                </c:pt>
                <c:pt idx="961">
                  <c:v>2042</c:v>
                </c:pt>
                <c:pt idx="962">
                  <c:v>2091.1</c:v>
                </c:pt>
                <c:pt idx="963">
                  <c:v>2121.9499999999998</c:v>
                </c:pt>
                <c:pt idx="964">
                  <c:v>2090.85</c:v>
                </c:pt>
                <c:pt idx="965">
                  <c:v>2094.65</c:v>
                </c:pt>
                <c:pt idx="966">
                  <c:v>2087.15</c:v>
                </c:pt>
                <c:pt idx="967">
                  <c:v>2049</c:v>
                </c:pt>
                <c:pt idx="968">
                  <c:v>2026.2</c:v>
                </c:pt>
                <c:pt idx="969">
                  <c:v>2044</c:v>
                </c:pt>
                <c:pt idx="970">
                  <c:v>2029.9</c:v>
                </c:pt>
                <c:pt idx="971">
                  <c:v>2023.6</c:v>
                </c:pt>
                <c:pt idx="972">
                  <c:v>1986.6</c:v>
                </c:pt>
                <c:pt idx="973">
                  <c:v>2000.85</c:v>
                </c:pt>
                <c:pt idx="974">
                  <c:v>2013.25</c:v>
                </c:pt>
                <c:pt idx="975">
                  <c:v>1993.7</c:v>
                </c:pt>
                <c:pt idx="976">
                  <c:v>1986.45</c:v>
                </c:pt>
                <c:pt idx="977">
                  <c:v>1984.6</c:v>
                </c:pt>
                <c:pt idx="978">
                  <c:v>2004.35</c:v>
                </c:pt>
                <c:pt idx="979">
                  <c:v>2013.9</c:v>
                </c:pt>
                <c:pt idx="980">
                  <c:v>2020.8</c:v>
                </c:pt>
                <c:pt idx="981">
                  <c:v>2000.05</c:v>
                </c:pt>
                <c:pt idx="982">
                  <c:v>1987.15</c:v>
                </c:pt>
                <c:pt idx="983">
                  <c:v>2000.3</c:v>
                </c:pt>
                <c:pt idx="984">
                  <c:v>2004.85</c:v>
                </c:pt>
                <c:pt idx="985">
                  <c:v>2082.75</c:v>
                </c:pt>
                <c:pt idx="986">
                  <c:v>2058.0500000000002</c:v>
                </c:pt>
                <c:pt idx="987">
                  <c:v>2028.9</c:v>
                </c:pt>
                <c:pt idx="988">
                  <c:v>2001.8</c:v>
                </c:pt>
                <c:pt idx="989">
                  <c:v>2019.15</c:v>
                </c:pt>
                <c:pt idx="990">
                  <c:v>2045.35</c:v>
                </c:pt>
                <c:pt idx="991">
                  <c:v>2055.8000000000002</c:v>
                </c:pt>
                <c:pt idx="992">
                  <c:v>2081.5</c:v>
                </c:pt>
                <c:pt idx="993">
                  <c:v>2120.5500000000002</c:v>
                </c:pt>
                <c:pt idx="994">
                  <c:v>2109.0500000000002</c:v>
                </c:pt>
                <c:pt idx="995">
                  <c:v>2110.6999999999998</c:v>
                </c:pt>
                <c:pt idx="996">
                  <c:v>2100.3000000000002</c:v>
                </c:pt>
                <c:pt idx="997">
                  <c:v>2160.65</c:v>
                </c:pt>
                <c:pt idx="998">
                  <c:v>2156.0500000000002</c:v>
                </c:pt>
                <c:pt idx="999">
                  <c:v>2172.0500000000002</c:v>
                </c:pt>
                <c:pt idx="1000">
                  <c:v>2153.3000000000002</c:v>
                </c:pt>
                <c:pt idx="1001">
                  <c:v>2167</c:v>
                </c:pt>
                <c:pt idx="1002">
                  <c:v>2222.1999999999998</c:v>
                </c:pt>
                <c:pt idx="1003">
                  <c:v>2239.6</c:v>
                </c:pt>
                <c:pt idx="1004">
                  <c:v>2206.15</c:v>
                </c:pt>
                <c:pt idx="1005">
                  <c:v>2232.65</c:v>
                </c:pt>
                <c:pt idx="1006">
                  <c:v>2241.9499999999998</c:v>
                </c:pt>
                <c:pt idx="1007">
                  <c:v>2280.9</c:v>
                </c:pt>
                <c:pt idx="1008">
                  <c:v>2368.75</c:v>
                </c:pt>
                <c:pt idx="1009">
                  <c:v>2326.75</c:v>
                </c:pt>
                <c:pt idx="1010">
                  <c:v>2353.6</c:v>
                </c:pt>
                <c:pt idx="1011">
                  <c:v>2350.3000000000002</c:v>
                </c:pt>
                <c:pt idx="1012">
                  <c:v>2213.0500000000002</c:v>
                </c:pt>
                <c:pt idx="1013">
                  <c:v>2338.1999999999998</c:v>
                </c:pt>
                <c:pt idx="1014">
                  <c:v>2280.3000000000002</c:v>
                </c:pt>
                <c:pt idx="1015">
                  <c:v>2274.0500000000002</c:v>
                </c:pt>
                <c:pt idx="1016">
                  <c:v>2252.4499999999998</c:v>
                </c:pt>
                <c:pt idx="1017">
                  <c:v>2248.6999999999998</c:v>
                </c:pt>
                <c:pt idx="1018">
                  <c:v>2229.6</c:v>
                </c:pt>
                <c:pt idx="1019">
                  <c:v>2212.35</c:v>
                </c:pt>
                <c:pt idx="1020">
                  <c:v>2209.8000000000002</c:v>
                </c:pt>
                <c:pt idx="1021">
                  <c:v>2217.6</c:v>
                </c:pt>
                <c:pt idx="1022">
                  <c:v>2241.0500000000002</c:v>
                </c:pt>
                <c:pt idx="1023">
                  <c:v>2194.4499999999998</c:v>
                </c:pt>
                <c:pt idx="1024">
                  <c:v>2151.35</c:v>
                </c:pt>
                <c:pt idx="1025">
                  <c:v>2194.4</c:v>
                </c:pt>
                <c:pt idx="1026">
                  <c:v>2175.25</c:v>
                </c:pt>
                <c:pt idx="1027">
                  <c:v>2144.4</c:v>
                </c:pt>
                <c:pt idx="1028">
                  <c:v>2093.5500000000002</c:v>
                </c:pt>
                <c:pt idx="1029">
                  <c:v>2101.6999999999998</c:v>
                </c:pt>
                <c:pt idx="1030">
                  <c:v>2105.4499999999998</c:v>
                </c:pt>
                <c:pt idx="1031">
                  <c:v>2133.75</c:v>
                </c:pt>
                <c:pt idx="1032">
                  <c:v>2167.9</c:v>
                </c:pt>
                <c:pt idx="1033">
                  <c:v>2165.4</c:v>
                </c:pt>
                <c:pt idx="1034">
                  <c:v>2166</c:v>
                </c:pt>
                <c:pt idx="1035">
                  <c:v>2197.9499999999998</c:v>
                </c:pt>
                <c:pt idx="1036">
                  <c:v>2189.35</c:v>
                </c:pt>
                <c:pt idx="1037">
                  <c:v>2205.6999999999998</c:v>
                </c:pt>
                <c:pt idx="1038">
                  <c:v>2177.9</c:v>
                </c:pt>
                <c:pt idx="1039">
                  <c:v>2188.9</c:v>
                </c:pt>
                <c:pt idx="1040">
                  <c:v>2182.15</c:v>
                </c:pt>
                <c:pt idx="1041">
                  <c:v>2275.75</c:v>
                </c:pt>
                <c:pt idx="1042">
                  <c:v>2240.0500000000002</c:v>
                </c:pt>
                <c:pt idx="1043">
                  <c:v>2240.65</c:v>
                </c:pt>
                <c:pt idx="1044">
                  <c:v>2251.9</c:v>
                </c:pt>
                <c:pt idx="1045">
                  <c:v>2240.75</c:v>
                </c:pt>
                <c:pt idx="1046">
                  <c:v>2228.5</c:v>
                </c:pt>
                <c:pt idx="1047">
                  <c:v>2142.65</c:v>
                </c:pt>
                <c:pt idx="1048">
                  <c:v>2151.65</c:v>
                </c:pt>
                <c:pt idx="1049">
                  <c:v>2179.4499999999998</c:v>
                </c:pt>
                <c:pt idx="1050">
                  <c:v>2149.5500000000002</c:v>
                </c:pt>
                <c:pt idx="1051">
                  <c:v>2139.5500000000002</c:v>
                </c:pt>
                <c:pt idx="1052">
                  <c:v>2122</c:v>
                </c:pt>
                <c:pt idx="1053">
                  <c:v>2039.4</c:v>
                </c:pt>
                <c:pt idx="1054">
                  <c:v>2108.1999999999998</c:v>
                </c:pt>
                <c:pt idx="1055">
                  <c:v>2127</c:v>
                </c:pt>
                <c:pt idx="1056">
                  <c:v>2128.25</c:v>
                </c:pt>
                <c:pt idx="1057">
                  <c:v>2152.6</c:v>
                </c:pt>
                <c:pt idx="1058">
                  <c:v>2146.65</c:v>
                </c:pt>
                <c:pt idx="1059">
                  <c:v>2093.5</c:v>
                </c:pt>
                <c:pt idx="1060">
                  <c:v>2094.25</c:v>
                </c:pt>
                <c:pt idx="1061">
                  <c:v>2102.1</c:v>
                </c:pt>
                <c:pt idx="1062">
                  <c:v>2133.15</c:v>
                </c:pt>
                <c:pt idx="1063">
                  <c:v>2176.6999999999998</c:v>
                </c:pt>
                <c:pt idx="1064">
                  <c:v>2172.25</c:v>
                </c:pt>
                <c:pt idx="1065">
                  <c:v>2166.5</c:v>
                </c:pt>
                <c:pt idx="1066">
                  <c:v>2138.85</c:v>
                </c:pt>
                <c:pt idx="1067">
                  <c:v>2153.8000000000002</c:v>
                </c:pt>
                <c:pt idx="1068">
                  <c:v>2140.4</c:v>
                </c:pt>
                <c:pt idx="1069">
                  <c:v>2126.15</c:v>
                </c:pt>
                <c:pt idx="1070">
                  <c:v>2164.1</c:v>
                </c:pt>
                <c:pt idx="1071">
                  <c:v>2252.75</c:v>
                </c:pt>
                <c:pt idx="1072">
                  <c:v>2196.3000000000002</c:v>
                </c:pt>
                <c:pt idx="1073">
                  <c:v>2222.9</c:v>
                </c:pt>
                <c:pt idx="1074">
                  <c:v>2221.75</c:v>
                </c:pt>
                <c:pt idx="1075">
                  <c:v>2221.0500000000002</c:v>
                </c:pt>
                <c:pt idx="1076">
                  <c:v>2213.75</c:v>
                </c:pt>
                <c:pt idx="1077">
                  <c:v>2205.25</c:v>
                </c:pt>
                <c:pt idx="1078">
                  <c:v>2191.35</c:v>
                </c:pt>
                <c:pt idx="1079">
                  <c:v>2194.25</c:v>
                </c:pt>
                <c:pt idx="1080">
                  <c:v>2189.1999999999998</c:v>
                </c:pt>
                <c:pt idx="1081">
                  <c:v>2208.4499999999998</c:v>
                </c:pt>
                <c:pt idx="1082">
                  <c:v>2213.6999999999998</c:v>
                </c:pt>
                <c:pt idx="1083">
                  <c:v>2198.9</c:v>
                </c:pt>
                <c:pt idx="1084">
                  <c:v>2165.5500000000002</c:v>
                </c:pt>
                <c:pt idx="1085">
                  <c:v>2162.0500000000002</c:v>
                </c:pt>
                <c:pt idx="1086">
                  <c:v>2159.9</c:v>
                </c:pt>
                <c:pt idx="1087">
                  <c:v>2159.35</c:v>
                </c:pt>
                <c:pt idx="1088">
                  <c:v>2210.9499999999998</c:v>
                </c:pt>
                <c:pt idx="1089">
                  <c:v>2216.1</c:v>
                </c:pt>
                <c:pt idx="1090">
                  <c:v>2193.15</c:v>
                </c:pt>
                <c:pt idx="1091">
                  <c:v>2160.75</c:v>
                </c:pt>
                <c:pt idx="1092">
                  <c:v>2036.7</c:v>
                </c:pt>
                <c:pt idx="1093">
                  <c:v>2068.1999999999998</c:v>
                </c:pt>
                <c:pt idx="1094">
                  <c:v>2082.85</c:v>
                </c:pt>
                <c:pt idx="1095">
                  <c:v>2111.9499999999998</c:v>
                </c:pt>
                <c:pt idx="1096">
                  <c:v>2127.9</c:v>
                </c:pt>
                <c:pt idx="1097">
                  <c:v>2154</c:v>
                </c:pt>
                <c:pt idx="1098">
                  <c:v>2131.4499999999998</c:v>
                </c:pt>
                <c:pt idx="1099">
                  <c:v>2150.5500000000002</c:v>
                </c:pt>
                <c:pt idx="1100">
                  <c:v>2159.9499999999998</c:v>
                </c:pt>
                <c:pt idx="1101">
                  <c:v>2141.35</c:v>
                </c:pt>
                <c:pt idx="1102">
                  <c:v>2129.85</c:v>
                </c:pt>
                <c:pt idx="1103">
                  <c:v>2128.6</c:v>
                </c:pt>
                <c:pt idx="1104">
                  <c:v>2089.25</c:v>
                </c:pt>
                <c:pt idx="1105">
                  <c:v>2104.15</c:v>
                </c:pt>
                <c:pt idx="1106">
                  <c:v>2084.25</c:v>
                </c:pt>
                <c:pt idx="1107">
                  <c:v>2113.8000000000002</c:v>
                </c:pt>
                <c:pt idx="1108">
                  <c:v>2158.15</c:v>
                </c:pt>
                <c:pt idx="1109">
                  <c:v>2206.9499999999998</c:v>
                </c:pt>
                <c:pt idx="1110">
                  <c:v>2237.35</c:v>
                </c:pt>
                <c:pt idx="1111">
                  <c:v>2213.5500000000002</c:v>
                </c:pt>
                <c:pt idx="1112">
                  <c:v>2269.75</c:v>
                </c:pt>
                <c:pt idx="1113">
                  <c:v>2279.85</c:v>
                </c:pt>
                <c:pt idx="1114">
                  <c:v>2227.0500000000002</c:v>
                </c:pt>
                <c:pt idx="1115">
                  <c:v>2276.0500000000002</c:v>
                </c:pt>
                <c:pt idx="1116">
                  <c:v>2292.4</c:v>
                </c:pt>
                <c:pt idx="1117">
                  <c:v>2268.85</c:v>
                </c:pt>
                <c:pt idx="1118">
                  <c:v>2309.0500000000002</c:v>
                </c:pt>
                <c:pt idx="1119">
                  <c:v>2310.5500000000002</c:v>
                </c:pt>
                <c:pt idx="1120">
                  <c:v>2307.65</c:v>
                </c:pt>
                <c:pt idx="1121">
                  <c:v>2399.5500000000002</c:v>
                </c:pt>
                <c:pt idx="1122">
                  <c:v>2425.4</c:v>
                </c:pt>
                <c:pt idx="1123">
                  <c:v>2390.75</c:v>
                </c:pt>
                <c:pt idx="1124">
                  <c:v>2401.6</c:v>
                </c:pt>
                <c:pt idx="1125">
                  <c:v>2417.9</c:v>
                </c:pt>
                <c:pt idx="1126">
                  <c:v>2410.5</c:v>
                </c:pt>
                <c:pt idx="1127">
                  <c:v>2488.5500000000002</c:v>
                </c:pt>
                <c:pt idx="1128">
                  <c:v>2449.4499999999998</c:v>
                </c:pt>
                <c:pt idx="1129">
                  <c:v>2398.15</c:v>
                </c:pt>
                <c:pt idx="1130">
                  <c:v>2351.8000000000002</c:v>
                </c:pt>
                <c:pt idx="1131">
                  <c:v>2394.4499999999998</c:v>
                </c:pt>
                <c:pt idx="1132">
                  <c:v>2426.25</c:v>
                </c:pt>
                <c:pt idx="1133">
                  <c:v>2399.3000000000002</c:v>
                </c:pt>
                <c:pt idx="1134">
                  <c:v>2401.85</c:v>
                </c:pt>
                <c:pt idx="1135">
                  <c:v>2381.9499999999998</c:v>
                </c:pt>
                <c:pt idx="1136">
                  <c:v>2441.1999999999998</c:v>
                </c:pt>
                <c:pt idx="1137">
                  <c:v>2463.75</c:v>
                </c:pt>
                <c:pt idx="1138">
                  <c:v>2532.4</c:v>
                </c:pt>
                <c:pt idx="1139">
                  <c:v>2586.15</c:v>
                </c:pt>
                <c:pt idx="1140">
                  <c:v>2595.1999999999998</c:v>
                </c:pt>
                <c:pt idx="1141">
                  <c:v>2605.75</c:v>
                </c:pt>
                <c:pt idx="1142">
                  <c:v>2589.3000000000002</c:v>
                </c:pt>
                <c:pt idx="1143">
                  <c:v>2595.0500000000002</c:v>
                </c:pt>
                <c:pt idx="1144">
                  <c:v>2580.0500000000002</c:v>
                </c:pt>
                <c:pt idx="1145">
                  <c:v>2516.4</c:v>
                </c:pt>
                <c:pt idx="1146">
                  <c:v>2526.0500000000002</c:v>
                </c:pt>
                <c:pt idx="1147">
                  <c:v>2523.6999999999998</c:v>
                </c:pt>
                <c:pt idx="1148">
                  <c:v>2506.65</c:v>
                </c:pt>
                <c:pt idx="1149">
                  <c:v>2469.8000000000002</c:v>
                </c:pt>
                <c:pt idx="1150">
                  <c:v>2478.6999999999998</c:v>
                </c:pt>
                <c:pt idx="1151">
                  <c:v>2468.4</c:v>
                </c:pt>
                <c:pt idx="1152">
                  <c:v>2471.75</c:v>
                </c:pt>
                <c:pt idx="1153">
                  <c:v>2500.0500000000002</c:v>
                </c:pt>
                <c:pt idx="1154">
                  <c:v>2499.75</c:v>
                </c:pt>
                <c:pt idx="1155">
                  <c:v>2487.6</c:v>
                </c:pt>
                <c:pt idx="1156">
                  <c:v>2438.5</c:v>
                </c:pt>
                <c:pt idx="1157">
                  <c:v>2436.1999999999998</c:v>
                </c:pt>
                <c:pt idx="1158">
                  <c:v>2432.4499999999998</c:v>
                </c:pt>
                <c:pt idx="1159">
                  <c:v>2464.1999999999998</c:v>
                </c:pt>
                <c:pt idx="1160">
                  <c:v>2522.0500000000002</c:v>
                </c:pt>
                <c:pt idx="1161">
                  <c:v>2533.8000000000002</c:v>
                </c:pt>
                <c:pt idx="1162">
                  <c:v>2549.9499999999998</c:v>
                </c:pt>
                <c:pt idx="1163">
                  <c:v>2522.35</c:v>
                </c:pt>
                <c:pt idx="1164">
                  <c:v>2537.15</c:v>
                </c:pt>
                <c:pt idx="1165">
                  <c:v>2537.9</c:v>
                </c:pt>
                <c:pt idx="1166">
                  <c:v>2606.4</c:v>
                </c:pt>
                <c:pt idx="1167">
                  <c:v>2584.75</c:v>
                </c:pt>
                <c:pt idx="1168">
                  <c:v>2598.6</c:v>
                </c:pt>
                <c:pt idx="1169">
                  <c:v>2642.7</c:v>
                </c:pt>
                <c:pt idx="1170">
                  <c:v>2631.25</c:v>
                </c:pt>
                <c:pt idx="1171">
                  <c:v>2600.15</c:v>
                </c:pt>
                <c:pt idx="1172">
                  <c:v>2598.35</c:v>
                </c:pt>
                <c:pt idx="1173">
                  <c:v>2607.6</c:v>
                </c:pt>
                <c:pt idx="1174">
                  <c:v>2558.3000000000002</c:v>
                </c:pt>
                <c:pt idx="1175">
                  <c:v>2550.85</c:v>
                </c:pt>
                <c:pt idx="1176">
                  <c:v>2591.1999999999998</c:v>
                </c:pt>
                <c:pt idx="1177">
                  <c:v>2642.3</c:v>
                </c:pt>
                <c:pt idx="1178">
                  <c:v>2714.2</c:v>
                </c:pt>
                <c:pt idx="1179">
                  <c:v>2721.8</c:v>
                </c:pt>
                <c:pt idx="1180">
                  <c:v>2688.2</c:v>
                </c:pt>
                <c:pt idx="1181">
                  <c:v>2643</c:v>
                </c:pt>
                <c:pt idx="1182">
                  <c:v>2708.6</c:v>
                </c:pt>
                <c:pt idx="1183">
                  <c:v>2684</c:v>
                </c:pt>
                <c:pt idx="1184">
                  <c:v>2767.95</c:v>
                </c:pt>
                <c:pt idx="1185">
                  <c:v>2736.6</c:v>
                </c:pt>
                <c:pt idx="1186">
                  <c:v>2775.6</c:v>
                </c:pt>
                <c:pt idx="1187">
                  <c:v>2731.35</c:v>
                </c:pt>
                <c:pt idx="1188">
                  <c:v>2683.2</c:v>
                </c:pt>
                <c:pt idx="1189">
                  <c:v>2706.05</c:v>
                </c:pt>
                <c:pt idx="1190">
                  <c:v>2678.5</c:v>
                </c:pt>
                <c:pt idx="1191">
                  <c:v>2716.55</c:v>
                </c:pt>
                <c:pt idx="1192">
                  <c:v>2699.2</c:v>
                </c:pt>
                <c:pt idx="1193">
                  <c:v>2678.1</c:v>
                </c:pt>
                <c:pt idx="1194">
                  <c:v>2441.15</c:v>
                </c:pt>
                <c:pt idx="1195">
                  <c:v>2423.3000000000002</c:v>
                </c:pt>
                <c:pt idx="1196">
                  <c:v>2433.4</c:v>
                </c:pt>
                <c:pt idx="1197">
                  <c:v>2451.85</c:v>
                </c:pt>
                <c:pt idx="1198">
                  <c:v>2465.35</c:v>
                </c:pt>
                <c:pt idx="1199">
                  <c:v>2457.15</c:v>
                </c:pt>
                <c:pt idx="1200">
                  <c:v>2478.6</c:v>
                </c:pt>
                <c:pt idx="1201">
                  <c:v>2506.0500000000002</c:v>
                </c:pt>
                <c:pt idx="1202">
                  <c:v>2558.1999999999998</c:v>
                </c:pt>
                <c:pt idx="1203">
                  <c:v>2607.85</c:v>
                </c:pt>
                <c:pt idx="1204">
                  <c:v>2590.35</c:v>
                </c:pt>
                <c:pt idx="1205">
                  <c:v>2599.5</c:v>
                </c:pt>
                <c:pt idx="1206">
                  <c:v>2572.85</c:v>
                </c:pt>
                <c:pt idx="1207">
                  <c:v>2569.65</c:v>
                </c:pt>
                <c:pt idx="1208">
                  <c:v>2580.6999999999998</c:v>
                </c:pt>
                <c:pt idx="1209">
                  <c:v>2591.75</c:v>
                </c:pt>
                <c:pt idx="1210">
                  <c:v>2588.4499999999998</c:v>
                </c:pt>
                <c:pt idx="1211">
                  <c:v>2606.4499999999998</c:v>
                </c:pt>
                <c:pt idx="1212">
                  <c:v>2618.3000000000002</c:v>
                </c:pt>
                <c:pt idx="1213">
                  <c:v>2585.85</c:v>
                </c:pt>
                <c:pt idx="1214">
                  <c:v>2573.75</c:v>
                </c:pt>
                <c:pt idx="1215">
                  <c:v>2605.4499999999998</c:v>
                </c:pt>
                <c:pt idx="1216">
                  <c:v>2622.15</c:v>
                </c:pt>
                <c:pt idx="1217">
                  <c:v>2657.7</c:v>
                </c:pt>
                <c:pt idx="1218">
                  <c:v>2636</c:v>
                </c:pt>
                <c:pt idx="1219">
                  <c:v>2627.3</c:v>
                </c:pt>
                <c:pt idx="1220">
                  <c:v>2653.3</c:v>
                </c:pt>
                <c:pt idx="1221">
                  <c:v>2643</c:v>
                </c:pt>
                <c:pt idx="1222">
                  <c:v>2692.95</c:v>
                </c:pt>
                <c:pt idx="1223">
                  <c:v>2657.3</c:v>
                </c:pt>
                <c:pt idx="1224">
                  <c:v>2635.35</c:v>
                </c:pt>
                <c:pt idx="1225">
                  <c:v>2637.95</c:v>
                </c:pt>
                <c:pt idx="1226">
                  <c:v>2578.9499999999998</c:v>
                </c:pt>
                <c:pt idx="1227">
                  <c:v>2512.8000000000002</c:v>
                </c:pt>
                <c:pt idx="1228">
                  <c:v>2514.85</c:v>
                </c:pt>
                <c:pt idx="1229">
                  <c:v>2507.9</c:v>
                </c:pt>
                <c:pt idx="1230">
                  <c:v>2492.15</c:v>
                </c:pt>
                <c:pt idx="1231">
                  <c:v>2450.6999999999998</c:v>
                </c:pt>
                <c:pt idx="1232">
                  <c:v>2358.65</c:v>
                </c:pt>
                <c:pt idx="1233">
                  <c:v>2443.0500000000002</c:v>
                </c:pt>
                <c:pt idx="1234">
                  <c:v>2444.1</c:v>
                </c:pt>
                <c:pt idx="1235">
                  <c:v>2460.6999999999998</c:v>
                </c:pt>
                <c:pt idx="1236">
                  <c:v>2510.5500000000002</c:v>
                </c:pt>
                <c:pt idx="1237">
                  <c:v>2513.4</c:v>
                </c:pt>
                <c:pt idx="1238">
                  <c:v>2516.6999999999998</c:v>
                </c:pt>
                <c:pt idx="1239">
                  <c:v>2479.9</c:v>
                </c:pt>
                <c:pt idx="1240">
                  <c:v>2505</c:v>
                </c:pt>
                <c:pt idx="1241">
                  <c:v>2522.9</c:v>
                </c:pt>
                <c:pt idx="1242">
                  <c:v>2530.0500000000002</c:v>
                </c:pt>
                <c:pt idx="1243">
                  <c:v>2558.25</c:v>
                </c:pt>
                <c:pt idx="1244">
                  <c:v>2545.5500000000002</c:v>
                </c:pt>
                <c:pt idx="1245">
                  <c:v>2579.4499999999998</c:v>
                </c:pt>
                <c:pt idx="1246">
                  <c:v>2540.25</c:v>
                </c:pt>
                <c:pt idx="1247">
                  <c:v>2446.6</c:v>
                </c:pt>
                <c:pt idx="1248">
                  <c:v>2417.6999999999998</c:v>
                </c:pt>
                <c:pt idx="1249">
                  <c:v>2443.8000000000002</c:v>
                </c:pt>
                <c:pt idx="1250">
                  <c:v>2512.3000000000002</c:v>
                </c:pt>
                <c:pt idx="1251">
                  <c:v>2509.6999999999998</c:v>
                </c:pt>
                <c:pt idx="1252">
                  <c:v>2497.9</c:v>
                </c:pt>
                <c:pt idx="1253">
                  <c:v>2521.9499999999998</c:v>
                </c:pt>
                <c:pt idx="1254">
                  <c:v>2539.1</c:v>
                </c:pt>
                <c:pt idx="1255">
                  <c:v>2532.15</c:v>
                </c:pt>
                <c:pt idx="1256">
                  <c:v>2511</c:v>
                </c:pt>
                <c:pt idx="1257">
                  <c:v>2500.4499999999998</c:v>
                </c:pt>
                <c:pt idx="1258">
                  <c:v>2513.8000000000002</c:v>
                </c:pt>
                <c:pt idx="1259">
                  <c:v>2513.5500000000002</c:v>
                </c:pt>
                <c:pt idx="1260">
                  <c:v>2503.6</c:v>
                </c:pt>
                <c:pt idx="1261">
                  <c:v>2502.0500000000002</c:v>
                </c:pt>
                <c:pt idx="1262">
                  <c:v>2539.6</c:v>
                </c:pt>
                <c:pt idx="1263">
                  <c:v>2544.65</c:v>
                </c:pt>
                <c:pt idx="1264">
                  <c:v>2482.0500000000002</c:v>
                </c:pt>
                <c:pt idx="1265">
                  <c:v>2514.1999999999998</c:v>
                </c:pt>
                <c:pt idx="1266">
                  <c:v>2558.25</c:v>
                </c:pt>
                <c:pt idx="1267">
                  <c:v>2514.3000000000002</c:v>
                </c:pt>
                <c:pt idx="1268">
                  <c:v>2552.4</c:v>
                </c:pt>
                <c:pt idx="1269">
                  <c:v>2575.75</c:v>
                </c:pt>
                <c:pt idx="1270">
                  <c:v>2512.9</c:v>
                </c:pt>
                <c:pt idx="1271">
                  <c:v>2441.15</c:v>
                </c:pt>
                <c:pt idx="1272">
                  <c:v>2459.9</c:v>
                </c:pt>
                <c:pt idx="1273">
                  <c:v>2462.15</c:v>
                </c:pt>
                <c:pt idx="1274">
                  <c:v>2538.75</c:v>
                </c:pt>
                <c:pt idx="1275">
                  <c:v>2584.8000000000002</c:v>
                </c:pt>
                <c:pt idx="1276">
                  <c:v>2635.65</c:v>
                </c:pt>
                <c:pt idx="1277">
                  <c:v>2681.05</c:v>
                </c:pt>
                <c:pt idx="1278">
                  <c:v>2675.55</c:v>
                </c:pt>
                <c:pt idx="1279">
                  <c:v>2696.65</c:v>
                </c:pt>
                <c:pt idx="1280">
                  <c:v>2704.75</c:v>
                </c:pt>
                <c:pt idx="1281">
                  <c:v>2672.2</c:v>
                </c:pt>
                <c:pt idx="1282">
                  <c:v>2656.45</c:v>
                </c:pt>
                <c:pt idx="1283">
                  <c:v>2662.35</c:v>
                </c:pt>
                <c:pt idx="1284">
                  <c:v>2675.25</c:v>
                </c:pt>
                <c:pt idx="1285">
                  <c:v>2669.4</c:v>
                </c:pt>
                <c:pt idx="1286">
                  <c:v>2776</c:v>
                </c:pt>
                <c:pt idx="1287">
                  <c:v>2746</c:v>
                </c:pt>
                <c:pt idx="1288">
                  <c:v>2696.45</c:v>
                </c:pt>
                <c:pt idx="1289">
                  <c:v>2646.8</c:v>
                </c:pt>
                <c:pt idx="1290">
                  <c:v>2642.7</c:v>
                </c:pt>
                <c:pt idx="1291">
                  <c:v>2606.5500000000002</c:v>
                </c:pt>
                <c:pt idx="1292">
                  <c:v>2619.0500000000002</c:v>
                </c:pt>
                <c:pt idx="1293">
                  <c:v>2582.35</c:v>
                </c:pt>
                <c:pt idx="1294">
                  <c:v>2562.3000000000002</c:v>
                </c:pt>
                <c:pt idx="1295">
                  <c:v>2583.6999999999998</c:v>
                </c:pt>
                <c:pt idx="1296">
                  <c:v>2559.35</c:v>
                </c:pt>
                <c:pt idx="1297">
                  <c:v>2596.25</c:v>
                </c:pt>
                <c:pt idx="1298">
                  <c:v>2610.9499999999998</c:v>
                </c:pt>
                <c:pt idx="1299">
                  <c:v>2617.15</c:v>
                </c:pt>
                <c:pt idx="1300">
                  <c:v>2591.3000000000002</c:v>
                </c:pt>
                <c:pt idx="1301">
                  <c:v>2573.75</c:v>
                </c:pt>
                <c:pt idx="1302">
                  <c:v>2513.1</c:v>
                </c:pt>
                <c:pt idx="1303">
                  <c:v>2514.8000000000002</c:v>
                </c:pt>
                <c:pt idx="1304">
                  <c:v>2564.15</c:v>
                </c:pt>
                <c:pt idx="1305">
                  <c:v>2553.9499999999998</c:v>
                </c:pt>
                <c:pt idx="1306">
                  <c:v>2542.65</c:v>
                </c:pt>
                <c:pt idx="1307">
                  <c:v>2547.3000000000002</c:v>
                </c:pt>
                <c:pt idx="1308">
                  <c:v>2585</c:v>
                </c:pt>
                <c:pt idx="1309">
                  <c:v>2641.4</c:v>
                </c:pt>
                <c:pt idx="1310">
                  <c:v>2664.55</c:v>
                </c:pt>
                <c:pt idx="1311">
                  <c:v>2653.75</c:v>
                </c:pt>
                <c:pt idx="1312">
                  <c:v>2655.5</c:v>
                </c:pt>
                <c:pt idx="1313">
                  <c:v>2627.75</c:v>
                </c:pt>
                <c:pt idx="1314">
                  <c:v>2582.8000000000002</c:v>
                </c:pt>
                <c:pt idx="1315">
                  <c:v>2474.85</c:v>
                </c:pt>
                <c:pt idx="1316">
                  <c:v>2428.8000000000002</c:v>
                </c:pt>
                <c:pt idx="1317">
                  <c:v>2427.0500000000002</c:v>
                </c:pt>
                <c:pt idx="1318">
                  <c:v>2445.1</c:v>
                </c:pt>
                <c:pt idx="1319">
                  <c:v>2457.25</c:v>
                </c:pt>
                <c:pt idx="1320">
                  <c:v>2493.0500000000002</c:v>
                </c:pt>
                <c:pt idx="1321">
                  <c:v>2500.1999999999998</c:v>
                </c:pt>
                <c:pt idx="1322">
                  <c:v>2495</c:v>
                </c:pt>
                <c:pt idx="1323">
                  <c:v>2487.3000000000002</c:v>
                </c:pt>
                <c:pt idx="1324">
                  <c:v>2463.6999999999998</c:v>
                </c:pt>
                <c:pt idx="1325">
                  <c:v>2481.5500000000002</c:v>
                </c:pt>
                <c:pt idx="1326">
                  <c:v>2517.85</c:v>
                </c:pt>
                <c:pt idx="1327">
                  <c:v>2463.0500000000002</c:v>
                </c:pt>
                <c:pt idx="1328">
                  <c:v>2545.25</c:v>
                </c:pt>
                <c:pt idx="1329">
                  <c:v>2527.25</c:v>
                </c:pt>
                <c:pt idx="1330">
                  <c:v>2556</c:v>
                </c:pt>
                <c:pt idx="1331">
                  <c:v>2522.9</c:v>
                </c:pt>
                <c:pt idx="1332">
                  <c:v>2515.4</c:v>
                </c:pt>
                <c:pt idx="1333">
                  <c:v>2499.25</c:v>
                </c:pt>
                <c:pt idx="1334">
                  <c:v>2511.15</c:v>
                </c:pt>
                <c:pt idx="1335">
                  <c:v>2520.4</c:v>
                </c:pt>
                <c:pt idx="1336">
                  <c:v>2512.6999999999998</c:v>
                </c:pt>
                <c:pt idx="1337">
                  <c:v>2557.0500000000002</c:v>
                </c:pt>
                <c:pt idx="1338">
                  <c:v>2555.5</c:v>
                </c:pt>
                <c:pt idx="1339">
                  <c:v>2617.9</c:v>
                </c:pt>
                <c:pt idx="1340">
                  <c:v>2601</c:v>
                </c:pt>
                <c:pt idx="1341">
                  <c:v>2608.85</c:v>
                </c:pt>
                <c:pt idx="1342">
                  <c:v>2615.25</c:v>
                </c:pt>
                <c:pt idx="1343">
                  <c:v>2609.5</c:v>
                </c:pt>
                <c:pt idx="1344">
                  <c:v>2610.3000000000002</c:v>
                </c:pt>
                <c:pt idx="1345">
                  <c:v>2617.75</c:v>
                </c:pt>
                <c:pt idx="1346">
                  <c:v>2599.9</c:v>
                </c:pt>
                <c:pt idx="1347">
                  <c:v>2610.9</c:v>
                </c:pt>
                <c:pt idx="1348">
                  <c:v>2605.65</c:v>
                </c:pt>
                <c:pt idx="1349">
                  <c:v>2575.85</c:v>
                </c:pt>
                <c:pt idx="1350">
                  <c:v>2577.4499999999998</c:v>
                </c:pt>
                <c:pt idx="1351">
                  <c:v>2561.65</c:v>
                </c:pt>
                <c:pt idx="1352">
                  <c:v>2600.75</c:v>
                </c:pt>
                <c:pt idx="1353">
                  <c:v>2571.3000000000002</c:v>
                </c:pt>
                <c:pt idx="1354">
                  <c:v>2505.8000000000002</c:v>
                </c:pt>
                <c:pt idx="1355">
                  <c:v>2504.8000000000002</c:v>
                </c:pt>
                <c:pt idx="1356">
                  <c:v>2512</c:v>
                </c:pt>
                <c:pt idx="1357">
                  <c:v>2513.8000000000002</c:v>
                </c:pt>
                <c:pt idx="1358">
                  <c:v>2530.0500000000002</c:v>
                </c:pt>
                <c:pt idx="1359">
                  <c:v>2549.5500000000002</c:v>
                </c:pt>
                <c:pt idx="1360">
                  <c:v>2591.5</c:v>
                </c:pt>
                <c:pt idx="1361">
                  <c:v>2574.6</c:v>
                </c:pt>
                <c:pt idx="1362">
                  <c:v>2570.3000000000002</c:v>
                </c:pt>
                <c:pt idx="1363">
                  <c:v>2550</c:v>
                </c:pt>
                <c:pt idx="1364">
                  <c:v>2592.8000000000002</c:v>
                </c:pt>
                <c:pt idx="1365">
                  <c:v>2592.9</c:v>
                </c:pt>
                <c:pt idx="1366">
                  <c:v>2550.9499999999998</c:v>
                </c:pt>
                <c:pt idx="1367">
                  <c:v>2593.1</c:v>
                </c:pt>
                <c:pt idx="1368">
                  <c:v>2577.75</c:v>
                </c:pt>
                <c:pt idx="1369">
                  <c:v>2603.9</c:v>
                </c:pt>
                <c:pt idx="1370">
                  <c:v>2633.3</c:v>
                </c:pt>
                <c:pt idx="1371">
                  <c:v>2616.25</c:v>
                </c:pt>
                <c:pt idx="1372">
                  <c:v>2595.1</c:v>
                </c:pt>
                <c:pt idx="1373">
                  <c:v>2522.5</c:v>
                </c:pt>
                <c:pt idx="1374">
                  <c:v>2474.35</c:v>
                </c:pt>
                <c:pt idx="1375">
                  <c:v>2509.5500000000002</c:v>
                </c:pt>
                <c:pt idx="1376">
                  <c:v>2499.5</c:v>
                </c:pt>
                <c:pt idx="1377">
                  <c:v>2545.75</c:v>
                </c:pt>
                <c:pt idx="1378">
                  <c:v>2540.1999999999998</c:v>
                </c:pt>
                <c:pt idx="1379">
                  <c:v>2564.4</c:v>
                </c:pt>
                <c:pt idx="1380">
                  <c:v>2579.15</c:v>
                </c:pt>
                <c:pt idx="1381">
                  <c:v>2561.4</c:v>
                </c:pt>
                <c:pt idx="1382">
                  <c:v>2528.0500000000002</c:v>
                </c:pt>
                <c:pt idx="1383">
                  <c:v>2488.6</c:v>
                </c:pt>
                <c:pt idx="1384">
                  <c:v>2505.15</c:v>
                </c:pt>
                <c:pt idx="1385">
                  <c:v>2497.0500000000002</c:v>
                </c:pt>
                <c:pt idx="1386">
                  <c:v>2502.0500000000002</c:v>
                </c:pt>
                <c:pt idx="1387">
                  <c:v>2506.75</c:v>
                </c:pt>
                <c:pt idx="1388">
                  <c:v>2480.65</c:v>
                </c:pt>
                <c:pt idx="1389">
                  <c:v>2510.75</c:v>
                </c:pt>
                <c:pt idx="1390">
                  <c:v>2509.6</c:v>
                </c:pt>
                <c:pt idx="1391">
                  <c:v>2508.9</c:v>
                </c:pt>
                <c:pt idx="1392">
                  <c:v>2547.15</c:v>
                </c:pt>
                <c:pt idx="1393">
                  <c:v>2573.3000000000002</c:v>
                </c:pt>
                <c:pt idx="1394">
                  <c:v>2552.0500000000002</c:v>
                </c:pt>
                <c:pt idx="1395">
                  <c:v>2572.1</c:v>
                </c:pt>
                <c:pt idx="1396">
                  <c:v>2604.1999999999998</c:v>
                </c:pt>
                <c:pt idx="1397">
                  <c:v>2671.7</c:v>
                </c:pt>
                <c:pt idx="1398">
                  <c:v>2635.6</c:v>
                </c:pt>
                <c:pt idx="1399">
                  <c:v>2703.2</c:v>
                </c:pt>
                <c:pt idx="1400">
                  <c:v>2684.75</c:v>
                </c:pt>
                <c:pt idx="1401">
                  <c:v>2740.9</c:v>
                </c:pt>
                <c:pt idx="1402">
                  <c:v>2733.6</c:v>
                </c:pt>
                <c:pt idx="1403">
                  <c:v>2686.85</c:v>
                </c:pt>
                <c:pt idx="1404">
                  <c:v>2676.15</c:v>
                </c:pt>
                <c:pt idx="1405">
                  <c:v>2578.65</c:v>
                </c:pt>
                <c:pt idx="1406">
                  <c:v>2567.15</c:v>
                </c:pt>
                <c:pt idx="1407">
                  <c:v>2576.75</c:v>
                </c:pt>
                <c:pt idx="1408">
                  <c:v>2574.65</c:v>
                </c:pt>
                <c:pt idx="1409">
                  <c:v>2570.85</c:v>
                </c:pt>
                <c:pt idx="1410">
                  <c:v>2564.0500000000002</c:v>
                </c:pt>
                <c:pt idx="1411">
                  <c:v>2537.4</c:v>
                </c:pt>
                <c:pt idx="1412">
                  <c:v>2591.8000000000002</c:v>
                </c:pt>
                <c:pt idx="1413">
                  <c:v>2605.6</c:v>
                </c:pt>
                <c:pt idx="1414">
                  <c:v>2547.4499999999998</c:v>
                </c:pt>
                <c:pt idx="1415">
                  <c:v>2539.75</c:v>
                </c:pt>
                <c:pt idx="1416">
                  <c:v>2540.3000000000002</c:v>
                </c:pt>
                <c:pt idx="1417">
                  <c:v>2549.75</c:v>
                </c:pt>
                <c:pt idx="1418">
                  <c:v>2545.4</c:v>
                </c:pt>
                <c:pt idx="1419">
                  <c:v>2552</c:v>
                </c:pt>
                <c:pt idx="1420">
                  <c:v>2551.65</c:v>
                </c:pt>
                <c:pt idx="1421">
                  <c:v>2547.6</c:v>
                </c:pt>
                <c:pt idx="1422">
                  <c:v>2550.35</c:v>
                </c:pt>
                <c:pt idx="1423">
                  <c:v>2551.25</c:v>
                </c:pt>
                <c:pt idx="1424">
                  <c:v>2551.0500000000002</c:v>
                </c:pt>
                <c:pt idx="1425">
                  <c:v>2526.8000000000002</c:v>
                </c:pt>
                <c:pt idx="1426">
                  <c:v>2532.65</c:v>
                </c:pt>
                <c:pt idx="1427">
                  <c:v>2580.4</c:v>
                </c:pt>
                <c:pt idx="1428">
                  <c:v>2593.6999999999998</c:v>
                </c:pt>
                <c:pt idx="1429">
                  <c:v>2588.25</c:v>
                </c:pt>
                <c:pt idx="1430">
                  <c:v>2588.0500000000002</c:v>
                </c:pt>
                <c:pt idx="1431">
                  <c:v>2644.6</c:v>
                </c:pt>
                <c:pt idx="1432">
                  <c:v>2711.65</c:v>
                </c:pt>
                <c:pt idx="1433">
                  <c:v>2700</c:v>
                </c:pt>
                <c:pt idx="1434">
                  <c:v>2653.95</c:v>
                </c:pt>
                <c:pt idx="1435">
                  <c:v>2633.8</c:v>
                </c:pt>
                <c:pt idx="1436">
                  <c:v>2629.65</c:v>
                </c:pt>
                <c:pt idx="1437">
                  <c:v>2592.6</c:v>
                </c:pt>
                <c:pt idx="1438">
                  <c:v>2598.5500000000002</c:v>
                </c:pt>
                <c:pt idx="1439">
                  <c:v>2483.6999999999998</c:v>
                </c:pt>
                <c:pt idx="1440">
                  <c:v>2467.75</c:v>
                </c:pt>
                <c:pt idx="1441">
                  <c:v>2473.75</c:v>
                </c:pt>
                <c:pt idx="1442">
                  <c:v>2488.75</c:v>
                </c:pt>
                <c:pt idx="1443">
                  <c:v>2526.75</c:v>
                </c:pt>
                <c:pt idx="1444">
                  <c:v>2530</c:v>
                </c:pt>
                <c:pt idx="1445">
                  <c:v>2537.15</c:v>
                </c:pt>
                <c:pt idx="1446">
                  <c:v>2536.5500000000002</c:v>
                </c:pt>
                <c:pt idx="1447">
                  <c:v>2531.1</c:v>
                </c:pt>
                <c:pt idx="1448">
                  <c:v>2529.1</c:v>
                </c:pt>
                <c:pt idx="1449">
                  <c:v>2495.35</c:v>
                </c:pt>
                <c:pt idx="1450">
                  <c:v>2495.1999999999998</c:v>
                </c:pt>
                <c:pt idx="1451">
                  <c:v>2517.35</c:v>
                </c:pt>
                <c:pt idx="1452">
                  <c:v>2543.4499999999998</c:v>
                </c:pt>
                <c:pt idx="1453">
                  <c:v>2533.8000000000002</c:v>
                </c:pt>
                <c:pt idx="1454">
                  <c:v>2482.65</c:v>
                </c:pt>
                <c:pt idx="1455">
                  <c:v>2505.75</c:v>
                </c:pt>
                <c:pt idx="1456">
                  <c:v>2471.35</c:v>
                </c:pt>
                <c:pt idx="1457">
                  <c:v>2458.15</c:v>
                </c:pt>
                <c:pt idx="1458">
                  <c:v>2468.8000000000002</c:v>
                </c:pt>
                <c:pt idx="1459">
                  <c:v>2397.4</c:v>
                </c:pt>
                <c:pt idx="1460">
                  <c:v>2374.6</c:v>
                </c:pt>
                <c:pt idx="1461">
                  <c:v>2390.5500000000002</c:v>
                </c:pt>
                <c:pt idx="1462">
                  <c:v>2351.4499999999998</c:v>
                </c:pt>
                <c:pt idx="1463">
                  <c:v>2362.5500000000002</c:v>
                </c:pt>
                <c:pt idx="1464">
                  <c:v>2398.35</c:v>
                </c:pt>
                <c:pt idx="1465">
                  <c:v>2391.0500000000002</c:v>
                </c:pt>
                <c:pt idx="1466">
                  <c:v>2367.9499999999998</c:v>
                </c:pt>
                <c:pt idx="1467">
                  <c:v>2345.5500000000002</c:v>
                </c:pt>
                <c:pt idx="1468">
                  <c:v>2353.35</c:v>
                </c:pt>
                <c:pt idx="1469">
                  <c:v>2364.6999999999998</c:v>
                </c:pt>
                <c:pt idx="1470">
                  <c:v>2361.9</c:v>
                </c:pt>
                <c:pt idx="1471">
                  <c:v>2365.1999999999998</c:v>
                </c:pt>
                <c:pt idx="1472">
                  <c:v>2350.75</c:v>
                </c:pt>
                <c:pt idx="1473">
                  <c:v>2328.4</c:v>
                </c:pt>
                <c:pt idx="1474">
                  <c:v>2319.8000000000002</c:v>
                </c:pt>
                <c:pt idx="1475">
                  <c:v>2329</c:v>
                </c:pt>
                <c:pt idx="1476">
                  <c:v>2367.65</c:v>
                </c:pt>
                <c:pt idx="1477">
                  <c:v>2384.5500000000002</c:v>
                </c:pt>
                <c:pt idx="1478">
                  <c:v>2386</c:v>
                </c:pt>
                <c:pt idx="1479">
                  <c:v>2378.4499999999998</c:v>
                </c:pt>
                <c:pt idx="1480">
                  <c:v>2375.85</c:v>
                </c:pt>
                <c:pt idx="1481">
                  <c:v>2408.4</c:v>
                </c:pt>
                <c:pt idx="1482">
                  <c:v>2439.75</c:v>
                </c:pt>
                <c:pt idx="1483">
                  <c:v>2416.8000000000002</c:v>
                </c:pt>
                <c:pt idx="1484">
                  <c:v>2446.4</c:v>
                </c:pt>
                <c:pt idx="1485">
                  <c:v>2405.0500000000002</c:v>
                </c:pt>
                <c:pt idx="1486">
                  <c:v>2425.8000000000002</c:v>
                </c:pt>
                <c:pt idx="1487">
                  <c:v>2434.25</c:v>
                </c:pt>
                <c:pt idx="1488">
                  <c:v>2462.6999999999998</c:v>
                </c:pt>
                <c:pt idx="1489">
                  <c:v>2455.8000000000002</c:v>
                </c:pt>
                <c:pt idx="1490">
                  <c:v>2418.3000000000002</c:v>
                </c:pt>
                <c:pt idx="1491">
                  <c:v>2436.85</c:v>
                </c:pt>
                <c:pt idx="1492">
                  <c:v>2416.4</c:v>
                </c:pt>
                <c:pt idx="1493">
                  <c:v>2369.6</c:v>
                </c:pt>
                <c:pt idx="1494">
                  <c:v>2348.9499999999998</c:v>
                </c:pt>
                <c:pt idx="1495">
                  <c:v>2381.6</c:v>
                </c:pt>
                <c:pt idx="1496">
                  <c:v>2371.25</c:v>
                </c:pt>
                <c:pt idx="1497">
                  <c:v>2397.6</c:v>
                </c:pt>
                <c:pt idx="1498">
                  <c:v>2362.35</c:v>
                </c:pt>
                <c:pt idx="1499">
                  <c:v>2327.0500000000002</c:v>
                </c:pt>
                <c:pt idx="1500">
                  <c:v>2279.1999999999998</c:v>
                </c:pt>
                <c:pt idx="1501">
                  <c:v>2278.8000000000002</c:v>
                </c:pt>
                <c:pt idx="1502">
                  <c:v>2261.1</c:v>
                </c:pt>
                <c:pt idx="1503">
                  <c:v>2277.65</c:v>
                </c:pt>
                <c:pt idx="1504">
                  <c:v>2279.3000000000002</c:v>
                </c:pt>
                <c:pt idx="1505">
                  <c:v>2280.1</c:v>
                </c:pt>
                <c:pt idx="1506">
                  <c:v>2254.5</c:v>
                </c:pt>
                <c:pt idx="1507">
                  <c:v>2295.75</c:v>
                </c:pt>
                <c:pt idx="1508">
                  <c:v>2304.65</c:v>
                </c:pt>
                <c:pt idx="1509">
                  <c:v>2319.75</c:v>
                </c:pt>
                <c:pt idx="1510">
                  <c:v>2331.1999999999998</c:v>
                </c:pt>
                <c:pt idx="1511">
                  <c:v>2391.3000000000002</c:v>
                </c:pt>
                <c:pt idx="1512">
                  <c:v>2402.6999999999998</c:v>
                </c:pt>
                <c:pt idx="1513">
                  <c:v>2398.1</c:v>
                </c:pt>
                <c:pt idx="1514">
                  <c:v>2416.3000000000002</c:v>
                </c:pt>
                <c:pt idx="1515">
                  <c:v>2420.0500000000002</c:v>
                </c:pt>
                <c:pt idx="1516">
                  <c:v>2421.9499999999998</c:v>
                </c:pt>
                <c:pt idx="1517">
                  <c:v>2362.9499999999998</c:v>
                </c:pt>
                <c:pt idx="1518">
                  <c:v>2281.4</c:v>
                </c:pt>
                <c:pt idx="1519">
                  <c:v>2268.8000000000002</c:v>
                </c:pt>
                <c:pt idx="1520">
                  <c:v>2197.9499999999998</c:v>
                </c:pt>
                <c:pt idx="1521">
                  <c:v>2226.6</c:v>
                </c:pt>
                <c:pt idx="1522">
                  <c:v>2269.15</c:v>
                </c:pt>
                <c:pt idx="1523">
                  <c:v>2265.5500000000002</c:v>
                </c:pt>
                <c:pt idx="1524">
                  <c:v>2275.5500000000002</c:v>
                </c:pt>
                <c:pt idx="1525">
                  <c:v>2315.85</c:v>
                </c:pt>
                <c:pt idx="1526">
                  <c:v>2319.65</c:v>
                </c:pt>
                <c:pt idx="1527">
                  <c:v>2315.9</c:v>
                </c:pt>
                <c:pt idx="1528">
                  <c:v>2264</c:v>
                </c:pt>
                <c:pt idx="1529">
                  <c:v>2210.9499999999998</c:v>
                </c:pt>
                <c:pt idx="1530">
                  <c:v>2212.85</c:v>
                </c:pt>
                <c:pt idx="1531">
                  <c:v>2210.5</c:v>
                </c:pt>
                <c:pt idx="1532">
                  <c:v>2176.8000000000002</c:v>
                </c:pt>
                <c:pt idx="1533">
                  <c:v>2276.65</c:v>
                </c:pt>
                <c:pt idx="1534">
                  <c:v>2318.85</c:v>
                </c:pt>
                <c:pt idx="1535">
                  <c:v>2373.15</c:v>
                </c:pt>
                <c:pt idx="1536">
                  <c:v>2357.5500000000002</c:v>
                </c:pt>
                <c:pt idx="1537">
                  <c:v>2354.3000000000002</c:v>
                </c:pt>
                <c:pt idx="1538">
                  <c:v>2357.25</c:v>
                </c:pt>
                <c:pt idx="1539">
                  <c:v>2348.3000000000002</c:v>
                </c:pt>
                <c:pt idx="1540">
                  <c:v>2365.25</c:v>
                </c:pt>
                <c:pt idx="1541">
                  <c:v>2355</c:v>
                </c:pt>
                <c:pt idx="1542">
                  <c:v>2329.9</c:v>
                </c:pt>
                <c:pt idx="1543">
                  <c:v>2327.0500000000002</c:v>
                </c:pt>
                <c:pt idx="1544">
                  <c:v>2352.0500000000002</c:v>
                </c:pt>
                <c:pt idx="1545">
                  <c:v>2425.85</c:v>
                </c:pt>
                <c:pt idx="1546">
                  <c:v>2446.25</c:v>
                </c:pt>
                <c:pt idx="1547">
                  <c:v>2473.1</c:v>
                </c:pt>
                <c:pt idx="1548">
                  <c:v>2473.8000000000002</c:v>
                </c:pt>
                <c:pt idx="1549">
                  <c:v>2473.4</c:v>
                </c:pt>
                <c:pt idx="1550">
                  <c:v>2469.4</c:v>
                </c:pt>
                <c:pt idx="1551">
                  <c:v>2489.5</c:v>
                </c:pt>
                <c:pt idx="1552">
                  <c:v>2520.3000000000002</c:v>
                </c:pt>
                <c:pt idx="1553">
                  <c:v>2453.9</c:v>
                </c:pt>
                <c:pt idx="1554">
                  <c:v>2471.25</c:v>
                </c:pt>
                <c:pt idx="1555">
                  <c:v>2462.75</c:v>
                </c:pt>
                <c:pt idx="1556">
                  <c:v>2481.9</c:v>
                </c:pt>
                <c:pt idx="1557">
                  <c:v>2470.8000000000002</c:v>
                </c:pt>
                <c:pt idx="1558">
                  <c:v>2432.0500000000002</c:v>
                </c:pt>
                <c:pt idx="1559">
                  <c:v>2506.65</c:v>
                </c:pt>
                <c:pt idx="1560">
                  <c:v>2518.15</c:v>
                </c:pt>
                <c:pt idx="1561">
                  <c:v>2526.1999999999998</c:v>
                </c:pt>
                <c:pt idx="1562">
                  <c:v>2519.75</c:v>
                </c:pt>
                <c:pt idx="1563">
                  <c:v>2450.35</c:v>
                </c:pt>
                <c:pt idx="1564">
                  <c:v>2424.4</c:v>
                </c:pt>
                <c:pt idx="1565">
                  <c:v>2417.0500000000002</c:v>
                </c:pt>
                <c:pt idx="1566">
                  <c:v>2451.25</c:v>
                </c:pt>
                <c:pt idx="1567">
                  <c:v>2489.8000000000002</c:v>
                </c:pt>
                <c:pt idx="1568">
                  <c:v>2511.1</c:v>
                </c:pt>
                <c:pt idx="1569">
                  <c:v>2527.75</c:v>
                </c:pt>
                <c:pt idx="1570">
                  <c:v>2535.5</c:v>
                </c:pt>
                <c:pt idx="1571">
                  <c:v>2526.6999999999998</c:v>
                </c:pt>
                <c:pt idx="1572">
                  <c:v>2478.1</c:v>
                </c:pt>
                <c:pt idx="1573">
                  <c:v>2478</c:v>
                </c:pt>
                <c:pt idx="1574">
                  <c:v>2470.3000000000002</c:v>
                </c:pt>
                <c:pt idx="1575">
                  <c:v>2473.4</c:v>
                </c:pt>
                <c:pt idx="1576">
                  <c:v>2512.5500000000002</c:v>
                </c:pt>
                <c:pt idx="1577">
                  <c:v>2522.9</c:v>
                </c:pt>
                <c:pt idx="1578">
                  <c:v>2518.3000000000002</c:v>
                </c:pt>
                <c:pt idx="1579">
                  <c:v>2566.1999999999998</c:v>
                </c:pt>
                <c:pt idx="1580">
                  <c:v>2523.4</c:v>
                </c:pt>
                <c:pt idx="1581">
                  <c:v>2551.15</c:v>
                </c:pt>
                <c:pt idx="1582">
                  <c:v>2570.1999999999998</c:v>
                </c:pt>
                <c:pt idx="1583">
                  <c:v>2551.1</c:v>
                </c:pt>
                <c:pt idx="1584">
                  <c:v>2556.9499999999998</c:v>
                </c:pt>
                <c:pt idx="1585">
                  <c:v>2529.3000000000002</c:v>
                </c:pt>
                <c:pt idx="1586">
                  <c:v>2491.4499999999998</c:v>
                </c:pt>
                <c:pt idx="1587">
                  <c:v>2467.6999999999998</c:v>
                </c:pt>
                <c:pt idx="1588">
                  <c:v>2526.4499999999998</c:v>
                </c:pt>
                <c:pt idx="1589">
                  <c:v>2548.6999999999998</c:v>
                </c:pt>
                <c:pt idx="1590">
                  <c:v>2572.65</c:v>
                </c:pt>
                <c:pt idx="1591">
                  <c:v>2636.4</c:v>
                </c:pt>
                <c:pt idx="1592">
                  <c:v>2569.4</c:v>
                </c:pt>
                <c:pt idx="1593">
                  <c:v>2633.55</c:v>
                </c:pt>
                <c:pt idx="1594">
                  <c:v>2650.15</c:v>
                </c:pt>
                <c:pt idx="1595">
                  <c:v>2629.55</c:v>
                </c:pt>
                <c:pt idx="1596">
                  <c:v>2612.5</c:v>
                </c:pt>
                <c:pt idx="1597">
                  <c:v>2631.15</c:v>
                </c:pt>
                <c:pt idx="1598">
                  <c:v>2613.1</c:v>
                </c:pt>
                <c:pt idx="1599">
                  <c:v>2577.25</c:v>
                </c:pt>
                <c:pt idx="1600">
                  <c:v>2555.75</c:v>
                </c:pt>
                <c:pt idx="1601">
                  <c:v>2547</c:v>
                </c:pt>
                <c:pt idx="1602">
                  <c:v>2534.85</c:v>
                </c:pt>
                <c:pt idx="1603">
                  <c:v>2556.85</c:v>
                </c:pt>
                <c:pt idx="1604">
                  <c:v>2558.3000000000002</c:v>
                </c:pt>
                <c:pt idx="1605">
                  <c:v>2602.6</c:v>
                </c:pt>
                <c:pt idx="1606">
                  <c:v>2659.3</c:v>
                </c:pt>
                <c:pt idx="1607">
                  <c:v>2651.2</c:v>
                </c:pt>
                <c:pt idx="1608">
                  <c:v>2667.65</c:v>
                </c:pt>
                <c:pt idx="1609">
                  <c:v>2645.35</c:v>
                </c:pt>
                <c:pt idx="1610">
                  <c:v>2573.9499999999998</c:v>
                </c:pt>
                <c:pt idx="1611">
                  <c:v>2495.85</c:v>
                </c:pt>
                <c:pt idx="1612">
                  <c:v>2463.9499999999998</c:v>
                </c:pt>
                <c:pt idx="1613">
                  <c:v>2502.9</c:v>
                </c:pt>
                <c:pt idx="1614">
                  <c:v>2553.1</c:v>
                </c:pt>
                <c:pt idx="1615">
                  <c:v>2500.85</c:v>
                </c:pt>
                <c:pt idx="1616">
                  <c:v>2494.1999999999998</c:v>
                </c:pt>
                <c:pt idx="1617">
                  <c:v>2485.3000000000002</c:v>
                </c:pt>
                <c:pt idx="1618">
                  <c:v>2429.8000000000002</c:v>
                </c:pt>
                <c:pt idx="1619">
                  <c:v>2426.6</c:v>
                </c:pt>
                <c:pt idx="1620">
                  <c:v>2464.15</c:v>
                </c:pt>
                <c:pt idx="1621">
                  <c:v>2464.9499999999998</c:v>
                </c:pt>
                <c:pt idx="1622">
                  <c:v>2493.1</c:v>
                </c:pt>
                <c:pt idx="1623">
                  <c:v>2521.9</c:v>
                </c:pt>
                <c:pt idx="1624">
                  <c:v>2445.35</c:v>
                </c:pt>
                <c:pt idx="1625">
                  <c:v>2433.4499999999998</c:v>
                </c:pt>
                <c:pt idx="1626">
                  <c:v>2466.1999999999998</c:v>
                </c:pt>
                <c:pt idx="1627">
                  <c:v>2494.9499999999998</c:v>
                </c:pt>
                <c:pt idx="1628">
                  <c:v>2506.0500000000002</c:v>
                </c:pt>
                <c:pt idx="1629">
                  <c:v>2515.1</c:v>
                </c:pt>
                <c:pt idx="1630">
                  <c:v>2558.9499999999998</c:v>
                </c:pt>
                <c:pt idx="1631">
                  <c:v>2552.6</c:v>
                </c:pt>
                <c:pt idx="1632">
                  <c:v>2577.5500000000002</c:v>
                </c:pt>
                <c:pt idx="1633">
                  <c:v>2619.25</c:v>
                </c:pt>
                <c:pt idx="1634">
                  <c:v>2619.3000000000002</c:v>
                </c:pt>
                <c:pt idx="1635">
                  <c:v>2708.25</c:v>
                </c:pt>
                <c:pt idx="1636">
                  <c:v>2699.2</c:v>
                </c:pt>
                <c:pt idx="1637">
                  <c:v>2656.3</c:v>
                </c:pt>
                <c:pt idx="1638">
                  <c:v>2652</c:v>
                </c:pt>
                <c:pt idx="1639">
                  <c:v>2649.1</c:v>
                </c:pt>
                <c:pt idx="1640">
                  <c:v>2649.5</c:v>
                </c:pt>
                <c:pt idx="1641">
                  <c:v>2650.2</c:v>
                </c:pt>
                <c:pt idx="1642">
                  <c:v>2675.4</c:v>
                </c:pt>
                <c:pt idx="1643">
                  <c:v>2709.9</c:v>
                </c:pt>
                <c:pt idx="1644">
                  <c:v>2738.45</c:v>
                </c:pt>
                <c:pt idx="1645">
                  <c:v>2691.7</c:v>
                </c:pt>
                <c:pt idx="1646">
                  <c:v>2624.55</c:v>
                </c:pt>
                <c:pt idx="1647">
                  <c:v>2638.55</c:v>
                </c:pt>
                <c:pt idx="1648">
                  <c:v>2603.5</c:v>
                </c:pt>
                <c:pt idx="1649">
                  <c:v>2548.6999999999998</c:v>
                </c:pt>
                <c:pt idx="1650">
                  <c:v>2601.0500000000002</c:v>
                </c:pt>
                <c:pt idx="1651">
                  <c:v>2572.0500000000002</c:v>
                </c:pt>
                <c:pt idx="1652">
                  <c:v>2551.0500000000002</c:v>
                </c:pt>
                <c:pt idx="1653">
                  <c:v>2524.9499999999998</c:v>
                </c:pt>
                <c:pt idx="1654">
                  <c:v>2500.5500000000002</c:v>
                </c:pt>
                <c:pt idx="1655">
                  <c:v>2544.15</c:v>
                </c:pt>
                <c:pt idx="1656">
                  <c:v>2511.3000000000002</c:v>
                </c:pt>
                <c:pt idx="1657">
                  <c:v>2507.5</c:v>
                </c:pt>
                <c:pt idx="1658">
                  <c:v>2514.8000000000002</c:v>
                </c:pt>
                <c:pt idx="1659">
                  <c:v>2484.0500000000002</c:v>
                </c:pt>
                <c:pt idx="1660">
                  <c:v>2440.5500000000002</c:v>
                </c:pt>
                <c:pt idx="1661">
                  <c:v>2322.1</c:v>
                </c:pt>
                <c:pt idx="1662">
                  <c:v>2352.4499999999998</c:v>
                </c:pt>
                <c:pt idx="1663">
                  <c:v>2359.0500000000002</c:v>
                </c:pt>
                <c:pt idx="1664">
                  <c:v>2328.4499999999998</c:v>
                </c:pt>
                <c:pt idx="1665">
                  <c:v>2326.9499999999998</c:v>
                </c:pt>
                <c:pt idx="1666">
                  <c:v>2361.6999999999998</c:v>
                </c:pt>
                <c:pt idx="1667">
                  <c:v>2411.4499999999998</c:v>
                </c:pt>
                <c:pt idx="1668">
                  <c:v>2406.5</c:v>
                </c:pt>
                <c:pt idx="1669">
                  <c:v>2413.4</c:v>
                </c:pt>
                <c:pt idx="1670">
                  <c:v>2378</c:v>
                </c:pt>
                <c:pt idx="1671">
                  <c:v>2398.1</c:v>
                </c:pt>
                <c:pt idx="1672">
                  <c:v>2401.1</c:v>
                </c:pt>
                <c:pt idx="1673">
                  <c:v>2436.1</c:v>
                </c:pt>
                <c:pt idx="1674">
                  <c:v>2423.0500000000002</c:v>
                </c:pt>
                <c:pt idx="1675">
                  <c:v>2437.8000000000002</c:v>
                </c:pt>
                <c:pt idx="1676">
                  <c:v>2430.8000000000002</c:v>
                </c:pt>
                <c:pt idx="1677">
                  <c:v>2411.6999999999998</c:v>
                </c:pt>
                <c:pt idx="1678">
                  <c:v>2405.15</c:v>
                </c:pt>
                <c:pt idx="1679">
                  <c:v>2386.35</c:v>
                </c:pt>
                <c:pt idx="1680">
                  <c:v>2388.75</c:v>
                </c:pt>
                <c:pt idx="1681">
                  <c:v>2367.8000000000002</c:v>
                </c:pt>
                <c:pt idx="1682">
                  <c:v>2380.3000000000002</c:v>
                </c:pt>
                <c:pt idx="1683">
                  <c:v>2328.9</c:v>
                </c:pt>
                <c:pt idx="1684">
                  <c:v>2366.1999999999998</c:v>
                </c:pt>
                <c:pt idx="1685">
                  <c:v>2362.4499999999998</c:v>
                </c:pt>
                <c:pt idx="1686">
                  <c:v>2400.1999999999998</c:v>
                </c:pt>
                <c:pt idx="1687">
                  <c:v>2395.1</c:v>
                </c:pt>
                <c:pt idx="1688">
                  <c:v>2401.15</c:v>
                </c:pt>
                <c:pt idx="1689">
                  <c:v>2428.65</c:v>
                </c:pt>
                <c:pt idx="1690">
                  <c:v>2427.6999999999998</c:v>
                </c:pt>
                <c:pt idx="1691">
                  <c:v>2398.4499999999998</c:v>
                </c:pt>
                <c:pt idx="1692">
                  <c:v>2396.25</c:v>
                </c:pt>
                <c:pt idx="1693">
                  <c:v>2418.1</c:v>
                </c:pt>
                <c:pt idx="1694">
                  <c:v>2398.6999999999998</c:v>
                </c:pt>
                <c:pt idx="1695">
                  <c:v>2391.0500000000002</c:v>
                </c:pt>
                <c:pt idx="1696">
                  <c:v>2350</c:v>
                </c:pt>
                <c:pt idx="1697">
                  <c:v>2304.0500000000002</c:v>
                </c:pt>
                <c:pt idx="1698">
                  <c:v>2319.4499999999998</c:v>
                </c:pt>
                <c:pt idx="1699">
                  <c:v>2330.5500000000002</c:v>
                </c:pt>
                <c:pt idx="1700">
                  <c:v>2277.0500000000002</c:v>
                </c:pt>
                <c:pt idx="1701">
                  <c:v>2283.1999999999998</c:v>
                </c:pt>
                <c:pt idx="1702">
                  <c:v>2169.85</c:v>
                </c:pt>
                <c:pt idx="1703">
                  <c:v>2155.4499999999998</c:v>
                </c:pt>
                <c:pt idx="1704">
                  <c:v>2101.15</c:v>
                </c:pt>
                <c:pt idx="1705">
                  <c:v>2121.3000000000002</c:v>
                </c:pt>
                <c:pt idx="1706">
                  <c:v>2189.6</c:v>
                </c:pt>
                <c:pt idx="1707">
                  <c:v>2137.1999999999998</c:v>
                </c:pt>
                <c:pt idx="1708">
                  <c:v>2125.1</c:v>
                </c:pt>
                <c:pt idx="1709">
                  <c:v>2132.9</c:v>
                </c:pt>
                <c:pt idx="1710">
                  <c:v>2135</c:v>
                </c:pt>
                <c:pt idx="1711">
                  <c:v>2156.35</c:v>
                </c:pt>
                <c:pt idx="1712">
                  <c:v>2188.4499999999998</c:v>
                </c:pt>
                <c:pt idx="1713">
                  <c:v>2300.35</c:v>
                </c:pt>
                <c:pt idx="1714">
                  <c:v>2282.6</c:v>
                </c:pt>
                <c:pt idx="1715">
                  <c:v>2259.85</c:v>
                </c:pt>
                <c:pt idx="1716">
                  <c:v>2276.0500000000002</c:v>
                </c:pt>
                <c:pt idx="1717">
                  <c:v>2263.4499999999998</c:v>
                </c:pt>
                <c:pt idx="1718">
                  <c:v>2221.85</c:v>
                </c:pt>
                <c:pt idx="1719">
                  <c:v>2186</c:v>
                </c:pt>
                <c:pt idx="1720">
                  <c:v>2182.35</c:v>
                </c:pt>
                <c:pt idx="1721">
                  <c:v>2154.5500000000002</c:v>
                </c:pt>
                <c:pt idx="1722">
                  <c:v>2195.75</c:v>
                </c:pt>
                <c:pt idx="1723">
                  <c:v>2195.25</c:v>
                </c:pt>
                <c:pt idx="1724">
                  <c:v>2208.1999999999998</c:v>
                </c:pt>
                <c:pt idx="1725">
                  <c:v>2200.3000000000002</c:v>
                </c:pt>
                <c:pt idx="1726">
                  <c:v>2207.6</c:v>
                </c:pt>
                <c:pt idx="1727">
                  <c:v>2259.3000000000002</c:v>
                </c:pt>
                <c:pt idx="1728">
                  <c:v>2282.65</c:v>
                </c:pt>
                <c:pt idx="1729">
                  <c:v>2288.9</c:v>
                </c:pt>
                <c:pt idx="1730">
                  <c:v>2339.3000000000002</c:v>
                </c:pt>
                <c:pt idx="1731">
                  <c:v>2313.6</c:v>
                </c:pt>
                <c:pt idx="1732">
                  <c:v>2307.6999999999998</c:v>
                </c:pt>
                <c:pt idx="1733">
                  <c:v>2288.1</c:v>
                </c:pt>
                <c:pt idx="1734">
                  <c:v>2293.1</c:v>
                </c:pt>
                <c:pt idx="1735">
                  <c:v>2323.4</c:v>
                </c:pt>
                <c:pt idx="1736">
                  <c:v>2313.4</c:v>
                </c:pt>
                <c:pt idx="1737">
                  <c:v>2351.6999999999998</c:v>
                </c:pt>
                <c:pt idx="1738">
                  <c:v>2365.5500000000002</c:v>
                </c:pt>
                <c:pt idx="1739">
                  <c:v>2361.35</c:v>
                </c:pt>
                <c:pt idx="1740">
                  <c:v>2368.25</c:v>
                </c:pt>
                <c:pt idx="1741">
                  <c:v>2379.5</c:v>
                </c:pt>
                <c:pt idx="1742">
                  <c:v>2334.4</c:v>
                </c:pt>
                <c:pt idx="1743">
                  <c:v>2281.4</c:v>
                </c:pt>
                <c:pt idx="1744">
                  <c:v>2303.6999999999998</c:v>
                </c:pt>
                <c:pt idx="1745">
                  <c:v>2315.35</c:v>
                </c:pt>
                <c:pt idx="1746">
                  <c:v>2324.4</c:v>
                </c:pt>
                <c:pt idx="1747">
                  <c:v>2344.35</c:v>
                </c:pt>
                <c:pt idx="1748">
                  <c:v>2249.3000000000002</c:v>
                </c:pt>
                <c:pt idx="1749">
                  <c:v>2258.5500000000002</c:v>
                </c:pt>
                <c:pt idx="1750">
                  <c:v>2278.75</c:v>
                </c:pt>
                <c:pt idx="1751">
                  <c:v>2295.1</c:v>
                </c:pt>
                <c:pt idx="1752">
                  <c:v>2291</c:v>
                </c:pt>
                <c:pt idx="1753">
                  <c:v>2285.35</c:v>
                </c:pt>
                <c:pt idx="1754">
                  <c:v>2306.6999999999998</c:v>
                </c:pt>
                <c:pt idx="1755">
                  <c:v>2318.35</c:v>
                </c:pt>
                <c:pt idx="1756">
                  <c:v>2353</c:v>
                </c:pt>
                <c:pt idx="1757">
                  <c:v>2357.8000000000002</c:v>
                </c:pt>
                <c:pt idx="1758">
                  <c:v>2332.9</c:v>
                </c:pt>
                <c:pt idx="1759">
                  <c:v>2229.8000000000002</c:v>
                </c:pt>
                <c:pt idx="1760">
                  <c:v>2167.9</c:v>
                </c:pt>
                <c:pt idx="1761">
                  <c:v>2207.65</c:v>
                </c:pt>
                <c:pt idx="1762">
                  <c:v>2232.5500000000002</c:v>
                </c:pt>
                <c:pt idx="1763">
                  <c:v>2240.75</c:v>
                </c:pt>
                <c:pt idx="1764">
                  <c:v>2244.6</c:v>
                </c:pt>
                <c:pt idx="1765">
                  <c:v>2270.9499999999998</c:v>
                </c:pt>
                <c:pt idx="1766">
                  <c:v>2317.3000000000002</c:v>
                </c:pt>
                <c:pt idx="1767">
                  <c:v>2397.9499999999998</c:v>
                </c:pt>
                <c:pt idx="1768">
                  <c:v>2414.25</c:v>
                </c:pt>
                <c:pt idx="1769">
                  <c:v>2406.25</c:v>
                </c:pt>
                <c:pt idx="1770">
                  <c:v>2413.6999999999998</c:v>
                </c:pt>
                <c:pt idx="1771">
                  <c:v>2447.75</c:v>
                </c:pt>
                <c:pt idx="1772">
                  <c:v>2407.9</c:v>
                </c:pt>
                <c:pt idx="1773">
                  <c:v>2502.1999999999998</c:v>
                </c:pt>
                <c:pt idx="1774">
                  <c:v>2465.35</c:v>
                </c:pt>
                <c:pt idx="1775">
                  <c:v>2411.5</c:v>
                </c:pt>
                <c:pt idx="1776">
                  <c:v>2481.8000000000002</c:v>
                </c:pt>
                <c:pt idx="1777">
                  <c:v>2489.85</c:v>
                </c:pt>
                <c:pt idx="1778">
                  <c:v>2466.25</c:v>
                </c:pt>
                <c:pt idx="1779">
                  <c:v>2479.5500000000002</c:v>
                </c:pt>
                <c:pt idx="1780">
                  <c:v>2501.4499999999998</c:v>
                </c:pt>
                <c:pt idx="1781">
                  <c:v>2494.0500000000002</c:v>
                </c:pt>
                <c:pt idx="1782">
                  <c:v>2472.5</c:v>
                </c:pt>
                <c:pt idx="1783">
                  <c:v>2499.8000000000002</c:v>
                </c:pt>
                <c:pt idx="1784">
                  <c:v>2512.1999999999998</c:v>
                </c:pt>
                <c:pt idx="1785">
                  <c:v>2519.75</c:v>
                </c:pt>
                <c:pt idx="1786">
                  <c:v>2542.25</c:v>
                </c:pt>
                <c:pt idx="1787">
                  <c:v>2567.5</c:v>
                </c:pt>
                <c:pt idx="1788">
                  <c:v>2498.3000000000002</c:v>
                </c:pt>
                <c:pt idx="1789">
                  <c:v>2520.9</c:v>
                </c:pt>
                <c:pt idx="1790">
                  <c:v>2525.75</c:v>
                </c:pt>
                <c:pt idx="1791">
                  <c:v>2480</c:v>
                </c:pt>
                <c:pt idx="1792">
                  <c:v>2486.6999999999998</c:v>
                </c:pt>
                <c:pt idx="1793">
                  <c:v>2478.9499999999998</c:v>
                </c:pt>
                <c:pt idx="1794">
                  <c:v>2460.35</c:v>
                </c:pt>
                <c:pt idx="1795">
                  <c:v>2427.1999999999998</c:v>
                </c:pt>
                <c:pt idx="1796">
                  <c:v>2412.0500000000002</c:v>
                </c:pt>
                <c:pt idx="1797">
                  <c:v>2429.9499999999998</c:v>
                </c:pt>
                <c:pt idx="1798">
                  <c:v>2444.6</c:v>
                </c:pt>
                <c:pt idx="1799">
                  <c:v>2441</c:v>
                </c:pt>
                <c:pt idx="1800">
                  <c:v>2431.8000000000002</c:v>
                </c:pt>
                <c:pt idx="1801">
                  <c:v>2411.6999999999998</c:v>
                </c:pt>
                <c:pt idx="1802">
                  <c:v>2401.25</c:v>
                </c:pt>
                <c:pt idx="1803">
                  <c:v>2400.0500000000002</c:v>
                </c:pt>
                <c:pt idx="1804">
                  <c:v>2429.0500000000002</c:v>
                </c:pt>
                <c:pt idx="1805">
                  <c:v>2422.25</c:v>
                </c:pt>
                <c:pt idx="1806">
                  <c:v>2419.3000000000002</c:v>
                </c:pt>
                <c:pt idx="1807">
                  <c:v>2393.25</c:v>
                </c:pt>
                <c:pt idx="1808">
                  <c:v>2328.65</c:v>
                </c:pt>
                <c:pt idx="1809">
                  <c:v>2314.85</c:v>
                </c:pt>
                <c:pt idx="1810">
                  <c:v>2308.8000000000002</c:v>
                </c:pt>
                <c:pt idx="1811">
                  <c:v>2299.15</c:v>
                </c:pt>
                <c:pt idx="1812">
                  <c:v>2325.5</c:v>
                </c:pt>
                <c:pt idx="1813">
                  <c:v>2310.8000000000002</c:v>
                </c:pt>
                <c:pt idx="1814">
                  <c:v>2328.1</c:v>
                </c:pt>
                <c:pt idx="1815">
                  <c:v>2311.5</c:v>
                </c:pt>
                <c:pt idx="1816">
                  <c:v>2310.35</c:v>
                </c:pt>
                <c:pt idx="1817">
                  <c:v>2302.65</c:v>
                </c:pt>
                <c:pt idx="1818">
                  <c:v>2273.15</c:v>
                </c:pt>
                <c:pt idx="1819">
                  <c:v>2289.9</c:v>
                </c:pt>
                <c:pt idx="1820">
                  <c:v>2337.3000000000002</c:v>
                </c:pt>
                <c:pt idx="1821">
                  <c:v>2330.1</c:v>
                </c:pt>
                <c:pt idx="1822">
                  <c:v>2320.5</c:v>
                </c:pt>
                <c:pt idx="1823">
                  <c:v>2342.4499999999998</c:v>
                </c:pt>
                <c:pt idx="1824">
                  <c:v>2352.5500000000002</c:v>
                </c:pt>
                <c:pt idx="1825">
                  <c:v>2332.4499999999998</c:v>
                </c:pt>
                <c:pt idx="1826">
                  <c:v>2349.4499999999998</c:v>
                </c:pt>
                <c:pt idx="1827">
                  <c:v>2360.65</c:v>
                </c:pt>
                <c:pt idx="1828">
                  <c:v>2365.1</c:v>
                </c:pt>
                <c:pt idx="1829">
                  <c:v>2429.15</c:v>
                </c:pt>
                <c:pt idx="1830">
                  <c:v>2455.35</c:v>
                </c:pt>
                <c:pt idx="1831">
                  <c:v>2536.1999999999998</c:v>
                </c:pt>
                <c:pt idx="1832">
                  <c:v>2507.15</c:v>
                </c:pt>
                <c:pt idx="1833">
                  <c:v>2531.35</c:v>
                </c:pt>
                <c:pt idx="1834">
                  <c:v>2521.6999999999998</c:v>
                </c:pt>
                <c:pt idx="1835">
                  <c:v>2559.15</c:v>
                </c:pt>
                <c:pt idx="1836">
                  <c:v>2624.6</c:v>
                </c:pt>
                <c:pt idx="1837">
                  <c:v>2578.25</c:v>
                </c:pt>
                <c:pt idx="1838">
                  <c:v>2572.85</c:v>
                </c:pt>
                <c:pt idx="1839">
                  <c:v>2551.1</c:v>
                </c:pt>
                <c:pt idx="1840">
                  <c:v>2546.6</c:v>
                </c:pt>
                <c:pt idx="1841">
                  <c:v>2553.6</c:v>
                </c:pt>
                <c:pt idx="1842">
                  <c:v>2564.9</c:v>
                </c:pt>
                <c:pt idx="1843">
                  <c:v>2603.9499999999998</c:v>
                </c:pt>
                <c:pt idx="1844">
                  <c:v>2696</c:v>
                </c:pt>
                <c:pt idx="1845">
                  <c:v>2615.25</c:v>
                </c:pt>
                <c:pt idx="1846">
                  <c:v>2521.6</c:v>
                </c:pt>
                <c:pt idx="1847">
                  <c:v>2507</c:v>
                </c:pt>
                <c:pt idx="1848">
                  <c:v>2487.1999999999998</c:v>
                </c:pt>
                <c:pt idx="1849">
                  <c:v>2451.5500000000002</c:v>
                </c:pt>
                <c:pt idx="1850">
                  <c:v>2470.1999999999998</c:v>
                </c:pt>
                <c:pt idx="1851">
                  <c:v>2411.1999999999998</c:v>
                </c:pt>
                <c:pt idx="1852">
                  <c:v>2399.6999999999998</c:v>
                </c:pt>
                <c:pt idx="1853">
                  <c:v>2431.6999999999998</c:v>
                </c:pt>
                <c:pt idx="1854">
                  <c:v>2445</c:v>
                </c:pt>
                <c:pt idx="1855">
                  <c:v>2406.3000000000002</c:v>
                </c:pt>
                <c:pt idx="1856">
                  <c:v>2394.85</c:v>
                </c:pt>
                <c:pt idx="1857">
                  <c:v>2361.6999999999998</c:v>
                </c:pt>
                <c:pt idx="1858">
                  <c:v>2342.85</c:v>
                </c:pt>
                <c:pt idx="1859">
                  <c:v>2350.0500000000002</c:v>
                </c:pt>
                <c:pt idx="1860">
                  <c:v>2333.25</c:v>
                </c:pt>
                <c:pt idx="1861">
                  <c:v>2362.35</c:v>
                </c:pt>
                <c:pt idx="1862">
                  <c:v>2373.6</c:v>
                </c:pt>
                <c:pt idx="1863">
                  <c:v>2366.85</c:v>
                </c:pt>
                <c:pt idx="1864">
                  <c:v>2356</c:v>
                </c:pt>
                <c:pt idx="1865">
                  <c:v>2347.5500000000002</c:v>
                </c:pt>
                <c:pt idx="1866">
                  <c:v>2331.9499999999998</c:v>
                </c:pt>
                <c:pt idx="1867">
                  <c:v>2434.9499999999998</c:v>
                </c:pt>
                <c:pt idx="1868">
                  <c:v>2475.8000000000002</c:v>
                </c:pt>
                <c:pt idx="1869">
                  <c:v>2439.4499999999998</c:v>
                </c:pt>
                <c:pt idx="1870">
                  <c:v>2446.4</c:v>
                </c:pt>
                <c:pt idx="1871">
                  <c:v>2397.4499999999998</c:v>
                </c:pt>
                <c:pt idx="1872">
                  <c:v>2395.4499999999998</c:v>
                </c:pt>
                <c:pt idx="1873">
                  <c:v>2408.35</c:v>
                </c:pt>
                <c:pt idx="1874">
                  <c:v>2449.6</c:v>
                </c:pt>
                <c:pt idx="1875">
                  <c:v>2444.6999999999998</c:v>
                </c:pt>
                <c:pt idx="1876">
                  <c:v>2491.1999999999998</c:v>
                </c:pt>
                <c:pt idx="1877">
                  <c:v>2530.6999999999998</c:v>
                </c:pt>
                <c:pt idx="1878">
                  <c:v>2571.5</c:v>
                </c:pt>
                <c:pt idx="1879">
                  <c:v>2556</c:v>
                </c:pt>
                <c:pt idx="1880">
                  <c:v>2481.6999999999998</c:v>
                </c:pt>
                <c:pt idx="1881">
                  <c:v>2484.3000000000002</c:v>
                </c:pt>
                <c:pt idx="1882">
                  <c:v>2491.8000000000002</c:v>
                </c:pt>
                <c:pt idx="1883">
                  <c:v>2501.65</c:v>
                </c:pt>
                <c:pt idx="1884">
                  <c:v>2473.8000000000002</c:v>
                </c:pt>
                <c:pt idx="1885">
                  <c:v>2489.4499999999998</c:v>
                </c:pt>
                <c:pt idx="1886">
                  <c:v>2522.8000000000002</c:v>
                </c:pt>
                <c:pt idx="1887">
                  <c:v>2503.4499999999998</c:v>
                </c:pt>
                <c:pt idx="1888">
                  <c:v>2503.0500000000002</c:v>
                </c:pt>
                <c:pt idx="1889">
                  <c:v>2512</c:v>
                </c:pt>
                <c:pt idx="1890">
                  <c:v>2511.4499999999998</c:v>
                </c:pt>
                <c:pt idx="1891">
                  <c:v>2496.0500000000002</c:v>
                </c:pt>
                <c:pt idx="1892">
                  <c:v>2469.4</c:v>
                </c:pt>
                <c:pt idx="1893">
                  <c:v>2492.35</c:v>
                </c:pt>
                <c:pt idx="1894">
                  <c:v>2485.65</c:v>
                </c:pt>
                <c:pt idx="1895">
                  <c:v>2513.8000000000002</c:v>
                </c:pt>
                <c:pt idx="1896">
                  <c:v>2528.8000000000002</c:v>
                </c:pt>
                <c:pt idx="1897">
                  <c:v>2497.5500000000002</c:v>
                </c:pt>
                <c:pt idx="1898">
                  <c:v>2489.4499999999998</c:v>
                </c:pt>
                <c:pt idx="1899">
                  <c:v>2496.6</c:v>
                </c:pt>
                <c:pt idx="1900">
                  <c:v>2487.3000000000002</c:v>
                </c:pt>
                <c:pt idx="1901">
                  <c:v>2470.85</c:v>
                </c:pt>
                <c:pt idx="1902">
                  <c:v>2484.5500000000002</c:v>
                </c:pt>
                <c:pt idx="1903">
                  <c:v>2496.35</c:v>
                </c:pt>
                <c:pt idx="1904">
                  <c:v>2456.4499999999998</c:v>
                </c:pt>
                <c:pt idx="1905">
                  <c:v>2456.1999999999998</c:v>
                </c:pt>
                <c:pt idx="1906">
                  <c:v>2484.35</c:v>
                </c:pt>
                <c:pt idx="1907">
                  <c:v>2453.1999999999998</c:v>
                </c:pt>
                <c:pt idx="1908">
                  <c:v>2460.1</c:v>
                </c:pt>
                <c:pt idx="1909">
                  <c:v>2470.6</c:v>
                </c:pt>
                <c:pt idx="1910">
                  <c:v>2454.4499999999998</c:v>
                </c:pt>
                <c:pt idx="1911">
                  <c:v>2488.4499999999998</c:v>
                </c:pt>
                <c:pt idx="1912">
                  <c:v>2489.1999999999998</c:v>
                </c:pt>
                <c:pt idx="1913">
                  <c:v>2486.9499999999998</c:v>
                </c:pt>
                <c:pt idx="1914">
                  <c:v>2506.0500000000002</c:v>
                </c:pt>
                <c:pt idx="1915">
                  <c:v>2499.0500000000002</c:v>
                </c:pt>
                <c:pt idx="1916">
                  <c:v>2498.25</c:v>
                </c:pt>
                <c:pt idx="1917">
                  <c:v>2493.5500000000002</c:v>
                </c:pt>
                <c:pt idx="1918">
                  <c:v>2524.9</c:v>
                </c:pt>
                <c:pt idx="1919">
                  <c:v>2503.6</c:v>
                </c:pt>
                <c:pt idx="1920">
                  <c:v>2510.75</c:v>
                </c:pt>
                <c:pt idx="1921">
                  <c:v>2474.65</c:v>
                </c:pt>
                <c:pt idx="1922">
                  <c:v>2495</c:v>
                </c:pt>
                <c:pt idx="1923">
                  <c:v>2476.4499999999998</c:v>
                </c:pt>
                <c:pt idx="1924">
                  <c:v>2435.9499999999998</c:v>
                </c:pt>
                <c:pt idx="1925">
                  <c:v>2448.4499999999998</c:v>
                </c:pt>
                <c:pt idx="1926">
                  <c:v>2442.3000000000002</c:v>
                </c:pt>
                <c:pt idx="1927">
                  <c:v>2429.6</c:v>
                </c:pt>
                <c:pt idx="1928">
                  <c:v>2446.65</c:v>
                </c:pt>
                <c:pt idx="1929">
                  <c:v>2454.1</c:v>
                </c:pt>
                <c:pt idx="1930">
                  <c:v>2459.25</c:v>
                </c:pt>
                <c:pt idx="1931">
                  <c:v>2500.35</c:v>
                </c:pt>
                <c:pt idx="1932">
                  <c:v>2548.1999999999998</c:v>
                </c:pt>
                <c:pt idx="1933">
                  <c:v>2558.6</c:v>
                </c:pt>
                <c:pt idx="1934">
                  <c:v>2584.4</c:v>
                </c:pt>
                <c:pt idx="1935">
                  <c:v>2594.5500000000002</c:v>
                </c:pt>
                <c:pt idx="1936">
                  <c:v>2586.6</c:v>
                </c:pt>
                <c:pt idx="1937">
                  <c:v>2583.9</c:v>
                </c:pt>
                <c:pt idx="1938">
                  <c:v>2587.9</c:v>
                </c:pt>
                <c:pt idx="1939">
                  <c:v>2578.4</c:v>
                </c:pt>
                <c:pt idx="1940">
                  <c:v>2559.9</c:v>
                </c:pt>
                <c:pt idx="1941">
                  <c:v>2538.85</c:v>
                </c:pt>
                <c:pt idx="1942">
                  <c:v>2584.3000000000002</c:v>
                </c:pt>
                <c:pt idx="1943">
                  <c:v>2616.1999999999998</c:v>
                </c:pt>
                <c:pt idx="1944">
                  <c:v>2624</c:v>
                </c:pt>
                <c:pt idx="1945">
                  <c:v>2602.85</c:v>
                </c:pt>
                <c:pt idx="1946">
                  <c:v>2626.15</c:v>
                </c:pt>
                <c:pt idx="1947">
                  <c:v>2620.1</c:v>
                </c:pt>
                <c:pt idx="1948">
                  <c:v>2665.55</c:v>
                </c:pt>
                <c:pt idx="1949">
                  <c:v>2710.05</c:v>
                </c:pt>
                <c:pt idx="1950">
                  <c:v>2735</c:v>
                </c:pt>
                <c:pt idx="1951">
                  <c:v>2736.4</c:v>
                </c:pt>
                <c:pt idx="1952">
                  <c:v>2708.75</c:v>
                </c:pt>
                <c:pt idx="1953">
                  <c:v>2758.95</c:v>
                </c:pt>
                <c:pt idx="1954">
                  <c:v>2714.6</c:v>
                </c:pt>
                <c:pt idx="1955">
                  <c:v>2705.3</c:v>
                </c:pt>
                <c:pt idx="1956">
                  <c:v>2746.65</c:v>
                </c:pt>
                <c:pt idx="1957">
                  <c:v>2707.3</c:v>
                </c:pt>
                <c:pt idx="1958">
                  <c:v>2703.45</c:v>
                </c:pt>
                <c:pt idx="1959">
                  <c:v>2672.95</c:v>
                </c:pt>
                <c:pt idx="1960">
                  <c:v>2680.65</c:v>
                </c:pt>
                <c:pt idx="1961">
                  <c:v>2681.25</c:v>
                </c:pt>
                <c:pt idx="1962">
                  <c:v>2688.05</c:v>
                </c:pt>
                <c:pt idx="1963">
                  <c:v>2685.85</c:v>
                </c:pt>
                <c:pt idx="1964">
                  <c:v>2685.3</c:v>
                </c:pt>
                <c:pt idx="1965">
                  <c:v>2658.15</c:v>
                </c:pt>
                <c:pt idx="1966">
                  <c:v>2637</c:v>
                </c:pt>
                <c:pt idx="1967">
                  <c:v>2629.95</c:v>
                </c:pt>
                <c:pt idx="1968">
                  <c:v>2632.35</c:v>
                </c:pt>
                <c:pt idx="1969">
                  <c:v>2635.55</c:v>
                </c:pt>
                <c:pt idx="1970">
                  <c:v>2633.3</c:v>
                </c:pt>
                <c:pt idx="1971">
                  <c:v>2617.25</c:v>
                </c:pt>
                <c:pt idx="1972">
                  <c:v>2601.5</c:v>
                </c:pt>
                <c:pt idx="1973">
                  <c:v>2661.1</c:v>
                </c:pt>
                <c:pt idx="1974">
                  <c:v>2612.15</c:v>
                </c:pt>
                <c:pt idx="1975">
                  <c:v>2628.4</c:v>
                </c:pt>
                <c:pt idx="1976">
                  <c:v>2557.8000000000002</c:v>
                </c:pt>
                <c:pt idx="1977">
                  <c:v>2545.6</c:v>
                </c:pt>
                <c:pt idx="1978">
                  <c:v>2580.5</c:v>
                </c:pt>
                <c:pt idx="1979">
                  <c:v>2575.3000000000002</c:v>
                </c:pt>
                <c:pt idx="1980">
                  <c:v>2588.9499999999998</c:v>
                </c:pt>
                <c:pt idx="1981">
                  <c:v>2595.6999999999998</c:v>
                </c:pt>
                <c:pt idx="1982">
                  <c:v>2646.75</c:v>
                </c:pt>
                <c:pt idx="1983">
                  <c:v>2649.45</c:v>
                </c:pt>
                <c:pt idx="1984">
                  <c:v>2619.9</c:v>
                </c:pt>
                <c:pt idx="1985">
                  <c:v>2626.95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8-441E-ACD3-F5787A479542}"/>
            </c:ext>
          </c:extLst>
        </c:ser>
        <c:ser>
          <c:idx val="1"/>
          <c:order val="1"/>
          <c:tx>
            <c:strRef>
              <c:f>'RSI Strategy'!$Q$1</c:f>
              <c:strCache>
                <c:ptCount val="1"/>
                <c:pt idx="0">
                  <c:v>RSI Buy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6600"/>
              </a:solidFill>
              <a:ln w="9525">
                <a:noFill/>
              </a:ln>
              <a:effectLst/>
            </c:spPr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Strategy'!$Q$2:$Q$1988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723.5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761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1098.3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1140.25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1057.95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1067.2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1089.5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1154.55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1271.55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#N/A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1480.75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#N/A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1984.6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2144.4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2162.0500000000002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2499.75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2433.4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2450.6999999999998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2591.3000000000002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2504.8000000000002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2539.75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2536.5500000000002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2278.8000000000002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2210.9499999999998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2464.15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2548.6999999999998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2277.0500000000002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2411.6999999999998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2361.6999999999998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2629.95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8-441E-ACD3-F5787A479542}"/>
            </c:ext>
          </c:extLst>
        </c:ser>
        <c:ser>
          <c:idx val="2"/>
          <c:order val="2"/>
          <c:tx>
            <c:strRef>
              <c:f>'RSI Strategy'!$R$1</c:f>
              <c:strCache>
                <c:ptCount val="1"/>
                <c:pt idx="0">
                  <c:v>RSI Sell Signal</c:v>
                </c:pt>
              </c:strCache>
            </c:strRef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C0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'RSI Strategy'!$A$2:$A$1988</c:f>
              <c:numCache>
                <c:formatCode>m/d/yyyy</c:formatCode>
                <c:ptCount val="1987"/>
                <c:pt idx="0">
                  <c:v>41278</c:v>
                </c:pt>
                <c:pt idx="1">
                  <c:v>41281</c:v>
                </c:pt>
                <c:pt idx="2">
                  <c:v>41282</c:v>
                </c:pt>
                <c:pt idx="3">
                  <c:v>41283</c:v>
                </c:pt>
                <c:pt idx="4">
                  <c:v>41284</c:v>
                </c:pt>
                <c:pt idx="5">
                  <c:v>41285</c:v>
                </c:pt>
                <c:pt idx="6">
                  <c:v>41288</c:v>
                </c:pt>
                <c:pt idx="7">
                  <c:v>41289</c:v>
                </c:pt>
                <c:pt idx="8">
                  <c:v>41290</c:v>
                </c:pt>
                <c:pt idx="9">
                  <c:v>41291</c:v>
                </c:pt>
                <c:pt idx="10">
                  <c:v>41292</c:v>
                </c:pt>
                <c:pt idx="11">
                  <c:v>41295</c:v>
                </c:pt>
                <c:pt idx="12">
                  <c:v>41296</c:v>
                </c:pt>
                <c:pt idx="13">
                  <c:v>41297</c:v>
                </c:pt>
                <c:pt idx="14">
                  <c:v>41298</c:v>
                </c:pt>
                <c:pt idx="15">
                  <c:v>41299</c:v>
                </c:pt>
                <c:pt idx="16">
                  <c:v>41302</c:v>
                </c:pt>
                <c:pt idx="17">
                  <c:v>41303</c:v>
                </c:pt>
                <c:pt idx="18">
                  <c:v>41304</c:v>
                </c:pt>
                <c:pt idx="19">
                  <c:v>41305</c:v>
                </c:pt>
                <c:pt idx="20">
                  <c:v>41306</c:v>
                </c:pt>
                <c:pt idx="21">
                  <c:v>41309</c:v>
                </c:pt>
                <c:pt idx="22">
                  <c:v>41310</c:v>
                </c:pt>
                <c:pt idx="23">
                  <c:v>41311</c:v>
                </c:pt>
                <c:pt idx="24">
                  <c:v>41312</c:v>
                </c:pt>
                <c:pt idx="25">
                  <c:v>41313</c:v>
                </c:pt>
                <c:pt idx="26">
                  <c:v>41316</c:v>
                </c:pt>
                <c:pt idx="27">
                  <c:v>41317</c:v>
                </c:pt>
                <c:pt idx="28">
                  <c:v>41318</c:v>
                </c:pt>
                <c:pt idx="29">
                  <c:v>41319</c:v>
                </c:pt>
                <c:pt idx="30">
                  <c:v>41320</c:v>
                </c:pt>
                <c:pt idx="31">
                  <c:v>41323</c:v>
                </c:pt>
                <c:pt idx="32">
                  <c:v>41324</c:v>
                </c:pt>
                <c:pt idx="33">
                  <c:v>41325</c:v>
                </c:pt>
                <c:pt idx="34">
                  <c:v>41326</c:v>
                </c:pt>
                <c:pt idx="35">
                  <c:v>41327</c:v>
                </c:pt>
                <c:pt idx="36">
                  <c:v>41330</c:v>
                </c:pt>
                <c:pt idx="37">
                  <c:v>41331</c:v>
                </c:pt>
                <c:pt idx="38">
                  <c:v>41332</c:v>
                </c:pt>
                <c:pt idx="39">
                  <c:v>41333</c:v>
                </c:pt>
                <c:pt idx="40">
                  <c:v>41334</c:v>
                </c:pt>
                <c:pt idx="41">
                  <c:v>41337</c:v>
                </c:pt>
                <c:pt idx="42">
                  <c:v>41338</c:v>
                </c:pt>
                <c:pt idx="43">
                  <c:v>41339</c:v>
                </c:pt>
                <c:pt idx="44">
                  <c:v>41340</c:v>
                </c:pt>
                <c:pt idx="45">
                  <c:v>41341</c:v>
                </c:pt>
                <c:pt idx="46">
                  <c:v>41344</c:v>
                </c:pt>
                <c:pt idx="47">
                  <c:v>41345</c:v>
                </c:pt>
                <c:pt idx="48">
                  <c:v>41346</c:v>
                </c:pt>
                <c:pt idx="49">
                  <c:v>41347</c:v>
                </c:pt>
                <c:pt idx="50">
                  <c:v>41348</c:v>
                </c:pt>
                <c:pt idx="51">
                  <c:v>41351</c:v>
                </c:pt>
                <c:pt idx="52">
                  <c:v>41352</c:v>
                </c:pt>
                <c:pt idx="53">
                  <c:v>41353</c:v>
                </c:pt>
                <c:pt idx="54">
                  <c:v>41354</c:v>
                </c:pt>
                <c:pt idx="55">
                  <c:v>41355</c:v>
                </c:pt>
                <c:pt idx="56">
                  <c:v>41358</c:v>
                </c:pt>
                <c:pt idx="57">
                  <c:v>41359</c:v>
                </c:pt>
                <c:pt idx="58">
                  <c:v>41360</c:v>
                </c:pt>
                <c:pt idx="59">
                  <c:v>41361</c:v>
                </c:pt>
                <c:pt idx="60">
                  <c:v>41362</c:v>
                </c:pt>
                <c:pt idx="61">
                  <c:v>41365</c:v>
                </c:pt>
                <c:pt idx="62">
                  <c:v>41366</c:v>
                </c:pt>
                <c:pt idx="63">
                  <c:v>41367</c:v>
                </c:pt>
                <c:pt idx="64">
                  <c:v>41368</c:v>
                </c:pt>
                <c:pt idx="65">
                  <c:v>41369</c:v>
                </c:pt>
                <c:pt idx="66">
                  <c:v>41372</c:v>
                </c:pt>
                <c:pt idx="67">
                  <c:v>41373</c:v>
                </c:pt>
                <c:pt idx="68">
                  <c:v>41374</c:v>
                </c:pt>
                <c:pt idx="69">
                  <c:v>41375</c:v>
                </c:pt>
                <c:pt idx="70">
                  <c:v>41376</c:v>
                </c:pt>
                <c:pt idx="71">
                  <c:v>41379</c:v>
                </c:pt>
                <c:pt idx="72">
                  <c:v>41380</c:v>
                </c:pt>
                <c:pt idx="73">
                  <c:v>41381</c:v>
                </c:pt>
                <c:pt idx="74">
                  <c:v>41382</c:v>
                </c:pt>
                <c:pt idx="75">
                  <c:v>41383</c:v>
                </c:pt>
                <c:pt idx="76">
                  <c:v>41386</c:v>
                </c:pt>
                <c:pt idx="77">
                  <c:v>41387</c:v>
                </c:pt>
                <c:pt idx="78">
                  <c:v>41388</c:v>
                </c:pt>
                <c:pt idx="79">
                  <c:v>41389</c:v>
                </c:pt>
                <c:pt idx="80">
                  <c:v>41390</c:v>
                </c:pt>
                <c:pt idx="81">
                  <c:v>41393</c:v>
                </c:pt>
                <c:pt idx="82">
                  <c:v>41394</c:v>
                </c:pt>
                <c:pt idx="83">
                  <c:v>41395</c:v>
                </c:pt>
                <c:pt idx="84">
                  <c:v>41396</c:v>
                </c:pt>
                <c:pt idx="85">
                  <c:v>41397</c:v>
                </c:pt>
                <c:pt idx="86">
                  <c:v>41400</c:v>
                </c:pt>
                <c:pt idx="87">
                  <c:v>41401</c:v>
                </c:pt>
                <c:pt idx="88">
                  <c:v>41402</c:v>
                </c:pt>
                <c:pt idx="89">
                  <c:v>41403</c:v>
                </c:pt>
                <c:pt idx="90">
                  <c:v>41404</c:v>
                </c:pt>
                <c:pt idx="91">
                  <c:v>41407</c:v>
                </c:pt>
                <c:pt idx="92">
                  <c:v>41408</c:v>
                </c:pt>
                <c:pt idx="93">
                  <c:v>41409</c:v>
                </c:pt>
                <c:pt idx="94">
                  <c:v>41410</c:v>
                </c:pt>
                <c:pt idx="95">
                  <c:v>41411</c:v>
                </c:pt>
                <c:pt idx="96">
                  <c:v>41414</c:v>
                </c:pt>
                <c:pt idx="97">
                  <c:v>41415</c:v>
                </c:pt>
                <c:pt idx="98">
                  <c:v>41416</c:v>
                </c:pt>
                <c:pt idx="99">
                  <c:v>41417</c:v>
                </c:pt>
                <c:pt idx="100">
                  <c:v>41418</c:v>
                </c:pt>
                <c:pt idx="101">
                  <c:v>41421</c:v>
                </c:pt>
                <c:pt idx="102">
                  <c:v>41422</c:v>
                </c:pt>
                <c:pt idx="103">
                  <c:v>41423</c:v>
                </c:pt>
                <c:pt idx="104">
                  <c:v>41424</c:v>
                </c:pt>
                <c:pt idx="105">
                  <c:v>41425</c:v>
                </c:pt>
                <c:pt idx="106">
                  <c:v>41428</c:v>
                </c:pt>
                <c:pt idx="107">
                  <c:v>41429</c:v>
                </c:pt>
                <c:pt idx="108">
                  <c:v>41430</c:v>
                </c:pt>
                <c:pt idx="109">
                  <c:v>41431</c:v>
                </c:pt>
                <c:pt idx="110">
                  <c:v>41432</c:v>
                </c:pt>
                <c:pt idx="111">
                  <c:v>41435</c:v>
                </c:pt>
                <c:pt idx="112">
                  <c:v>41436</c:v>
                </c:pt>
                <c:pt idx="113">
                  <c:v>41437</c:v>
                </c:pt>
                <c:pt idx="114">
                  <c:v>41438</c:v>
                </c:pt>
                <c:pt idx="115">
                  <c:v>41439</c:v>
                </c:pt>
                <c:pt idx="116">
                  <c:v>41442</c:v>
                </c:pt>
                <c:pt idx="117">
                  <c:v>41443</c:v>
                </c:pt>
                <c:pt idx="118">
                  <c:v>41444</c:v>
                </c:pt>
                <c:pt idx="119">
                  <c:v>41445</c:v>
                </c:pt>
                <c:pt idx="120">
                  <c:v>41446</c:v>
                </c:pt>
                <c:pt idx="121">
                  <c:v>41449</c:v>
                </c:pt>
                <c:pt idx="122">
                  <c:v>41450</c:v>
                </c:pt>
                <c:pt idx="123">
                  <c:v>41451</c:v>
                </c:pt>
                <c:pt idx="124">
                  <c:v>41452</c:v>
                </c:pt>
                <c:pt idx="125">
                  <c:v>41453</c:v>
                </c:pt>
                <c:pt idx="126">
                  <c:v>41456</c:v>
                </c:pt>
                <c:pt idx="127">
                  <c:v>41457</c:v>
                </c:pt>
                <c:pt idx="128">
                  <c:v>41458</c:v>
                </c:pt>
                <c:pt idx="129">
                  <c:v>41459</c:v>
                </c:pt>
                <c:pt idx="130">
                  <c:v>41460</c:v>
                </c:pt>
                <c:pt idx="131">
                  <c:v>41463</c:v>
                </c:pt>
                <c:pt idx="132">
                  <c:v>41464</c:v>
                </c:pt>
                <c:pt idx="133">
                  <c:v>41465</c:v>
                </c:pt>
                <c:pt idx="134">
                  <c:v>41466</c:v>
                </c:pt>
                <c:pt idx="135">
                  <c:v>41467</c:v>
                </c:pt>
                <c:pt idx="136">
                  <c:v>41470</c:v>
                </c:pt>
                <c:pt idx="137">
                  <c:v>41471</c:v>
                </c:pt>
                <c:pt idx="138">
                  <c:v>41472</c:v>
                </c:pt>
                <c:pt idx="139">
                  <c:v>41473</c:v>
                </c:pt>
                <c:pt idx="140">
                  <c:v>41474</c:v>
                </c:pt>
                <c:pt idx="141">
                  <c:v>41477</c:v>
                </c:pt>
                <c:pt idx="142">
                  <c:v>41478</c:v>
                </c:pt>
                <c:pt idx="143">
                  <c:v>41479</c:v>
                </c:pt>
                <c:pt idx="144">
                  <c:v>41480</c:v>
                </c:pt>
                <c:pt idx="145">
                  <c:v>41481</c:v>
                </c:pt>
                <c:pt idx="146">
                  <c:v>41484</c:v>
                </c:pt>
                <c:pt idx="147">
                  <c:v>41485</c:v>
                </c:pt>
                <c:pt idx="148">
                  <c:v>41486</c:v>
                </c:pt>
                <c:pt idx="149">
                  <c:v>41487</c:v>
                </c:pt>
                <c:pt idx="150">
                  <c:v>41488</c:v>
                </c:pt>
                <c:pt idx="151">
                  <c:v>41491</c:v>
                </c:pt>
                <c:pt idx="152">
                  <c:v>41492</c:v>
                </c:pt>
                <c:pt idx="153">
                  <c:v>41493</c:v>
                </c:pt>
                <c:pt idx="154">
                  <c:v>41494</c:v>
                </c:pt>
                <c:pt idx="155">
                  <c:v>41495</c:v>
                </c:pt>
                <c:pt idx="156">
                  <c:v>41498</c:v>
                </c:pt>
                <c:pt idx="157">
                  <c:v>41499</c:v>
                </c:pt>
                <c:pt idx="158">
                  <c:v>41500</c:v>
                </c:pt>
                <c:pt idx="159">
                  <c:v>41501</c:v>
                </c:pt>
                <c:pt idx="160">
                  <c:v>41502</c:v>
                </c:pt>
                <c:pt idx="161">
                  <c:v>41505</c:v>
                </c:pt>
                <c:pt idx="162">
                  <c:v>41506</c:v>
                </c:pt>
                <c:pt idx="163">
                  <c:v>41507</c:v>
                </c:pt>
                <c:pt idx="164">
                  <c:v>41508</c:v>
                </c:pt>
                <c:pt idx="165">
                  <c:v>41509</c:v>
                </c:pt>
                <c:pt idx="166">
                  <c:v>41512</c:v>
                </c:pt>
                <c:pt idx="167">
                  <c:v>41513</c:v>
                </c:pt>
                <c:pt idx="168">
                  <c:v>41514</c:v>
                </c:pt>
                <c:pt idx="169">
                  <c:v>41515</c:v>
                </c:pt>
                <c:pt idx="170">
                  <c:v>41516</c:v>
                </c:pt>
                <c:pt idx="171">
                  <c:v>41519</c:v>
                </c:pt>
                <c:pt idx="172">
                  <c:v>41520</c:v>
                </c:pt>
                <c:pt idx="173">
                  <c:v>41521</c:v>
                </c:pt>
                <c:pt idx="174">
                  <c:v>41522</c:v>
                </c:pt>
                <c:pt idx="175">
                  <c:v>41523</c:v>
                </c:pt>
                <c:pt idx="176">
                  <c:v>41526</c:v>
                </c:pt>
                <c:pt idx="177">
                  <c:v>41527</c:v>
                </c:pt>
                <c:pt idx="178">
                  <c:v>41528</c:v>
                </c:pt>
                <c:pt idx="179">
                  <c:v>41529</c:v>
                </c:pt>
                <c:pt idx="180">
                  <c:v>41530</c:v>
                </c:pt>
                <c:pt idx="181">
                  <c:v>41533</c:v>
                </c:pt>
                <c:pt idx="182">
                  <c:v>41534</c:v>
                </c:pt>
                <c:pt idx="183">
                  <c:v>41535</c:v>
                </c:pt>
                <c:pt idx="184">
                  <c:v>41536</c:v>
                </c:pt>
                <c:pt idx="185">
                  <c:v>41537</c:v>
                </c:pt>
                <c:pt idx="186">
                  <c:v>41540</c:v>
                </c:pt>
                <c:pt idx="187">
                  <c:v>41541</c:v>
                </c:pt>
                <c:pt idx="188">
                  <c:v>41542</c:v>
                </c:pt>
                <c:pt idx="189">
                  <c:v>41543</c:v>
                </c:pt>
                <c:pt idx="190">
                  <c:v>41544</c:v>
                </c:pt>
                <c:pt idx="191">
                  <c:v>41547</c:v>
                </c:pt>
                <c:pt idx="192">
                  <c:v>41548</c:v>
                </c:pt>
                <c:pt idx="193">
                  <c:v>41549</c:v>
                </c:pt>
                <c:pt idx="194">
                  <c:v>41550</c:v>
                </c:pt>
                <c:pt idx="195">
                  <c:v>41551</c:v>
                </c:pt>
                <c:pt idx="196">
                  <c:v>41554</c:v>
                </c:pt>
                <c:pt idx="197">
                  <c:v>41555</c:v>
                </c:pt>
                <c:pt idx="198">
                  <c:v>41556</c:v>
                </c:pt>
                <c:pt idx="199">
                  <c:v>41557</c:v>
                </c:pt>
                <c:pt idx="200">
                  <c:v>41558</c:v>
                </c:pt>
                <c:pt idx="201">
                  <c:v>41561</c:v>
                </c:pt>
                <c:pt idx="202">
                  <c:v>41562</c:v>
                </c:pt>
                <c:pt idx="203">
                  <c:v>41563</c:v>
                </c:pt>
                <c:pt idx="204">
                  <c:v>41564</c:v>
                </c:pt>
                <c:pt idx="205">
                  <c:v>41565</c:v>
                </c:pt>
                <c:pt idx="206">
                  <c:v>41568</c:v>
                </c:pt>
                <c:pt idx="207">
                  <c:v>41569</c:v>
                </c:pt>
                <c:pt idx="208">
                  <c:v>41570</c:v>
                </c:pt>
                <c:pt idx="209">
                  <c:v>41571</c:v>
                </c:pt>
                <c:pt idx="210">
                  <c:v>41572</c:v>
                </c:pt>
                <c:pt idx="211">
                  <c:v>41575</c:v>
                </c:pt>
                <c:pt idx="212">
                  <c:v>41576</c:v>
                </c:pt>
                <c:pt idx="213">
                  <c:v>41577</c:v>
                </c:pt>
                <c:pt idx="214">
                  <c:v>41578</c:v>
                </c:pt>
                <c:pt idx="215">
                  <c:v>41579</c:v>
                </c:pt>
                <c:pt idx="216">
                  <c:v>41582</c:v>
                </c:pt>
                <c:pt idx="217">
                  <c:v>41583</c:v>
                </c:pt>
                <c:pt idx="218">
                  <c:v>41584</c:v>
                </c:pt>
                <c:pt idx="219">
                  <c:v>41585</c:v>
                </c:pt>
                <c:pt idx="220">
                  <c:v>41586</c:v>
                </c:pt>
                <c:pt idx="221">
                  <c:v>41589</c:v>
                </c:pt>
                <c:pt idx="222">
                  <c:v>41590</c:v>
                </c:pt>
                <c:pt idx="223">
                  <c:v>41591</c:v>
                </c:pt>
                <c:pt idx="224">
                  <c:v>41592</c:v>
                </c:pt>
                <c:pt idx="225">
                  <c:v>41593</c:v>
                </c:pt>
                <c:pt idx="226">
                  <c:v>41596</c:v>
                </c:pt>
                <c:pt idx="227">
                  <c:v>41597</c:v>
                </c:pt>
                <c:pt idx="228">
                  <c:v>41598</c:v>
                </c:pt>
                <c:pt idx="229">
                  <c:v>41599</c:v>
                </c:pt>
                <c:pt idx="230">
                  <c:v>41600</c:v>
                </c:pt>
                <c:pt idx="231">
                  <c:v>41603</c:v>
                </c:pt>
                <c:pt idx="232">
                  <c:v>41604</c:v>
                </c:pt>
                <c:pt idx="233">
                  <c:v>41605</c:v>
                </c:pt>
                <c:pt idx="234">
                  <c:v>41606</c:v>
                </c:pt>
                <c:pt idx="235">
                  <c:v>41607</c:v>
                </c:pt>
                <c:pt idx="236">
                  <c:v>41610</c:v>
                </c:pt>
                <c:pt idx="237">
                  <c:v>41611</c:v>
                </c:pt>
                <c:pt idx="238">
                  <c:v>41612</c:v>
                </c:pt>
                <c:pt idx="239">
                  <c:v>41613</c:v>
                </c:pt>
                <c:pt idx="240">
                  <c:v>41614</c:v>
                </c:pt>
                <c:pt idx="241">
                  <c:v>41617</c:v>
                </c:pt>
                <c:pt idx="242">
                  <c:v>41618</c:v>
                </c:pt>
                <c:pt idx="243">
                  <c:v>41619</c:v>
                </c:pt>
                <c:pt idx="244">
                  <c:v>41620</c:v>
                </c:pt>
                <c:pt idx="245">
                  <c:v>41621</c:v>
                </c:pt>
                <c:pt idx="246">
                  <c:v>41624</c:v>
                </c:pt>
                <c:pt idx="247">
                  <c:v>41625</c:v>
                </c:pt>
                <c:pt idx="248">
                  <c:v>41626</c:v>
                </c:pt>
                <c:pt idx="249">
                  <c:v>41627</c:v>
                </c:pt>
                <c:pt idx="250">
                  <c:v>41628</c:v>
                </c:pt>
                <c:pt idx="251">
                  <c:v>41631</c:v>
                </c:pt>
                <c:pt idx="252">
                  <c:v>41632</c:v>
                </c:pt>
                <c:pt idx="253">
                  <c:v>41633</c:v>
                </c:pt>
                <c:pt idx="254">
                  <c:v>41634</c:v>
                </c:pt>
                <c:pt idx="255">
                  <c:v>41635</c:v>
                </c:pt>
                <c:pt idx="256">
                  <c:v>41638</c:v>
                </c:pt>
                <c:pt idx="257">
                  <c:v>41639</c:v>
                </c:pt>
                <c:pt idx="258">
                  <c:v>41640</c:v>
                </c:pt>
                <c:pt idx="259">
                  <c:v>41641</c:v>
                </c:pt>
                <c:pt idx="260">
                  <c:v>41642</c:v>
                </c:pt>
                <c:pt idx="261">
                  <c:v>41645</c:v>
                </c:pt>
                <c:pt idx="262">
                  <c:v>41646</c:v>
                </c:pt>
                <c:pt idx="263">
                  <c:v>41647</c:v>
                </c:pt>
                <c:pt idx="264">
                  <c:v>41648</c:v>
                </c:pt>
                <c:pt idx="265">
                  <c:v>41649</c:v>
                </c:pt>
                <c:pt idx="266">
                  <c:v>41652</c:v>
                </c:pt>
                <c:pt idx="267">
                  <c:v>41653</c:v>
                </c:pt>
                <c:pt idx="268">
                  <c:v>41654</c:v>
                </c:pt>
                <c:pt idx="269">
                  <c:v>41655</c:v>
                </c:pt>
                <c:pt idx="270">
                  <c:v>41656</c:v>
                </c:pt>
                <c:pt idx="271">
                  <c:v>41659</c:v>
                </c:pt>
                <c:pt idx="272">
                  <c:v>41660</c:v>
                </c:pt>
                <c:pt idx="273">
                  <c:v>41661</c:v>
                </c:pt>
                <c:pt idx="274">
                  <c:v>41662</c:v>
                </c:pt>
                <c:pt idx="275">
                  <c:v>41663</c:v>
                </c:pt>
                <c:pt idx="276">
                  <c:v>41666</c:v>
                </c:pt>
                <c:pt idx="277">
                  <c:v>41667</c:v>
                </c:pt>
                <c:pt idx="278">
                  <c:v>41668</c:v>
                </c:pt>
                <c:pt idx="279">
                  <c:v>41669</c:v>
                </c:pt>
                <c:pt idx="280">
                  <c:v>41670</c:v>
                </c:pt>
                <c:pt idx="281">
                  <c:v>41673</c:v>
                </c:pt>
                <c:pt idx="282">
                  <c:v>41674</c:v>
                </c:pt>
                <c:pt idx="283">
                  <c:v>41675</c:v>
                </c:pt>
                <c:pt idx="284">
                  <c:v>41676</c:v>
                </c:pt>
                <c:pt idx="285">
                  <c:v>41677</c:v>
                </c:pt>
                <c:pt idx="286">
                  <c:v>41680</c:v>
                </c:pt>
                <c:pt idx="287">
                  <c:v>41681</c:v>
                </c:pt>
                <c:pt idx="288">
                  <c:v>41682</c:v>
                </c:pt>
                <c:pt idx="289">
                  <c:v>41683</c:v>
                </c:pt>
                <c:pt idx="290">
                  <c:v>41684</c:v>
                </c:pt>
                <c:pt idx="291">
                  <c:v>41687</c:v>
                </c:pt>
                <c:pt idx="292">
                  <c:v>41688</c:v>
                </c:pt>
                <c:pt idx="293">
                  <c:v>41689</c:v>
                </c:pt>
                <c:pt idx="294">
                  <c:v>41690</c:v>
                </c:pt>
                <c:pt idx="295">
                  <c:v>41691</c:v>
                </c:pt>
                <c:pt idx="296">
                  <c:v>41694</c:v>
                </c:pt>
                <c:pt idx="297">
                  <c:v>41695</c:v>
                </c:pt>
                <c:pt idx="298">
                  <c:v>41696</c:v>
                </c:pt>
                <c:pt idx="299">
                  <c:v>41697</c:v>
                </c:pt>
                <c:pt idx="300">
                  <c:v>41698</c:v>
                </c:pt>
                <c:pt idx="301">
                  <c:v>41701</c:v>
                </c:pt>
                <c:pt idx="302">
                  <c:v>41702</c:v>
                </c:pt>
                <c:pt idx="303">
                  <c:v>41703</c:v>
                </c:pt>
                <c:pt idx="304">
                  <c:v>41704</c:v>
                </c:pt>
                <c:pt idx="305">
                  <c:v>41705</c:v>
                </c:pt>
                <c:pt idx="306">
                  <c:v>41708</c:v>
                </c:pt>
                <c:pt idx="307">
                  <c:v>41709</c:v>
                </c:pt>
                <c:pt idx="308">
                  <c:v>41710</c:v>
                </c:pt>
                <c:pt idx="309">
                  <c:v>41711</c:v>
                </c:pt>
                <c:pt idx="310">
                  <c:v>41712</c:v>
                </c:pt>
                <c:pt idx="311">
                  <c:v>41715</c:v>
                </c:pt>
                <c:pt idx="312">
                  <c:v>41716</c:v>
                </c:pt>
                <c:pt idx="313">
                  <c:v>41717</c:v>
                </c:pt>
                <c:pt idx="314">
                  <c:v>41718</c:v>
                </c:pt>
                <c:pt idx="315">
                  <c:v>41719</c:v>
                </c:pt>
                <c:pt idx="316">
                  <c:v>41722</c:v>
                </c:pt>
                <c:pt idx="317">
                  <c:v>41723</c:v>
                </c:pt>
                <c:pt idx="318">
                  <c:v>41724</c:v>
                </c:pt>
                <c:pt idx="319">
                  <c:v>41725</c:v>
                </c:pt>
                <c:pt idx="320">
                  <c:v>41726</c:v>
                </c:pt>
                <c:pt idx="321">
                  <c:v>41729</c:v>
                </c:pt>
                <c:pt idx="322">
                  <c:v>41730</c:v>
                </c:pt>
                <c:pt idx="323">
                  <c:v>41731</c:v>
                </c:pt>
                <c:pt idx="324">
                  <c:v>41732</c:v>
                </c:pt>
                <c:pt idx="325">
                  <c:v>41733</c:v>
                </c:pt>
                <c:pt idx="326">
                  <c:v>41736</c:v>
                </c:pt>
                <c:pt idx="327">
                  <c:v>41737</c:v>
                </c:pt>
                <c:pt idx="328">
                  <c:v>41738</c:v>
                </c:pt>
                <c:pt idx="329">
                  <c:v>41739</c:v>
                </c:pt>
                <c:pt idx="330">
                  <c:v>41740</c:v>
                </c:pt>
                <c:pt idx="331">
                  <c:v>41743</c:v>
                </c:pt>
                <c:pt idx="332">
                  <c:v>41744</c:v>
                </c:pt>
                <c:pt idx="333">
                  <c:v>41745</c:v>
                </c:pt>
                <c:pt idx="334">
                  <c:v>41746</c:v>
                </c:pt>
                <c:pt idx="335">
                  <c:v>41747</c:v>
                </c:pt>
                <c:pt idx="336">
                  <c:v>41750</c:v>
                </c:pt>
                <c:pt idx="337">
                  <c:v>41751</c:v>
                </c:pt>
                <c:pt idx="338">
                  <c:v>41752</c:v>
                </c:pt>
                <c:pt idx="339">
                  <c:v>41753</c:v>
                </c:pt>
                <c:pt idx="340">
                  <c:v>41754</c:v>
                </c:pt>
                <c:pt idx="341">
                  <c:v>41757</c:v>
                </c:pt>
                <c:pt idx="342">
                  <c:v>41758</c:v>
                </c:pt>
                <c:pt idx="343">
                  <c:v>41759</c:v>
                </c:pt>
                <c:pt idx="344">
                  <c:v>41760</c:v>
                </c:pt>
                <c:pt idx="345">
                  <c:v>41761</c:v>
                </c:pt>
                <c:pt idx="346">
                  <c:v>41764</c:v>
                </c:pt>
                <c:pt idx="347">
                  <c:v>41765</c:v>
                </c:pt>
                <c:pt idx="348">
                  <c:v>41766</c:v>
                </c:pt>
                <c:pt idx="349">
                  <c:v>41767</c:v>
                </c:pt>
                <c:pt idx="350">
                  <c:v>41768</c:v>
                </c:pt>
                <c:pt idx="351">
                  <c:v>41771</c:v>
                </c:pt>
                <c:pt idx="352">
                  <c:v>41772</c:v>
                </c:pt>
                <c:pt idx="353">
                  <c:v>41773</c:v>
                </c:pt>
                <c:pt idx="354">
                  <c:v>41774</c:v>
                </c:pt>
                <c:pt idx="355">
                  <c:v>41775</c:v>
                </c:pt>
                <c:pt idx="356">
                  <c:v>41778</c:v>
                </c:pt>
                <c:pt idx="357">
                  <c:v>41779</c:v>
                </c:pt>
                <c:pt idx="358">
                  <c:v>41780</c:v>
                </c:pt>
                <c:pt idx="359">
                  <c:v>41781</c:v>
                </c:pt>
                <c:pt idx="360">
                  <c:v>41782</c:v>
                </c:pt>
                <c:pt idx="361">
                  <c:v>41785</c:v>
                </c:pt>
                <c:pt idx="362">
                  <c:v>41786</c:v>
                </c:pt>
                <c:pt idx="363">
                  <c:v>41787</c:v>
                </c:pt>
                <c:pt idx="364">
                  <c:v>41788</c:v>
                </c:pt>
                <c:pt idx="365">
                  <c:v>41789</c:v>
                </c:pt>
                <c:pt idx="366">
                  <c:v>41792</c:v>
                </c:pt>
                <c:pt idx="367">
                  <c:v>41793</c:v>
                </c:pt>
                <c:pt idx="368">
                  <c:v>41794</c:v>
                </c:pt>
                <c:pt idx="369">
                  <c:v>41795</c:v>
                </c:pt>
                <c:pt idx="370">
                  <c:v>41796</c:v>
                </c:pt>
                <c:pt idx="371">
                  <c:v>41799</c:v>
                </c:pt>
                <c:pt idx="372">
                  <c:v>41800</c:v>
                </c:pt>
                <c:pt idx="373">
                  <c:v>41801</c:v>
                </c:pt>
                <c:pt idx="374">
                  <c:v>41802</c:v>
                </c:pt>
                <c:pt idx="375">
                  <c:v>41803</c:v>
                </c:pt>
                <c:pt idx="376">
                  <c:v>41806</c:v>
                </c:pt>
                <c:pt idx="377">
                  <c:v>41807</c:v>
                </c:pt>
                <c:pt idx="378">
                  <c:v>41808</c:v>
                </c:pt>
                <c:pt idx="379">
                  <c:v>41809</c:v>
                </c:pt>
                <c:pt idx="380">
                  <c:v>41810</c:v>
                </c:pt>
                <c:pt idx="381">
                  <c:v>41813</c:v>
                </c:pt>
                <c:pt idx="382">
                  <c:v>41814</c:v>
                </c:pt>
                <c:pt idx="383">
                  <c:v>41815</c:v>
                </c:pt>
                <c:pt idx="384">
                  <c:v>41816</c:v>
                </c:pt>
                <c:pt idx="385">
                  <c:v>41817</c:v>
                </c:pt>
                <c:pt idx="386">
                  <c:v>41820</c:v>
                </c:pt>
                <c:pt idx="387">
                  <c:v>41821</c:v>
                </c:pt>
                <c:pt idx="388">
                  <c:v>41822</c:v>
                </c:pt>
                <c:pt idx="389">
                  <c:v>41823</c:v>
                </c:pt>
                <c:pt idx="390">
                  <c:v>41824</c:v>
                </c:pt>
                <c:pt idx="391">
                  <c:v>41827</c:v>
                </c:pt>
                <c:pt idx="392">
                  <c:v>41828</c:v>
                </c:pt>
                <c:pt idx="393">
                  <c:v>41829</c:v>
                </c:pt>
                <c:pt idx="394">
                  <c:v>41830</c:v>
                </c:pt>
                <c:pt idx="395">
                  <c:v>41831</c:v>
                </c:pt>
                <c:pt idx="396">
                  <c:v>41834</c:v>
                </c:pt>
                <c:pt idx="397">
                  <c:v>41835</c:v>
                </c:pt>
                <c:pt idx="398">
                  <c:v>41836</c:v>
                </c:pt>
                <c:pt idx="399">
                  <c:v>41837</c:v>
                </c:pt>
                <c:pt idx="400">
                  <c:v>41838</c:v>
                </c:pt>
                <c:pt idx="401">
                  <c:v>41841</c:v>
                </c:pt>
                <c:pt idx="402">
                  <c:v>41842</c:v>
                </c:pt>
                <c:pt idx="403">
                  <c:v>41843</c:v>
                </c:pt>
                <c:pt idx="404">
                  <c:v>41844</c:v>
                </c:pt>
                <c:pt idx="405">
                  <c:v>41845</c:v>
                </c:pt>
                <c:pt idx="406">
                  <c:v>41848</c:v>
                </c:pt>
                <c:pt idx="407">
                  <c:v>41849</c:v>
                </c:pt>
                <c:pt idx="408">
                  <c:v>41850</c:v>
                </c:pt>
                <c:pt idx="409">
                  <c:v>41851</c:v>
                </c:pt>
                <c:pt idx="410">
                  <c:v>41852</c:v>
                </c:pt>
                <c:pt idx="411">
                  <c:v>41855</c:v>
                </c:pt>
                <c:pt idx="412">
                  <c:v>41856</c:v>
                </c:pt>
                <c:pt idx="413">
                  <c:v>41857</c:v>
                </c:pt>
                <c:pt idx="414">
                  <c:v>41858</c:v>
                </c:pt>
                <c:pt idx="415">
                  <c:v>41859</c:v>
                </c:pt>
                <c:pt idx="416">
                  <c:v>41862</c:v>
                </c:pt>
                <c:pt idx="417">
                  <c:v>41863</c:v>
                </c:pt>
                <c:pt idx="418">
                  <c:v>41864</c:v>
                </c:pt>
                <c:pt idx="419">
                  <c:v>41865</c:v>
                </c:pt>
                <c:pt idx="420">
                  <c:v>41866</c:v>
                </c:pt>
                <c:pt idx="421">
                  <c:v>41869</c:v>
                </c:pt>
                <c:pt idx="422">
                  <c:v>41870</c:v>
                </c:pt>
                <c:pt idx="423">
                  <c:v>41871</c:v>
                </c:pt>
                <c:pt idx="424">
                  <c:v>41872</c:v>
                </c:pt>
                <c:pt idx="425">
                  <c:v>41873</c:v>
                </c:pt>
                <c:pt idx="426">
                  <c:v>41876</c:v>
                </c:pt>
                <c:pt idx="427">
                  <c:v>41877</c:v>
                </c:pt>
                <c:pt idx="428">
                  <c:v>41878</c:v>
                </c:pt>
                <c:pt idx="429">
                  <c:v>41879</c:v>
                </c:pt>
                <c:pt idx="430">
                  <c:v>41880</c:v>
                </c:pt>
                <c:pt idx="431">
                  <c:v>41883</c:v>
                </c:pt>
                <c:pt idx="432">
                  <c:v>41884</c:v>
                </c:pt>
                <c:pt idx="433">
                  <c:v>41885</c:v>
                </c:pt>
                <c:pt idx="434">
                  <c:v>41886</c:v>
                </c:pt>
                <c:pt idx="435">
                  <c:v>41887</c:v>
                </c:pt>
                <c:pt idx="436">
                  <c:v>41890</c:v>
                </c:pt>
                <c:pt idx="437">
                  <c:v>41891</c:v>
                </c:pt>
                <c:pt idx="438">
                  <c:v>41892</c:v>
                </c:pt>
                <c:pt idx="439">
                  <c:v>41893</c:v>
                </c:pt>
                <c:pt idx="440">
                  <c:v>41894</c:v>
                </c:pt>
                <c:pt idx="441">
                  <c:v>41897</c:v>
                </c:pt>
                <c:pt idx="442">
                  <c:v>41898</c:v>
                </c:pt>
                <c:pt idx="443">
                  <c:v>41899</c:v>
                </c:pt>
                <c:pt idx="444">
                  <c:v>41900</c:v>
                </c:pt>
                <c:pt idx="445">
                  <c:v>41901</c:v>
                </c:pt>
                <c:pt idx="446">
                  <c:v>41904</c:v>
                </c:pt>
                <c:pt idx="447">
                  <c:v>41905</c:v>
                </c:pt>
                <c:pt idx="448">
                  <c:v>41906</c:v>
                </c:pt>
                <c:pt idx="449">
                  <c:v>41907</c:v>
                </c:pt>
                <c:pt idx="450">
                  <c:v>41908</c:v>
                </c:pt>
                <c:pt idx="451">
                  <c:v>41911</c:v>
                </c:pt>
                <c:pt idx="452">
                  <c:v>41912</c:v>
                </c:pt>
                <c:pt idx="453">
                  <c:v>41913</c:v>
                </c:pt>
                <c:pt idx="454">
                  <c:v>41914</c:v>
                </c:pt>
                <c:pt idx="455">
                  <c:v>41915</c:v>
                </c:pt>
                <c:pt idx="456">
                  <c:v>41918</c:v>
                </c:pt>
                <c:pt idx="457">
                  <c:v>41919</c:v>
                </c:pt>
                <c:pt idx="458">
                  <c:v>41920</c:v>
                </c:pt>
                <c:pt idx="459">
                  <c:v>41921</c:v>
                </c:pt>
                <c:pt idx="460">
                  <c:v>41922</c:v>
                </c:pt>
                <c:pt idx="461">
                  <c:v>41925</c:v>
                </c:pt>
                <c:pt idx="462">
                  <c:v>41926</c:v>
                </c:pt>
                <c:pt idx="463">
                  <c:v>41927</c:v>
                </c:pt>
                <c:pt idx="464">
                  <c:v>41928</c:v>
                </c:pt>
                <c:pt idx="465">
                  <c:v>41929</c:v>
                </c:pt>
                <c:pt idx="466">
                  <c:v>41932</c:v>
                </c:pt>
                <c:pt idx="467">
                  <c:v>41933</c:v>
                </c:pt>
                <c:pt idx="468">
                  <c:v>41934</c:v>
                </c:pt>
                <c:pt idx="469">
                  <c:v>41935</c:v>
                </c:pt>
                <c:pt idx="470">
                  <c:v>41936</c:v>
                </c:pt>
                <c:pt idx="471">
                  <c:v>41939</c:v>
                </c:pt>
                <c:pt idx="472">
                  <c:v>41940</c:v>
                </c:pt>
                <c:pt idx="473">
                  <c:v>41941</c:v>
                </c:pt>
                <c:pt idx="474">
                  <c:v>41942</c:v>
                </c:pt>
                <c:pt idx="475">
                  <c:v>41943</c:v>
                </c:pt>
                <c:pt idx="476">
                  <c:v>41946</c:v>
                </c:pt>
                <c:pt idx="477">
                  <c:v>41947</c:v>
                </c:pt>
                <c:pt idx="478">
                  <c:v>41948</c:v>
                </c:pt>
                <c:pt idx="479">
                  <c:v>41949</c:v>
                </c:pt>
                <c:pt idx="480">
                  <c:v>41950</c:v>
                </c:pt>
                <c:pt idx="481">
                  <c:v>41953</c:v>
                </c:pt>
                <c:pt idx="482">
                  <c:v>41954</c:v>
                </c:pt>
                <c:pt idx="483">
                  <c:v>41955</c:v>
                </c:pt>
                <c:pt idx="484">
                  <c:v>41956</c:v>
                </c:pt>
                <c:pt idx="485">
                  <c:v>41957</c:v>
                </c:pt>
                <c:pt idx="486">
                  <c:v>41960</c:v>
                </c:pt>
                <c:pt idx="487">
                  <c:v>41961</c:v>
                </c:pt>
                <c:pt idx="488">
                  <c:v>41962</c:v>
                </c:pt>
                <c:pt idx="489">
                  <c:v>41963</c:v>
                </c:pt>
                <c:pt idx="490">
                  <c:v>41964</c:v>
                </c:pt>
                <c:pt idx="491">
                  <c:v>41967</c:v>
                </c:pt>
                <c:pt idx="492">
                  <c:v>41968</c:v>
                </c:pt>
                <c:pt idx="493">
                  <c:v>41969</c:v>
                </c:pt>
                <c:pt idx="494">
                  <c:v>41970</c:v>
                </c:pt>
                <c:pt idx="495">
                  <c:v>41971</c:v>
                </c:pt>
                <c:pt idx="496">
                  <c:v>41974</c:v>
                </c:pt>
                <c:pt idx="497">
                  <c:v>41975</c:v>
                </c:pt>
                <c:pt idx="498">
                  <c:v>41976</c:v>
                </c:pt>
                <c:pt idx="499">
                  <c:v>41977</c:v>
                </c:pt>
                <c:pt idx="500">
                  <c:v>41978</c:v>
                </c:pt>
                <c:pt idx="501">
                  <c:v>41981</c:v>
                </c:pt>
                <c:pt idx="502">
                  <c:v>41982</c:v>
                </c:pt>
                <c:pt idx="503">
                  <c:v>41983</c:v>
                </c:pt>
                <c:pt idx="504">
                  <c:v>41984</c:v>
                </c:pt>
                <c:pt idx="505">
                  <c:v>41985</c:v>
                </c:pt>
                <c:pt idx="506">
                  <c:v>41988</c:v>
                </c:pt>
                <c:pt idx="507">
                  <c:v>41989</c:v>
                </c:pt>
                <c:pt idx="508">
                  <c:v>41990</c:v>
                </c:pt>
                <c:pt idx="509">
                  <c:v>41991</c:v>
                </c:pt>
                <c:pt idx="510">
                  <c:v>41992</c:v>
                </c:pt>
                <c:pt idx="511">
                  <c:v>41995</c:v>
                </c:pt>
                <c:pt idx="512">
                  <c:v>41996</c:v>
                </c:pt>
                <c:pt idx="513">
                  <c:v>41997</c:v>
                </c:pt>
                <c:pt idx="514">
                  <c:v>41998</c:v>
                </c:pt>
                <c:pt idx="515">
                  <c:v>41999</c:v>
                </c:pt>
                <c:pt idx="516">
                  <c:v>42002</c:v>
                </c:pt>
                <c:pt idx="517">
                  <c:v>42003</c:v>
                </c:pt>
                <c:pt idx="518">
                  <c:v>42004</c:v>
                </c:pt>
                <c:pt idx="519">
                  <c:v>42005</c:v>
                </c:pt>
                <c:pt idx="520">
                  <c:v>42006</c:v>
                </c:pt>
                <c:pt idx="521">
                  <c:v>42009</c:v>
                </c:pt>
                <c:pt idx="522">
                  <c:v>42010</c:v>
                </c:pt>
                <c:pt idx="523">
                  <c:v>42011</c:v>
                </c:pt>
                <c:pt idx="524">
                  <c:v>42012</c:v>
                </c:pt>
                <c:pt idx="525">
                  <c:v>42013</c:v>
                </c:pt>
                <c:pt idx="526">
                  <c:v>42016</c:v>
                </c:pt>
                <c:pt idx="527">
                  <c:v>42017</c:v>
                </c:pt>
                <c:pt idx="528">
                  <c:v>42018</c:v>
                </c:pt>
                <c:pt idx="529">
                  <c:v>42019</c:v>
                </c:pt>
                <c:pt idx="530">
                  <c:v>42020</c:v>
                </c:pt>
                <c:pt idx="531">
                  <c:v>42023</c:v>
                </c:pt>
                <c:pt idx="532">
                  <c:v>42024</c:v>
                </c:pt>
                <c:pt idx="533">
                  <c:v>42025</c:v>
                </c:pt>
                <c:pt idx="534">
                  <c:v>42026</c:v>
                </c:pt>
                <c:pt idx="535">
                  <c:v>42027</c:v>
                </c:pt>
                <c:pt idx="536">
                  <c:v>42030</c:v>
                </c:pt>
                <c:pt idx="537">
                  <c:v>42031</c:v>
                </c:pt>
                <c:pt idx="538">
                  <c:v>42032</c:v>
                </c:pt>
                <c:pt idx="539">
                  <c:v>42033</c:v>
                </c:pt>
                <c:pt idx="540">
                  <c:v>42034</c:v>
                </c:pt>
                <c:pt idx="541">
                  <c:v>42037</c:v>
                </c:pt>
                <c:pt idx="542">
                  <c:v>42038</c:v>
                </c:pt>
                <c:pt idx="543">
                  <c:v>42039</c:v>
                </c:pt>
                <c:pt idx="544">
                  <c:v>42040</c:v>
                </c:pt>
                <c:pt idx="545">
                  <c:v>42041</c:v>
                </c:pt>
                <c:pt idx="546">
                  <c:v>42044</c:v>
                </c:pt>
                <c:pt idx="547">
                  <c:v>42045</c:v>
                </c:pt>
                <c:pt idx="548">
                  <c:v>42046</c:v>
                </c:pt>
                <c:pt idx="549">
                  <c:v>42047</c:v>
                </c:pt>
                <c:pt idx="550">
                  <c:v>42048</c:v>
                </c:pt>
                <c:pt idx="551">
                  <c:v>42051</c:v>
                </c:pt>
                <c:pt idx="552">
                  <c:v>42052</c:v>
                </c:pt>
                <c:pt idx="553">
                  <c:v>42053</c:v>
                </c:pt>
                <c:pt idx="554">
                  <c:v>42054</c:v>
                </c:pt>
                <c:pt idx="555">
                  <c:v>42055</c:v>
                </c:pt>
                <c:pt idx="556">
                  <c:v>42058</c:v>
                </c:pt>
                <c:pt idx="557">
                  <c:v>42059</c:v>
                </c:pt>
                <c:pt idx="558">
                  <c:v>42060</c:v>
                </c:pt>
                <c:pt idx="559">
                  <c:v>42061</c:v>
                </c:pt>
                <c:pt idx="560">
                  <c:v>42062</c:v>
                </c:pt>
                <c:pt idx="561">
                  <c:v>42065</c:v>
                </c:pt>
                <c:pt idx="562">
                  <c:v>42066</c:v>
                </c:pt>
                <c:pt idx="563">
                  <c:v>42067</c:v>
                </c:pt>
                <c:pt idx="564">
                  <c:v>42068</c:v>
                </c:pt>
                <c:pt idx="565">
                  <c:v>42069</c:v>
                </c:pt>
                <c:pt idx="566">
                  <c:v>42072</c:v>
                </c:pt>
                <c:pt idx="567">
                  <c:v>42073</c:v>
                </c:pt>
                <c:pt idx="568">
                  <c:v>42074</c:v>
                </c:pt>
                <c:pt idx="569">
                  <c:v>42075</c:v>
                </c:pt>
                <c:pt idx="570">
                  <c:v>42076</c:v>
                </c:pt>
                <c:pt idx="571">
                  <c:v>42079</c:v>
                </c:pt>
                <c:pt idx="572">
                  <c:v>42080</c:v>
                </c:pt>
                <c:pt idx="573">
                  <c:v>42081</c:v>
                </c:pt>
                <c:pt idx="574">
                  <c:v>42082</c:v>
                </c:pt>
                <c:pt idx="575">
                  <c:v>42083</c:v>
                </c:pt>
                <c:pt idx="576">
                  <c:v>42086</c:v>
                </c:pt>
                <c:pt idx="577">
                  <c:v>42087</c:v>
                </c:pt>
                <c:pt idx="578">
                  <c:v>42088</c:v>
                </c:pt>
                <c:pt idx="579">
                  <c:v>42089</c:v>
                </c:pt>
                <c:pt idx="580">
                  <c:v>42090</c:v>
                </c:pt>
                <c:pt idx="581">
                  <c:v>42093</c:v>
                </c:pt>
                <c:pt idx="582">
                  <c:v>42094</c:v>
                </c:pt>
                <c:pt idx="583">
                  <c:v>42095</c:v>
                </c:pt>
                <c:pt idx="584">
                  <c:v>42096</c:v>
                </c:pt>
                <c:pt idx="585">
                  <c:v>42097</c:v>
                </c:pt>
                <c:pt idx="586">
                  <c:v>42100</c:v>
                </c:pt>
                <c:pt idx="587">
                  <c:v>42101</c:v>
                </c:pt>
                <c:pt idx="588">
                  <c:v>42102</c:v>
                </c:pt>
                <c:pt idx="589">
                  <c:v>42103</c:v>
                </c:pt>
                <c:pt idx="590">
                  <c:v>42104</c:v>
                </c:pt>
                <c:pt idx="591">
                  <c:v>42107</c:v>
                </c:pt>
                <c:pt idx="592">
                  <c:v>42108</c:v>
                </c:pt>
                <c:pt idx="593">
                  <c:v>42109</c:v>
                </c:pt>
                <c:pt idx="594">
                  <c:v>42110</c:v>
                </c:pt>
                <c:pt idx="595">
                  <c:v>42111</c:v>
                </c:pt>
                <c:pt idx="596">
                  <c:v>42114</c:v>
                </c:pt>
                <c:pt idx="597">
                  <c:v>42115</c:v>
                </c:pt>
                <c:pt idx="598">
                  <c:v>42116</c:v>
                </c:pt>
                <c:pt idx="599">
                  <c:v>42117</c:v>
                </c:pt>
                <c:pt idx="600">
                  <c:v>42118</c:v>
                </c:pt>
                <c:pt idx="601">
                  <c:v>42121</c:v>
                </c:pt>
                <c:pt idx="602">
                  <c:v>42122</c:v>
                </c:pt>
                <c:pt idx="603">
                  <c:v>42123</c:v>
                </c:pt>
                <c:pt idx="604">
                  <c:v>42124</c:v>
                </c:pt>
                <c:pt idx="605">
                  <c:v>42125</c:v>
                </c:pt>
                <c:pt idx="606">
                  <c:v>42128</c:v>
                </c:pt>
                <c:pt idx="607">
                  <c:v>42129</c:v>
                </c:pt>
                <c:pt idx="608">
                  <c:v>42130</c:v>
                </c:pt>
                <c:pt idx="609">
                  <c:v>42131</c:v>
                </c:pt>
                <c:pt idx="610">
                  <c:v>42132</c:v>
                </c:pt>
                <c:pt idx="611">
                  <c:v>42135</c:v>
                </c:pt>
                <c:pt idx="612">
                  <c:v>42136</c:v>
                </c:pt>
                <c:pt idx="613">
                  <c:v>42137</c:v>
                </c:pt>
                <c:pt idx="614">
                  <c:v>42138</c:v>
                </c:pt>
                <c:pt idx="615">
                  <c:v>42139</c:v>
                </c:pt>
                <c:pt idx="616">
                  <c:v>42142</c:v>
                </c:pt>
                <c:pt idx="617">
                  <c:v>42143</c:v>
                </c:pt>
                <c:pt idx="618">
                  <c:v>42144</c:v>
                </c:pt>
                <c:pt idx="619">
                  <c:v>42145</c:v>
                </c:pt>
                <c:pt idx="620">
                  <c:v>42146</c:v>
                </c:pt>
                <c:pt idx="621">
                  <c:v>42149</c:v>
                </c:pt>
                <c:pt idx="622">
                  <c:v>42150</c:v>
                </c:pt>
                <c:pt idx="623">
                  <c:v>42151</c:v>
                </c:pt>
                <c:pt idx="624">
                  <c:v>42152</c:v>
                </c:pt>
                <c:pt idx="625">
                  <c:v>42153</c:v>
                </c:pt>
                <c:pt idx="626">
                  <c:v>42156</c:v>
                </c:pt>
                <c:pt idx="627">
                  <c:v>42157</c:v>
                </c:pt>
                <c:pt idx="628">
                  <c:v>42158</c:v>
                </c:pt>
                <c:pt idx="629">
                  <c:v>42159</c:v>
                </c:pt>
                <c:pt idx="630">
                  <c:v>42160</c:v>
                </c:pt>
                <c:pt idx="631">
                  <c:v>42163</c:v>
                </c:pt>
                <c:pt idx="632">
                  <c:v>42164</c:v>
                </c:pt>
                <c:pt idx="633">
                  <c:v>42165</c:v>
                </c:pt>
                <c:pt idx="634">
                  <c:v>42166</c:v>
                </c:pt>
                <c:pt idx="635">
                  <c:v>42167</c:v>
                </c:pt>
                <c:pt idx="636">
                  <c:v>42170</c:v>
                </c:pt>
                <c:pt idx="637">
                  <c:v>42171</c:v>
                </c:pt>
                <c:pt idx="638">
                  <c:v>42172</c:v>
                </c:pt>
                <c:pt idx="639">
                  <c:v>42173</c:v>
                </c:pt>
                <c:pt idx="640">
                  <c:v>42174</c:v>
                </c:pt>
                <c:pt idx="641">
                  <c:v>42177</c:v>
                </c:pt>
                <c:pt idx="642">
                  <c:v>42178</c:v>
                </c:pt>
                <c:pt idx="643">
                  <c:v>42179</c:v>
                </c:pt>
                <c:pt idx="644">
                  <c:v>42180</c:v>
                </c:pt>
                <c:pt idx="645">
                  <c:v>42181</c:v>
                </c:pt>
                <c:pt idx="646">
                  <c:v>42184</c:v>
                </c:pt>
                <c:pt idx="647">
                  <c:v>42185</c:v>
                </c:pt>
                <c:pt idx="648">
                  <c:v>42186</c:v>
                </c:pt>
                <c:pt idx="649">
                  <c:v>42187</c:v>
                </c:pt>
                <c:pt idx="650">
                  <c:v>42188</c:v>
                </c:pt>
                <c:pt idx="651">
                  <c:v>42191</c:v>
                </c:pt>
                <c:pt idx="652">
                  <c:v>42192</c:v>
                </c:pt>
                <c:pt idx="653">
                  <c:v>42193</c:v>
                </c:pt>
                <c:pt idx="654">
                  <c:v>42194</c:v>
                </c:pt>
                <c:pt idx="655">
                  <c:v>42195</c:v>
                </c:pt>
                <c:pt idx="656">
                  <c:v>42198</c:v>
                </c:pt>
                <c:pt idx="657">
                  <c:v>42199</c:v>
                </c:pt>
                <c:pt idx="658">
                  <c:v>42200</c:v>
                </c:pt>
                <c:pt idx="659">
                  <c:v>42201</c:v>
                </c:pt>
                <c:pt idx="660">
                  <c:v>42202</c:v>
                </c:pt>
                <c:pt idx="661">
                  <c:v>42205</c:v>
                </c:pt>
                <c:pt idx="662">
                  <c:v>42206</c:v>
                </c:pt>
                <c:pt idx="663">
                  <c:v>42207</c:v>
                </c:pt>
                <c:pt idx="664">
                  <c:v>42208</c:v>
                </c:pt>
                <c:pt idx="665">
                  <c:v>42209</c:v>
                </c:pt>
                <c:pt idx="666">
                  <c:v>42212</c:v>
                </c:pt>
                <c:pt idx="667">
                  <c:v>42213</c:v>
                </c:pt>
                <c:pt idx="668">
                  <c:v>42214</c:v>
                </c:pt>
                <c:pt idx="669">
                  <c:v>42215</c:v>
                </c:pt>
                <c:pt idx="670">
                  <c:v>42216</c:v>
                </c:pt>
                <c:pt idx="671">
                  <c:v>42219</c:v>
                </c:pt>
                <c:pt idx="672">
                  <c:v>42220</c:v>
                </c:pt>
                <c:pt idx="673">
                  <c:v>42221</c:v>
                </c:pt>
                <c:pt idx="674">
                  <c:v>42222</c:v>
                </c:pt>
                <c:pt idx="675">
                  <c:v>42223</c:v>
                </c:pt>
                <c:pt idx="676">
                  <c:v>42226</c:v>
                </c:pt>
                <c:pt idx="677">
                  <c:v>42227</c:v>
                </c:pt>
                <c:pt idx="678">
                  <c:v>42228</c:v>
                </c:pt>
                <c:pt idx="679">
                  <c:v>42229</c:v>
                </c:pt>
                <c:pt idx="680">
                  <c:v>42230</c:v>
                </c:pt>
                <c:pt idx="681">
                  <c:v>42233</c:v>
                </c:pt>
                <c:pt idx="682">
                  <c:v>42234</c:v>
                </c:pt>
                <c:pt idx="683">
                  <c:v>42235</c:v>
                </c:pt>
                <c:pt idx="684">
                  <c:v>42236</c:v>
                </c:pt>
                <c:pt idx="685">
                  <c:v>42237</c:v>
                </c:pt>
                <c:pt idx="686">
                  <c:v>42240</c:v>
                </c:pt>
                <c:pt idx="687">
                  <c:v>42241</c:v>
                </c:pt>
                <c:pt idx="688">
                  <c:v>42242</c:v>
                </c:pt>
                <c:pt idx="689">
                  <c:v>42243</c:v>
                </c:pt>
                <c:pt idx="690">
                  <c:v>42244</c:v>
                </c:pt>
                <c:pt idx="691">
                  <c:v>42247</c:v>
                </c:pt>
                <c:pt idx="692">
                  <c:v>42248</c:v>
                </c:pt>
                <c:pt idx="693">
                  <c:v>42249</c:v>
                </c:pt>
                <c:pt idx="694">
                  <c:v>42250</c:v>
                </c:pt>
                <c:pt idx="695">
                  <c:v>42251</c:v>
                </c:pt>
                <c:pt idx="696">
                  <c:v>42254</c:v>
                </c:pt>
                <c:pt idx="697">
                  <c:v>42255</c:v>
                </c:pt>
                <c:pt idx="698">
                  <c:v>42256</c:v>
                </c:pt>
                <c:pt idx="699">
                  <c:v>42257</c:v>
                </c:pt>
                <c:pt idx="700">
                  <c:v>42258</c:v>
                </c:pt>
                <c:pt idx="701">
                  <c:v>42261</c:v>
                </c:pt>
                <c:pt idx="702">
                  <c:v>42262</c:v>
                </c:pt>
                <c:pt idx="703">
                  <c:v>42263</c:v>
                </c:pt>
                <c:pt idx="704">
                  <c:v>42264</c:v>
                </c:pt>
                <c:pt idx="705">
                  <c:v>42265</c:v>
                </c:pt>
                <c:pt idx="706">
                  <c:v>42268</c:v>
                </c:pt>
                <c:pt idx="707">
                  <c:v>42269</c:v>
                </c:pt>
                <c:pt idx="708">
                  <c:v>42270</c:v>
                </c:pt>
                <c:pt idx="709">
                  <c:v>42271</c:v>
                </c:pt>
                <c:pt idx="710">
                  <c:v>42272</c:v>
                </c:pt>
                <c:pt idx="711">
                  <c:v>42275</c:v>
                </c:pt>
                <c:pt idx="712">
                  <c:v>42276</c:v>
                </c:pt>
                <c:pt idx="713">
                  <c:v>42277</c:v>
                </c:pt>
                <c:pt idx="714">
                  <c:v>42278</c:v>
                </c:pt>
                <c:pt idx="715">
                  <c:v>42279</c:v>
                </c:pt>
                <c:pt idx="716">
                  <c:v>42282</c:v>
                </c:pt>
                <c:pt idx="717">
                  <c:v>42283</c:v>
                </c:pt>
                <c:pt idx="718">
                  <c:v>42284</c:v>
                </c:pt>
                <c:pt idx="719">
                  <c:v>42285</c:v>
                </c:pt>
                <c:pt idx="720">
                  <c:v>42286</c:v>
                </c:pt>
                <c:pt idx="721">
                  <c:v>42289</c:v>
                </c:pt>
                <c:pt idx="722">
                  <c:v>42290</c:v>
                </c:pt>
                <c:pt idx="723">
                  <c:v>42291</c:v>
                </c:pt>
                <c:pt idx="724">
                  <c:v>42292</c:v>
                </c:pt>
                <c:pt idx="725">
                  <c:v>42293</c:v>
                </c:pt>
                <c:pt idx="726">
                  <c:v>42296</c:v>
                </c:pt>
                <c:pt idx="727">
                  <c:v>42297</c:v>
                </c:pt>
                <c:pt idx="728">
                  <c:v>42298</c:v>
                </c:pt>
                <c:pt idx="729">
                  <c:v>42299</c:v>
                </c:pt>
                <c:pt idx="730">
                  <c:v>42300</c:v>
                </c:pt>
                <c:pt idx="731">
                  <c:v>42303</c:v>
                </c:pt>
                <c:pt idx="732">
                  <c:v>42304</c:v>
                </c:pt>
                <c:pt idx="733">
                  <c:v>42305</c:v>
                </c:pt>
                <c:pt idx="734">
                  <c:v>42306</c:v>
                </c:pt>
                <c:pt idx="735">
                  <c:v>42307</c:v>
                </c:pt>
                <c:pt idx="736">
                  <c:v>42310</c:v>
                </c:pt>
                <c:pt idx="737">
                  <c:v>42311</c:v>
                </c:pt>
                <c:pt idx="738">
                  <c:v>42312</c:v>
                </c:pt>
                <c:pt idx="739">
                  <c:v>42313</c:v>
                </c:pt>
                <c:pt idx="740">
                  <c:v>42314</c:v>
                </c:pt>
                <c:pt idx="741">
                  <c:v>42317</c:v>
                </c:pt>
                <c:pt idx="742">
                  <c:v>42318</c:v>
                </c:pt>
                <c:pt idx="743">
                  <c:v>42319</c:v>
                </c:pt>
                <c:pt idx="744">
                  <c:v>42320</c:v>
                </c:pt>
                <c:pt idx="745">
                  <c:v>42321</c:v>
                </c:pt>
                <c:pt idx="746">
                  <c:v>42324</c:v>
                </c:pt>
                <c:pt idx="747">
                  <c:v>42325</c:v>
                </c:pt>
                <c:pt idx="748">
                  <c:v>42326</c:v>
                </c:pt>
                <c:pt idx="749">
                  <c:v>42327</c:v>
                </c:pt>
                <c:pt idx="750">
                  <c:v>42328</c:v>
                </c:pt>
                <c:pt idx="751">
                  <c:v>42331</c:v>
                </c:pt>
                <c:pt idx="752">
                  <c:v>42332</c:v>
                </c:pt>
                <c:pt idx="753">
                  <c:v>42333</c:v>
                </c:pt>
                <c:pt idx="754">
                  <c:v>42334</c:v>
                </c:pt>
                <c:pt idx="755">
                  <c:v>42335</c:v>
                </c:pt>
                <c:pt idx="756">
                  <c:v>42338</c:v>
                </c:pt>
                <c:pt idx="757">
                  <c:v>42339</c:v>
                </c:pt>
                <c:pt idx="758">
                  <c:v>42340</c:v>
                </c:pt>
                <c:pt idx="759">
                  <c:v>42341</c:v>
                </c:pt>
                <c:pt idx="760">
                  <c:v>42342</c:v>
                </c:pt>
                <c:pt idx="761">
                  <c:v>42345</c:v>
                </c:pt>
                <c:pt idx="762">
                  <c:v>42346</c:v>
                </c:pt>
                <c:pt idx="763">
                  <c:v>42347</c:v>
                </c:pt>
                <c:pt idx="764">
                  <c:v>42348</c:v>
                </c:pt>
                <c:pt idx="765">
                  <c:v>42349</c:v>
                </c:pt>
                <c:pt idx="766">
                  <c:v>42352</c:v>
                </c:pt>
                <c:pt idx="767">
                  <c:v>42353</c:v>
                </c:pt>
                <c:pt idx="768">
                  <c:v>42354</c:v>
                </c:pt>
                <c:pt idx="769">
                  <c:v>42355</c:v>
                </c:pt>
                <c:pt idx="770">
                  <c:v>42356</c:v>
                </c:pt>
                <c:pt idx="771">
                  <c:v>42359</c:v>
                </c:pt>
                <c:pt idx="772">
                  <c:v>42360</c:v>
                </c:pt>
                <c:pt idx="773">
                  <c:v>42361</c:v>
                </c:pt>
                <c:pt idx="774">
                  <c:v>42362</c:v>
                </c:pt>
                <c:pt idx="775">
                  <c:v>42363</c:v>
                </c:pt>
                <c:pt idx="776">
                  <c:v>42366</c:v>
                </c:pt>
                <c:pt idx="777">
                  <c:v>42367</c:v>
                </c:pt>
                <c:pt idx="778">
                  <c:v>42368</c:v>
                </c:pt>
                <c:pt idx="779">
                  <c:v>42369</c:v>
                </c:pt>
                <c:pt idx="780">
                  <c:v>42370</c:v>
                </c:pt>
                <c:pt idx="781">
                  <c:v>42373</c:v>
                </c:pt>
                <c:pt idx="782">
                  <c:v>42374</c:v>
                </c:pt>
                <c:pt idx="783">
                  <c:v>42375</c:v>
                </c:pt>
                <c:pt idx="784">
                  <c:v>42376</c:v>
                </c:pt>
                <c:pt idx="785">
                  <c:v>42377</c:v>
                </c:pt>
                <c:pt idx="786">
                  <c:v>42380</c:v>
                </c:pt>
                <c:pt idx="787">
                  <c:v>42381</c:v>
                </c:pt>
                <c:pt idx="788">
                  <c:v>42382</c:v>
                </c:pt>
                <c:pt idx="789">
                  <c:v>42383</c:v>
                </c:pt>
                <c:pt idx="790">
                  <c:v>42384</c:v>
                </c:pt>
                <c:pt idx="791">
                  <c:v>42387</c:v>
                </c:pt>
                <c:pt idx="792">
                  <c:v>42388</c:v>
                </c:pt>
                <c:pt idx="793">
                  <c:v>42389</c:v>
                </c:pt>
                <c:pt idx="794">
                  <c:v>42390</c:v>
                </c:pt>
                <c:pt idx="795">
                  <c:v>42391</c:v>
                </c:pt>
                <c:pt idx="796">
                  <c:v>42394</c:v>
                </c:pt>
                <c:pt idx="797">
                  <c:v>42395</c:v>
                </c:pt>
                <c:pt idx="798">
                  <c:v>42396</c:v>
                </c:pt>
                <c:pt idx="799">
                  <c:v>42397</c:v>
                </c:pt>
                <c:pt idx="800">
                  <c:v>42398</c:v>
                </c:pt>
                <c:pt idx="801">
                  <c:v>42401</c:v>
                </c:pt>
                <c:pt idx="802">
                  <c:v>42402</c:v>
                </c:pt>
                <c:pt idx="803">
                  <c:v>42403</c:v>
                </c:pt>
                <c:pt idx="804">
                  <c:v>42404</c:v>
                </c:pt>
                <c:pt idx="805">
                  <c:v>42405</c:v>
                </c:pt>
                <c:pt idx="806">
                  <c:v>42408</c:v>
                </c:pt>
                <c:pt idx="807">
                  <c:v>42409</c:v>
                </c:pt>
                <c:pt idx="808">
                  <c:v>42410</c:v>
                </c:pt>
                <c:pt idx="809">
                  <c:v>42411</c:v>
                </c:pt>
                <c:pt idx="810">
                  <c:v>42412</c:v>
                </c:pt>
                <c:pt idx="811">
                  <c:v>42415</c:v>
                </c:pt>
                <c:pt idx="812">
                  <c:v>42416</c:v>
                </c:pt>
                <c:pt idx="813">
                  <c:v>42417</c:v>
                </c:pt>
                <c:pt idx="814">
                  <c:v>42418</c:v>
                </c:pt>
                <c:pt idx="815">
                  <c:v>42419</c:v>
                </c:pt>
                <c:pt idx="816">
                  <c:v>42422</c:v>
                </c:pt>
                <c:pt idx="817">
                  <c:v>42423</c:v>
                </c:pt>
                <c:pt idx="818">
                  <c:v>42424</c:v>
                </c:pt>
                <c:pt idx="819">
                  <c:v>42425</c:v>
                </c:pt>
                <c:pt idx="820">
                  <c:v>42426</c:v>
                </c:pt>
                <c:pt idx="821">
                  <c:v>42429</c:v>
                </c:pt>
                <c:pt idx="822">
                  <c:v>42430</c:v>
                </c:pt>
                <c:pt idx="823">
                  <c:v>42431</c:v>
                </c:pt>
                <c:pt idx="824">
                  <c:v>42432</c:v>
                </c:pt>
                <c:pt idx="825">
                  <c:v>42433</c:v>
                </c:pt>
                <c:pt idx="826">
                  <c:v>42436</c:v>
                </c:pt>
                <c:pt idx="827">
                  <c:v>42437</c:v>
                </c:pt>
                <c:pt idx="828">
                  <c:v>42438</c:v>
                </c:pt>
                <c:pt idx="829">
                  <c:v>42439</c:v>
                </c:pt>
                <c:pt idx="830">
                  <c:v>42440</c:v>
                </c:pt>
                <c:pt idx="831">
                  <c:v>42443</c:v>
                </c:pt>
                <c:pt idx="832">
                  <c:v>42444</c:v>
                </c:pt>
                <c:pt idx="833">
                  <c:v>42445</c:v>
                </c:pt>
                <c:pt idx="834">
                  <c:v>42446</c:v>
                </c:pt>
                <c:pt idx="835">
                  <c:v>42447</c:v>
                </c:pt>
                <c:pt idx="836">
                  <c:v>42450</c:v>
                </c:pt>
                <c:pt idx="837">
                  <c:v>42451</c:v>
                </c:pt>
                <c:pt idx="838">
                  <c:v>42452</c:v>
                </c:pt>
                <c:pt idx="839">
                  <c:v>42453</c:v>
                </c:pt>
                <c:pt idx="840">
                  <c:v>42454</c:v>
                </c:pt>
                <c:pt idx="841">
                  <c:v>42457</c:v>
                </c:pt>
                <c:pt idx="842">
                  <c:v>42458</c:v>
                </c:pt>
                <c:pt idx="843">
                  <c:v>42459</c:v>
                </c:pt>
                <c:pt idx="844">
                  <c:v>42460</c:v>
                </c:pt>
                <c:pt idx="845">
                  <c:v>42461</c:v>
                </c:pt>
                <c:pt idx="846">
                  <c:v>42464</c:v>
                </c:pt>
                <c:pt idx="847">
                  <c:v>42465</c:v>
                </c:pt>
                <c:pt idx="848">
                  <c:v>42466</c:v>
                </c:pt>
                <c:pt idx="849">
                  <c:v>42467</c:v>
                </c:pt>
                <c:pt idx="850">
                  <c:v>42468</c:v>
                </c:pt>
                <c:pt idx="851">
                  <c:v>42471</c:v>
                </c:pt>
                <c:pt idx="852">
                  <c:v>42472</c:v>
                </c:pt>
                <c:pt idx="853">
                  <c:v>42473</c:v>
                </c:pt>
                <c:pt idx="854">
                  <c:v>42474</c:v>
                </c:pt>
                <c:pt idx="855">
                  <c:v>42475</c:v>
                </c:pt>
                <c:pt idx="856">
                  <c:v>42478</c:v>
                </c:pt>
                <c:pt idx="857">
                  <c:v>42479</c:v>
                </c:pt>
                <c:pt idx="858">
                  <c:v>42480</c:v>
                </c:pt>
                <c:pt idx="859">
                  <c:v>42481</c:v>
                </c:pt>
                <c:pt idx="860">
                  <c:v>42482</c:v>
                </c:pt>
                <c:pt idx="861">
                  <c:v>42485</c:v>
                </c:pt>
                <c:pt idx="862">
                  <c:v>42486</c:v>
                </c:pt>
                <c:pt idx="863">
                  <c:v>42487</c:v>
                </c:pt>
                <c:pt idx="864">
                  <c:v>42488</c:v>
                </c:pt>
                <c:pt idx="865">
                  <c:v>42489</c:v>
                </c:pt>
                <c:pt idx="866">
                  <c:v>42492</c:v>
                </c:pt>
                <c:pt idx="867">
                  <c:v>42493</c:v>
                </c:pt>
                <c:pt idx="868">
                  <c:v>42494</c:v>
                </c:pt>
                <c:pt idx="869">
                  <c:v>42495</c:v>
                </c:pt>
                <c:pt idx="870">
                  <c:v>42496</c:v>
                </c:pt>
                <c:pt idx="871">
                  <c:v>42499</c:v>
                </c:pt>
                <c:pt idx="872">
                  <c:v>42500</c:v>
                </c:pt>
                <c:pt idx="873">
                  <c:v>42501</c:v>
                </c:pt>
                <c:pt idx="874">
                  <c:v>42502</c:v>
                </c:pt>
                <c:pt idx="875">
                  <c:v>42503</c:v>
                </c:pt>
                <c:pt idx="876">
                  <c:v>42506</c:v>
                </c:pt>
                <c:pt idx="877">
                  <c:v>42507</c:v>
                </c:pt>
                <c:pt idx="878">
                  <c:v>42508</c:v>
                </c:pt>
                <c:pt idx="879">
                  <c:v>42509</c:v>
                </c:pt>
                <c:pt idx="880">
                  <c:v>42510</c:v>
                </c:pt>
                <c:pt idx="881">
                  <c:v>42513</c:v>
                </c:pt>
                <c:pt idx="882">
                  <c:v>42514</c:v>
                </c:pt>
                <c:pt idx="883">
                  <c:v>42515</c:v>
                </c:pt>
                <c:pt idx="884">
                  <c:v>42516</c:v>
                </c:pt>
                <c:pt idx="885">
                  <c:v>42517</c:v>
                </c:pt>
                <c:pt idx="886">
                  <c:v>42520</c:v>
                </c:pt>
                <c:pt idx="887">
                  <c:v>42521</c:v>
                </c:pt>
                <c:pt idx="888">
                  <c:v>42522</c:v>
                </c:pt>
                <c:pt idx="889">
                  <c:v>42523</c:v>
                </c:pt>
                <c:pt idx="890">
                  <c:v>42524</c:v>
                </c:pt>
                <c:pt idx="891">
                  <c:v>42527</c:v>
                </c:pt>
                <c:pt idx="892">
                  <c:v>42528</c:v>
                </c:pt>
                <c:pt idx="893">
                  <c:v>42529</c:v>
                </c:pt>
                <c:pt idx="894">
                  <c:v>42530</c:v>
                </c:pt>
                <c:pt idx="895">
                  <c:v>42531</c:v>
                </c:pt>
                <c:pt idx="896">
                  <c:v>42534</c:v>
                </c:pt>
                <c:pt idx="897">
                  <c:v>42535</c:v>
                </c:pt>
                <c:pt idx="898">
                  <c:v>42536</c:v>
                </c:pt>
                <c:pt idx="899">
                  <c:v>42537</c:v>
                </c:pt>
                <c:pt idx="900">
                  <c:v>42538</c:v>
                </c:pt>
                <c:pt idx="901">
                  <c:v>42541</c:v>
                </c:pt>
                <c:pt idx="902">
                  <c:v>42542</c:v>
                </c:pt>
                <c:pt idx="903">
                  <c:v>42543</c:v>
                </c:pt>
                <c:pt idx="904">
                  <c:v>42544</c:v>
                </c:pt>
                <c:pt idx="905">
                  <c:v>42545</c:v>
                </c:pt>
                <c:pt idx="906">
                  <c:v>42548</c:v>
                </c:pt>
                <c:pt idx="907">
                  <c:v>42549</c:v>
                </c:pt>
                <c:pt idx="908">
                  <c:v>42550</c:v>
                </c:pt>
                <c:pt idx="909">
                  <c:v>42551</c:v>
                </c:pt>
                <c:pt idx="910">
                  <c:v>42552</c:v>
                </c:pt>
                <c:pt idx="911">
                  <c:v>42555</c:v>
                </c:pt>
                <c:pt idx="912">
                  <c:v>42556</c:v>
                </c:pt>
                <c:pt idx="913">
                  <c:v>42557</c:v>
                </c:pt>
                <c:pt idx="914">
                  <c:v>42558</c:v>
                </c:pt>
                <c:pt idx="915">
                  <c:v>42559</c:v>
                </c:pt>
                <c:pt idx="916">
                  <c:v>42562</c:v>
                </c:pt>
                <c:pt idx="917">
                  <c:v>42563</c:v>
                </c:pt>
                <c:pt idx="918">
                  <c:v>42564</c:v>
                </c:pt>
                <c:pt idx="919">
                  <c:v>42565</c:v>
                </c:pt>
                <c:pt idx="920">
                  <c:v>42566</c:v>
                </c:pt>
                <c:pt idx="921">
                  <c:v>42569</c:v>
                </c:pt>
                <c:pt idx="922">
                  <c:v>42570</c:v>
                </c:pt>
                <c:pt idx="923">
                  <c:v>42571</c:v>
                </c:pt>
                <c:pt idx="924">
                  <c:v>42572</c:v>
                </c:pt>
                <c:pt idx="925">
                  <c:v>42573</c:v>
                </c:pt>
                <c:pt idx="926">
                  <c:v>42576</c:v>
                </c:pt>
                <c:pt idx="927">
                  <c:v>42577</c:v>
                </c:pt>
                <c:pt idx="928">
                  <c:v>42578</c:v>
                </c:pt>
                <c:pt idx="929">
                  <c:v>42579</c:v>
                </c:pt>
                <c:pt idx="930">
                  <c:v>42580</c:v>
                </c:pt>
                <c:pt idx="931">
                  <c:v>42583</c:v>
                </c:pt>
                <c:pt idx="932">
                  <c:v>42584</c:v>
                </c:pt>
                <c:pt idx="933">
                  <c:v>42585</c:v>
                </c:pt>
                <c:pt idx="934">
                  <c:v>42586</c:v>
                </c:pt>
                <c:pt idx="935">
                  <c:v>42587</c:v>
                </c:pt>
                <c:pt idx="936">
                  <c:v>42590</c:v>
                </c:pt>
                <c:pt idx="937">
                  <c:v>42591</c:v>
                </c:pt>
                <c:pt idx="938">
                  <c:v>42592</c:v>
                </c:pt>
                <c:pt idx="939">
                  <c:v>42593</c:v>
                </c:pt>
                <c:pt idx="940">
                  <c:v>42594</c:v>
                </c:pt>
                <c:pt idx="941">
                  <c:v>42597</c:v>
                </c:pt>
                <c:pt idx="942">
                  <c:v>42598</c:v>
                </c:pt>
                <c:pt idx="943">
                  <c:v>42599</c:v>
                </c:pt>
                <c:pt idx="944">
                  <c:v>42600</c:v>
                </c:pt>
                <c:pt idx="945">
                  <c:v>42601</c:v>
                </c:pt>
                <c:pt idx="946">
                  <c:v>42604</c:v>
                </c:pt>
                <c:pt idx="947">
                  <c:v>42605</c:v>
                </c:pt>
                <c:pt idx="948">
                  <c:v>42606</c:v>
                </c:pt>
                <c:pt idx="949">
                  <c:v>42607</c:v>
                </c:pt>
                <c:pt idx="950">
                  <c:v>42608</c:v>
                </c:pt>
                <c:pt idx="951">
                  <c:v>42611</c:v>
                </c:pt>
                <c:pt idx="952">
                  <c:v>42612</c:v>
                </c:pt>
                <c:pt idx="953">
                  <c:v>42613</c:v>
                </c:pt>
                <c:pt idx="954">
                  <c:v>42614</c:v>
                </c:pt>
                <c:pt idx="955">
                  <c:v>42615</c:v>
                </c:pt>
                <c:pt idx="956">
                  <c:v>42618</c:v>
                </c:pt>
                <c:pt idx="957">
                  <c:v>42619</c:v>
                </c:pt>
                <c:pt idx="958">
                  <c:v>42620</c:v>
                </c:pt>
                <c:pt idx="959">
                  <c:v>42621</c:v>
                </c:pt>
                <c:pt idx="960">
                  <c:v>42622</c:v>
                </c:pt>
                <c:pt idx="961">
                  <c:v>42625</c:v>
                </c:pt>
                <c:pt idx="962">
                  <c:v>42626</c:v>
                </c:pt>
                <c:pt idx="963">
                  <c:v>42627</c:v>
                </c:pt>
                <c:pt idx="964">
                  <c:v>42628</c:v>
                </c:pt>
                <c:pt idx="965">
                  <c:v>42629</c:v>
                </c:pt>
                <c:pt idx="966">
                  <c:v>42632</c:v>
                </c:pt>
                <c:pt idx="967">
                  <c:v>42633</c:v>
                </c:pt>
                <c:pt idx="968">
                  <c:v>42634</c:v>
                </c:pt>
                <c:pt idx="969">
                  <c:v>42635</c:v>
                </c:pt>
                <c:pt idx="970">
                  <c:v>42636</c:v>
                </c:pt>
                <c:pt idx="971">
                  <c:v>42639</c:v>
                </c:pt>
                <c:pt idx="972">
                  <c:v>42640</c:v>
                </c:pt>
                <c:pt idx="973">
                  <c:v>42641</c:v>
                </c:pt>
                <c:pt idx="974">
                  <c:v>42642</c:v>
                </c:pt>
                <c:pt idx="975">
                  <c:v>42643</c:v>
                </c:pt>
                <c:pt idx="976">
                  <c:v>42646</c:v>
                </c:pt>
                <c:pt idx="977">
                  <c:v>42647</c:v>
                </c:pt>
                <c:pt idx="978">
                  <c:v>42648</c:v>
                </c:pt>
                <c:pt idx="979">
                  <c:v>42649</c:v>
                </c:pt>
                <c:pt idx="980">
                  <c:v>42650</c:v>
                </c:pt>
                <c:pt idx="981">
                  <c:v>42653</c:v>
                </c:pt>
                <c:pt idx="982">
                  <c:v>42654</c:v>
                </c:pt>
                <c:pt idx="983">
                  <c:v>42655</c:v>
                </c:pt>
                <c:pt idx="984">
                  <c:v>42656</c:v>
                </c:pt>
                <c:pt idx="985">
                  <c:v>42657</c:v>
                </c:pt>
                <c:pt idx="986">
                  <c:v>42660</c:v>
                </c:pt>
                <c:pt idx="987">
                  <c:v>42661</c:v>
                </c:pt>
                <c:pt idx="988">
                  <c:v>42662</c:v>
                </c:pt>
                <c:pt idx="989">
                  <c:v>42663</c:v>
                </c:pt>
                <c:pt idx="990">
                  <c:v>42664</c:v>
                </c:pt>
                <c:pt idx="991">
                  <c:v>42667</c:v>
                </c:pt>
                <c:pt idx="992">
                  <c:v>42668</c:v>
                </c:pt>
                <c:pt idx="993">
                  <c:v>42669</c:v>
                </c:pt>
                <c:pt idx="994">
                  <c:v>42670</c:v>
                </c:pt>
                <c:pt idx="995">
                  <c:v>42671</c:v>
                </c:pt>
                <c:pt idx="996">
                  <c:v>42674</c:v>
                </c:pt>
                <c:pt idx="997">
                  <c:v>42675</c:v>
                </c:pt>
                <c:pt idx="998">
                  <c:v>42676</c:v>
                </c:pt>
                <c:pt idx="999">
                  <c:v>42677</c:v>
                </c:pt>
                <c:pt idx="1000">
                  <c:v>42678</c:v>
                </c:pt>
                <c:pt idx="1001">
                  <c:v>42681</c:v>
                </c:pt>
                <c:pt idx="1002">
                  <c:v>42682</c:v>
                </c:pt>
                <c:pt idx="1003">
                  <c:v>42683</c:v>
                </c:pt>
                <c:pt idx="1004">
                  <c:v>42684</c:v>
                </c:pt>
                <c:pt idx="1005">
                  <c:v>42685</c:v>
                </c:pt>
                <c:pt idx="1006">
                  <c:v>42688</c:v>
                </c:pt>
                <c:pt idx="1007">
                  <c:v>42689</c:v>
                </c:pt>
                <c:pt idx="1008">
                  <c:v>42690</c:v>
                </c:pt>
                <c:pt idx="1009">
                  <c:v>42691</c:v>
                </c:pt>
                <c:pt idx="1010">
                  <c:v>42692</c:v>
                </c:pt>
                <c:pt idx="1011">
                  <c:v>42695</c:v>
                </c:pt>
                <c:pt idx="1012">
                  <c:v>42696</c:v>
                </c:pt>
                <c:pt idx="1013">
                  <c:v>42697</c:v>
                </c:pt>
                <c:pt idx="1014">
                  <c:v>42698</c:v>
                </c:pt>
                <c:pt idx="1015">
                  <c:v>42699</c:v>
                </c:pt>
                <c:pt idx="1016">
                  <c:v>42702</c:v>
                </c:pt>
                <c:pt idx="1017">
                  <c:v>42703</c:v>
                </c:pt>
                <c:pt idx="1018">
                  <c:v>42704</c:v>
                </c:pt>
                <c:pt idx="1019">
                  <c:v>42705</c:v>
                </c:pt>
                <c:pt idx="1020">
                  <c:v>42706</c:v>
                </c:pt>
                <c:pt idx="1021">
                  <c:v>42709</c:v>
                </c:pt>
                <c:pt idx="1022">
                  <c:v>42710</c:v>
                </c:pt>
                <c:pt idx="1023">
                  <c:v>42711</c:v>
                </c:pt>
                <c:pt idx="1024">
                  <c:v>42712</c:v>
                </c:pt>
                <c:pt idx="1025">
                  <c:v>42713</c:v>
                </c:pt>
                <c:pt idx="1026">
                  <c:v>42716</c:v>
                </c:pt>
                <c:pt idx="1027">
                  <c:v>42717</c:v>
                </c:pt>
                <c:pt idx="1028">
                  <c:v>42718</c:v>
                </c:pt>
                <c:pt idx="1029">
                  <c:v>42719</c:v>
                </c:pt>
                <c:pt idx="1030">
                  <c:v>42720</c:v>
                </c:pt>
                <c:pt idx="1031">
                  <c:v>42723</c:v>
                </c:pt>
                <c:pt idx="1032">
                  <c:v>42724</c:v>
                </c:pt>
                <c:pt idx="1033">
                  <c:v>42725</c:v>
                </c:pt>
                <c:pt idx="1034">
                  <c:v>42726</c:v>
                </c:pt>
                <c:pt idx="1035">
                  <c:v>42727</c:v>
                </c:pt>
                <c:pt idx="1036">
                  <c:v>42730</c:v>
                </c:pt>
                <c:pt idx="1037">
                  <c:v>42731</c:v>
                </c:pt>
                <c:pt idx="1038">
                  <c:v>42732</c:v>
                </c:pt>
                <c:pt idx="1039">
                  <c:v>42733</c:v>
                </c:pt>
                <c:pt idx="1040">
                  <c:v>42734</c:v>
                </c:pt>
                <c:pt idx="1041">
                  <c:v>42737</c:v>
                </c:pt>
                <c:pt idx="1042">
                  <c:v>42738</c:v>
                </c:pt>
                <c:pt idx="1043">
                  <c:v>42739</c:v>
                </c:pt>
                <c:pt idx="1044">
                  <c:v>42740</c:v>
                </c:pt>
                <c:pt idx="1045">
                  <c:v>42741</c:v>
                </c:pt>
                <c:pt idx="1046">
                  <c:v>42744</c:v>
                </c:pt>
                <c:pt idx="1047">
                  <c:v>42745</c:v>
                </c:pt>
                <c:pt idx="1048">
                  <c:v>42746</c:v>
                </c:pt>
                <c:pt idx="1049">
                  <c:v>42747</c:v>
                </c:pt>
                <c:pt idx="1050">
                  <c:v>42748</c:v>
                </c:pt>
                <c:pt idx="1051">
                  <c:v>42751</c:v>
                </c:pt>
                <c:pt idx="1052">
                  <c:v>42752</c:v>
                </c:pt>
                <c:pt idx="1053">
                  <c:v>42753</c:v>
                </c:pt>
                <c:pt idx="1054">
                  <c:v>42754</c:v>
                </c:pt>
                <c:pt idx="1055">
                  <c:v>42755</c:v>
                </c:pt>
                <c:pt idx="1056">
                  <c:v>42758</c:v>
                </c:pt>
                <c:pt idx="1057">
                  <c:v>42759</c:v>
                </c:pt>
                <c:pt idx="1058">
                  <c:v>42760</c:v>
                </c:pt>
                <c:pt idx="1059">
                  <c:v>42761</c:v>
                </c:pt>
                <c:pt idx="1060">
                  <c:v>42762</c:v>
                </c:pt>
                <c:pt idx="1061">
                  <c:v>42765</c:v>
                </c:pt>
                <c:pt idx="1062">
                  <c:v>42766</c:v>
                </c:pt>
                <c:pt idx="1063">
                  <c:v>42767</c:v>
                </c:pt>
                <c:pt idx="1064">
                  <c:v>42768</c:v>
                </c:pt>
                <c:pt idx="1065">
                  <c:v>42769</c:v>
                </c:pt>
                <c:pt idx="1066">
                  <c:v>42772</c:v>
                </c:pt>
                <c:pt idx="1067">
                  <c:v>42773</c:v>
                </c:pt>
                <c:pt idx="1068">
                  <c:v>42774</c:v>
                </c:pt>
                <c:pt idx="1069">
                  <c:v>42775</c:v>
                </c:pt>
                <c:pt idx="1070">
                  <c:v>42776</c:v>
                </c:pt>
                <c:pt idx="1071">
                  <c:v>42779</c:v>
                </c:pt>
                <c:pt idx="1072">
                  <c:v>42780</c:v>
                </c:pt>
                <c:pt idx="1073">
                  <c:v>42781</c:v>
                </c:pt>
                <c:pt idx="1074">
                  <c:v>42782</c:v>
                </c:pt>
                <c:pt idx="1075">
                  <c:v>42783</c:v>
                </c:pt>
                <c:pt idx="1076">
                  <c:v>42786</c:v>
                </c:pt>
                <c:pt idx="1077">
                  <c:v>42787</c:v>
                </c:pt>
                <c:pt idx="1078">
                  <c:v>42788</c:v>
                </c:pt>
                <c:pt idx="1079">
                  <c:v>42789</c:v>
                </c:pt>
                <c:pt idx="1080">
                  <c:v>42790</c:v>
                </c:pt>
                <c:pt idx="1081">
                  <c:v>42793</c:v>
                </c:pt>
                <c:pt idx="1082">
                  <c:v>42794</c:v>
                </c:pt>
                <c:pt idx="1083">
                  <c:v>42795</c:v>
                </c:pt>
                <c:pt idx="1084">
                  <c:v>42796</c:v>
                </c:pt>
                <c:pt idx="1085">
                  <c:v>42797</c:v>
                </c:pt>
                <c:pt idx="1086">
                  <c:v>42800</c:v>
                </c:pt>
                <c:pt idx="1087">
                  <c:v>42801</c:v>
                </c:pt>
                <c:pt idx="1088">
                  <c:v>42802</c:v>
                </c:pt>
                <c:pt idx="1089">
                  <c:v>42803</c:v>
                </c:pt>
                <c:pt idx="1090">
                  <c:v>42804</c:v>
                </c:pt>
                <c:pt idx="1091">
                  <c:v>42807</c:v>
                </c:pt>
                <c:pt idx="1092">
                  <c:v>42808</c:v>
                </c:pt>
                <c:pt idx="1093">
                  <c:v>42809</c:v>
                </c:pt>
                <c:pt idx="1094">
                  <c:v>42810</c:v>
                </c:pt>
                <c:pt idx="1095">
                  <c:v>42811</c:v>
                </c:pt>
                <c:pt idx="1096">
                  <c:v>42814</c:v>
                </c:pt>
                <c:pt idx="1097">
                  <c:v>42815</c:v>
                </c:pt>
                <c:pt idx="1098">
                  <c:v>42816</c:v>
                </c:pt>
                <c:pt idx="1099">
                  <c:v>42817</c:v>
                </c:pt>
                <c:pt idx="1100">
                  <c:v>42818</c:v>
                </c:pt>
                <c:pt idx="1101">
                  <c:v>42821</c:v>
                </c:pt>
                <c:pt idx="1102">
                  <c:v>42822</c:v>
                </c:pt>
                <c:pt idx="1103">
                  <c:v>42823</c:v>
                </c:pt>
                <c:pt idx="1104">
                  <c:v>42824</c:v>
                </c:pt>
                <c:pt idx="1105">
                  <c:v>42825</c:v>
                </c:pt>
                <c:pt idx="1106">
                  <c:v>42828</c:v>
                </c:pt>
                <c:pt idx="1107">
                  <c:v>42829</c:v>
                </c:pt>
                <c:pt idx="1108">
                  <c:v>42830</c:v>
                </c:pt>
                <c:pt idx="1109">
                  <c:v>42831</c:v>
                </c:pt>
                <c:pt idx="1110">
                  <c:v>42832</c:v>
                </c:pt>
                <c:pt idx="1111">
                  <c:v>42835</c:v>
                </c:pt>
                <c:pt idx="1112">
                  <c:v>42836</c:v>
                </c:pt>
                <c:pt idx="1113">
                  <c:v>42837</c:v>
                </c:pt>
                <c:pt idx="1114">
                  <c:v>42838</c:v>
                </c:pt>
                <c:pt idx="1115">
                  <c:v>42839</c:v>
                </c:pt>
                <c:pt idx="1116">
                  <c:v>42842</c:v>
                </c:pt>
                <c:pt idx="1117">
                  <c:v>42843</c:v>
                </c:pt>
                <c:pt idx="1118">
                  <c:v>42844</c:v>
                </c:pt>
                <c:pt idx="1119">
                  <c:v>42845</c:v>
                </c:pt>
                <c:pt idx="1120">
                  <c:v>42846</c:v>
                </c:pt>
                <c:pt idx="1121">
                  <c:v>42849</c:v>
                </c:pt>
                <c:pt idx="1122">
                  <c:v>42850</c:v>
                </c:pt>
                <c:pt idx="1123">
                  <c:v>42851</c:v>
                </c:pt>
                <c:pt idx="1124">
                  <c:v>42852</c:v>
                </c:pt>
                <c:pt idx="1125">
                  <c:v>42853</c:v>
                </c:pt>
                <c:pt idx="1126">
                  <c:v>42856</c:v>
                </c:pt>
                <c:pt idx="1127">
                  <c:v>42857</c:v>
                </c:pt>
                <c:pt idx="1128">
                  <c:v>42858</c:v>
                </c:pt>
                <c:pt idx="1129">
                  <c:v>42859</c:v>
                </c:pt>
                <c:pt idx="1130">
                  <c:v>42860</c:v>
                </c:pt>
                <c:pt idx="1131">
                  <c:v>42863</c:v>
                </c:pt>
                <c:pt idx="1132">
                  <c:v>42864</c:v>
                </c:pt>
                <c:pt idx="1133">
                  <c:v>42865</c:v>
                </c:pt>
                <c:pt idx="1134">
                  <c:v>42866</c:v>
                </c:pt>
                <c:pt idx="1135">
                  <c:v>42867</c:v>
                </c:pt>
                <c:pt idx="1136">
                  <c:v>42870</c:v>
                </c:pt>
                <c:pt idx="1137">
                  <c:v>42871</c:v>
                </c:pt>
                <c:pt idx="1138">
                  <c:v>42872</c:v>
                </c:pt>
                <c:pt idx="1139">
                  <c:v>42873</c:v>
                </c:pt>
                <c:pt idx="1140">
                  <c:v>42874</c:v>
                </c:pt>
                <c:pt idx="1141">
                  <c:v>42877</c:v>
                </c:pt>
                <c:pt idx="1142">
                  <c:v>42878</c:v>
                </c:pt>
                <c:pt idx="1143">
                  <c:v>42879</c:v>
                </c:pt>
                <c:pt idx="1144">
                  <c:v>42880</c:v>
                </c:pt>
                <c:pt idx="1145">
                  <c:v>42881</c:v>
                </c:pt>
                <c:pt idx="1146">
                  <c:v>42884</c:v>
                </c:pt>
                <c:pt idx="1147">
                  <c:v>42885</c:v>
                </c:pt>
                <c:pt idx="1148">
                  <c:v>42886</c:v>
                </c:pt>
                <c:pt idx="1149">
                  <c:v>42887</c:v>
                </c:pt>
                <c:pt idx="1150">
                  <c:v>42888</c:v>
                </c:pt>
                <c:pt idx="1151">
                  <c:v>42891</c:v>
                </c:pt>
                <c:pt idx="1152">
                  <c:v>42892</c:v>
                </c:pt>
                <c:pt idx="1153">
                  <c:v>42893</c:v>
                </c:pt>
                <c:pt idx="1154">
                  <c:v>42894</c:v>
                </c:pt>
                <c:pt idx="1155">
                  <c:v>42895</c:v>
                </c:pt>
                <c:pt idx="1156">
                  <c:v>42898</c:v>
                </c:pt>
                <c:pt idx="1157">
                  <c:v>42899</c:v>
                </c:pt>
                <c:pt idx="1158">
                  <c:v>42900</c:v>
                </c:pt>
                <c:pt idx="1159">
                  <c:v>42901</c:v>
                </c:pt>
                <c:pt idx="1160">
                  <c:v>42902</c:v>
                </c:pt>
                <c:pt idx="1161">
                  <c:v>42905</c:v>
                </c:pt>
                <c:pt idx="1162">
                  <c:v>42906</c:v>
                </c:pt>
                <c:pt idx="1163">
                  <c:v>42907</c:v>
                </c:pt>
                <c:pt idx="1164">
                  <c:v>42908</c:v>
                </c:pt>
                <c:pt idx="1165">
                  <c:v>42909</c:v>
                </c:pt>
                <c:pt idx="1166">
                  <c:v>42912</c:v>
                </c:pt>
                <c:pt idx="1167">
                  <c:v>42913</c:v>
                </c:pt>
                <c:pt idx="1168">
                  <c:v>42914</c:v>
                </c:pt>
                <c:pt idx="1169">
                  <c:v>42915</c:v>
                </c:pt>
                <c:pt idx="1170">
                  <c:v>42916</c:v>
                </c:pt>
                <c:pt idx="1171">
                  <c:v>42919</c:v>
                </c:pt>
                <c:pt idx="1172">
                  <c:v>42920</c:v>
                </c:pt>
                <c:pt idx="1173">
                  <c:v>42921</c:v>
                </c:pt>
                <c:pt idx="1174">
                  <c:v>42922</c:v>
                </c:pt>
                <c:pt idx="1175">
                  <c:v>42923</c:v>
                </c:pt>
                <c:pt idx="1176">
                  <c:v>42926</c:v>
                </c:pt>
                <c:pt idx="1177">
                  <c:v>42927</c:v>
                </c:pt>
                <c:pt idx="1178">
                  <c:v>42928</c:v>
                </c:pt>
                <c:pt idx="1179">
                  <c:v>42929</c:v>
                </c:pt>
                <c:pt idx="1180">
                  <c:v>42930</c:v>
                </c:pt>
                <c:pt idx="1181">
                  <c:v>42933</c:v>
                </c:pt>
                <c:pt idx="1182">
                  <c:v>42934</c:v>
                </c:pt>
                <c:pt idx="1183">
                  <c:v>42935</c:v>
                </c:pt>
                <c:pt idx="1184">
                  <c:v>42936</c:v>
                </c:pt>
                <c:pt idx="1185">
                  <c:v>42937</c:v>
                </c:pt>
                <c:pt idx="1186">
                  <c:v>42940</c:v>
                </c:pt>
                <c:pt idx="1187">
                  <c:v>42941</c:v>
                </c:pt>
                <c:pt idx="1188">
                  <c:v>42942</c:v>
                </c:pt>
                <c:pt idx="1189">
                  <c:v>42943</c:v>
                </c:pt>
                <c:pt idx="1190">
                  <c:v>42944</c:v>
                </c:pt>
                <c:pt idx="1191">
                  <c:v>42947</c:v>
                </c:pt>
                <c:pt idx="1192">
                  <c:v>42948</c:v>
                </c:pt>
                <c:pt idx="1193">
                  <c:v>42949</c:v>
                </c:pt>
                <c:pt idx="1194">
                  <c:v>42950</c:v>
                </c:pt>
                <c:pt idx="1195">
                  <c:v>42951</c:v>
                </c:pt>
                <c:pt idx="1196">
                  <c:v>42954</c:v>
                </c:pt>
                <c:pt idx="1197">
                  <c:v>42955</c:v>
                </c:pt>
                <c:pt idx="1198">
                  <c:v>42956</c:v>
                </c:pt>
                <c:pt idx="1199">
                  <c:v>42957</c:v>
                </c:pt>
                <c:pt idx="1200">
                  <c:v>42958</c:v>
                </c:pt>
                <c:pt idx="1201">
                  <c:v>42961</c:v>
                </c:pt>
                <c:pt idx="1202">
                  <c:v>42962</c:v>
                </c:pt>
                <c:pt idx="1203">
                  <c:v>42963</c:v>
                </c:pt>
                <c:pt idx="1204">
                  <c:v>42964</c:v>
                </c:pt>
                <c:pt idx="1205">
                  <c:v>42965</c:v>
                </c:pt>
                <c:pt idx="1206">
                  <c:v>42968</c:v>
                </c:pt>
                <c:pt idx="1207">
                  <c:v>42969</c:v>
                </c:pt>
                <c:pt idx="1208">
                  <c:v>42970</c:v>
                </c:pt>
                <c:pt idx="1209">
                  <c:v>42971</c:v>
                </c:pt>
                <c:pt idx="1210">
                  <c:v>42972</c:v>
                </c:pt>
                <c:pt idx="1211">
                  <c:v>42975</c:v>
                </c:pt>
                <c:pt idx="1212">
                  <c:v>42976</c:v>
                </c:pt>
                <c:pt idx="1213">
                  <c:v>42977</c:v>
                </c:pt>
                <c:pt idx="1214">
                  <c:v>42978</c:v>
                </c:pt>
                <c:pt idx="1215">
                  <c:v>42979</c:v>
                </c:pt>
                <c:pt idx="1216">
                  <c:v>42982</c:v>
                </c:pt>
                <c:pt idx="1217">
                  <c:v>42983</c:v>
                </c:pt>
                <c:pt idx="1218">
                  <c:v>42984</c:v>
                </c:pt>
                <c:pt idx="1219">
                  <c:v>42985</c:v>
                </c:pt>
                <c:pt idx="1220">
                  <c:v>42986</c:v>
                </c:pt>
                <c:pt idx="1221">
                  <c:v>42989</c:v>
                </c:pt>
                <c:pt idx="1222">
                  <c:v>42990</c:v>
                </c:pt>
                <c:pt idx="1223">
                  <c:v>42991</c:v>
                </c:pt>
                <c:pt idx="1224">
                  <c:v>42992</c:v>
                </c:pt>
                <c:pt idx="1225">
                  <c:v>42993</c:v>
                </c:pt>
                <c:pt idx="1226">
                  <c:v>42996</c:v>
                </c:pt>
                <c:pt idx="1227">
                  <c:v>42997</c:v>
                </c:pt>
                <c:pt idx="1228">
                  <c:v>42998</c:v>
                </c:pt>
                <c:pt idx="1229">
                  <c:v>42999</c:v>
                </c:pt>
                <c:pt idx="1230">
                  <c:v>43000</c:v>
                </c:pt>
                <c:pt idx="1231">
                  <c:v>43003</c:v>
                </c:pt>
                <c:pt idx="1232">
                  <c:v>43004</c:v>
                </c:pt>
                <c:pt idx="1233">
                  <c:v>43005</c:v>
                </c:pt>
                <c:pt idx="1234">
                  <c:v>43006</c:v>
                </c:pt>
                <c:pt idx="1235">
                  <c:v>43007</c:v>
                </c:pt>
                <c:pt idx="1236">
                  <c:v>43010</c:v>
                </c:pt>
                <c:pt idx="1237">
                  <c:v>43011</c:v>
                </c:pt>
                <c:pt idx="1238">
                  <c:v>43012</c:v>
                </c:pt>
                <c:pt idx="1239">
                  <c:v>43013</c:v>
                </c:pt>
                <c:pt idx="1240">
                  <c:v>43014</c:v>
                </c:pt>
                <c:pt idx="1241">
                  <c:v>43017</c:v>
                </c:pt>
                <c:pt idx="1242">
                  <c:v>43018</c:v>
                </c:pt>
                <c:pt idx="1243">
                  <c:v>43019</c:v>
                </c:pt>
                <c:pt idx="1244">
                  <c:v>43020</c:v>
                </c:pt>
                <c:pt idx="1245">
                  <c:v>43021</c:v>
                </c:pt>
                <c:pt idx="1246">
                  <c:v>43024</c:v>
                </c:pt>
                <c:pt idx="1247">
                  <c:v>43025</c:v>
                </c:pt>
                <c:pt idx="1248">
                  <c:v>43026</c:v>
                </c:pt>
                <c:pt idx="1249">
                  <c:v>43027</c:v>
                </c:pt>
                <c:pt idx="1250">
                  <c:v>43028</c:v>
                </c:pt>
                <c:pt idx="1251">
                  <c:v>43031</c:v>
                </c:pt>
                <c:pt idx="1252">
                  <c:v>43032</c:v>
                </c:pt>
                <c:pt idx="1253">
                  <c:v>43033</c:v>
                </c:pt>
                <c:pt idx="1254">
                  <c:v>43034</c:v>
                </c:pt>
                <c:pt idx="1255">
                  <c:v>43035</c:v>
                </c:pt>
                <c:pt idx="1256">
                  <c:v>43038</c:v>
                </c:pt>
                <c:pt idx="1257">
                  <c:v>43039</c:v>
                </c:pt>
                <c:pt idx="1258">
                  <c:v>43040</c:v>
                </c:pt>
                <c:pt idx="1259">
                  <c:v>43041</c:v>
                </c:pt>
                <c:pt idx="1260">
                  <c:v>43042</c:v>
                </c:pt>
                <c:pt idx="1261">
                  <c:v>43045</c:v>
                </c:pt>
                <c:pt idx="1262">
                  <c:v>43046</c:v>
                </c:pt>
                <c:pt idx="1263">
                  <c:v>43047</c:v>
                </c:pt>
                <c:pt idx="1264">
                  <c:v>43048</c:v>
                </c:pt>
                <c:pt idx="1265">
                  <c:v>43049</c:v>
                </c:pt>
                <c:pt idx="1266">
                  <c:v>43052</c:v>
                </c:pt>
                <c:pt idx="1267">
                  <c:v>43053</c:v>
                </c:pt>
                <c:pt idx="1268">
                  <c:v>43054</c:v>
                </c:pt>
                <c:pt idx="1269">
                  <c:v>43055</c:v>
                </c:pt>
                <c:pt idx="1270">
                  <c:v>43056</c:v>
                </c:pt>
                <c:pt idx="1271">
                  <c:v>43059</c:v>
                </c:pt>
                <c:pt idx="1272">
                  <c:v>43060</c:v>
                </c:pt>
                <c:pt idx="1273">
                  <c:v>43061</c:v>
                </c:pt>
                <c:pt idx="1274">
                  <c:v>43062</c:v>
                </c:pt>
                <c:pt idx="1275">
                  <c:v>43063</c:v>
                </c:pt>
                <c:pt idx="1276">
                  <c:v>43066</c:v>
                </c:pt>
                <c:pt idx="1277">
                  <c:v>43067</c:v>
                </c:pt>
                <c:pt idx="1278">
                  <c:v>43068</c:v>
                </c:pt>
                <c:pt idx="1279">
                  <c:v>43069</c:v>
                </c:pt>
                <c:pt idx="1280">
                  <c:v>43070</c:v>
                </c:pt>
                <c:pt idx="1281">
                  <c:v>43073</c:v>
                </c:pt>
                <c:pt idx="1282">
                  <c:v>43074</c:v>
                </c:pt>
                <c:pt idx="1283">
                  <c:v>43075</c:v>
                </c:pt>
                <c:pt idx="1284">
                  <c:v>43076</c:v>
                </c:pt>
                <c:pt idx="1285">
                  <c:v>43077</c:v>
                </c:pt>
                <c:pt idx="1286">
                  <c:v>43080</c:v>
                </c:pt>
                <c:pt idx="1287">
                  <c:v>43081</c:v>
                </c:pt>
                <c:pt idx="1288">
                  <c:v>43082</c:v>
                </c:pt>
                <c:pt idx="1289">
                  <c:v>43083</c:v>
                </c:pt>
                <c:pt idx="1290">
                  <c:v>43084</c:v>
                </c:pt>
                <c:pt idx="1291">
                  <c:v>43087</c:v>
                </c:pt>
                <c:pt idx="1292">
                  <c:v>43088</c:v>
                </c:pt>
                <c:pt idx="1293">
                  <c:v>43089</c:v>
                </c:pt>
                <c:pt idx="1294">
                  <c:v>43090</c:v>
                </c:pt>
                <c:pt idx="1295">
                  <c:v>43091</c:v>
                </c:pt>
                <c:pt idx="1296">
                  <c:v>43094</c:v>
                </c:pt>
                <c:pt idx="1297">
                  <c:v>43095</c:v>
                </c:pt>
                <c:pt idx="1298">
                  <c:v>43096</c:v>
                </c:pt>
                <c:pt idx="1299">
                  <c:v>43097</c:v>
                </c:pt>
                <c:pt idx="1300">
                  <c:v>43098</c:v>
                </c:pt>
                <c:pt idx="1301">
                  <c:v>43101</c:v>
                </c:pt>
                <c:pt idx="1302">
                  <c:v>43102</c:v>
                </c:pt>
                <c:pt idx="1303">
                  <c:v>43103</c:v>
                </c:pt>
                <c:pt idx="1304">
                  <c:v>43104</c:v>
                </c:pt>
                <c:pt idx="1305">
                  <c:v>43105</c:v>
                </c:pt>
                <c:pt idx="1306">
                  <c:v>43108</c:v>
                </c:pt>
                <c:pt idx="1307">
                  <c:v>43109</c:v>
                </c:pt>
                <c:pt idx="1308">
                  <c:v>43110</c:v>
                </c:pt>
                <c:pt idx="1309">
                  <c:v>43111</c:v>
                </c:pt>
                <c:pt idx="1310">
                  <c:v>43112</c:v>
                </c:pt>
                <c:pt idx="1311">
                  <c:v>43115</c:v>
                </c:pt>
                <c:pt idx="1312">
                  <c:v>43116</c:v>
                </c:pt>
                <c:pt idx="1313">
                  <c:v>43117</c:v>
                </c:pt>
                <c:pt idx="1314">
                  <c:v>43118</c:v>
                </c:pt>
                <c:pt idx="1315">
                  <c:v>43119</c:v>
                </c:pt>
                <c:pt idx="1316">
                  <c:v>43122</c:v>
                </c:pt>
                <c:pt idx="1317">
                  <c:v>43123</c:v>
                </c:pt>
                <c:pt idx="1318">
                  <c:v>43124</c:v>
                </c:pt>
                <c:pt idx="1319">
                  <c:v>43125</c:v>
                </c:pt>
                <c:pt idx="1320">
                  <c:v>43126</c:v>
                </c:pt>
                <c:pt idx="1321">
                  <c:v>43129</c:v>
                </c:pt>
                <c:pt idx="1322">
                  <c:v>43130</c:v>
                </c:pt>
                <c:pt idx="1323">
                  <c:v>43131</c:v>
                </c:pt>
                <c:pt idx="1324">
                  <c:v>43132</c:v>
                </c:pt>
                <c:pt idx="1325">
                  <c:v>43133</c:v>
                </c:pt>
                <c:pt idx="1326">
                  <c:v>43136</c:v>
                </c:pt>
                <c:pt idx="1327">
                  <c:v>43137</c:v>
                </c:pt>
                <c:pt idx="1328">
                  <c:v>43138</c:v>
                </c:pt>
                <c:pt idx="1329">
                  <c:v>43139</c:v>
                </c:pt>
                <c:pt idx="1330">
                  <c:v>43140</c:v>
                </c:pt>
                <c:pt idx="1331">
                  <c:v>43143</c:v>
                </c:pt>
                <c:pt idx="1332">
                  <c:v>43144</c:v>
                </c:pt>
                <c:pt idx="1333">
                  <c:v>43145</c:v>
                </c:pt>
                <c:pt idx="1334">
                  <c:v>43146</c:v>
                </c:pt>
                <c:pt idx="1335">
                  <c:v>43147</c:v>
                </c:pt>
                <c:pt idx="1336">
                  <c:v>43150</c:v>
                </c:pt>
                <c:pt idx="1337">
                  <c:v>43151</c:v>
                </c:pt>
                <c:pt idx="1338">
                  <c:v>43152</c:v>
                </c:pt>
                <c:pt idx="1339">
                  <c:v>43153</c:v>
                </c:pt>
                <c:pt idx="1340">
                  <c:v>43154</c:v>
                </c:pt>
                <c:pt idx="1341">
                  <c:v>43157</c:v>
                </c:pt>
                <c:pt idx="1342">
                  <c:v>43158</c:v>
                </c:pt>
                <c:pt idx="1343">
                  <c:v>43159</c:v>
                </c:pt>
                <c:pt idx="1344">
                  <c:v>43160</c:v>
                </c:pt>
                <c:pt idx="1345">
                  <c:v>43161</c:v>
                </c:pt>
                <c:pt idx="1346">
                  <c:v>43164</c:v>
                </c:pt>
                <c:pt idx="1347">
                  <c:v>43165</c:v>
                </c:pt>
                <c:pt idx="1348">
                  <c:v>43166</c:v>
                </c:pt>
                <c:pt idx="1349">
                  <c:v>43167</c:v>
                </c:pt>
                <c:pt idx="1350">
                  <c:v>43168</c:v>
                </c:pt>
                <c:pt idx="1351">
                  <c:v>43171</c:v>
                </c:pt>
                <c:pt idx="1352">
                  <c:v>43172</c:v>
                </c:pt>
                <c:pt idx="1353">
                  <c:v>43173</c:v>
                </c:pt>
                <c:pt idx="1354">
                  <c:v>43174</c:v>
                </c:pt>
                <c:pt idx="1355">
                  <c:v>43175</c:v>
                </c:pt>
                <c:pt idx="1356">
                  <c:v>43178</c:v>
                </c:pt>
                <c:pt idx="1357">
                  <c:v>43179</c:v>
                </c:pt>
                <c:pt idx="1358">
                  <c:v>43180</c:v>
                </c:pt>
                <c:pt idx="1359">
                  <c:v>43181</c:v>
                </c:pt>
                <c:pt idx="1360">
                  <c:v>43182</c:v>
                </c:pt>
                <c:pt idx="1361">
                  <c:v>43185</c:v>
                </c:pt>
                <c:pt idx="1362">
                  <c:v>43186</c:v>
                </c:pt>
                <c:pt idx="1363">
                  <c:v>43187</c:v>
                </c:pt>
                <c:pt idx="1364">
                  <c:v>43188</c:v>
                </c:pt>
                <c:pt idx="1365">
                  <c:v>43189</c:v>
                </c:pt>
                <c:pt idx="1366">
                  <c:v>43192</c:v>
                </c:pt>
                <c:pt idx="1367">
                  <c:v>43193</c:v>
                </c:pt>
                <c:pt idx="1368">
                  <c:v>43194</c:v>
                </c:pt>
                <c:pt idx="1369">
                  <c:v>43195</c:v>
                </c:pt>
                <c:pt idx="1370">
                  <c:v>43196</c:v>
                </c:pt>
                <c:pt idx="1371">
                  <c:v>43199</c:v>
                </c:pt>
                <c:pt idx="1372">
                  <c:v>43200</c:v>
                </c:pt>
                <c:pt idx="1373">
                  <c:v>43201</c:v>
                </c:pt>
                <c:pt idx="1374">
                  <c:v>43202</c:v>
                </c:pt>
                <c:pt idx="1375">
                  <c:v>43203</c:v>
                </c:pt>
                <c:pt idx="1376">
                  <c:v>43206</c:v>
                </c:pt>
                <c:pt idx="1377">
                  <c:v>43207</c:v>
                </c:pt>
                <c:pt idx="1378">
                  <c:v>43208</c:v>
                </c:pt>
                <c:pt idx="1379">
                  <c:v>43209</c:v>
                </c:pt>
                <c:pt idx="1380">
                  <c:v>43210</c:v>
                </c:pt>
                <c:pt idx="1381">
                  <c:v>43213</c:v>
                </c:pt>
                <c:pt idx="1382">
                  <c:v>43214</c:v>
                </c:pt>
                <c:pt idx="1383">
                  <c:v>43215</c:v>
                </c:pt>
                <c:pt idx="1384">
                  <c:v>43216</c:v>
                </c:pt>
                <c:pt idx="1385">
                  <c:v>43217</c:v>
                </c:pt>
                <c:pt idx="1386">
                  <c:v>43220</c:v>
                </c:pt>
                <c:pt idx="1387">
                  <c:v>43221</c:v>
                </c:pt>
                <c:pt idx="1388">
                  <c:v>43222</c:v>
                </c:pt>
                <c:pt idx="1389">
                  <c:v>43223</c:v>
                </c:pt>
                <c:pt idx="1390">
                  <c:v>43224</c:v>
                </c:pt>
                <c:pt idx="1391">
                  <c:v>43227</c:v>
                </c:pt>
                <c:pt idx="1392">
                  <c:v>43228</c:v>
                </c:pt>
                <c:pt idx="1393">
                  <c:v>43229</c:v>
                </c:pt>
                <c:pt idx="1394">
                  <c:v>43230</c:v>
                </c:pt>
                <c:pt idx="1395">
                  <c:v>43231</c:v>
                </c:pt>
                <c:pt idx="1396">
                  <c:v>43234</c:v>
                </c:pt>
                <c:pt idx="1397">
                  <c:v>43235</c:v>
                </c:pt>
                <c:pt idx="1398">
                  <c:v>43236</c:v>
                </c:pt>
                <c:pt idx="1399">
                  <c:v>43237</c:v>
                </c:pt>
                <c:pt idx="1400">
                  <c:v>43238</c:v>
                </c:pt>
                <c:pt idx="1401">
                  <c:v>43241</c:v>
                </c:pt>
                <c:pt idx="1402">
                  <c:v>43242</c:v>
                </c:pt>
                <c:pt idx="1403">
                  <c:v>43243</c:v>
                </c:pt>
                <c:pt idx="1404">
                  <c:v>43244</c:v>
                </c:pt>
                <c:pt idx="1405">
                  <c:v>43245</c:v>
                </c:pt>
                <c:pt idx="1406">
                  <c:v>43248</c:v>
                </c:pt>
                <c:pt idx="1407">
                  <c:v>43249</c:v>
                </c:pt>
                <c:pt idx="1408">
                  <c:v>43250</c:v>
                </c:pt>
                <c:pt idx="1409">
                  <c:v>43251</c:v>
                </c:pt>
                <c:pt idx="1410">
                  <c:v>43252</c:v>
                </c:pt>
                <c:pt idx="1411">
                  <c:v>43255</c:v>
                </c:pt>
                <c:pt idx="1412">
                  <c:v>43256</c:v>
                </c:pt>
                <c:pt idx="1413">
                  <c:v>43257</c:v>
                </c:pt>
                <c:pt idx="1414">
                  <c:v>43258</c:v>
                </c:pt>
                <c:pt idx="1415">
                  <c:v>43259</c:v>
                </c:pt>
                <c:pt idx="1416">
                  <c:v>43262</c:v>
                </c:pt>
                <c:pt idx="1417">
                  <c:v>43263</c:v>
                </c:pt>
                <c:pt idx="1418">
                  <c:v>43264</c:v>
                </c:pt>
                <c:pt idx="1419">
                  <c:v>43265</c:v>
                </c:pt>
                <c:pt idx="1420">
                  <c:v>43266</c:v>
                </c:pt>
                <c:pt idx="1421">
                  <c:v>43269</c:v>
                </c:pt>
                <c:pt idx="1422">
                  <c:v>43270</c:v>
                </c:pt>
                <c:pt idx="1423">
                  <c:v>43271</c:v>
                </c:pt>
                <c:pt idx="1424">
                  <c:v>43272</c:v>
                </c:pt>
                <c:pt idx="1425">
                  <c:v>43273</c:v>
                </c:pt>
                <c:pt idx="1426">
                  <c:v>43276</c:v>
                </c:pt>
                <c:pt idx="1427">
                  <c:v>43277</c:v>
                </c:pt>
                <c:pt idx="1428">
                  <c:v>43278</c:v>
                </c:pt>
                <c:pt idx="1429">
                  <c:v>43279</c:v>
                </c:pt>
                <c:pt idx="1430">
                  <c:v>43280</c:v>
                </c:pt>
                <c:pt idx="1431">
                  <c:v>43283</c:v>
                </c:pt>
                <c:pt idx="1432">
                  <c:v>43284</c:v>
                </c:pt>
                <c:pt idx="1433">
                  <c:v>43285</c:v>
                </c:pt>
                <c:pt idx="1434">
                  <c:v>43286</c:v>
                </c:pt>
                <c:pt idx="1435">
                  <c:v>43287</c:v>
                </c:pt>
                <c:pt idx="1436">
                  <c:v>43290</c:v>
                </c:pt>
                <c:pt idx="1437">
                  <c:v>43291</c:v>
                </c:pt>
                <c:pt idx="1438">
                  <c:v>43292</c:v>
                </c:pt>
                <c:pt idx="1439">
                  <c:v>43293</c:v>
                </c:pt>
                <c:pt idx="1440">
                  <c:v>43294</c:v>
                </c:pt>
                <c:pt idx="1441">
                  <c:v>43297</c:v>
                </c:pt>
                <c:pt idx="1442">
                  <c:v>43298</c:v>
                </c:pt>
                <c:pt idx="1443">
                  <c:v>43299</c:v>
                </c:pt>
                <c:pt idx="1444">
                  <c:v>43300</c:v>
                </c:pt>
                <c:pt idx="1445">
                  <c:v>43301</c:v>
                </c:pt>
                <c:pt idx="1446">
                  <c:v>43304</c:v>
                </c:pt>
                <c:pt idx="1447">
                  <c:v>43305</c:v>
                </c:pt>
                <c:pt idx="1448">
                  <c:v>43306</c:v>
                </c:pt>
                <c:pt idx="1449">
                  <c:v>43307</c:v>
                </c:pt>
                <c:pt idx="1450">
                  <c:v>43308</c:v>
                </c:pt>
                <c:pt idx="1451">
                  <c:v>43311</c:v>
                </c:pt>
                <c:pt idx="1452">
                  <c:v>43312</c:v>
                </c:pt>
                <c:pt idx="1453">
                  <c:v>43313</c:v>
                </c:pt>
                <c:pt idx="1454">
                  <c:v>43314</c:v>
                </c:pt>
                <c:pt idx="1455">
                  <c:v>43315</c:v>
                </c:pt>
                <c:pt idx="1456">
                  <c:v>43318</c:v>
                </c:pt>
                <c:pt idx="1457">
                  <c:v>43319</c:v>
                </c:pt>
                <c:pt idx="1458">
                  <c:v>43320</c:v>
                </c:pt>
                <c:pt idx="1459">
                  <c:v>43321</c:v>
                </c:pt>
                <c:pt idx="1460">
                  <c:v>43322</c:v>
                </c:pt>
                <c:pt idx="1461">
                  <c:v>43325</c:v>
                </c:pt>
                <c:pt idx="1462">
                  <c:v>43326</c:v>
                </c:pt>
                <c:pt idx="1463">
                  <c:v>43327</c:v>
                </c:pt>
                <c:pt idx="1464">
                  <c:v>43328</c:v>
                </c:pt>
                <c:pt idx="1465">
                  <c:v>43329</c:v>
                </c:pt>
                <c:pt idx="1466">
                  <c:v>43332</c:v>
                </c:pt>
                <c:pt idx="1467">
                  <c:v>43333</c:v>
                </c:pt>
                <c:pt idx="1468">
                  <c:v>43334</c:v>
                </c:pt>
                <c:pt idx="1469">
                  <c:v>43335</c:v>
                </c:pt>
                <c:pt idx="1470">
                  <c:v>43336</c:v>
                </c:pt>
                <c:pt idx="1471">
                  <c:v>43339</c:v>
                </c:pt>
                <c:pt idx="1472">
                  <c:v>43340</c:v>
                </c:pt>
                <c:pt idx="1473">
                  <c:v>43341</c:v>
                </c:pt>
                <c:pt idx="1474">
                  <c:v>43342</c:v>
                </c:pt>
                <c:pt idx="1475">
                  <c:v>43343</c:v>
                </c:pt>
                <c:pt idx="1476">
                  <c:v>43346</c:v>
                </c:pt>
                <c:pt idx="1477">
                  <c:v>43347</c:v>
                </c:pt>
                <c:pt idx="1478">
                  <c:v>43348</c:v>
                </c:pt>
                <c:pt idx="1479">
                  <c:v>43349</c:v>
                </c:pt>
                <c:pt idx="1480">
                  <c:v>43350</c:v>
                </c:pt>
                <c:pt idx="1481">
                  <c:v>43353</c:v>
                </c:pt>
                <c:pt idx="1482">
                  <c:v>43354</c:v>
                </c:pt>
                <c:pt idx="1483">
                  <c:v>43355</c:v>
                </c:pt>
                <c:pt idx="1484">
                  <c:v>43356</c:v>
                </c:pt>
                <c:pt idx="1485">
                  <c:v>43357</c:v>
                </c:pt>
                <c:pt idx="1486">
                  <c:v>43360</c:v>
                </c:pt>
                <c:pt idx="1487">
                  <c:v>43361</c:v>
                </c:pt>
                <c:pt idx="1488">
                  <c:v>43362</c:v>
                </c:pt>
                <c:pt idx="1489">
                  <c:v>43363</c:v>
                </c:pt>
                <c:pt idx="1490">
                  <c:v>43364</c:v>
                </c:pt>
                <c:pt idx="1491">
                  <c:v>43367</c:v>
                </c:pt>
                <c:pt idx="1492">
                  <c:v>43368</c:v>
                </c:pt>
                <c:pt idx="1493">
                  <c:v>43369</c:v>
                </c:pt>
                <c:pt idx="1494">
                  <c:v>43370</c:v>
                </c:pt>
                <c:pt idx="1495">
                  <c:v>43371</c:v>
                </c:pt>
                <c:pt idx="1496">
                  <c:v>43374</c:v>
                </c:pt>
                <c:pt idx="1497">
                  <c:v>43375</c:v>
                </c:pt>
                <c:pt idx="1498">
                  <c:v>43376</c:v>
                </c:pt>
                <c:pt idx="1499">
                  <c:v>43377</c:v>
                </c:pt>
                <c:pt idx="1500">
                  <c:v>43378</c:v>
                </c:pt>
                <c:pt idx="1501">
                  <c:v>43381</c:v>
                </c:pt>
                <c:pt idx="1502">
                  <c:v>43382</c:v>
                </c:pt>
                <c:pt idx="1503">
                  <c:v>43383</c:v>
                </c:pt>
                <c:pt idx="1504">
                  <c:v>43384</c:v>
                </c:pt>
                <c:pt idx="1505">
                  <c:v>43385</c:v>
                </c:pt>
                <c:pt idx="1506">
                  <c:v>43388</c:v>
                </c:pt>
                <c:pt idx="1507">
                  <c:v>43389</c:v>
                </c:pt>
                <c:pt idx="1508">
                  <c:v>43390</c:v>
                </c:pt>
                <c:pt idx="1509">
                  <c:v>43391</c:v>
                </c:pt>
                <c:pt idx="1510">
                  <c:v>43392</c:v>
                </c:pt>
                <c:pt idx="1511">
                  <c:v>43395</c:v>
                </c:pt>
                <c:pt idx="1512">
                  <c:v>43396</c:v>
                </c:pt>
                <c:pt idx="1513">
                  <c:v>43397</c:v>
                </c:pt>
                <c:pt idx="1514">
                  <c:v>43398</c:v>
                </c:pt>
                <c:pt idx="1515">
                  <c:v>43399</c:v>
                </c:pt>
                <c:pt idx="1516">
                  <c:v>43402</c:v>
                </c:pt>
                <c:pt idx="1517">
                  <c:v>43403</c:v>
                </c:pt>
                <c:pt idx="1518">
                  <c:v>43404</c:v>
                </c:pt>
                <c:pt idx="1519">
                  <c:v>43405</c:v>
                </c:pt>
                <c:pt idx="1520">
                  <c:v>43406</c:v>
                </c:pt>
                <c:pt idx="1521">
                  <c:v>43409</c:v>
                </c:pt>
                <c:pt idx="1522">
                  <c:v>43410</c:v>
                </c:pt>
                <c:pt idx="1523">
                  <c:v>43411</c:v>
                </c:pt>
                <c:pt idx="1524">
                  <c:v>43412</c:v>
                </c:pt>
                <c:pt idx="1525">
                  <c:v>43413</c:v>
                </c:pt>
                <c:pt idx="1526">
                  <c:v>43416</c:v>
                </c:pt>
                <c:pt idx="1527">
                  <c:v>43417</c:v>
                </c:pt>
                <c:pt idx="1528">
                  <c:v>43418</c:v>
                </c:pt>
                <c:pt idx="1529">
                  <c:v>43419</c:v>
                </c:pt>
                <c:pt idx="1530">
                  <c:v>43420</c:v>
                </c:pt>
                <c:pt idx="1531">
                  <c:v>43423</c:v>
                </c:pt>
                <c:pt idx="1532">
                  <c:v>43424</c:v>
                </c:pt>
                <c:pt idx="1533">
                  <c:v>43425</c:v>
                </c:pt>
                <c:pt idx="1534">
                  <c:v>43426</c:v>
                </c:pt>
                <c:pt idx="1535">
                  <c:v>43427</c:v>
                </c:pt>
                <c:pt idx="1536">
                  <c:v>43430</c:v>
                </c:pt>
                <c:pt idx="1537">
                  <c:v>43431</c:v>
                </c:pt>
                <c:pt idx="1538">
                  <c:v>43432</c:v>
                </c:pt>
                <c:pt idx="1539">
                  <c:v>43433</c:v>
                </c:pt>
                <c:pt idx="1540">
                  <c:v>43434</c:v>
                </c:pt>
                <c:pt idx="1541">
                  <c:v>43437</c:v>
                </c:pt>
                <c:pt idx="1542">
                  <c:v>43438</c:v>
                </c:pt>
                <c:pt idx="1543">
                  <c:v>43439</c:v>
                </c:pt>
                <c:pt idx="1544">
                  <c:v>43440</c:v>
                </c:pt>
                <c:pt idx="1545">
                  <c:v>43441</c:v>
                </c:pt>
                <c:pt idx="1546">
                  <c:v>43444</c:v>
                </c:pt>
                <c:pt idx="1547">
                  <c:v>43445</c:v>
                </c:pt>
                <c:pt idx="1548">
                  <c:v>43446</c:v>
                </c:pt>
                <c:pt idx="1549">
                  <c:v>43447</c:v>
                </c:pt>
                <c:pt idx="1550">
                  <c:v>43448</c:v>
                </c:pt>
                <c:pt idx="1551">
                  <c:v>43451</c:v>
                </c:pt>
                <c:pt idx="1552">
                  <c:v>43452</c:v>
                </c:pt>
                <c:pt idx="1553">
                  <c:v>43453</c:v>
                </c:pt>
                <c:pt idx="1554">
                  <c:v>43454</c:v>
                </c:pt>
                <c:pt idx="1555">
                  <c:v>43455</c:v>
                </c:pt>
                <c:pt idx="1556">
                  <c:v>43458</c:v>
                </c:pt>
                <c:pt idx="1557">
                  <c:v>43459</c:v>
                </c:pt>
                <c:pt idx="1558">
                  <c:v>43460</c:v>
                </c:pt>
                <c:pt idx="1559">
                  <c:v>43461</c:v>
                </c:pt>
                <c:pt idx="1560">
                  <c:v>43462</c:v>
                </c:pt>
                <c:pt idx="1561">
                  <c:v>43465</c:v>
                </c:pt>
                <c:pt idx="1562">
                  <c:v>43466</c:v>
                </c:pt>
                <c:pt idx="1563">
                  <c:v>43467</c:v>
                </c:pt>
                <c:pt idx="1564">
                  <c:v>43468</c:v>
                </c:pt>
                <c:pt idx="1565">
                  <c:v>43469</c:v>
                </c:pt>
                <c:pt idx="1566">
                  <c:v>43472</c:v>
                </c:pt>
                <c:pt idx="1567">
                  <c:v>43473</c:v>
                </c:pt>
                <c:pt idx="1568">
                  <c:v>43474</c:v>
                </c:pt>
                <c:pt idx="1569">
                  <c:v>43475</c:v>
                </c:pt>
                <c:pt idx="1570">
                  <c:v>43476</c:v>
                </c:pt>
                <c:pt idx="1571">
                  <c:v>43479</c:v>
                </c:pt>
                <c:pt idx="1572">
                  <c:v>43480</c:v>
                </c:pt>
                <c:pt idx="1573">
                  <c:v>43481</c:v>
                </c:pt>
                <c:pt idx="1574">
                  <c:v>43482</c:v>
                </c:pt>
                <c:pt idx="1575">
                  <c:v>43483</c:v>
                </c:pt>
                <c:pt idx="1576">
                  <c:v>43486</c:v>
                </c:pt>
                <c:pt idx="1577">
                  <c:v>43487</c:v>
                </c:pt>
                <c:pt idx="1578">
                  <c:v>43488</c:v>
                </c:pt>
                <c:pt idx="1579">
                  <c:v>43489</c:v>
                </c:pt>
                <c:pt idx="1580">
                  <c:v>43490</c:v>
                </c:pt>
                <c:pt idx="1581">
                  <c:v>43493</c:v>
                </c:pt>
                <c:pt idx="1582">
                  <c:v>43494</c:v>
                </c:pt>
                <c:pt idx="1583">
                  <c:v>43495</c:v>
                </c:pt>
                <c:pt idx="1584">
                  <c:v>43496</c:v>
                </c:pt>
                <c:pt idx="1585">
                  <c:v>43497</c:v>
                </c:pt>
                <c:pt idx="1586">
                  <c:v>43500</c:v>
                </c:pt>
                <c:pt idx="1587">
                  <c:v>43501</c:v>
                </c:pt>
                <c:pt idx="1588">
                  <c:v>43502</c:v>
                </c:pt>
                <c:pt idx="1589">
                  <c:v>43503</c:v>
                </c:pt>
                <c:pt idx="1590">
                  <c:v>43504</c:v>
                </c:pt>
                <c:pt idx="1591">
                  <c:v>43507</c:v>
                </c:pt>
                <c:pt idx="1592">
                  <c:v>43508</c:v>
                </c:pt>
                <c:pt idx="1593">
                  <c:v>43509</c:v>
                </c:pt>
                <c:pt idx="1594">
                  <c:v>43510</c:v>
                </c:pt>
                <c:pt idx="1595">
                  <c:v>43511</c:v>
                </c:pt>
                <c:pt idx="1596">
                  <c:v>43514</c:v>
                </c:pt>
                <c:pt idx="1597">
                  <c:v>43515</c:v>
                </c:pt>
                <c:pt idx="1598">
                  <c:v>43516</c:v>
                </c:pt>
                <c:pt idx="1599">
                  <c:v>43517</c:v>
                </c:pt>
                <c:pt idx="1600">
                  <c:v>43518</c:v>
                </c:pt>
                <c:pt idx="1601">
                  <c:v>43521</c:v>
                </c:pt>
                <c:pt idx="1602">
                  <c:v>43522</c:v>
                </c:pt>
                <c:pt idx="1603">
                  <c:v>43523</c:v>
                </c:pt>
                <c:pt idx="1604">
                  <c:v>43524</c:v>
                </c:pt>
                <c:pt idx="1605">
                  <c:v>43525</c:v>
                </c:pt>
                <c:pt idx="1606">
                  <c:v>43528</c:v>
                </c:pt>
                <c:pt idx="1607">
                  <c:v>43529</c:v>
                </c:pt>
                <c:pt idx="1608">
                  <c:v>43530</c:v>
                </c:pt>
                <c:pt idx="1609">
                  <c:v>43531</c:v>
                </c:pt>
                <c:pt idx="1610">
                  <c:v>43532</c:v>
                </c:pt>
                <c:pt idx="1611">
                  <c:v>43535</c:v>
                </c:pt>
                <c:pt idx="1612">
                  <c:v>43536</c:v>
                </c:pt>
                <c:pt idx="1613">
                  <c:v>43537</c:v>
                </c:pt>
                <c:pt idx="1614">
                  <c:v>43538</c:v>
                </c:pt>
                <c:pt idx="1615">
                  <c:v>43539</c:v>
                </c:pt>
                <c:pt idx="1616">
                  <c:v>43542</c:v>
                </c:pt>
                <c:pt idx="1617">
                  <c:v>43543</c:v>
                </c:pt>
                <c:pt idx="1618">
                  <c:v>43544</c:v>
                </c:pt>
                <c:pt idx="1619">
                  <c:v>43545</c:v>
                </c:pt>
                <c:pt idx="1620">
                  <c:v>43546</c:v>
                </c:pt>
                <c:pt idx="1621">
                  <c:v>43549</c:v>
                </c:pt>
                <c:pt idx="1622">
                  <c:v>43550</c:v>
                </c:pt>
                <c:pt idx="1623">
                  <c:v>43551</c:v>
                </c:pt>
                <c:pt idx="1624">
                  <c:v>43552</c:v>
                </c:pt>
                <c:pt idx="1625">
                  <c:v>43553</c:v>
                </c:pt>
                <c:pt idx="1626">
                  <c:v>43556</c:v>
                </c:pt>
                <c:pt idx="1627">
                  <c:v>43557</c:v>
                </c:pt>
                <c:pt idx="1628">
                  <c:v>43558</c:v>
                </c:pt>
                <c:pt idx="1629">
                  <c:v>43559</c:v>
                </c:pt>
                <c:pt idx="1630">
                  <c:v>43560</c:v>
                </c:pt>
                <c:pt idx="1631">
                  <c:v>43563</c:v>
                </c:pt>
                <c:pt idx="1632">
                  <c:v>43564</c:v>
                </c:pt>
                <c:pt idx="1633">
                  <c:v>43565</c:v>
                </c:pt>
                <c:pt idx="1634">
                  <c:v>43566</c:v>
                </c:pt>
                <c:pt idx="1635">
                  <c:v>43567</c:v>
                </c:pt>
                <c:pt idx="1636">
                  <c:v>43570</c:v>
                </c:pt>
                <c:pt idx="1637">
                  <c:v>43571</c:v>
                </c:pt>
                <c:pt idx="1638">
                  <c:v>43572</c:v>
                </c:pt>
                <c:pt idx="1639">
                  <c:v>43573</c:v>
                </c:pt>
                <c:pt idx="1640">
                  <c:v>43574</c:v>
                </c:pt>
                <c:pt idx="1641">
                  <c:v>43577</c:v>
                </c:pt>
                <c:pt idx="1642">
                  <c:v>43578</c:v>
                </c:pt>
                <c:pt idx="1643">
                  <c:v>43579</c:v>
                </c:pt>
                <c:pt idx="1644">
                  <c:v>43580</c:v>
                </c:pt>
                <c:pt idx="1645">
                  <c:v>43581</c:v>
                </c:pt>
                <c:pt idx="1646">
                  <c:v>43584</c:v>
                </c:pt>
                <c:pt idx="1647">
                  <c:v>43585</c:v>
                </c:pt>
                <c:pt idx="1648">
                  <c:v>43586</c:v>
                </c:pt>
                <c:pt idx="1649">
                  <c:v>43587</c:v>
                </c:pt>
                <c:pt idx="1650">
                  <c:v>43588</c:v>
                </c:pt>
                <c:pt idx="1651">
                  <c:v>43591</c:v>
                </c:pt>
                <c:pt idx="1652">
                  <c:v>43592</c:v>
                </c:pt>
                <c:pt idx="1653">
                  <c:v>43593</c:v>
                </c:pt>
                <c:pt idx="1654">
                  <c:v>43594</c:v>
                </c:pt>
                <c:pt idx="1655">
                  <c:v>43595</c:v>
                </c:pt>
                <c:pt idx="1656">
                  <c:v>43598</c:v>
                </c:pt>
                <c:pt idx="1657">
                  <c:v>43599</c:v>
                </c:pt>
                <c:pt idx="1658">
                  <c:v>43600</c:v>
                </c:pt>
                <c:pt idx="1659">
                  <c:v>43601</c:v>
                </c:pt>
                <c:pt idx="1660">
                  <c:v>43602</c:v>
                </c:pt>
                <c:pt idx="1661">
                  <c:v>43605</c:v>
                </c:pt>
                <c:pt idx="1662">
                  <c:v>43606</c:v>
                </c:pt>
                <c:pt idx="1663">
                  <c:v>43607</c:v>
                </c:pt>
                <c:pt idx="1664">
                  <c:v>43608</c:v>
                </c:pt>
                <c:pt idx="1665">
                  <c:v>43609</c:v>
                </c:pt>
                <c:pt idx="1666">
                  <c:v>43612</c:v>
                </c:pt>
                <c:pt idx="1667">
                  <c:v>43613</c:v>
                </c:pt>
                <c:pt idx="1668">
                  <c:v>43614</c:v>
                </c:pt>
                <c:pt idx="1669">
                  <c:v>43615</c:v>
                </c:pt>
                <c:pt idx="1670">
                  <c:v>43616</c:v>
                </c:pt>
                <c:pt idx="1671">
                  <c:v>43619</c:v>
                </c:pt>
                <c:pt idx="1672">
                  <c:v>43620</c:v>
                </c:pt>
                <c:pt idx="1673">
                  <c:v>43621</c:v>
                </c:pt>
                <c:pt idx="1674">
                  <c:v>43622</c:v>
                </c:pt>
                <c:pt idx="1675">
                  <c:v>43623</c:v>
                </c:pt>
                <c:pt idx="1676">
                  <c:v>43626</c:v>
                </c:pt>
                <c:pt idx="1677">
                  <c:v>43627</c:v>
                </c:pt>
                <c:pt idx="1678">
                  <c:v>43628</c:v>
                </c:pt>
                <c:pt idx="1679">
                  <c:v>43629</c:v>
                </c:pt>
                <c:pt idx="1680">
                  <c:v>43630</c:v>
                </c:pt>
                <c:pt idx="1681">
                  <c:v>43633</c:v>
                </c:pt>
                <c:pt idx="1682">
                  <c:v>43634</c:v>
                </c:pt>
                <c:pt idx="1683">
                  <c:v>43635</c:v>
                </c:pt>
                <c:pt idx="1684">
                  <c:v>43636</c:v>
                </c:pt>
                <c:pt idx="1685">
                  <c:v>43637</c:v>
                </c:pt>
                <c:pt idx="1686">
                  <c:v>43640</c:v>
                </c:pt>
                <c:pt idx="1687">
                  <c:v>43641</c:v>
                </c:pt>
                <c:pt idx="1688">
                  <c:v>43642</c:v>
                </c:pt>
                <c:pt idx="1689">
                  <c:v>43643</c:v>
                </c:pt>
                <c:pt idx="1690">
                  <c:v>43644</c:v>
                </c:pt>
                <c:pt idx="1691">
                  <c:v>43647</c:v>
                </c:pt>
                <c:pt idx="1692">
                  <c:v>43648</c:v>
                </c:pt>
                <c:pt idx="1693">
                  <c:v>43649</c:v>
                </c:pt>
                <c:pt idx="1694">
                  <c:v>43650</c:v>
                </c:pt>
                <c:pt idx="1695">
                  <c:v>43651</c:v>
                </c:pt>
                <c:pt idx="1696">
                  <c:v>43654</c:v>
                </c:pt>
                <c:pt idx="1697">
                  <c:v>43655</c:v>
                </c:pt>
                <c:pt idx="1698">
                  <c:v>43656</c:v>
                </c:pt>
                <c:pt idx="1699">
                  <c:v>43657</c:v>
                </c:pt>
                <c:pt idx="1700">
                  <c:v>43658</c:v>
                </c:pt>
                <c:pt idx="1701">
                  <c:v>43661</c:v>
                </c:pt>
                <c:pt idx="1702">
                  <c:v>43662</c:v>
                </c:pt>
                <c:pt idx="1703">
                  <c:v>43663</c:v>
                </c:pt>
                <c:pt idx="1704">
                  <c:v>43664</c:v>
                </c:pt>
                <c:pt idx="1705">
                  <c:v>43665</c:v>
                </c:pt>
                <c:pt idx="1706">
                  <c:v>43668</c:v>
                </c:pt>
                <c:pt idx="1707">
                  <c:v>43669</c:v>
                </c:pt>
                <c:pt idx="1708">
                  <c:v>43670</c:v>
                </c:pt>
                <c:pt idx="1709">
                  <c:v>43671</c:v>
                </c:pt>
                <c:pt idx="1710">
                  <c:v>43672</c:v>
                </c:pt>
                <c:pt idx="1711">
                  <c:v>43675</c:v>
                </c:pt>
                <c:pt idx="1712">
                  <c:v>43676</c:v>
                </c:pt>
                <c:pt idx="1713">
                  <c:v>43677</c:v>
                </c:pt>
                <c:pt idx="1714">
                  <c:v>43678</c:v>
                </c:pt>
                <c:pt idx="1715">
                  <c:v>43679</c:v>
                </c:pt>
                <c:pt idx="1716">
                  <c:v>43682</c:v>
                </c:pt>
                <c:pt idx="1717">
                  <c:v>43683</c:v>
                </c:pt>
                <c:pt idx="1718">
                  <c:v>43684</c:v>
                </c:pt>
                <c:pt idx="1719">
                  <c:v>43685</c:v>
                </c:pt>
                <c:pt idx="1720">
                  <c:v>43686</c:v>
                </c:pt>
                <c:pt idx="1721">
                  <c:v>43689</c:v>
                </c:pt>
                <c:pt idx="1722">
                  <c:v>43690</c:v>
                </c:pt>
                <c:pt idx="1723">
                  <c:v>43691</c:v>
                </c:pt>
                <c:pt idx="1724">
                  <c:v>43692</c:v>
                </c:pt>
                <c:pt idx="1725">
                  <c:v>43693</c:v>
                </c:pt>
                <c:pt idx="1726">
                  <c:v>43696</c:v>
                </c:pt>
                <c:pt idx="1727">
                  <c:v>43697</c:v>
                </c:pt>
                <c:pt idx="1728">
                  <c:v>43698</c:v>
                </c:pt>
                <c:pt idx="1729">
                  <c:v>43699</c:v>
                </c:pt>
                <c:pt idx="1730">
                  <c:v>43700</c:v>
                </c:pt>
                <c:pt idx="1731">
                  <c:v>43703</c:v>
                </c:pt>
                <c:pt idx="1732">
                  <c:v>43704</c:v>
                </c:pt>
                <c:pt idx="1733">
                  <c:v>43705</c:v>
                </c:pt>
                <c:pt idx="1734">
                  <c:v>43706</c:v>
                </c:pt>
                <c:pt idx="1735">
                  <c:v>43707</c:v>
                </c:pt>
                <c:pt idx="1736">
                  <c:v>43710</c:v>
                </c:pt>
                <c:pt idx="1737">
                  <c:v>43711</c:v>
                </c:pt>
                <c:pt idx="1738">
                  <c:v>43712</c:v>
                </c:pt>
                <c:pt idx="1739">
                  <c:v>43713</c:v>
                </c:pt>
                <c:pt idx="1740">
                  <c:v>43714</c:v>
                </c:pt>
                <c:pt idx="1741">
                  <c:v>43717</c:v>
                </c:pt>
                <c:pt idx="1742">
                  <c:v>43718</c:v>
                </c:pt>
                <c:pt idx="1743">
                  <c:v>43719</c:v>
                </c:pt>
                <c:pt idx="1744">
                  <c:v>43720</c:v>
                </c:pt>
                <c:pt idx="1745">
                  <c:v>43721</c:v>
                </c:pt>
                <c:pt idx="1746">
                  <c:v>43724</c:v>
                </c:pt>
                <c:pt idx="1747">
                  <c:v>43725</c:v>
                </c:pt>
                <c:pt idx="1748">
                  <c:v>43726</c:v>
                </c:pt>
                <c:pt idx="1749">
                  <c:v>43727</c:v>
                </c:pt>
                <c:pt idx="1750">
                  <c:v>43728</c:v>
                </c:pt>
                <c:pt idx="1751">
                  <c:v>43731</c:v>
                </c:pt>
                <c:pt idx="1752">
                  <c:v>43732</c:v>
                </c:pt>
                <c:pt idx="1753">
                  <c:v>43733</c:v>
                </c:pt>
                <c:pt idx="1754">
                  <c:v>43734</c:v>
                </c:pt>
                <c:pt idx="1755">
                  <c:v>43735</c:v>
                </c:pt>
                <c:pt idx="1756">
                  <c:v>43738</c:v>
                </c:pt>
                <c:pt idx="1757">
                  <c:v>43739</c:v>
                </c:pt>
                <c:pt idx="1758">
                  <c:v>43740</c:v>
                </c:pt>
                <c:pt idx="1759">
                  <c:v>43741</c:v>
                </c:pt>
                <c:pt idx="1760">
                  <c:v>43742</c:v>
                </c:pt>
                <c:pt idx="1761">
                  <c:v>43745</c:v>
                </c:pt>
                <c:pt idx="1762">
                  <c:v>43746</c:v>
                </c:pt>
                <c:pt idx="1763">
                  <c:v>43747</c:v>
                </c:pt>
                <c:pt idx="1764">
                  <c:v>43748</c:v>
                </c:pt>
                <c:pt idx="1765">
                  <c:v>43749</c:v>
                </c:pt>
                <c:pt idx="1766">
                  <c:v>43752</c:v>
                </c:pt>
                <c:pt idx="1767">
                  <c:v>43753</c:v>
                </c:pt>
                <c:pt idx="1768">
                  <c:v>43754</c:v>
                </c:pt>
                <c:pt idx="1769">
                  <c:v>43755</c:v>
                </c:pt>
                <c:pt idx="1770">
                  <c:v>43756</c:v>
                </c:pt>
                <c:pt idx="1771">
                  <c:v>43759</c:v>
                </c:pt>
                <c:pt idx="1772">
                  <c:v>43760</c:v>
                </c:pt>
                <c:pt idx="1773">
                  <c:v>43761</c:v>
                </c:pt>
                <c:pt idx="1774">
                  <c:v>43762</c:v>
                </c:pt>
                <c:pt idx="1775">
                  <c:v>43763</c:v>
                </c:pt>
                <c:pt idx="1776">
                  <c:v>43766</c:v>
                </c:pt>
                <c:pt idx="1777">
                  <c:v>43767</c:v>
                </c:pt>
                <c:pt idx="1778">
                  <c:v>43768</c:v>
                </c:pt>
                <c:pt idx="1779">
                  <c:v>43769</c:v>
                </c:pt>
                <c:pt idx="1780">
                  <c:v>43770</c:v>
                </c:pt>
                <c:pt idx="1781">
                  <c:v>43773</c:v>
                </c:pt>
                <c:pt idx="1782">
                  <c:v>43774</c:v>
                </c:pt>
                <c:pt idx="1783">
                  <c:v>43775</c:v>
                </c:pt>
                <c:pt idx="1784">
                  <c:v>43776</c:v>
                </c:pt>
                <c:pt idx="1785">
                  <c:v>43777</c:v>
                </c:pt>
                <c:pt idx="1786">
                  <c:v>43780</c:v>
                </c:pt>
                <c:pt idx="1787">
                  <c:v>43781</c:v>
                </c:pt>
                <c:pt idx="1788">
                  <c:v>43782</c:v>
                </c:pt>
                <c:pt idx="1789">
                  <c:v>43783</c:v>
                </c:pt>
                <c:pt idx="1790">
                  <c:v>43784</c:v>
                </c:pt>
                <c:pt idx="1791">
                  <c:v>43787</c:v>
                </c:pt>
                <c:pt idx="1792">
                  <c:v>43788</c:v>
                </c:pt>
                <c:pt idx="1793">
                  <c:v>43789</c:v>
                </c:pt>
                <c:pt idx="1794">
                  <c:v>43790</c:v>
                </c:pt>
                <c:pt idx="1795">
                  <c:v>43791</c:v>
                </c:pt>
                <c:pt idx="1796">
                  <c:v>43794</c:v>
                </c:pt>
                <c:pt idx="1797">
                  <c:v>43795</c:v>
                </c:pt>
                <c:pt idx="1798">
                  <c:v>43796</c:v>
                </c:pt>
                <c:pt idx="1799">
                  <c:v>43797</c:v>
                </c:pt>
                <c:pt idx="1800">
                  <c:v>43798</c:v>
                </c:pt>
                <c:pt idx="1801">
                  <c:v>43801</c:v>
                </c:pt>
                <c:pt idx="1802">
                  <c:v>43802</c:v>
                </c:pt>
                <c:pt idx="1803">
                  <c:v>43803</c:v>
                </c:pt>
                <c:pt idx="1804">
                  <c:v>43804</c:v>
                </c:pt>
                <c:pt idx="1805">
                  <c:v>43805</c:v>
                </c:pt>
                <c:pt idx="1806">
                  <c:v>43808</c:v>
                </c:pt>
                <c:pt idx="1807">
                  <c:v>43809</c:v>
                </c:pt>
                <c:pt idx="1808">
                  <c:v>43810</c:v>
                </c:pt>
                <c:pt idx="1809">
                  <c:v>43811</c:v>
                </c:pt>
                <c:pt idx="1810">
                  <c:v>43812</c:v>
                </c:pt>
                <c:pt idx="1811">
                  <c:v>43815</c:v>
                </c:pt>
                <c:pt idx="1812">
                  <c:v>43816</c:v>
                </c:pt>
                <c:pt idx="1813">
                  <c:v>43817</c:v>
                </c:pt>
                <c:pt idx="1814">
                  <c:v>43818</c:v>
                </c:pt>
                <c:pt idx="1815">
                  <c:v>43819</c:v>
                </c:pt>
                <c:pt idx="1816">
                  <c:v>43822</c:v>
                </c:pt>
                <c:pt idx="1817">
                  <c:v>43823</c:v>
                </c:pt>
                <c:pt idx="1818">
                  <c:v>43824</c:v>
                </c:pt>
                <c:pt idx="1819">
                  <c:v>43825</c:v>
                </c:pt>
                <c:pt idx="1820">
                  <c:v>43826</c:v>
                </c:pt>
                <c:pt idx="1821">
                  <c:v>43829</c:v>
                </c:pt>
                <c:pt idx="1822">
                  <c:v>43830</c:v>
                </c:pt>
                <c:pt idx="1823">
                  <c:v>43831</c:v>
                </c:pt>
                <c:pt idx="1824">
                  <c:v>43832</c:v>
                </c:pt>
                <c:pt idx="1825">
                  <c:v>43833</c:v>
                </c:pt>
                <c:pt idx="1826">
                  <c:v>43836</c:v>
                </c:pt>
                <c:pt idx="1827">
                  <c:v>43837</c:v>
                </c:pt>
                <c:pt idx="1828">
                  <c:v>43838</c:v>
                </c:pt>
                <c:pt idx="1829">
                  <c:v>43839</c:v>
                </c:pt>
                <c:pt idx="1830">
                  <c:v>43840</c:v>
                </c:pt>
                <c:pt idx="1831">
                  <c:v>43843</c:v>
                </c:pt>
                <c:pt idx="1832">
                  <c:v>43844</c:v>
                </c:pt>
                <c:pt idx="1833">
                  <c:v>43845</c:v>
                </c:pt>
                <c:pt idx="1834">
                  <c:v>43846</c:v>
                </c:pt>
                <c:pt idx="1835">
                  <c:v>43847</c:v>
                </c:pt>
                <c:pt idx="1836">
                  <c:v>43850</c:v>
                </c:pt>
                <c:pt idx="1837">
                  <c:v>43851</c:v>
                </c:pt>
                <c:pt idx="1838">
                  <c:v>43852</c:v>
                </c:pt>
                <c:pt idx="1839">
                  <c:v>43853</c:v>
                </c:pt>
                <c:pt idx="1840">
                  <c:v>43854</c:v>
                </c:pt>
                <c:pt idx="1841">
                  <c:v>43857</c:v>
                </c:pt>
                <c:pt idx="1842">
                  <c:v>43858</c:v>
                </c:pt>
                <c:pt idx="1843">
                  <c:v>43859</c:v>
                </c:pt>
                <c:pt idx="1844">
                  <c:v>43860</c:v>
                </c:pt>
                <c:pt idx="1845">
                  <c:v>43861</c:v>
                </c:pt>
                <c:pt idx="1846">
                  <c:v>43864</c:v>
                </c:pt>
                <c:pt idx="1847">
                  <c:v>43865</c:v>
                </c:pt>
                <c:pt idx="1848">
                  <c:v>43866</c:v>
                </c:pt>
                <c:pt idx="1849">
                  <c:v>43867</c:v>
                </c:pt>
                <c:pt idx="1850">
                  <c:v>43868</c:v>
                </c:pt>
                <c:pt idx="1851">
                  <c:v>43871</c:v>
                </c:pt>
                <c:pt idx="1852">
                  <c:v>43872</c:v>
                </c:pt>
                <c:pt idx="1853">
                  <c:v>43873</c:v>
                </c:pt>
                <c:pt idx="1854">
                  <c:v>43874</c:v>
                </c:pt>
                <c:pt idx="1855">
                  <c:v>43875</c:v>
                </c:pt>
                <c:pt idx="1856">
                  <c:v>43878</c:v>
                </c:pt>
                <c:pt idx="1857">
                  <c:v>43879</c:v>
                </c:pt>
                <c:pt idx="1858">
                  <c:v>43880</c:v>
                </c:pt>
                <c:pt idx="1859">
                  <c:v>43881</c:v>
                </c:pt>
                <c:pt idx="1860">
                  <c:v>43882</c:v>
                </c:pt>
                <c:pt idx="1861">
                  <c:v>43885</c:v>
                </c:pt>
                <c:pt idx="1862">
                  <c:v>43886</c:v>
                </c:pt>
                <c:pt idx="1863">
                  <c:v>43887</c:v>
                </c:pt>
                <c:pt idx="1864">
                  <c:v>43888</c:v>
                </c:pt>
                <c:pt idx="1865">
                  <c:v>43889</c:v>
                </c:pt>
                <c:pt idx="1866">
                  <c:v>43892</c:v>
                </c:pt>
                <c:pt idx="1867">
                  <c:v>43893</c:v>
                </c:pt>
                <c:pt idx="1868">
                  <c:v>43894</c:v>
                </c:pt>
                <c:pt idx="1869">
                  <c:v>43895</c:v>
                </c:pt>
                <c:pt idx="1870">
                  <c:v>43896</c:v>
                </c:pt>
                <c:pt idx="1871">
                  <c:v>43899</c:v>
                </c:pt>
                <c:pt idx="1872">
                  <c:v>43900</c:v>
                </c:pt>
                <c:pt idx="1873">
                  <c:v>43901</c:v>
                </c:pt>
                <c:pt idx="1874">
                  <c:v>43902</c:v>
                </c:pt>
                <c:pt idx="1875">
                  <c:v>43903</c:v>
                </c:pt>
                <c:pt idx="1876">
                  <c:v>43906</c:v>
                </c:pt>
                <c:pt idx="1877">
                  <c:v>43907</c:v>
                </c:pt>
                <c:pt idx="1878">
                  <c:v>43908</c:v>
                </c:pt>
                <c:pt idx="1879">
                  <c:v>43909</c:v>
                </c:pt>
                <c:pt idx="1880">
                  <c:v>43910</c:v>
                </c:pt>
                <c:pt idx="1881">
                  <c:v>43913</c:v>
                </c:pt>
                <c:pt idx="1882">
                  <c:v>43914</c:v>
                </c:pt>
                <c:pt idx="1883">
                  <c:v>43915</c:v>
                </c:pt>
                <c:pt idx="1884">
                  <c:v>43916</c:v>
                </c:pt>
                <c:pt idx="1885">
                  <c:v>43917</c:v>
                </c:pt>
                <c:pt idx="1886">
                  <c:v>43920</c:v>
                </c:pt>
                <c:pt idx="1887">
                  <c:v>43921</c:v>
                </c:pt>
                <c:pt idx="1888">
                  <c:v>43922</c:v>
                </c:pt>
                <c:pt idx="1889">
                  <c:v>43923</c:v>
                </c:pt>
                <c:pt idx="1890">
                  <c:v>43924</c:v>
                </c:pt>
                <c:pt idx="1891">
                  <c:v>43927</c:v>
                </c:pt>
                <c:pt idx="1892">
                  <c:v>43928</c:v>
                </c:pt>
                <c:pt idx="1893">
                  <c:v>43929</c:v>
                </c:pt>
                <c:pt idx="1894">
                  <c:v>43930</c:v>
                </c:pt>
                <c:pt idx="1895">
                  <c:v>43931</c:v>
                </c:pt>
                <c:pt idx="1896">
                  <c:v>43934</c:v>
                </c:pt>
                <c:pt idx="1897">
                  <c:v>43935</c:v>
                </c:pt>
                <c:pt idx="1898">
                  <c:v>43936</c:v>
                </c:pt>
                <c:pt idx="1899">
                  <c:v>43937</c:v>
                </c:pt>
                <c:pt idx="1900">
                  <c:v>43938</c:v>
                </c:pt>
                <c:pt idx="1901">
                  <c:v>43941</c:v>
                </c:pt>
                <c:pt idx="1902">
                  <c:v>43942</c:v>
                </c:pt>
                <c:pt idx="1903">
                  <c:v>43943</c:v>
                </c:pt>
                <c:pt idx="1904">
                  <c:v>43944</c:v>
                </c:pt>
                <c:pt idx="1905">
                  <c:v>43945</c:v>
                </c:pt>
                <c:pt idx="1906">
                  <c:v>43948</c:v>
                </c:pt>
                <c:pt idx="1907">
                  <c:v>43949</c:v>
                </c:pt>
                <c:pt idx="1908">
                  <c:v>43950</c:v>
                </c:pt>
                <c:pt idx="1909">
                  <c:v>43951</c:v>
                </c:pt>
                <c:pt idx="1910">
                  <c:v>43952</c:v>
                </c:pt>
                <c:pt idx="1911">
                  <c:v>43955</c:v>
                </c:pt>
                <c:pt idx="1912">
                  <c:v>43956</c:v>
                </c:pt>
                <c:pt idx="1913">
                  <c:v>43957</c:v>
                </c:pt>
                <c:pt idx="1914">
                  <c:v>43958</c:v>
                </c:pt>
                <c:pt idx="1915">
                  <c:v>43959</c:v>
                </c:pt>
                <c:pt idx="1916">
                  <c:v>43962</c:v>
                </c:pt>
                <c:pt idx="1917">
                  <c:v>43963</c:v>
                </c:pt>
                <c:pt idx="1918">
                  <c:v>43964</c:v>
                </c:pt>
                <c:pt idx="1919">
                  <c:v>43965</c:v>
                </c:pt>
                <c:pt idx="1920">
                  <c:v>43966</c:v>
                </c:pt>
                <c:pt idx="1921">
                  <c:v>43969</c:v>
                </c:pt>
                <c:pt idx="1922">
                  <c:v>43970</c:v>
                </c:pt>
                <c:pt idx="1923">
                  <c:v>43971</c:v>
                </c:pt>
                <c:pt idx="1924">
                  <c:v>43972</c:v>
                </c:pt>
                <c:pt idx="1925">
                  <c:v>43973</c:v>
                </c:pt>
                <c:pt idx="1926">
                  <c:v>43976</c:v>
                </c:pt>
                <c:pt idx="1927">
                  <c:v>43977</c:v>
                </c:pt>
                <c:pt idx="1928">
                  <c:v>43978</c:v>
                </c:pt>
                <c:pt idx="1929">
                  <c:v>43979</c:v>
                </c:pt>
                <c:pt idx="1930">
                  <c:v>43980</c:v>
                </c:pt>
                <c:pt idx="1931">
                  <c:v>43983</c:v>
                </c:pt>
                <c:pt idx="1932">
                  <c:v>43984</c:v>
                </c:pt>
                <c:pt idx="1933">
                  <c:v>43985</c:v>
                </c:pt>
                <c:pt idx="1934">
                  <c:v>43986</c:v>
                </c:pt>
                <c:pt idx="1935">
                  <c:v>43987</c:v>
                </c:pt>
                <c:pt idx="1936">
                  <c:v>43990</c:v>
                </c:pt>
                <c:pt idx="1937">
                  <c:v>43991</c:v>
                </c:pt>
                <c:pt idx="1938">
                  <c:v>43992</c:v>
                </c:pt>
                <c:pt idx="1939">
                  <c:v>43993</c:v>
                </c:pt>
                <c:pt idx="1940">
                  <c:v>43994</c:v>
                </c:pt>
                <c:pt idx="1941">
                  <c:v>43997</c:v>
                </c:pt>
                <c:pt idx="1942">
                  <c:v>43998</c:v>
                </c:pt>
                <c:pt idx="1943">
                  <c:v>43999</c:v>
                </c:pt>
                <c:pt idx="1944">
                  <c:v>44000</c:v>
                </c:pt>
                <c:pt idx="1945">
                  <c:v>44001</c:v>
                </c:pt>
                <c:pt idx="1946">
                  <c:v>44004</c:v>
                </c:pt>
                <c:pt idx="1947">
                  <c:v>44005</c:v>
                </c:pt>
                <c:pt idx="1948">
                  <c:v>44006</c:v>
                </c:pt>
                <c:pt idx="1949">
                  <c:v>44007</c:v>
                </c:pt>
                <c:pt idx="1950">
                  <c:v>44008</c:v>
                </c:pt>
                <c:pt idx="1951">
                  <c:v>44011</c:v>
                </c:pt>
                <c:pt idx="1952">
                  <c:v>44012</c:v>
                </c:pt>
                <c:pt idx="1953">
                  <c:v>44013</c:v>
                </c:pt>
                <c:pt idx="1954">
                  <c:v>44014</c:v>
                </c:pt>
                <c:pt idx="1955">
                  <c:v>44015</c:v>
                </c:pt>
                <c:pt idx="1956">
                  <c:v>44018</c:v>
                </c:pt>
                <c:pt idx="1957">
                  <c:v>44019</c:v>
                </c:pt>
                <c:pt idx="1958">
                  <c:v>44020</c:v>
                </c:pt>
                <c:pt idx="1959">
                  <c:v>44021</c:v>
                </c:pt>
                <c:pt idx="1960">
                  <c:v>44022</c:v>
                </c:pt>
                <c:pt idx="1961">
                  <c:v>44025</c:v>
                </c:pt>
                <c:pt idx="1962">
                  <c:v>44026</c:v>
                </c:pt>
                <c:pt idx="1963">
                  <c:v>44027</c:v>
                </c:pt>
                <c:pt idx="1964">
                  <c:v>44028</c:v>
                </c:pt>
                <c:pt idx="1965">
                  <c:v>44029</c:v>
                </c:pt>
                <c:pt idx="1966">
                  <c:v>44032</c:v>
                </c:pt>
                <c:pt idx="1967">
                  <c:v>44033</c:v>
                </c:pt>
                <c:pt idx="1968">
                  <c:v>44034</c:v>
                </c:pt>
                <c:pt idx="1969">
                  <c:v>44035</c:v>
                </c:pt>
                <c:pt idx="1970">
                  <c:v>44036</c:v>
                </c:pt>
                <c:pt idx="1971">
                  <c:v>44039</c:v>
                </c:pt>
                <c:pt idx="1972">
                  <c:v>44040</c:v>
                </c:pt>
                <c:pt idx="1973">
                  <c:v>44041</c:v>
                </c:pt>
                <c:pt idx="1974">
                  <c:v>44042</c:v>
                </c:pt>
                <c:pt idx="1975">
                  <c:v>44043</c:v>
                </c:pt>
                <c:pt idx="1976">
                  <c:v>44046</c:v>
                </c:pt>
                <c:pt idx="1977">
                  <c:v>44047</c:v>
                </c:pt>
                <c:pt idx="1978">
                  <c:v>44048</c:v>
                </c:pt>
                <c:pt idx="1979">
                  <c:v>44049</c:v>
                </c:pt>
                <c:pt idx="1980">
                  <c:v>44050</c:v>
                </c:pt>
                <c:pt idx="1981">
                  <c:v>44053</c:v>
                </c:pt>
                <c:pt idx="1982">
                  <c:v>44054</c:v>
                </c:pt>
                <c:pt idx="1983">
                  <c:v>44055</c:v>
                </c:pt>
                <c:pt idx="1984">
                  <c:v>44056</c:v>
                </c:pt>
                <c:pt idx="1985">
                  <c:v>44057</c:v>
                </c:pt>
                <c:pt idx="1986">
                  <c:v>44060</c:v>
                </c:pt>
              </c:numCache>
            </c:numRef>
          </c:xVal>
          <c:yVal>
            <c:numRef>
              <c:f>'RSI Strategy'!$R$2:$R$1988</c:f>
              <c:numCache>
                <c:formatCode>General</c:formatCode>
                <c:ptCount val="1987"/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766.25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781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1183.9000000000001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1175.4000000000001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1092.75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1180.3499999999999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1148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1279.5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  <c:pt idx="646">
                  <c:v>#N/A</c:v>
                </c:pt>
                <c:pt idx="647">
                  <c:v>#N/A</c:v>
                </c:pt>
                <c:pt idx="648">
                  <c:v>#N/A</c:v>
                </c:pt>
                <c:pt idx="649">
                  <c:v>#N/A</c:v>
                </c:pt>
                <c:pt idx="650">
                  <c:v>#N/A</c:v>
                </c:pt>
                <c:pt idx="651">
                  <c:v>#N/A</c:v>
                </c:pt>
                <c:pt idx="652">
                  <c:v>#N/A</c:v>
                </c:pt>
                <c:pt idx="653">
                  <c:v>#N/A</c:v>
                </c:pt>
                <c:pt idx="654">
                  <c:v>#N/A</c:v>
                </c:pt>
                <c:pt idx="655">
                  <c:v>#N/A</c:v>
                </c:pt>
                <c:pt idx="656">
                  <c:v>#N/A</c:v>
                </c:pt>
                <c:pt idx="657">
                  <c:v>#N/A</c:v>
                </c:pt>
                <c:pt idx="658">
                  <c:v>#N/A</c:v>
                </c:pt>
                <c:pt idx="659">
                  <c:v>#N/A</c:v>
                </c:pt>
                <c:pt idx="660">
                  <c:v>#N/A</c:v>
                </c:pt>
                <c:pt idx="661">
                  <c:v>#N/A</c:v>
                </c:pt>
                <c:pt idx="662">
                  <c:v>#N/A</c:v>
                </c:pt>
                <c:pt idx="663">
                  <c:v>#N/A</c:v>
                </c:pt>
                <c:pt idx="664">
                  <c:v>#N/A</c:v>
                </c:pt>
                <c:pt idx="665">
                  <c:v>#N/A</c:v>
                </c:pt>
                <c:pt idx="666">
                  <c:v>#N/A</c:v>
                </c:pt>
                <c:pt idx="667">
                  <c:v>#N/A</c:v>
                </c:pt>
                <c:pt idx="668">
                  <c:v>#N/A</c:v>
                </c:pt>
                <c:pt idx="669">
                  <c:v>#N/A</c:v>
                </c:pt>
                <c:pt idx="670">
                  <c:v>#N/A</c:v>
                </c:pt>
                <c:pt idx="671">
                  <c:v>#N/A</c:v>
                </c:pt>
                <c:pt idx="672">
                  <c:v>#N/A</c:v>
                </c:pt>
                <c:pt idx="673">
                  <c:v>#N/A</c:v>
                </c:pt>
                <c:pt idx="674">
                  <c:v>#N/A</c:v>
                </c:pt>
                <c:pt idx="675">
                  <c:v>#N/A</c:v>
                </c:pt>
                <c:pt idx="676">
                  <c:v>#N/A</c:v>
                </c:pt>
                <c:pt idx="677">
                  <c:v>#N/A</c:v>
                </c:pt>
                <c:pt idx="678">
                  <c:v>#N/A</c:v>
                </c:pt>
                <c:pt idx="679">
                  <c:v>#N/A</c:v>
                </c:pt>
                <c:pt idx="680">
                  <c:v>#N/A</c:v>
                </c:pt>
                <c:pt idx="681">
                  <c:v>#N/A</c:v>
                </c:pt>
                <c:pt idx="682">
                  <c:v>#N/A</c:v>
                </c:pt>
                <c:pt idx="683">
                  <c:v>#N/A</c:v>
                </c:pt>
                <c:pt idx="684">
                  <c:v>#N/A</c:v>
                </c:pt>
                <c:pt idx="685">
                  <c:v>#N/A</c:v>
                </c:pt>
                <c:pt idx="686">
                  <c:v>#N/A</c:v>
                </c:pt>
                <c:pt idx="687">
                  <c:v>#N/A</c:v>
                </c:pt>
                <c:pt idx="688">
                  <c:v>#N/A</c:v>
                </c:pt>
                <c:pt idx="689">
                  <c:v>#N/A</c:v>
                </c:pt>
                <c:pt idx="690">
                  <c:v>#N/A</c:v>
                </c:pt>
                <c:pt idx="691">
                  <c:v>#N/A</c:v>
                </c:pt>
                <c:pt idx="692">
                  <c:v>#N/A</c:v>
                </c:pt>
                <c:pt idx="693">
                  <c:v>#N/A</c:v>
                </c:pt>
                <c:pt idx="694">
                  <c:v>#N/A</c:v>
                </c:pt>
                <c:pt idx="695">
                  <c:v>#N/A</c:v>
                </c:pt>
                <c:pt idx="696">
                  <c:v>#N/A</c:v>
                </c:pt>
                <c:pt idx="697">
                  <c:v>#N/A</c:v>
                </c:pt>
                <c:pt idx="698">
                  <c:v>#N/A</c:v>
                </c:pt>
                <c:pt idx="699">
                  <c:v>#N/A</c:v>
                </c:pt>
                <c:pt idx="700">
                  <c:v>#N/A</c:v>
                </c:pt>
                <c:pt idx="701">
                  <c:v>#N/A</c:v>
                </c:pt>
                <c:pt idx="702">
                  <c:v>#N/A</c:v>
                </c:pt>
                <c:pt idx="703">
                  <c:v>#N/A</c:v>
                </c:pt>
                <c:pt idx="704">
                  <c:v>#N/A</c:v>
                </c:pt>
                <c:pt idx="705">
                  <c:v>#N/A</c:v>
                </c:pt>
                <c:pt idx="706">
                  <c:v>#N/A</c:v>
                </c:pt>
                <c:pt idx="707">
                  <c:v>#N/A</c:v>
                </c:pt>
                <c:pt idx="708">
                  <c:v>#N/A</c:v>
                </c:pt>
                <c:pt idx="709">
                  <c:v>#N/A</c:v>
                </c:pt>
                <c:pt idx="710">
                  <c:v>#N/A</c:v>
                </c:pt>
                <c:pt idx="711">
                  <c:v>#N/A</c:v>
                </c:pt>
                <c:pt idx="712">
                  <c:v>#N/A</c:v>
                </c:pt>
                <c:pt idx="713">
                  <c:v>#N/A</c:v>
                </c:pt>
                <c:pt idx="714">
                  <c:v>#N/A</c:v>
                </c:pt>
                <c:pt idx="715">
                  <c:v>#N/A</c:v>
                </c:pt>
                <c:pt idx="716">
                  <c:v>#N/A</c:v>
                </c:pt>
                <c:pt idx="717">
                  <c:v>#N/A</c:v>
                </c:pt>
                <c:pt idx="718">
                  <c:v>#N/A</c:v>
                </c:pt>
                <c:pt idx="719">
                  <c:v>#N/A</c:v>
                </c:pt>
                <c:pt idx="720">
                  <c:v>#N/A</c:v>
                </c:pt>
                <c:pt idx="721">
                  <c:v>#N/A</c:v>
                </c:pt>
                <c:pt idx="722">
                  <c:v>#N/A</c:v>
                </c:pt>
                <c:pt idx="723">
                  <c:v>#N/A</c:v>
                </c:pt>
                <c:pt idx="724">
                  <c:v>#N/A</c:v>
                </c:pt>
                <c:pt idx="725">
                  <c:v>#N/A</c:v>
                </c:pt>
                <c:pt idx="726">
                  <c:v>#N/A</c:v>
                </c:pt>
                <c:pt idx="727">
                  <c:v>#N/A</c:v>
                </c:pt>
                <c:pt idx="728">
                  <c:v>#N/A</c:v>
                </c:pt>
                <c:pt idx="729">
                  <c:v>#N/A</c:v>
                </c:pt>
                <c:pt idx="730">
                  <c:v>#N/A</c:v>
                </c:pt>
                <c:pt idx="731">
                  <c:v>#N/A</c:v>
                </c:pt>
                <c:pt idx="732">
                  <c:v>#N/A</c:v>
                </c:pt>
                <c:pt idx="733">
                  <c:v>#N/A</c:v>
                </c:pt>
                <c:pt idx="734">
                  <c:v>#N/A</c:v>
                </c:pt>
                <c:pt idx="735">
                  <c:v>#N/A</c:v>
                </c:pt>
                <c:pt idx="736">
                  <c:v>#N/A</c:v>
                </c:pt>
                <c:pt idx="737">
                  <c:v>#N/A</c:v>
                </c:pt>
                <c:pt idx="738">
                  <c:v>#N/A</c:v>
                </c:pt>
                <c:pt idx="739">
                  <c:v>#N/A</c:v>
                </c:pt>
                <c:pt idx="740">
                  <c:v>#N/A</c:v>
                </c:pt>
                <c:pt idx="741">
                  <c:v>#N/A</c:v>
                </c:pt>
                <c:pt idx="742">
                  <c:v>#N/A</c:v>
                </c:pt>
                <c:pt idx="743">
                  <c:v>#N/A</c:v>
                </c:pt>
                <c:pt idx="744">
                  <c:v>#N/A</c:v>
                </c:pt>
                <c:pt idx="745">
                  <c:v>#N/A</c:v>
                </c:pt>
                <c:pt idx="746">
                  <c:v>#N/A</c:v>
                </c:pt>
                <c:pt idx="747">
                  <c:v>#N/A</c:v>
                </c:pt>
                <c:pt idx="748">
                  <c:v>#N/A</c:v>
                </c:pt>
                <c:pt idx="749">
                  <c:v>#N/A</c:v>
                </c:pt>
                <c:pt idx="750">
                  <c:v>#N/A</c:v>
                </c:pt>
                <c:pt idx="751">
                  <c:v>#N/A</c:v>
                </c:pt>
                <c:pt idx="752">
                  <c:v>#N/A</c:v>
                </c:pt>
                <c:pt idx="753">
                  <c:v>#N/A</c:v>
                </c:pt>
                <c:pt idx="754">
                  <c:v>1294.8499999999999</c:v>
                </c:pt>
                <c:pt idx="755">
                  <c:v>#N/A</c:v>
                </c:pt>
                <c:pt idx="756">
                  <c:v>#N/A</c:v>
                </c:pt>
                <c:pt idx="757">
                  <c:v>#N/A</c:v>
                </c:pt>
                <c:pt idx="758">
                  <c:v>#N/A</c:v>
                </c:pt>
                <c:pt idx="759">
                  <c:v>#N/A</c:v>
                </c:pt>
                <c:pt idx="760">
                  <c:v>#N/A</c:v>
                </c:pt>
                <c:pt idx="761">
                  <c:v>#N/A</c:v>
                </c:pt>
                <c:pt idx="762">
                  <c:v>#N/A</c:v>
                </c:pt>
                <c:pt idx="763">
                  <c:v>#N/A</c:v>
                </c:pt>
                <c:pt idx="764">
                  <c:v>#N/A</c:v>
                </c:pt>
                <c:pt idx="765">
                  <c:v>#N/A</c:v>
                </c:pt>
                <c:pt idx="766">
                  <c:v>#N/A</c:v>
                </c:pt>
                <c:pt idx="767">
                  <c:v>#N/A</c:v>
                </c:pt>
                <c:pt idx="768">
                  <c:v>#N/A</c:v>
                </c:pt>
                <c:pt idx="769">
                  <c:v>#N/A</c:v>
                </c:pt>
                <c:pt idx="770">
                  <c:v>#N/A</c:v>
                </c:pt>
                <c:pt idx="771">
                  <c:v>#N/A</c:v>
                </c:pt>
                <c:pt idx="772">
                  <c:v>#N/A</c:v>
                </c:pt>
                <c:pt idx="773">
                  <c:v>#N/A</c:v>
                </c:pt>
                <c:pt idx="774">
                  <c:v>#N/A</c:v>
                </c:pt>
                <c:pt idx="775">
                  <c:v>#N/A</c:v>
                </c:pt>
                <c:pt idx="776">
                  <c:v>#N/A</c:v>
                </c:pt>
                <c:pt idx="777">
                  <c:v>#N/A</c:v>
                </c:pt>
                <c:pt idx="778">
                  <c:v>#N/A</c:v>
                </c:pt>
                <c:pt idx="779">
                  <c:v>#N/A</c:v>
                </c:pt>
                <c:pt idx="780">
                  <c:v>#N/A</c:v>
                </c:pt>
                <c:pt idx="781">
                  <c:v>#N/A</c:v>
                </c:pt>
                <c:pt idx="782">
                  <c:v>#N/A</c:v>
                </c:pt>
                <c:pt idx="783">
                  <c:v>#N/A</c:v>
                </c:pt>
                <c:pt idx="784">
                  <c:v>#N/A</c:v>
                </c:pt>
                <c:pt idx="785">
                  <c:v>#N/A</c:v>
                </c:pt>
                <c:pt idx="786">
                  <c:v>#N/A</c:v>
                </c:pt>
                <c:pt idx="787">
                  <c:v>#N/A</c:v>
                </c:pt>
                <c:pt idx="788">
                  <c:v>#N/A</c:v>
                </c:pt>
                <c:pt idx="789">
                  <c:v>#N/A</c:v>
                </c:pt>
                <c:pt idx="790">
                  <c:v>#N/A</c:v>
                </c:pt>
                <c:pt idx="791">
                  <c:v>#N/A</c:v>
                </c:pt>
                <c:pt idx="792">
                  <c:v>#N/A</c:v>
                </c:pt>
                <c:pt idx="793">
                  <c:v>#N/A</c:v>
                </c:pt>
                <c:pt idx="794">
                  <c:v>#N/A</c:v>
                </c:pt>
                <c:pt idx="795">
                  <c:v>#N/A</c:v>
                </c:pt>
                <c:pt idx="796">
                  <c:v>#N/A</c:v>
                </c:pt>
                <c:pt idx="797">
                  <c:v>#N/A</c:v>
                </c:pt>
                <c:pt idx="798">
                  <c:v>#N/A</c:v>
                </c:pt>
                <c:pt idx="799">
                  <c:v>#N/A</c:v>
                </c:pt>
                <c:pt idx="800">
                  <c:v>#N/A</c:v>
                </c:pt>
                <c:pt idx="801">
                  <c:v>#N/A</c:v>
                </c:pt>
                <c:pt idx="802">
                  <c:v>#N/A</c:v>
                </c:pt>
                <c:pt idx="803">
                  <c:v>#N/A</c:v>
                </c:pt>
                <c:pt idx="804">
                  <c:v>#N/A</c:v>
                </c:pt>
                <c:pt idx="805">
                  <c:v>#N/A</c:v>
                </c:pt>
                <c:pt idx="806">
                  <c:v>#N/A</c:v>
                </c:pt>
                <c:pt idx="807">
                  <c:v>#N/A</c:v>
                </c:pt>
                <c:pt idx="808">
                  <c:v>#N/A</c:v>
                </c:pt>
                <c:pt idx="809">
                  <c:v>#N/A</c:v>
                </c:pt>
                <c:pt idx="810">
                  <c:v>#N/A</c:v>
                </c:pt>
                <c:pt idx="811">
                  <c:v>#N/A</c:v>
                </c:pt>
                <c:pt idx="812">
                  <c:v>#N/A</c:v>
                </c:pt>
                <c:pt idx="813">
                  <c:v>#N/A</c:v>
                </c:pt>
                <c:pt idx="814">
                  <c:v>#N/A</c:v>
                </c:pt>
                <c:pt idx="815">
                  <c:v>#N/A</c:v>
                </c:pt>
                <c:pt idx="816">
                  <c:v>#N/A</c:v>
                </c:pt>
                <c:pt idx="817">
                  <c:v>#N/A</c:v>
                </c:pt>
                <c:pt idx="818">
                  <c:v>#N/A</c:v>
                </c:pt>
                <c:pt idx="819">
                  <c:v>#N/A</c:v>
                </c:pt>
                <c:pt idx="820">
                  <c:v>#N/A</c:v>
                </c:pt>
                <c:pt idx="821">
                  <c:v>#N/A</c:v>
                </c:pt>
                <c:pt idx="822">
                  <c:v>#N/A</c:v>
                </c:pt>
                <c:pt idx="823">
                  <c:v>#N/A</c:v>
                </c:pt>
                <c:pt idx="824">
                  <c:v>#N/A</c:v>
                </c:pt>
                <c:pt idx="825">
                  <c:v>#N/A</c:v>
                </c:pt>
                <c:pt idx="826">
                  <c:v>#N/A</c:v>
                </c:pt>
                <c:pt idx="827">
                  <c:v>#N/A</c:v>
                </c:pt>
                <c:pt idx="828">
                  <c:v>#N/A</c:v>
                </c:pt>
                <c:pt idx="829">
                  <c:v>#N/A</c:v>
                </c:pt>
                <c:pt idx="830">
                  <c:v>#N/A</c:v>
                </c:pt>
                <c:pt idx="831">
                  <c:v>#N/A</c:v>
                </c:pt>
                <c:pt idx="832">
                  <c:v>#N/A</c:v>
                </c:pt>
                <c:pt idx="833">
                  <c:v>#N/A</c:v>
                </c:pt>
                <c:pt idx="834">
                  <c:v>#N/A</c:v>
                </c:pt>
                <c:pt idx="835">
                  <c:v>#N/A</c:v>
                </c:pt>
                <c:pt idx="836">
                  <c:v>#N/A</c:v>
                </c:pt>
                <c:pt idx="837">
                  <c:v>#N/A</c:v>
                </c:pt>
                <c:pt idx="838">
                  <c:v>#N/A</c:v>
                </c:pt>
                <c:pt idx="839">
                  <c:v>#N/A</c:v>
                </c:pt>
                <c:pt idx="840">
                  <c:v>#N/A</c:v>
                </c:pt>
                <c:pt idx="841">
                  <c:v>#N/A</c:v>
                </c:pt>
                <c:pt idx="842">
                  <c:v>#N/A</c:v>
                </c:pt>
                <c:pt idx="843">
                  <c:v>#N/A</c:v>
                </c:pt>
                <c:pt idx="844">
                  <c:v>#N/A</c:v>
                </c:pt>
                <c:pt idx="845">
                  <c:v>#N/A</c:v>
                </c:pt>
                <c:pt idx="846">
                  <c:v>#N/A</c:v>
                </c:pt>
                <c:pt idx="847">
                  <c:v>#N/A</c:v>
                </c:pt>
                <c:pt idx="848">
                  <c:v>#N/A</c:v>
                </c:pt>
                <c:pt idx="849">
                  <c:v>#N/A</c:v>
                </c:pt>
                <c:pt idx="850">
                  <c:v>#N/A</c:v>
                </c:pt>
                <c:pt idx="851">
                  <c:v>#N/A</c:v>
                </c:pt>
                <c:pt idx="852">
                  <c:v>#N/A</c:v>
                </c:pt>
                <c:pt idx="853">
                  <c:v>#N/A</c:v>
                </c:pt>
                <c:pt idx="854">
                  <c:v>#N/A</c:v>
                </c:pt>
                <c:pt idx="855">
                  <c:v>#N/A</c:v>
                </c:pt>
                <c:pt idx="856">
                  <c:v>#N/A</c:v>
                </c:pt>
                <c:pt idx="857">
                  <c:v>#N/A</c:v>
                </c:pt>
                <c:pt idx="858">
                  <c:v>#N/A</c:v>
                </c:pt>
                <c:pt idx="859">
                  <c:v>#N/A</c:v>
                </c:pt>
                <c:pt idx="860">
                  <c:v>#N/A</c:v>
                </c:pt>
                <c:pt idx="861">
                  <c:v>#N/A</c:v>
                </c:pt>
                <c:pt idx="862">
                  <c:v>#N/A</c:v>
                </c:pt>
                <c:pt idx="863">
                  <c:v>#N/A</c:v>
                </c:pt>
                <c:pt idx="864">
                  <c:v>#N/A</c:v>
                </c:pt>
                <c:pt idx="865">
                  <c:v>#N/A</c:v>
                </c:pt>
                <c:pt idx="866">
                  <c:v>#N/A</c:v>
                </c:pt>
                <c:pt idx="867">
                  <c:v>#N/A</c:v>
                </c:pt>
                <c:pt idx="868">
                  <c:v>#N/A</c:v>
                </c:pt>
                <c:pt idx="869">
                  <c:v>#N/A</c:v>
                </c:pt>
                <c:pt idx="870">
                  <c:v>#N/A</c:v>
                </c:pt>
                <c:pt idx="871">
                  <c:v>#N/A</c:v>
                </c:pt>
                <c:pt idx="872">
                  <c:v>#N/A</c:v>
                </c:pt>
                <c:pt idx="873">
                  <c:v>#N/A</c:v>
                </c:pt>
                <c:pt idx="874">
                  <c:v>#N/A</c:v>
                </c:pt>
                <c:pt idx="875">
                  <c:v>#N/A</c:v>
                </c:pt>
                <c:pt idx="876">
                  <c:v>#N/A</c:v>
                </c:pt>
                <c:pt idx="877">
                  <c:v>#N/A</c:v>
                </c:pt>
                <c:pt idx="878">
                  <c:v>#N/A</c:v>
                </c:pt>
                <c:pt idx="879">
                  <c:v>#N/A</c:v>
                </c:pt>
                <c:pt idx="880">
                  <c:v>#N/A</c:v>
                </c:pt>
                <c:pt idx="881">
                  <c:v>#N/A</c:v>
                </c:pt>
                <c:pt idx="882">
                  <c:v>#N/A</c:v>
                </c:pt>
                <c:pt idx="883">
                  <c:v>1564.55</c:v>
                </c:pt>
                <c:pt idx="884">
                  <c:v>#N/A</c:v>
                </c:pt>
                <c:pt idx="885">
                  <c:v>#N/A</c:v>
                </c:pt>
                <c:pt idx="886">
                  <c:v>#N/A</c:v>
                </c:pt>
                <c:pt idx="887">
                  <c:v>#N/A</c:v>
                </c:pt>
                <c:pt idx="888">
                  <c:v>#N/A</c:v>
                </c:pt>
                <c:pt idx="889">
                  <c:v>#N/A</c:v>
                </c:pt>
                <c:pt idx="890">
                  <c:v>#N/A</c:v>
                </c:pt>
                <c:pt idx="891">
                  <c:v>#N/A</c:v>
                </c:pt>
                <c:pt idx="892">
                  <c:v>#N/A</c:v>
                </c:pt>
                <c:pt idx="893">
                  <c:v>#N/A</c:v>
                </c:pt>
                <c:pt idx="894">
                  <c:v>#N/A</c:v>
                </c:pt>
                <c:pt idx="895">
                  <c:v>#N/A</c:v>
                </c:pt>
                <c:pt idx="896">
                  <c:v>#N/A</c:v>
                </c:pt>
                <c:pt idx="897">
                  <c:v>#N/A</c:v>
                </c:pt>
                <c:pt idx="898">
                  <c:v>#N/A</c:v>
                </c:pt>
                <c:pt idx="899">
                  <c:v>#N/A</c:v>
                </c:pt>
                <c:pt idx="900">
                  <c:v>#N/A</c:v>
                </c:pt>
                <c:pt idx="901">
                  <c:v>#N/A</c:v>
                </c:pt>
                <c:pt idx="902">
                  <c:v>#N/A</c:v>
                </c:pt>
                <c:pt idx="903">
                  <c:v>#N/A</c:v>
                </c:pt>
                <c:pt idx="904">
                  <c:v>#N/A</c:v>
                </c:pt>
                <c:pt idx="905">
                  <c:v>#N/A</c:v>
                </c:pt>
                <c:pt idx="906">
                  <c:v>#N/A</c:v>
                </c:pt>
                <c:pt idx="907">
                  <c:v>#N/A</c:v>
                </c:pt>
                <c:pt idx="908">
                  <c:v>#N/A</c:v>
                </c:pt>
                <c:pt idx="909">
                  <c:v>#N/A</c:v>
                </c:pt>
                <c:pt idx="910">
                  <c:v>#N/A</c:v>
                </c:pt>
                <c:pt idx="911">
                  <c:v>#N/A</c:v>
                </c:pt>
                <c:pt idx="912">
                  <c:v>#N/A</c:v>
                </c:pt>
                <c:pt idx="913">
                  <c:v>#N/A</c:v>
                </c:pt>
                <c:pt idx="914">
                  <c:v>#N/A</c:v>
                </c:pt>
                <c:pt idx="915">
                  <c:v>#N/A</c:v>
                </c:pt>
                <c:pt idx="916">
                  <c:v>#N/A</c:v>
                </c:pt>
                <c:pt idx="917">
                  <c:v>#N/A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2160.65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2275.75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2309.0500000000002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2606.4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2580.6999999999998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2540.25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2608.85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2671.7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2644.6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2439.75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2416.3000000000002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2352.0500000000002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2577.5500000000002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2437.8000000000002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2323.4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2429.15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2571.5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2701.2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8-441E-ACD3-F5787A479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296304"/>
        <c:axId val="296642560"/>
      </c:scatterChart>
      <c:valAx>
        <c:axId val="337296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96642560"/>
        <c:crosses val="autoZero"/>
        <c:crossBetween val="midCat"/>
      </c:valAx>
      <c:valAx>
        <c:axId val="296642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296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3ED04ED-8DF2-4C83-9C60-B4271126FDBD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75CF12DC-62C3-41D7-A142-0FFBD564F3B4}">
  <sheetPr>
    <tabColor rgb="FF00B0F0"/>
  </sheetPr>
  <sheetViews>
    <sheetView zoomScale="1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73CDF9-6E20-C59B-59BB-44FA8C250F6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9461" cy="629676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2CC71D-6859-B3AA-8C4D-7F1A2028CFB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00B0F0"/>
  </sheetPr>
  <dimension ref="A1:AC1988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5" x14ac:dyDescent="0.25"/>
  <cols>
    <col min="1" max="1" width="11.42578125" customWidth="1"/>
    <col min="7" max="8" width="12" style="4" bestFit="1" customWidth="1"/>
    <col min="9" max="10" width="12" style="6" bestFit="1" customWidth="1"/>
    <col min="11" max="11" width="9.140625" style="4"/>
    <col min="13" max="13" width="15.7109375" style="14" customWidth="1"/>
    <col min="14" max="15" width="9.140625" style="7"/>
    <col min="16" max="16" width="12" style="7" bestFit="1" customWidth="1"/>
    <col min="17" max="17" width="14.5703125" style="10" customWidth="1"/>
    <col min="18" max="18" width="13.42578125" style="10" customWidth="1"/>
    <col min="19" max="20" width="12" style="7" customWidth="1"/>
    <col min="22" max="22" width="17.7109375" customWidth="1"/>
    <col min="23" max="23" width="10.42578125" customWidth="1"/>
    <col min="26" max="26" width="15.140625" customWidth="1"/>
  </cols>
  <sheetData>
    <row r="1" spans="1:2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s="4" t="s">
        <v>8</v>
      </c>
      <c r="H1" s="4" t="s">
        <v>9</v>
      </c>
      <c r="I1" s="6" t="s">
        <v>10</v>
      </c>
      <c r="J1" s="6" t="s">
        <v>11</v>
      </c>
      <c r="K1" s="4" t="s">
        <v>12</v>
      </c>
      <c r="L1" s="4" t="s">
        <v>13</v>
      </c>
      <c r="M1" s="14" t="s">
        <v>34</v>
      </c>
      <c r="N1" s="4" t="s">
        <v>6</v>
      </c>
      <c r="O1" s="4" t="s">
        <v>7</v>
      </c>
      <c r="P1" s="4" t="s">
        <v>18</v>
      </c>
      <c r="Q1" s="14" t="s">
        <v>36</v>
      </c>
      <c r="R1" s="14" t="s">
        <v>37</v>
      </c>
      <c r="S1" s="4" t="s">
        <v>19</v>
      </c>
      <c r="T1" s="4" t="s">
        <v>20</v>
      </c>
      <c r="V1" s="15" t="s">
        <v>27</v>
      </c>
      <c r="W1" s="16"/>
    </row>
    <row r="2" spans="1:27" x14ac:dyDescent="0.25">
      <c r="A2" s="1">
        <v>41278</v>
      </c>
      <c r="B2">
        <v>754.8</v>
      </c>
      <c r="C2">
        <v>758.9</v>
      </c>
      <c r="D2">
        <v>749.05</v>
      </c>
      <c r="E2">
        <v>751.65</v>
      </c>
      <c r="F2">
        <v>981841</v>
      </c>
      <c r="V2" t="s">
        <v>21</v>
      </c>
      <c r="W2" s="12">
        <f>SUMIF(T:T,"&gt;0")</f>
        <v>2.1663835904684166</v>
      </c>
    </row>
    <row r="3" spans="1:27" x14ac:dyDescent="0.25">
      <c r="A3" s="1">
        <v>41281</v>
      </c>
      <c r="B3">
        <v>755</v>
      </c>
      <c r="C3">
        <v>759.55</v>
      </c>
      <c r="D3">
        <v>746.55</v>
      </c>
      <c r="E3">
        <v>751.85</v>
      </c>
      <c r="F3">
        <v>1007244</v>
      </c>
      <c r="G3" s="4">
        <f>IF(E3&gt;E2,E3-E2,0)</f>
        <v>0.20000000000004547</v>
      </c>
      <c r="H3" s="4">
        <f>IF(E3&lt;E2,E2-E3,0)</f>
        <v>0</v>
      </c>
      <c r="V3" s="8" t="s">
        <v>22</v>
      </c>
      <c r="W3" s="12">
        <f>SUMIF(T:T,"&lt;0")</f>
        <v>-1.1167821881941689</v>
      </c>
    </row>
    <row r="4" spans="1:27" x14ac:dyDescent="0.25">
      <c r="A4" s="1">
        <v>41282</v>
      </c>
      <c r="B4">
        <v>751.85</v>
      </c>
      <c r="C4">
        <v>752.2</v>
      </c>
      <c r="D4">
        <v>733</v>
      </c>
      <c r="E4">
        <v>734.85</v>
      </c>
      <c r="F4">
        <v>1674588</v>
      </c>
      <c r="G4" s="4">
        <f t="shared" ref="G4:G67" si="0">IF(E4&gt;E3,E4-E3,0)</f>
        <v>0</v>
      </c>
      <c r="H4" s="4">
        <f t="shared" ref="H4:H67" si="1">IF(E4&lt;E3,E3-E4,0)</f>
        <v>17</v>
      </c>
      <c r="V4" t="s">
        <v>23</v>
      </c>
      <c r="W4" s="4">
        <f>COUNTIF(T:T,"&gt;0")</f>
        <v>44</v>
      </c>
    </row>
    <row r="5" spans="1:27" x14ac:dyDescent="0.25">
      <c r="A5" s="1">
        <v>41283</v>
      </c>
      <c r="B5">
        <v>735.5</v>
      </c>
      <c r="C5">
        <v>739.4</v>
      </c>
      <c r="D5">
        <v>711</v>
      </c>
      <c r="E5">
        <v>714.4</v>
      </c>
      <c r="F5">
        <v>3237446</v>
      </c>
      <c r="G5" s="4">
        <f t="shared" si="0"/>
        <v>0</v>
      </c>
      <c r="H5" s="4">
        <f t="shared" si="1"/>
        <v>20.450000000000045</v>
      </c>
      <c r="V5" s="8" t="s">
        <v>24</v>
      </c>
      <c r="W5" s="4">
        <f>COUNTIF(T:T,"&lt;0")</f>
        <v>11</v>
      </c>
    </row>
    <row r="6" spans="1:27" x14ac:dyDescent="0.25">
      <c r="A6" s="1">
        <v>41284</v>
      </c>
      <c r="B6">
        <v>716</v>
      </c>
      <c r="C6">
        <v>718.5</v>
      </c>
      <c r="D6">
        <v>696.5</v>
      </c>
      <c r="E6">
        <v>699.8</v>
      </c>
      <c r="F6">
        <v>3024089</v>
      </c>
      <c r="G6" s="4">
        <f t="shared" si="0"/>
        <v>0</v>
      </c>
      <c r="H6" s="4">
        <f t="shared" si="1"/>
        <v>14.600000000000023</v>
      </c>
      <c r="V6" t="s">
        <v>25</v>
      </c>
      <c r="W6" s="12">
        <f>W4/(W4+W5)</f>
        <v>0.8</v>
      </c>
    </row>
    <row r="7" spans="1:27" x14ac:dyDescent="0.25">
      <c r="A7" s="1">
        <v>41285</v>
      </c>
      <c r="B7">
        <v>704</v>
      </c>
      <c r="C7">
        <v>720.1</v>
      </c>
      <c r="D7">
        <v>700.4</v>
      </c>
      <c r="E7">
        <v>714.2</v>
      </c>
      <c r="F7">
        <v>2159204</v>
      </c>
      <c r="G7" s="4">
        <f t="shared" si="0"/>
        <v>14.400000000000091</v>
      </c>
      <c r="H7" s="4">
        <f t="shared" si="1"/>
        <v>0</v>
      </c>
      <c r="V7" s="8" t="s">
        <v>26</v>
      </c>
      <c r="W7" s="13">
        <f>AVERAGE(T:T)</f>
        <v>5.319824644066135E-4</v>
      </c>
    </row>
    <row r="8" spans="1:27" x14ac:dyDescent="0.25">
      <c r="A8" s="1">
        <v>41288</v>
      </c>
      <c r="B8">
        <v>732</v>
      </c>
      <c r="C8">
        <v>754</v>
      </c>
      <c r="D8">
        <v>727</v>
      </c>
      <c r="E8">
        <v>750.05</v>
      </c>
      <c r="F8">
        <v>4513845</v>
      </c>
      <c r="G8" s="4">
        <f t="shared" si="0"/>
        <v>35.849999999999909</v>
      </c>
      <c r="H8" s="4">
        <f t="shared" si="1"/>
        <v>0</v>
      </c>
      <c r="V8" s="8" t="s">
        <v>35</v>
      </c>
      <c r="W8" s="13">
        <f>SUM(T:T)</f>
        <v>1.0496014022742484</v>
      </c>
    </row>
    <row r="9" spans="1:27" x14ac:dyDescent="0.25">
      <c r="A9" s="1">
        <v>41289</v>
      </c>
      <c r="B9">
        <v>745</v>
      </c>
      <c r="C9">
        <v>796.4</v>
      </c>
      <c r="D9">
        <v>744.65</v>
      </c>
      <c r="E9">
        <v>788.55</v>
      </c>
      <c r="F9">
        <v>5455136</v>
      </c>
      <c r="G9" s="4">
        <f t="shared" si="0"/>
        <v>38.5</v>
      </c>
      <c r="H9" s="4">
        <f t="shared" si="1"/>
        <v>0</v>
      </c>
    </row>
    <row r="10" spans="1:27" x14ac:dyDescent="0.25">
      <c r="A10" s="1">
        <v>41290</v>
      </c>
      <c r="B10">
        <v>798.45</v>
      </c>
      <c r="C10">
        <v>798.45</v>
      </c>
      <c r="D10">
        <v>769.35</v>
      </c>
      <c r="E10">
        <v>779.85</v>
      </c>
      <c r="F10">
        <v>5163807</v>
      </c>
      <c r="G10" s="4">
        <f t="shared" si="0"/>
        <v>0</v>
      </c>
      <c r="H10" s="4">
        <f t="shared" si="1"/>
        <v>8.6999999999999318</v>
      </c>
      <c r="V10" s="5" t="s">
        <v>33</v>
      </c>
    </row>
    <row r="11" spans="1:27" x14ac:dyDescent="0.25">
      <c r="A11" s="1">
        <v>41291</v>
      </c>
      <c r="B11">
        <v>796</v>
      </c>
      <c r="C11">
        <v>799.6</v>
      </c>
      <c r="D11">
        <v>772.25</v>
      </c>
      <c r="E11">
        <v>791.4</v>
      </c>
      <c r="F11">
        <v>3972504</v>
      </c>
      <c r="G11" s="4">
        <f t="shared" si="0"/>
        <v>11.549999999999955</v>
      </c>
      <c r="H11" s="4">
        <f t="shared" si="1"/>
        <v>0</v>
      </c>
      <c r="V11" s="3" t="s">
        <v>16</v>
      </c>
      <c r="W11" s="3"/>
      <c r="X11" s="3"/>
      <c r="Z11" t="s">
        <v>38</v>
      </c>
      <c r="AA11" s="14">
        <v>70</v>
      </c>
    </row>
    <row r="12" spans="1:27" x14ac:dyDescent="0.25">
      <c r="A12" s="1">
        <v>41292</v>
      </c>
      <c r="B12">
        <v>800</v>
      </c>
      <c r="C12">
        <v>829</v>
      </c>
      <c r="D12">
        <v>793</v>
      </c>
      <c r="E12">
        <v>802.2</v>
      </c>
      <c r="F12">
        <v>3630542</v>
      </c>
      <c r="G12" s="4">
        <f t="shared" si="0"/>
        <v>10.800000000000068</v>
      </c>
      <c r="H12" s="4">
        <f t="shared" si="1"/>
        <v>0</v>
      </c>
      <c r="V12" s="3"/>
      <c r="W12" s="3"/>
      <c r="X12" s="3"/>
      <c r="Z12" t="s">
        <v>39</v>
      </c>
      <c r="AA12" s="14">
        <v>30</v>
      </c>
    </row>
    <row r="13" spans="1:27" x14ac:dyDescent="0.25">
      <c r="A13" s="1">
        <v>41295</v>
      </c>
      <c r="B13">
        <v>802.2</v>
      </c>
      <c r="C13">
        <v>802.2</v>
      </c>
      <c r="D13">
        <v>778.65</v>
      </c>
      <c r="E13">
        <v>780.7</v>
      </c>
      <c r="F13">
        <v>2577425</v>
      </c>
      <c r="G13" s="4">
        <f t="shared" si="0"/>
        <v>0</v>
      </c>
      <c r="H13" s="4">
        <f t="shared" si="1"/>
        <v>21.5</v>
      </c>
      <c r="V13" s="3" t="s">
        <v>17</v>
      </c>
      <c r="W13" s="3"/>
      <c r="X13" s="3"/>
    </row>
    <row r="14" spans="1:27" x14ac:dyDescent="0.25">
      <c r="A14" s="1">
        <v>41296</v>
      </c>
      <c r="B14">
        <v>792.2</v>
      </c>
      <c r="C14">
        <v>792.2</v>
      </c>
      <c r="D14">
        <v>770.9</v>
      </c>
      <c r="E14">
        <v>779.4</v>
      </c>
      <c r="F14">
        <v>2173527</v>
      </c>
      <c r="G14" s="4">
        <f t="shared" si="0"/>
        <v>0</v>
      </c>
      <c r="H14" s="4">
        <f t="shared" si="1"/>
        <v>1.3000000000000682</v>
      </c>
      <c r="V14" s="3" t="s">
        <v>14</v>
      </c>
      <c r="W14" s="3"/>
      <c r="X14" s="3"/>
    </row>
    <row r="15" spans="1:27" x14ac:dyDescent="0.25">
      <c r="A15" s="1">
        <v>41297</v>
      </c>
      <c r="B15">
        <v>772.25</v>
      </c>
      <c r="C15">
        <v>791.95</v>
      </c>
      <c r="D15">
        <v>767.9</v>
      </c>
      <c r="E15">
        <v>770.65</v>
      </c>
      <c r="F15">
        <v>2544752</v>
      </c>
      <c r="G15" s="4">
        <f t="shared" si="0"/>
        <v>0</v>
      </c>
      <c r="H15" s="4">
        <f t="shared" si="1"/>
        <v>8.75</v>
      </c>
      <c r="P15" s="7">
        <v>0</v>
      </c>
      <c r="S15" s="7">
        <f>E15</f>
        <v>770.65</v>
      </c>
      <c r="V15" s="3" t="s">
        <v>15</v>
      </c>
      <c r="W15" s="3"/>
      <c r="X15" s="3"/>
    </row>
    <row r="16" spans="1:27" x14ac:dyDescent="0.25">
      <c r="A16" s="1">
        <v>41298</v>
      </c>
      <c r="B16">
        <v>761</v>
      </c>
      <c r="C16">
        <v>765</v>
      </c>
      <c r="D16">
        <v>744.7</v>
      </c>
      <c r="E16">
        <v>757.85</v>
      </c>
      <c r="F16">
        <v>3787495</v>
      </c>
      <c r="G16" s="4">
        <f t="shared" si="0"/>
        <v>0</v>
      </c>
      <c r="H16" s="4">
        <f t="shared" si="1"/>
        <v>12.799999999999955</v>
      </c>
      <c r="I16" s="6">
        <f>AVERAGE(G3:G16)</f>
        <v>7.9500000000000046</v>
      </c>
      <c r="J16" s="6">
        <f>AVERAGE(H3:H16)</f>
        <v>7.5071428571428589</v>
      </c>
      <c r="K16" s="4">
        <f>I16/J16</f>
        <v>1.0589914367269271</v>
      </c>
      <c r="L16">
        <f>100-(100/(K16+1))</f>
        <v>51.432532347504633</v>
      </c>
      <c r="M16" s="14" t="str">
        <f t="shared" ref="M16:M79" si="2">IF(L16&gt;RSI_Overbought,"OVERBOUGHT",IF(L16&lt;RSI_Oversold,"OVERSOLD",""))</f>
        <v/>
      </c>
      <c r="N16" s="7">
        <f t="shared" ref="N16:N79" si="3">IF(L16&gt;RSI_Overbought,"SELL",IF(L16&lt;RSI_Oversold,"BUY",0))</f>
        <v>0</v>
      </c>
      <c r="O16" s="7">
        <f>IF(AND(N16="BUY",P15&lt;&gt;1),"BUY",IF(AND(N16="SELL",P15&lt;&gt;-1),"SELL",0))</f>
        <v>0</v>
      </c>
      <c r="P16" s="7">
        <f>IF(O16="BUY",1,IF(O16="SELL",-1,P15))</f>
        <v>0</v>
      </c>
      <c r="Q16" s="10" t="e">
        <f t="shared" ref="Q16:Q79" si="4">IF($O16="BUY",$E16,NA())</f>
        <v>#N/A</v>
      </c>
      <c r="R16" s="10" t="e">
        <f t="shared" ref="R16:R79" si="5">IF($O16="SELL",$E16,NA())</f>
        <v>#N/A</v>
      </c>
      <c r="S16" s="7">
        <f>IF(O16&lt;&gt;0,E16,S15)</f>
        <v>770.65</v>
      </c>
      <c r="T16" s="7">
        <f>IF(O16="BUY",(S16-S15)/S15,IF(O16="SELL",(S15-S16)/S15,0))</f>
        <v>0</v>
      </c>
    </row>
    <row r="17" spans="1:29" x14ac:dyDescent="0.25">
      <c r="A17" s="1">
        <v>41299</v>
      </c>
      <c r="B17">
        <v>757.5</v>
      </c>
      <c r="C17">
        <v>765.5</v>
      </c>
      <c r="D17">
        <v>741.15</v>
      </c>
      <c r="E17">
        <v>756.2</v>
      </c>
      <c r="F17">
        <v>1504143</v>
      </c>
      <c r="G17" s="4">
        <f t="shared" si="0"/>
        <v>0</v>
      </c>
      <c r="H17" s="4">
        <f t="shared" si="1"/>
        <v>1.6499999999999773</v>
      </c>
      <c r="I17" s="6">
        <f t="shared" ref="I17:I80" si="6">AVERAGE(G4:G17)</f>
        <v>7.9357142857142877</v>
      </c>
      <c r="J17" s="6">
        <f t="shared" ref="J17:J80" si="7">AVERAGE(H4:H17)</f>
        <v>7.625</v>
      </c>
      <c r="K17" s="4">
        <f t="shared" ref="K17:K80" si="8">I17/J17</f>
        <v>1.0407494145199065</v>
      </c>
      <c r="L17">
        <f t="shared" ref="L17:L80" si="9">100-(100/(K17+1))</f>
        <v>50.998393389947211</v>
      </c>
      <c r="M17" s="14" t="str">
        <f t="shared" si="2"/>
        <v/>
      </c>
      <c r="N17" s="7">
        <f t="shared" si="3"/>
        <v>0</v>
      </c>
      <c r="O17" s="7">
        <f t="shared" ref="O17:O80" si="10">IF(AND(N17="BUY",P16&lt;&gt;1),"BUY",IF(AND(N17="SELL",P16&lt;&gt;-1),"SELL",0))</f>
        <v>0</v>
      </c>
      <c r="P17" s="7">
        <f t="shared" ref="P17:P80" si="11">IF(O17="BUY",1,IF(O17="SELL",-1,P16))</f>
        <v>0</v>
      </c>
      <c r="Q17" s="10" t="e">
        <f t="shared" si="4"/>
        <v>#N/A</v>
      </c>
      <c r="R17" s="10" t="e">
        <f t="shared" si="5"/>
        <v>#N/A</v>
      </c>
      <c r="S17" s="7">
        <f t="shared" ref="S17:S80" si="12">IF(O17&lt;&gt;0,E17,S16)</f>
        <v>770.65</v>
      </c>
      <c r="T17" s="7">
        <f t="shared" ref="T17:T24" si="13">IF(O17="BUY",(S17-S16)/S16,IF(O17="SELL",(S16-S17)/S16,0))</f>
        <v>0</v>
      </c>
      <c r="V17" s="5" t="s">
        <v>41</v>
      </c>
    </row>
    <row r="18" spans="1:29" x14ac:dyDescent="0.25">
      <c r="A18" s="1">
        <v>41302</v>
      </c>
      <c r="B18">
        <v>750</v>
      </c>
      <c r="C18">
        <v>759.7</v>
      </c>
      <c r="D18">
        <v>740.15</v>
      </c>
      <c r="E18">
        <v>743.3</v>
      </c>
      <c r="F18">
        <v>2422199</v>
      </c>
      <c r="G18" s="4">
        <f t="shared" si="0"/>
        <v>0</v>
      </c>
      <c r="H18" s="4">
        <f t="shared" si="1"/>
        <v>12.900000000000091</v>
      </c>
      <c r="I18" s="6">
        <f t="shared" si="6"/>
        <v>7.9357142857142877</v>
      </c>
      <c r="J18" s="6">
        <f t="shared" si="7"/>
        <v>7.3321428571428635</v>
      </c>
      <c r="K18" s="4">
        <f t="shared" si="8"/>
        <v>1.0823185582075006</v>
      </c>
      <c r="L18">
        <f t="shared" si="9"/>
        <v>51.976608187134488</v>
      </c>
      <c r="M18" s="14" t="str">
        <f t="shared" si="2"/>
        <v/>
      </c>
      <c r="N18" s="7">
        <f t="shared" si="3"/>
        <v>0</v>
      </c>
      <c r="O18" s="7">
        <f t="shared" si="10"/>
        <v>0</v>
      </c>
      <c r="P18" s="7">
        <f t="shared" si="11"/>
        <v>0</v>
      </c>
      <c r="Q18" s="10" t="e">
        <f t="shared" si="4"/>
        <v>#N/A</v>
      </c>
      <c r="R18" s="10" t="e">
        <f t="shared" si="5"/>
        <v>#N/A</v>
      </c>
      <c r="S18" s="7">
        <f t="shared" si="12"/>
        <v>770.65</v>
      </c>
      <c r="T18" s="7">
        <f t="shared" si="13"/>
        <v>0</v>
      </c>
      <c r="V18" s="3" t="s">
        <v>40</v>
      </c>
      <c r="W18" s="3"/>
      <c r="X18" s="3"/>
      <c r="Y18" s="3"/>
      <c r="Z18" s="3"/>
    </row>
    <row r="19" spans="1:29" x14ac:dyDescent="0.25">
      <c r="A19" s="1">
        <v>41303</v>
      </c>
      <c r="B19">
        <v>749.5</v>
      </c>
      <c r="C19">
        <v>757.95</v>
      </c>
      <c r="D19">
        <v>727.7</v>
      </c>
      <c r="E19">
        <v>741.75</v>
      </c>
      <c r="F19">
        <v>3268598</v>
      </c>
      <c r="G19" s="4">
        <f t="shared" si="0"/>
        <v>0</v>
      </c>
      <c r="H19" s="4">
        <f t="shared" si="1"/>
        <v>1.5499999999999545</v>
      </c>
      <c r="I19" s="6">
        <f t="shared" si="6"/>
        <v>7.9357142857142877</v>
      </c>
      <c r="J19" s="6">
        <f t="shared" si="7"/>
        <v>5.9821428571428568</v>
      </c>
      <c r="K19" s="4">
        <f t="shared" si="8"/>
        <v>1.3265671641791048</v>
      </c>
      <c r="L19">
        <f t="shared" si="9"/>
        <v>57.018219142930462</v>
      </c>
      <c r="M19" s="14" t="str">
        <f t="shared" si="2"/>
        <v/>
      </c>
      <c r="N19" s="7">
        <f t="shared" si="3"/>
        <v>0</v>
      </c>
      <c r="O19" s="7">
        <f t="shared" si="10"/>
        <v>0</v>
      </c>
      <c r="P19" s="7">
        <f t="shared" si="11"/>
        <v>0</v>
      </c>
      <c r="Q19" s="10" t="e">
        <f t="shared" si="4"/>
        <v>#N/A</v>
      </c>
      <c r="R19" s="10" t="e">
        <f t="shared" si="5"/>
        <v>#N/A</v>
      </c>
      <c r="S19" s="7">
        <f t="shared" si="12"/>
        <v>770.65</v>
      </c>
      <c r="T19" s="7">
        <f t="shared" si="13"/>
        <v>0</v>
      </c>
    </row>
    <row r="20" spans="1:29" x14ac:dyDescent="0.25">
      <c r="A20" s="1">
        <v>41304</v>
      </c>
      <c r="B20">
        <v>734</v>
      </c>
      <c r="C20">
        <v>739.8</v>
      </c>
      <c r="D20">
        <v>712.15</v>
      </c>
      <c r="E20">
        <v>736.2</v>
      </c>
      <c r="F20">
        <v>2736663</v>
      </c>
      <c r="G20" s="4">
        <f t="shared" si="0"/>
        <v>0</v>
      </c>
      <c r="H20" s="4">
        <f t="shared" si="1"/>
        <v>5.5499999999999545</v>
      </c>
      <c r="I20" s="6">
        <f t="shared" si="6"/>
        <v>7.9357142857142877</v>
      </c>
      <c r="J20" s="6">
        <f t="shared" si="7"/>
        <v>5.335714285714281</v>
      </c>
      <c r="K20" s="4">
        <f t="shared" si="8"/>
        <v>1.4872824631860793</v>
      </c>
      <c r="L20">
        <f t="shared" si="9"/>
        <v>59.79547900968786</v>
      </c>
      <c r="M20" s="14" t="str">
        <f t="shared" si="2"/>
        <v/>
      </c>
      <c r="N20" s="7">
        <f t="shared" si="3"/>
        <v>0</v>
      </c>
      <c r="O20" s="7">
        <f t="shared" si="10"/>
        <v>0</v>
      </c>
      <c r="P20" s="7">
        <f t="shared" si="11"/>
        <v>0</v>
      </c>
      <c r="Q20" s="10" t="e">
        <f t="shared" si="4"/>
        <v>#N/A</v>
      </c>
      <c r="R20" s="10" t="e">
        <f t="shared" si="5"/>
        <v>#N/A</v>
      </c>
      <c r="S20" s="7">
        <f t="shared" si="12"/>
        <v>770.65</v>
      </c>
      <c r="T20" s="7">
        <f t="shared" si="13"/>
        <v>0</v>
      </c>
      <c r="V20" s="9" t="s">
        <v>32</v>
      </c>
    </row>
    <row r="21" spans="1:29" x14ac:dyDescent="0.25">
      <c r="A21" s="1">
        <v>41305</v>
      </c>
      <c r="B21">
        <v>734.35</v>
      </c>
      <c r="C21">
        <v>762.8</v>
      </c>
      <c r="D21">
        <v>720</v>
      </c>
      <c r="E21">
        <v>746.15</v>
      </c>
      <c r="F21">
        <v>1689006</v>
      </c>
      <c r="G21" s="4">
        <f t="shared" si="0"/>
        <v>9.9499999999999318</v>
      </c>
      <c r="H21" s="4">
        <f t="shared" si="1"/>
        <v>0</v>
      </c>
      <c r="I21" s="6">
        <f t="shared" si="6"/>
        <v>7.6178571428571331</v>
      </c>
      <c r="J21" s="6">
        <f t="shared" si="7"/>
        <v>5.335714285714281</v>
      </c>
      <c r="K21" s="4">
        <f t="shared" si="8"/>
        <v>1.4277108433734935</v>
      </c>
      <c r="L21">
        <f t="shared" si="9"/>
        <v>58.808933002481382</v>
      </c>
      <c r="M21" s="14" t="str">
        <f t="shared" si="2"/>
        <v/>
      </c>
      <c r="N21" s="7">
        <f t="shared" si="3"/>
        <v>0</v>
      </c>
      <c r="O21" s="7">
        <f t="shared" si="10"/>
        <v>0</v>
      </c>
      <c r="P21" s="7">
        <f t="shared" si="11"/>
        <v>0</v>
      </c>
      <c r="Q21" s="10" t="e">
        <f t="shared" si="4"/>
        <v>#N/A</v>
      </c>
      <c r="R21" s="10" t="e">
        <f t="shared" si="5"/>
        <v>#N/A</v>
      </c>
      <c r="S21" s="7">
        <f t="shared" si="12"/>
        <v>770.65</v>
      </c>
      <c r="T21" s="7">
        <f t="shared" si="13"/>
        <v>0</v>
      </c>
      <c r="V21" s="2" t="s">
        <v>31</v>
      </c>
      <c r="W21" s="2"/>
      <c r="X21" s="2"/>
      <c r="Y21" s="2"/>
      <c r="Z21" s="2"/>
      <c r="AA21" s="2"/>
    </row>
    <row r="22" spans="1:29" x14ac:dyDescent="0.25">
      <c r="A22" s="1">
        <v>41306</v>
      </c>
      <c r="B22">
        <v>755</v>
      </c>
      <c r="C22">
        <v>762.65</v>
      </c>
      <c r="D22">
        <v>735</v>
      </c>
      <c r="E22">
        <v>738.4</v>
      </c>
      <c r="F22">
        <v>2369594</v>
      </c>
      <c r="G22" s="4">
        <f t="shared" si="0"/>
        <v>0</v>
      </c>
      <c r="H22" s="4">
        <f t="shared" si="1"/>
        <v>7.75</v>
      </c>
      <c r="I22" s="6">
        <f t="shared" si="6"/>
        <v>5.0571428571428543</v>
      </c>
      <c r="J22" s="6">
        <f t="shared" si="7"/>
        <v>5.8892857142857098</v>
      </c>
      <c r="K22" s="4">
        <f t="shared" si="8"/>
        <v>0.85870224378411175</v>
      </c>
      <c r="L22">
        <f t="shared" si="9"/>
        <v>46.199021207177815</v>
      </c>
      <c r="M22" s="14" t="str">
        <f t="shared" si="2"/>
        <v/>
      </c>
      <c r="N22" s="7">
        <f t="shared" si="3"/>
        <v>0</v>
      </c>
      <c r="O22" s="7">
        <f t="shared" si="10"/>
        <v>0</v>
      </c>
      <c r="P22" s="7">
        <f t="shared" si="11"/>
        <v>0</v>
      </c>
      <c r="Q22" s="10" t="e">
        <f t="shared" si="4"/>
        <v>#N/A</v>
      </c>
      <c r="R22" s="10" t="e">
        <f t="shared" si="5"/>
        <v>#N/A</v>
      </c>
      <c r="S22" s="7">
        <f t="shared" si="12"/>
        <v>770.65</v>
      </c>
      <c r="T22" s="7">
        <f t="shared" si="13"/>
        <v>0</v>
      </c>
    </row>
    <row r="23" spans="1:29" x14ac:dyDescent="0.25">
      <c r="A23" s="1">
        <v>41309</v>
      </c>
      <c r="B23">
        <v>744</v>
      </c>
      <c r="C23">
        <v>756.9</v>
      </c>
      <c r="D23">
        <v>735.5</v>
      </c>
      <c r="E23">
        <v>752.95</v>
      </c>
      <c r="F23">
        <v>1488838</v>
      </c>
      <c r="G23" s="4">
        <f t="shared" si="0"/>
        <v>14.550000000000068</v>
      </c>
      <c r="H23" s="4">
        <f t="shared" si="1"/>
        <v>0</v>
      </c>
      <c r="I23" s="6">
        <f t="shared" si="6"/>
        <v>3.3464285714285729</v>
      </c>
      <c r="J23" s="6">
        <f t="shared" si="7"/>
        <v>5.8892857142857098</v>
      </c>
      <c r="K23" s="4">
        <f t="shared" si="8"/>
        <v>0.56822316555488239</v>
      </c>
      <c r="L23">
        <f t="shared" si="9"/>
        <v>36.233565351894846</v>
      </c>
      <c r="M23" s="14" t="str">
        <f t="shared" si="2"/>
        <v/>
      </c>
      <c r="N23" s="7">
        <f t="shared" si="3"/>
        <v>0</v>
      </c>
      <c r="O23" s="7">
        <f t="shared" si="10"/>
        <v>0</v>
      </c>
      <c r="P23" s="7">
        <f t="shared" si="11"/>
        <v>0</v>
      </c>
      <c r="Q23" s="10" t="e">
        <f t="shared" si="4"/>
        <v>#N/A</v>
      </c>
      <c r="R23" s="10" t="e">
        <f t="shared" si="5"/>
        <v>#N/A</v>
      </c>
      <c r="S23" s="7">
        <f t="shared" si="12"/>
        <v>770.65</v>
      </c>
      <c r="T23" s="7">
        <f t="shared" si="13"/>
        <v>0</v>
      </c>
      <c r="V23" s="9" t="s">
        <v>29</v>
      </c>
    </row>
    <row r="24" spans="1:29" x14ac:dyDescent="0.25">
      <c r="A24" s="1">
        <v>41310</v>
      </c>
      <c r="B24">
        <v>752.95</v>
      </c>
      <c r="C24">
        <v>753.9</v>
      </c>
      <c r="D24">
        <v>732.5</v>
      </c>
      <c r="E24">
        <v>738.7</v>
      </c>
      <c r="F24">
        <v>1358306</v>
      </c>
      <c r="G24" s="4">
        <f t="shared" si="0"/>
        <v>0</v>
      </c>
      <c r="H24" s="4">
        <f t="shared" si="1"/>
        <v>14.25</v>
      </c>
      <c r="I24" s="6">
        <f t="shared" si="6"/>
        <v>3.3464285714285729</v>
      </c>
      <c r="J24" s="6">
        <f t="shared" si="7"/>
        <v>6.2857142857142856</v>
      </c>
      <c r="K24" s="4">
        <f t="shared" si="8"/>
        <v>0.53238636363636382</v>
      </c>
      <c r="L24">
        <f t="shared" si="9"/>
        <v>34.742306266221746</v>
      </c>
      <c r="M24" s="14" t="str">
        <f t="shared" si="2"/>
        <v/>
      </c>
      <c r="N24" s="7">
        <f t="shared" si="3"/>
        <v>0</v>
      </c>
      <c r="O24" s="7">
        <f t="shared" si="10"/>
        <v>0</v>
      </c>
      <c r="P24" s="7">
        <f t="shared" si="11"/>
        <v>0</v>
      </c>
      <c r="Q24" s="10" t="e">
        <f t="shared" si="4"/>
        <v>#N/A</v>
      </c>
      <c r="R24" s="10" t="e">
        <f t="shared" si="5"/>
        <v>#N/A</v>
      </c>
      <c r="S24" s="7">
        <f t="shared" si="12"/>
        <v>770.65</v>
      </c>
      <c r="T24" s="7">
        <f t="shared" si="13"/>
        <v>0</v>
      </c>
      <c r="V24" s="2" t="s">
        <v>30</v>
      </c>
      <c r="W24" s="2"/>
      <c r="X24" s="2"/>
      <c r="Y24" s="2"/>
      <c r="Z24" s="2"/>
      <c r="AA24" s="2"/>
      <c r="AB24" s="2"/>
      <c r="AC24" s="2"/>
    </row>
    <row r="25" spans="1:29" x14ac:dyDescent="0.25">
      <c r="A25" s="1">
        <v>41311</v>
      </c>
      <c r="B25">
        <v>735</v>
      </c>
      <c r="C25">
        <v>735</v>
      </c>
      <c r="D25">
        <v>716.6</v>
      </c>
      <c r="E25">
        <v>723.5</v>
      </c>
      <c r="F25">
        <v>2303559</v>
      </c>
      <c r="G25" s="4">
        <f t="shared" si="0"/>
        <v>0</v>
      </c>
      <c r="H25" s="4">
        <f t="shared" si="1"/>
        <v>15.200000000000045</v>
      </c>
      <c r="I25" s="6">
        <f t="shared" si="6"/>
        <v>2.5214285714285762</v>
      </c>
      <c r="J25" s="6">
        <f t="shared" si="7"/>
        <v>7.3714285714285745</v>
      </c>
      <c r="K25" s="4">
        <f t="shared" si="8"/>
        <v>0.34205426356589197</v>
      </c>
      <c r="L25">
        <f t="shared" si="9"/>
        <v>25.487364620938649</v>
      </c>
      <c r="M25" s="14" t="str">
        <f t="shared" si="2"/>
        <v>OVERSOLD</v>
      </c>
      <c r="N25" s="7" t="str">
        <f t="shared" si="3"/>
        <v>BUY</v>
      </c>
      <c r="O25" s="7" t="str">
        <f t="shared" si="10"/>
        <v>BUY</v>
      </c>
      <c r="P25" s="7">
        <f t="shared" si="11"/>
        <v>1</v>
      </c>
      <c r="Q25" s="10">
        <f t="shared" si="4"/>
        <v>723.5</v>
      </c>
      <c r="R25" s="10" t="e">
        <f t="shared" si="5"/>
        <v>#N/A</v>
      </c>
      <c r="S25" s="7">
        <f t="shared" si="12"/>
        <v>723.5</v>
      </c>
      <c r="T25" s="17">
        <v>0</v>
      </c>
    </row>
    <row r="26" spans="1:29" x14ac:dyDescent="0.25">
      <c r="A26" s="1">
        <v>41312</v>
      </c>
      <c r="B26">
        <v>728</v>
      </c>
      <c r="C26">
        <v>732.5</v>
      </c>
      <c r="D26">
        <v>721.15</v>
      </c>
      <c r="E26">
        <v>729.7</v>
      </c>
      <c r="F26">
        <v>79487</v>
      </c>
      <c r="G26" s="4">
        <f t="shared" si="0"/>
        <v>6.2000000000000455</v>
      </c>
      <c r="H26" s="4">
        <f t="shared" si="1"/>
        <v>0</v>
      </c>
      <c r="I26" s="6">
        <f t="shared" si="6"/>
        <v>2.1928571428571462</v>
      </c>
      <c r="J26" s="6">
        <f t="shared" si="7"/>
        <v>7.3714285714285745</v>
      </c>
      <c r="K26" s="4">
        <f t="shared" si="8"/>
        <v>0.29748062015503907</v>
      </c>
      <c r="L26">
        <f t="shared" si="9"/>
        <v>22.927557879014202</v>
      </c>
      <c r="M26" s="14" t="str">
        <f t="shared" si="2"/>
        <v>OVERSOLD</v>
      </c>
      <c r="N26" s="7" t="str">
        <f t="shared" si="3"/>
        <v>BUY</v>
      </c>
      <c r="O26" s="7">
        <f t="shared" si="10"/>
        <v>0</v>
      </c>
      <c r="P26" s="7">
        <f t="shared" si="11"/>
        <v>1</v>
      </c>
      <c r="Q26" s="10" t="e">
        <f t="shared" si="4"/>
        <v>#N/A</v>
      </c>
      <c r="R26" s="10" t="e">
        <f t="shared" si="5"/>
        <v>#N/A</v>
      </c>
      <c r="S26" s="7">
        <f t="shared" si="12"/>
        <v>723.5</v>
      </c>
      <c r="T26" s="7">
        <f t="shared" ref="T26:T89" si="14">IF(O26="BUY",(S25-S26)/S25,IF(O26="SELL",(S26-S25)/S25,0))</f>
        <v>0</v>
      </c>
    </row>
    <row r="27" spans="1:29" x14ac:dyDescent="0.25">
      <c r="A27" s="1">
        <v>41313</v>
      </c>
      <c r="B27">
        <v>729</v>
      </c>
      <c r="C27">
        <v>734.75</v>
      </c>
      <c r="D27">
        <v>708.15</v>
      </c>
      <c r="E27">
        <v>724.15</v>
      </c>
      <c r="F27">
        <v>2085172</v>
      </c>
      <c r="G27" s="4">
        <f t="shared" si="0"/>
        <v>0</v>
      </c>
      <c r="H27" s="4">
        <f t="shared" si="1"/>
        <v>5.5500000000000682</v>
      </c>
      <c r="I27" s="6">
        <f t="shared" si="6"/>
        <v>2.1928571428571462</v>
      </c>
      <c r="J27" s="6">
        <f t="shared" si="7"/>
        <v>6.2321428571428656</v>
      </c>
      <c r="K27" s="4">
        <f t="shared" si="8"/>
        <v>0.35186246418338113</v>
      </c>
      <c r="L27">
        <f t="shared" si="9"/>
        <v>26.027977956761347</v>
      </c>
      <c r="M27" s="14" t="str">
        <f t="shared" si="2"/>
        <v>OVERSOLD</v>
      </c>
      <c r="N27" s="7" t="str">
        <f t="shared" si="3"/>
        <v>BUY</v>
      </c>
      <c r="O27" s="7">
        <f t="shared" si="10"/>
        <v>0</v>
      </c>
      <c r="P27" s="7">
        <f t="shared" si="11"/>
        <v>1</v>
      </c>
      <c r="Q27" s="10" t="e">
        <f t="shared" si="4"/>
        <v>#N/A</v>
      </c>
      <c r="R27" s="10" t="e">
        <f t="shared" si="5"/>
        <v>#N/A</v>
      </c>
      <c r="S27" s="7">
        <f t="shared" si="12"/>
        <v>723.5</v>
      </c>
      <c r="T27" s="7">
        <f t="shared" si="14"/>
        <v>0</v>
      </c>
    </row>
    <row r="28" spans="1:29" x14ac:dyDescent="0.25">
      <c r="A28" s="1">
        <v>41316</v>
      </c>
      <c r="B28">
        <v>725</v>
      </c>
      <c r="C28">
        <v>741.95</v>
      </c>
      <c r="D28">
        <v>721.05</v>
      </c>
      <c r="E28">
        <v>735.15</v>
      </c>
      <c r="F28">
        <v>1502947</v>
      </c>
      <c r="G28" s="4">
        <f t="shared" si="0"/>
        <v>11</v>
      </c>
      <c r="H28" s="4">
        <f t="shared" si="1"/>
        <v>0</v>
      </c>
      <c r="I28" s="6">
        <f t="shared" si="6"/>
        <v>2.9785714285714318</v>
      </c>
      <c r="J28" s="6">
        <f t="shared" si="7"/>
        <v>6.1392857142857178</v>
      </c>
      <c r="K28" s="4">
        <f t="shared" si="8"/>
        <v>0.48516579406631788</v>
      </c>
      <c r="L28">
        <f t="shared" si="9"/>
        <v>32.667450058754412</v>
      </c>
      <c r="M28" s="14" t="str">
        <f t="shared" si="2"/>
        <v/>
      </c>
      <c r="N28" s="7">
        <f t="shared" si="3"/>
        <v>0</v>
      </c>
      <c r="O28" s="7">
        <f t="shared" si="10"/>
        <v>0</v>
      </c>
      <c r="P28" s="7">
        <f t="shared" si="11"/>
        <v>1</v>
      </c>
      <c r="Q28" s="10" t="e">
        <f t="shared" si="4"/>
        <v>#N/A</v>
      </c>
      <c r="R28" s="10" t="e">
        <f t="shared" si="5"/>
        <v>#N/A</v>
      </c>
      <c r="S28" s="7">
        <f t="shared" si="12"/>
        <v>723.5</v>
      </c>
      <c r="T28" s="7">
        <f t="shared" si="14"/>
        <v>0</v>
      </c>
    </row>
    <row r="29" spans="1:29" x14ac:dyDescent="0.25">
      <c r="A29" s="1">
        <v>41317</v>
      </c>
      <c r="B29">
        <v>739.9</v>
      </c>
      <c r="C29">
        <v>743.7</v>
      </c>
      <c r="D29">
        <v>728.1</v>
      </c>
      <c r="E29">
        <v>732.3</v>
      </c>
      <c r="F29">
        <v>1168687</v>
      </c>
      <c r="G29" s="4">
        <f t="shared" si="0"/>
        <v>0</v>
      </c>
      <c r="H29" s="4">
        <f t="shared" si="1"/>
        <v>2.8500000000000227</v>
      </c>
      <c r="I29" s="6">
        <f t="shared" si="6"/>
        <v>2.9785714285714318</v>
      </c>
      <c r="J29" s="6">
        <f t="shared" si="7"/>
        <v>5.7178571428571479</v>
      </c>
      <c r="K29" s="4">
        <f t="shared" si="8"/>
        <v>0.52092442223610258</v>
      </c>
      <c r="L29">
        <f t="shared" si="9"/>
        <v>34.25051334702259</v>
      </c>
      <c r="M29" s="14" t="str">
        <f t="shared" si="2"/>
        <v/>
      </c>
      <c r="N29" s="7">
        <f t="shared" si="3"/>
        <v>0</v>
      </c>
      <c r="O29" s="7">
        <f t="shared" si="10"/>
        <v>0</v>
      </c>
      <c r="P29" s="7">
        <f t="shared" si="11"/>
        <v>1</v>
      </c>
      <c r="Q29" s="10" t="e">
        <f t="shared" si="4"/>
        <v>#N/A</v>
      </c>
      <c r="R29" s="10" t="e">
        <f t="shared" si="5"/>
        <v>#N/A</v>
      </c>
      <c r="S29" s="7">
        <f t="shared" si="12"/>
        <v>723.5</v>
      </c>
      <c r="T29" s="7">
        <f t="shared" si="14"/>
        <v>0</v>
      </c>
    </row>
    <row r="30" spans="1:29" x14ac:dyDescent="0.25">
      <c r="A30" s="1">
        <v>41318</v>
      </c>
      <c r="B30">
        <v>737.95</v>
      </c>
      <c r="C30">
        <v>747.95</v>
      </c>
      <c r="D30">
        <v>735</v>
      </c>
      <c r="E30">
        <v>742.7</v>
      </c>
      <c r="F30">
        <v>1206578</v>
      </c>
      <c r="G30" s="4">
        <f t="shared" si="0"/>
        <v>10.400000000000091</v>
      </c>
      <c r="H30" s="4">
        <f t="shared" si="1"/>
        <v>0</v>
      </c>
      <c r="I30" s="6">
        <f t="shared" si="6"/>
        <v>3.7214285714285813</v>
      </c>
      <c r="J30" s="6">
        <f t="shared" si="7"/>
        <v>4.8035714285714368</v>
      </c>
      <c r="K30" s="4">
        <f t="shared" si="8"/>
        <v>0.77472118959107883</v>
      </c>
      <c r="L30">
        <f t="shared" si="9"/>
        <v>43.653121072475933</v>
      </c>
      <c r="M30" s="14" t="str">
        <f t="shared" si="2"/>
        <v/>
      </c>
      <c r="N30" s="7">
        <f t="shared" si="3"/>
        <v>0</v>
      </c>
      <c r="O30" s="7">
        <f t="shared" si="10"/>
        <v>0</v>
      </c>
      <c r="P30" s="7">
        <f t="shared" si="11"/>
        <v>1</v>
      </c>
      <c r="Q30" s="10" t="e">
        <f t="shared" si="4"/>
        <v>#N/A</v>
      </c>
      <c r="R30" s="10" t="e">
        <f t="shared" si="5"/>
        <v>#N/A</v>
      </c>
      <c r="S30" s="7">
        <f t="shared" si="12"/>
        <v>723.5</v>
      </c>
      <c r="T30" s="7">
        <f t="shared" si="14"/>
        <v>0</v>
      </c>
    </row>
    <row r="31" spans="1:29" x14ac:dyDescent="0.25">
      <c r="A31" s="1">
        <v>41319</v>
      </c>
      <c r="B31">
        <v>750</v>
      </c>
      <c r="C31">
        <v>750</v>
      </c>
      <c r="D31">
        <v>738.55</v>
      </c>
      <c r="E31">
        <v>746.15</v>
      </c>
      <c r="F31">
        <v>978241</v>
      </c>
      <c r="G31" s="4">
        <f t="shared" si="0"/>
        <v>3.4499999999999318</v>
      </c>
      <c r="H31" s="4">
        <f t="shared" si="1"/>
        <v>0</v>
      </c>
      <c r="I31" s="6">
        <f t="shared" si="6"/>
        <v>3.9678571428571479</v>
      </c>
      <c r="J31" s="6">
        <f t="shared" si="7"/>
        <v>4.6857142857142957</v>
      </c>
      <c r="K31" s="4">
        <f t="shared" si="8"/>
        <v>0.8467987804878041</v>
      </c>
      <c r="L31">
        <f t="shared" si="9"/>
        <v>45.852249277754829</v>
      </c>
      <c r="M31" s="14" t="str">
        <f t="shared" si="2"/>
        <v/>
      </c>
      <c r="N31" s="7">
        <f t="shared" si="3"/>
        <v>0</v>
      </c>
      <c r="O31" s="7">
        <f t="shared" si="10"/>
        <v>0</v>
      </c>
      <c r="P31" s="7">
        <f t="shared" si="11"/>
        <v>1</v>
      </c>
      <c r="Q31" s="10" t="e">
        <f t="shared" si="4"/>
        <v>#N/A</v>
      </c>
      <c r="R31" s="10" t="e">
        <f t="shared" si="5"/>
        <v>#N/A</v>
      </c>
      <c r="S31" s="7">
        <f t="shared" si="12"/>
        <v>723.5</v>
      </c>
      <c r="T31" s="7">
        <f t="shared" si="14"/>
        <v>0</v>
      </c>
    </row>
    <row r="32" spans="1:29" x14ac:dyDescent="0.25">
      <c r="A32" s="1">
        <v>41320</v>
      </c>
      <c r="B32">
        <v>747.25</v>
      </c>
      <c r="C32">
        <v>764.95</v>
      </c>
      <c r="D32">
        <v>742.2</v>
      </c>
      <c r="E32">
        <v>758.15</v>
      </c>
      <c r="F32">
        <v>830245</v>
      </c>
      <c r="G32" s="4">
        <f t="shared" si="0"/>
        <v>12</v>
      </c>
      <c r="H32" s="4">
        <f t="shared" si="1"/>
        <v>0</v>
      </c>
      <c r="I32" s="6">
        <f t="shared" si="6"/>
        <v>4.8250000000000046</v>
      </c>
      <c r="J32" s="6">
        <f t="shared" si="7"/>
        <v>3.7642857142857173</v>
      </c>
      <c r="K32" s="4">
        <f t="shared" si="8"/>
        <v>1.2817836812144214</v>
      </c>
      <c r="L32">
        <f t="shared" si="9"/>
        <v>56.174636174636184</v>
      </c>
      <c r="M32" s="14" t="str">
        <f t="shared" si="2"/>
        <v/>
      </c>
      <c r="N32" s="7">
        <f t="shared" si="3"/>
        <v>0</v>
      </c>
      <c r="O32" s="7">
        <f t="shared" si="10"/>
        <v>0</v>
      </c>
      <c r="P32" s="7">
        <f t="shared" si="11"/>
        <v>1</v>
      </c>
      <c r="Q32" s="10" t="e">
        <f t="shared" si="4"/>
        <v>#N/A</v>
      </c>
      <c r="R32" s="10" t="e">
        <f t="shared" si="5"/>
        <v>#N/A</v>
      </c>
      <c r="S32" s="7">
        <f t="shared" si="12"/>
        <v>723.5</v>
      </c>
      <c r="T32" s="7">
        <f t="shared" si="14"/>
        <v>0</v>
      </c>
    </row>
    <row r="33" spans="1:20" x14ac:dyDescent="0.25">
      <c r="A33" s="1">
        <v>41323</v>
      </c>
      <c r="B33">
        <v>764.9</v>
      </c>
      <c r="C33">
        <v>767.95</v>
      </c>
      <c r="D33">
        <v>752.55</v>
      </c>
      <c r="E33">
        <v>758.65</v>
      </c>
      <c r="F33">
        <v>1264145</v>
      </c>
      <c r="G33" s="4">
        <f t="shared" si="0"/>
        <v>0.5</v>
      </c>
      <c r="H33" s="4">
        <f t="shared" si="1"/>
        <v>0</v>
      </c>
      <c r="I33" s="6">
        <f t="shared" si="6"/>
        <v>4.8607142857142902</v>
      </c>
      <c r="J33" s="6">
        <f t="shared" si="7"/>
        <v>3.6535714285714351</v>
      </c>
      <c r="K33" s="4">
        <f t="shared" si="8"/>
        <v>1.3304007820136841</v>
      </c>
      <c r="L33">
        <f t="shared" si="9"/>
        <v>57.088926174496621</v>
      </c>
      <c r="M33" s="14" t="str">
        <f t="shared" si="2"/>
        <v/>
      </c>
      <c r="N33" s="7">
        <f t="shared" si="3"/>
        <v>0</v>
      </c>
      <c r="O33" s="7">
        <f t="shared" si="10"/>
        <v>0</v>
      </c>
      <c r="P33" s="7">
        <f t="shared" si="11"/>
        <v>1</v>
      </c>
      <c r="Q33" s="10" t="e">
        <f t="shared" si="4"/>
        <v>#N/A</v>
      </c>
      <c r="R33" s="10" t="e">
        <f t="shared" si="5"/>
        <v>#N/A</v>
      </c>
      <c r="S33" s="7">
        <f t="shared" si="12"/>
        <v>723.5</v>
      </c>
      <c r="T33" s="7">
        <f t="shared" si="14"/>
        <v>0</v>
      </c>
    </row>
    <row r="34" spans="1:20" x14ac:dyDescent="0.25">
      <c r="A34" s="1">
        <v>41324</v>
      </c>
      <c r="B34">
        <v>760</v>
      </c>
      <c r="C34">
        <v>766.95</v>
      </c>
      <c r="D34">
        <v>755.5</v>
      </c>
      <c r="E34">
        <v>758.8</v>
      </c>
      <c r="F34">
        <v>907403</v>
      </c>
      <c r="G34" s="4">
        <f t="shared" si="0"/>
        <v>0.14999999999997726</v>
      </c>
      <c r="H34" s="4">
        <f t="shared" si="1"/>
        <v>0</v>
      </c>
      <c r="I34" s="6">
        <f t="shared" si="6"/>
        <v>4.8714285714285745</v>
      </c>
      <c r="J34" s="6">
        <f t="shared" si="7"/>
        <v>3.2571428571428669</v>
      </c>
      <c r="K34" s="4">
        <f t="shared" si="8"/>
        <v>1.4956140350877158</v>
      </c>
      <c r="L34">
        <f t="shared" si="9"/>
        <v>59.92970123022841</v>
      </c>
      <c r="M34" s="14" t="str">
        <f t="shared" si="2"/>
        <v/>
      </c>
      <c r="N34" s="7">
        <f t="shared" si="3"/>
        <v>0</v>
      </c>
      <c r="O34" s="7">
        <f t="shared" si="10"/>
        <v>0</v>
      </c>
      <c r="P34" s="7">
        <f t="shared" si="11"/>
        <v>1</v>
      </c>
      <c r="Q34" s="10" t="e">
        <f t="shared" si="4"/>
        <v>#N/A</v>
      </c>
      <c r="R34" s="10" t="e">
        <f t="shared" si="5"/>
        <v>#N/A</v>
      </c>
      <c r="S34" s="7">
        <f t="shared" si="12"/>
        <v>723.5</v>
      </c>
      <c r="T34" s="7">
        <f t="shared" si="14"/>
        <v>0</v>
      </c>
    </row>
    <row r="35" spans="1:20" x14ac:dyDescent="0.25">
      <c r="A35" s="1">
        <v>41325</v>
      </c>
      <c r="B35">
        <v>754.9</v>
      </c>
      <c r="C35">
        <v>759.5</v>
      </c>
      <c r="D35">
        <v>745.8</v>
      </c>
      <c r="E35">
        <v>750.55</v>
      </c>
      <c r="F35">
        <v>1107940</v>
      </c>
      <c r="G35" s="4">
        <f t="shared" si="0"/>
        <v>0</v>
      </c>
      <c r="H35" s="4">
        <f t="shared" si="1"/>
        <v>8.25</v>
      </c>
      <c r="I35" s="6">
        <f t="shared" si="6"/>
        <v>4.1607142857142936</v>
      </c>
      <c r="J35" s="6">
        <f t="shared" si="7"/>
        <v>3.8464285714285813</v>
      </c>
      <c r="K35" s="4">
        <f t="shared" si="8"/>
        <v>1.081708449396471</v>
      </c>
      <c r="L35">
        <f t="shared" si="9"/>
        <v>51.962533452274741</v>
      </c>
      <c r="M35" s="14" t="str">
        <f t="shared" si="2"/>
        <v/>
      </c>
      <c r="N35" s="7">
        <f t="shared" si="3"/>
        <v>0</v>
      </c>
      <c r="O35" s="7">
        <f t="shared" si="10"/>
        <v>0</v>
      </c>
      <c r="P35" s="7">
        <f t="shared" si="11"/>
        <v>1</v>
      </c>
      <c r="Q35" s="10" t="e">
        <f t="shared" si="4"/>
        <v>#N/A</v>
      </c>
      <c r="R35" s="10" t="e">
        <f t="shared" si="5"/>
        <v>#N/A</v>
      </c>
      <c r="S35" s="7">
        <f t="shared" si="12"/>
        <v>723.5</v>
      </c>
      <c r="T35" s="7">
        <f t="shared" si="14"/>
        <v>0</v>
      </c>
    </row>
    <row r="36" spans="1:20" x14ac:dyDescent="0.25">
      <c r="A36" s="1">
        <v>41326</v>
      </c>
      <c r="B36">
        <v>757</v>
      </c>
      <c r="C36">
        <v>763.7</v>
      </c>
      <c r="D36">
        <v>753.8</v>
      </c>
      <c r="E36">
        <v>757.25</v>
      </c>
      <c r="F36">
        <v>1071730</v>
      </c>
      <c r="G36" s="4">
        <f t="shared" si="0"/>
        <v>6.7000000000000455</v>
      </c>
      <c r="H36" s="4">
        <f t="shared" si="1"/>
        <v>0</v>
      </c>
      <c r="I36" s="6">
        <f t="shared" si="6"/>
        <v>4.6392857142857258</v>
      </c>
      <c r="J36" s="6">
        <f t="shared" si="7"/>
        <v>3.2928571428571525</v>
      </c>
      <c r="K36" s="4">
        <f t="shared" si="8"/>
        <v>1.4088937093275482</v>
      </c>
      <c r="L36">
        <f t="shared" si="9"/>
        <v>58.487167942368295</v>
      </c>
      <c r="M36" s="14" t="str">
        <f t="shared" si="2"/>
        <v/>
      </c>
      <c r="N36" s="7">
        <f t="shared" si="3"/>
        <v>0</v>
      </c>
      <c r="O36" s="7">
        <f t="shared" si="10"/>
        <v>0</v>
      </c>
      <c r="P36" s="7">
        <f t="shared" si="11"/>
        <v>1</v>
      </c>
      <c r="Q36" s="10" t="e">
        <f t="shared" si="4"/>
        <v>#N/A</v>
      </c>
      <c r="R36" s="10" t="e">
        <f t="shared" si="5"/>
        <v>#N/A</v>
      </c>
      <c r="S36" s="7">
        <f t="shared" si="12"/>
        <v>723.5</v>
      </c>
      <c r="T36" s="7">
        <f t="shared" si="14"/>
        <v>0</v>
      </c>
    </row>
    <row r="37" spans="1:20" x14ac:dyDescent="0.25">
      <c r="A37" s="1">
        <v>41327</v>
      </c>
      <c r="B37">
        <v>759</v>
      </c>
      <c r="C37">
        <v>765</v>
      </c>
      <c r="D37">
        <v>751.25</v>
      </c>
      <c r="E37">
        <v>762.1</v>
      </c>
      <c r="F37">
        <v>926526</v>
      </c>
      <c r="G37" s="4">
        <f t="shared" si="0"/>
        <v>4.8500000000000227</v>
      </c>
      <c r="H37" s="4">
        <f t="shared" si="1"/>
        <v>0</v>
      </c>
      <c r="I37" s="6">
        <f t="shared" si="6"/>
        <v>3.9464285714285796</v>
      </c>
      <c r="J37" s="6">
        <f t="shared" si="7"/>
        <v>3.2928571428571525</v>
      </c>
      <c r="K37" s="4">
        <f t="shared" si="8"/>
        <v>1.1984815618221247</v>
      </c>
      <c r="L37">
        <f t="shared" si="9"/>
        <v>54.514060187469148</v>
      </c>
      <c r="M37" s="14" t="str">
        <f t="shared" si="2"/>
        <v/>
      </c>
      <c r="N37" s="7">
        <f t="shared" si="3"/>
        <v>0</v>
      </c>
      <c r="O37" s="7">
        <f t="shared" si="10"/>
        <v>0</v>
      </c>
      <c r="P37" s="7">
        <f t="shared" si="11"/>
        <v>1</v>
      </c>
      <c r="Q37" s="10" t="e">
        <f t="shared" si="4"/>
        <v>#N/A</v>
      </c>
      <c r="R37" s="10" t="e">
        <f t="shared" si="5"/>
        <v>#N/A</v>
      </c>
      <c r="S37" s="7">
        <f t="shared" si="12"/>
        <v>723.5</v>
      </c>
      <c r="T37" s="7">
        <f t="shared" si="14"/>
        <v>0</v>
      </c>
    </row>
    <row r="38" spans="1:20" x14ac:dyDescent="0.25">
      <c r="A38" s="1">
        <v>41330</v>
      </c>
      <c r="B38">
        <v>756</v>
      </c>
      <c r="C38">
        <v>770.7</v>
      </c>
      <c r="D38">
        <v>752.1</v>
      </c>
      <c r="E38">
        <v>765.35</v>
      </c>
      <c r="F38">
        <v>2038029</v>
      </c>
      <c r="G38" s="4">
        <f t="shared" si="0"/>
        <v>3.25</v>
      </c>
      <c r="H38" s="4">
        <f t="shared" si="1"/>
        <v>0</v>
      </c>
      <c r="I38" s="6">
        <f t="shared" si="6"/>
        <v>4.1785714285714368</v>
      </c>
      <c r="J38" s="6">
        <f t="shared" si="7"/>
        <v>2.2750000000000097</v>
      </c>
      <c r="K38" s="4">
        <f t="shared" si="8"/>
        <v>1.8367346938775468</v>
      </c>
      <c r="L38">
        <f t="shared" si="9"/>
        <v>64.748201438848866</v>
      </c>
      <c r="M38" s="14" t="str">
        <f t="shared" si="2"/>
        <v/>
      </c>
      <c r="N38" s="7">
        <f t="shared" si="3"/>
        <v>0</v>
      </c>
      <c r="O38" s="7">
        <f t="shared" si="10"/>
        <v>0</v>
      </c>
      <c r="P38" s="7">
        <f t="shared" si="11"/>
        <v>1</v>
      </c>
      <c r="Q38" s="10" t="e">
        <f t="shared" si="4"/>
        <v>#N/A</v>
      </c>
      <c r="R38" s="10" t="e">
        <f t="shared" si="5"/>
        <v>#N/A</v>
      </c>
      <c r="S38" s="7">
        <f t="shared" si="12"/>
        <v>723.5</v>
      </c>
      <c r="T38" s="7">
        <f t="shared" si="14"/>
        <v>0</v>
      </c>
    </row>
    <row r="39" spans="1:20" x14ac:dyDescent="0.25">
      <c r="A39" s="1">
        <v>41331</v>
      </c>
      <c r="B39">
        <v>769.8</v>
      </c>
      <c r="C39">
        <v>769.8</v>
      </c>
      <c r="D39">
        <v>761.25</v>
      </c>
      <c r="E39">
        <v>766.25</v>
      </c>
      <c r="F39">
        <v>1336492</v>
      </c>
      <c r="G39" s="4">
        <f t="shared" si="0"/>
        <v>0.89999999999997726</v>
      </c>
      <c r="H39" s="4">
        <f t="shared" si="1"/>
        <v>0</v>
      </c>
      <c r="I39" s="6">
        <f t="shared" si="6"/>
        <v>4.2428571428571491</v>
      </c>
      <c r="J39" s="6">
        <f t="shared" si="7"/>
        <v>1.1892857142857207</v>
      </c>
      <c r="K39" s="4">
        <f t="shared" si="8"/>
        <v>3.5675675675675533</v>
      </c>
      <c r="L39">
        <f t="shared" si="9"/>
        <v>78.106508875739578</v>
      </c>
      <c r="M39" s="14" t="str">
        <f t="shared" si="2"/>
        <v>OVERBOUGHT</v>
      </c>
      <c r="N39" s="7" t="str">
        <f t="shared" si="3"/>
        <v>SELL</v>
      </c>
      <c r="O39" s="7" t="str">
        <f t="shared" si="10"/>
        <v>SELL</v>
      </c>
      <c r="P39" s="7">
        <f t="shared" si="11"/>
        <v>-1</v>
      </c>
      <c r="Q39" s="10" t="e">
        <f>IF($O39="BUY",$E39,NA())</f>
        <v>#N/A</v>
      </c>
      <c r="R39" s="10">
        <f t="shared" si="5"/>
        <v>766.25</v>
      </c>
      <c r="S39" s="7">
        <f t="shared" si="12"/>
        <v>766.25</v>
      </c>
      <c r="T39" s="7">
        <f t="shared" si="14"/>
        <v>5.9087767795438839E-2</v>
      </c>
    </row>
    <row r="40" spans="1:20" x14ac:dyDescent="0.25">
      <c r="A40" s="1">
        <v>41332</v>
      </c>
      <c r="B40">
        <v>767.1</v>
      </c>
      <c r="C40">
        <v>778.55</v>
      </c>
      <c r="D40">
        <v>746.15</v>
      </c>
      <c r="E40">
        <v>761.8</v>
      </c>
      <c r="F40">
        <v>1507967</v>
      </c>
      <c r="G40" s="4">
        <f t="shared" si="0"/>
        <v>0</v>
      </c>
      <c r="H40" s="4">
        <f t="shared" si="1"/>
        <v>4.4500000000000455</v>
      </c>
      <c r="I40" s="6">
        <f t="shared" si="6"/>
        <v>3.8000000000000034</v>
      </c>
      <c r="J40" s="6">
        <f t="shared" si="7"/>
        <v>1.5071428571428669</v>
      </c>
      <c r="K40" s="4">
        <f t="shared" si="8"/>
        <v>2.5213270142179955</v>
      </c>
      <c r="L40">
        <f t="shared" si="9"/>
        <v>71.60161507402411</v>
      </c>
      <c r="M40" s="14" t="str">
        <f t="shared" si="2"/>
        <v>OVERBOUGHT</v>
      </c>
      <c r="N40" s="7" t="str">
        <f t="shared" si="3"/>
        <v>SELL</v>
      </c>
      <c r="O40" s="7">
        <f t="shared" si="10"/>
        <v>0</v>
      </c>
      <c r="P40" s="7">
        <f t="shared" si="11"/>
        <v>-1</v>
      </c>
      <c r="Q40" s="10" t="e">
        <f t="shared" si="4"/>
        <v>#N/A</v>
      </c>
      <c r="R40" s="10" t="e">
        <f t="shared" si="5"/>
        <v>#N/A</v>
      </c>
      <c r="S40" s="7">
        <f t="shared" si="12"/>
        <v>766.25</v>
      </c>
      <c r="T40" s="7">
        <f t="shared" si="14"/>
        <v>0</v>
      </c>
    </row>
    <row r="41" spans="1:20" x14ac:dyDescent="0.25">
      <c r="A41" s="1">
        <v>41333</v>
      </c>
      <c r="B41">
        <v>762</v>
      </c>
      <c r="C41">
        <v>769</v>
      </c>
      <c r="D41">
        <v>755</v>
      </c>
      <c r="E41">
        <v>763.2</v>
      </c>
      <c r="F41">
        <v>2026676</v>
      </c>
      <c r="G41" s="4">
        <f t="shared" si="0"/>
        <v>1.4000000000000909</v>
      </c>
      <c r="H41" s="4">
        <f t="shared" si="1"/>
        <v>0</v>
      </c>
      <c r="I41" s="6">
        <f t="shared" si="6"/>
        <v>3.9000000000000097</v>
      </c>
      <c r="J41" s="6">
        <f t="shared" si="7"/>
        <v>1.1107142857142907</v>
      </c>
      <c r="K41" s="4">
        <f t="shared" si="8"/>
        <v>3.5112540192925974</v>
      </c>
      <c r="L41">
        <f t="shared" si="9"/>
        <v>77.833214540270802</v>
      </c>
      <c r="M41" s="14" t="str">
        <f t="shared" si="2"/>
        <v>OVERBOUGHT</v>
      </c>
      <c r="N41" s="7" t="str">
        <f t="shared" si="3"/>
        <v>SELL</v>
      </c>
      <c r="O41" s="7">
        <f t="shared" si="10"/>
        <v>0</v>
      </c>
      <c r="P41" s="7">
        <f t="shared" si="11"/>
        <v>-1</v>
      </c>
      <c r="Q41" s="10" t="e">
        <f t="shared" si="4"/>
        <v>#N/A</v>
      </c>
      <c r="R41" s="10" t="e">
        <f t="shared" si="5"/>
        <v>#N/A</v>
      </c>
      <c r="S41" s="7">
        <f t="shared" si="12"/>
        <v>766.25</v>
      </c>
      <c r="T41" s="7">
        <f t="shared" si="14"/>
        <v>0</v>
      </c>
    </row>
    <row r="42" spans="1:20" x14ac:dyDescent="0.25">
      <c r="A42" s="1">
        <v>41334</v>
      </c>
      <c r="B42">
        <v>769</v>
      </c>
      <c r="C42">
        <v>774</v>
      </c>
      <c r="D42">
        <v>764.15</v>
      </c>
      <c r="E42">
        <v>768.75</v>
      </c>
      <c r="F42">
        <v>1377371</v>
      </c>
      <c r="G42" s="4">
        <f t="shared" si="0"/>
        <v>5.5499999999999545</v>
      </c>
      <c r="H42" s="4">
        <f t="shared" si="1"/>
        <v>0</v>
      </c>
      <c r="I42" s="6">
        <f t="shared" si="6"/>
        <v>3.5107142857142923</v>
      </c>
      <c r="J42" s="6">
        <f t="shared" si="7"/>
        <v>1.1107142857142907</v>
      </c>
      <c r="K42" s="4">
        <f t="shared" si="8"/>
        <v>3.160771704180056</v>
      </c>
      <c r="L42">
        <f t="shared" si="9"/>
        <v>75.965996908809842</v>
      </c>
      <c r="M42" s="14" t="str">
        <f t="shared" si="2"/>
        <v>OVERBOUGHT</v>
      </c>
      <c r="N42" s="7" t="str">
        <f t="shared" si="3"/>
        <v>SELL</v>
      </c>
      <c r="O42" s="7">
        <f t="shared" si="10"/>
        <v>0</v>
      </c>
      <c r="P42" s="7">
        <f t="shared" si="11"/>
        <v>-1</v>
      </c>
      <c r="Q42" s="10" t="e">
        <f t="shared" si="4"/>
        <v>#N/A</v>
      </c>
      <c r="R42" s="10" t="e">
        <f t="shared" si="5"/>
        <v>#N/A</v>
      </c>
      <c r="S42" s="7">
        <f t="shared" si="12"/>
        <v>766.25</v>
      </c>
      <c r="T42" s="7">
        <f t="shared" si="14"/>
        <v>0</v>
      </c>
    </row>
    <row r="43" spans="1:20" x14ac:dyDescent="0.25">
      <c r="A43" s="1">
        <v>41337</v>
      </c>
      <c r="B43">
        <v>768</v>
      </c>
      <c r="C43">
        <v>770</v>
      </c>
      <c r="D43">
        <v>757</v>
      </c>
      <c r="E43">
        <v>763.9</v>
      </c>
      <c r="F43">
        <v>1026803</v>
      </c>
      <c r="G43" s="4">
        <f t="shared" si="0"/>
        <v>0</v>
      </c>
      <c r="H43" s="4">
        <f t="shared" si="1"/>
        <v>4.8500000000000227</v>
      </c>
      <c r="I43" s="6">
        <f t="shared" si="6"/>
        <v>3.5107142857142923</v>
      </c>
      <c r="J43" s="6">
        <f t="shared" si="7"/>
        <v>1.2535714285714334</v>
      </c>
      <c r="K43" s="4">
        <f t="shared" si="8"/>
        <v>2.8005698005697948</v>
      </c>
      <c r="L43">
        <f t="shared" si="9"/>
        <v>73.688155922038945</v>
      </c>
      <c r="M43" s="14" t="str">
        <f t="shared" si="2"/>
        <v>OVERBOUGHT</v>
      </c>
      <c r="N43" s="7" t="str">
        <f t="shared" si="3"/>
        <v>SELL</v>
      </c>
      <c r="O43" s="7">
        <f t="shared" si="10"/>
        <v>0</v>
      </c>
      <c r="P43" s="7">
        <f t="shared" si="11"/>
        <v>-1</v>
      </c>
      <c r="Q43" s="10" t="e">
        <f t="shared" si="4"/>
        <v>#N/A</v>
      </c>
      <c r="R43" s="10" t="e">
        <f t="shared" si="5"/>
        <v>#N/A</v>
      </c>
      <c r="S43" s="7">
        <f t="shared" si="12"/>
        <v>766.25</v>
      </c>
      <c r="T43" s="7">
        <f t="shared" si="14"/>
        <v>0</v>
      </c>
    </row>
    <row r="44" spans="1:20" x14ac:dyDescent="0.25">
      <c r="A44" s="1">
        <v>41338</v>
      </c>
      <c r="B44">
        <v>765</v>
      </c>
      <c r="C44">
        <v>766.95</v>
      </c>
      <c r="D44">
        <v>760.15</v>
      </c>
      <c r="E44">
        <v>762.6</v>
      </c>
      <c r="F44">
        <v>643656</v>
      </c>
      <c r="G44" s="4">
        <f t="shared" si="0"/>
        <v>0</v>
      </c>
      <c r="H44" s="4">
        <f t="shared" si="1"/>
        <v>1.2999999999999545</v>
      </c>
      <c r="I44" s="6">
        <f t="shared" si="6"/>
        <v>2.7678571428571428</v>
      </c>
      <c r="J44" s="6">
        <f t="shared" si="7"/>
        <v>1.3464285714285731</v>
      </c>
      <c r="K44" s="4">
        <f t="shared" si="8"/>
        <v>2.0557029177718809</v>
      </c>
      <c r="L44">
        <f t="shared" si="9"/>
        <v>67.274305555555529</v>
      </c>
      <c r="M44" s="14" t="str">
        <f t="shared" si="2"/>
        <v/>
      </c>
      <c r="N44" s="7">
        <f t="shared" si="3"/>
        <v>0</v>
      </c>
      <c r="O44" s="7">
        <f t="shared" si="10"/>
        <v>0</v>
      </c>
      <c r="P44" s="7">
        <f t="shared" si="11"/>
        <v>-1</v>
      </c>
      <c r="Q44" s="10" t="e">
        <f t="shared" si="4"/>
        <v>#N/A</v>
      </c>
      <c r="R44" s="10" t="e">
        <f t="shared" si="5"/>
        <v>#N/A</v>
      </c>
      <c r="S44" s="7">
        <f t="shared" si="12"/>
        <v>766.25</v>
      </c>
      <c r="T44" s="7">
        <f t="shared" si="14"/>
        <v>0</v>
      </c>
    </row>
    <row r="45" spans="1:20" x14ac:dyDescent="0.25">
      <c r="A45" s="1">
        <v>41339</v>
      </c>
      <c r="B45">
        <v>767.6</v>
      </c>
      <c r="C45">
        <v>770</v>
      </c>
      <c r="D45">
        <v>760.3</v>
      </c>
      <c r="E45">
        <v>762.7</v>
      </c>
      <c r="F45">
        <v>1507870</v>
      </c>
      <c r="G45" s="4">
        <f t="shared" si="0"/>
        <v>0.10000000000002274</v>
      </c>
      <c r="H45" s="4">
        <f t="shared" si="1"/>
        <v>0</v>
      </c>
      <c r="I45" s="6">
        <f t="shared" si="6"/>
        <v>2.5285714285714351</v>
      </c>
      <c r="J45" s="6">
        <f t="shared" si="7"/>
        <v>1.3464285714285731</v>
      </c>
      <c r="K45" s="4">
        <f t="shared" si="8"/>
        <v>1.8779840848806391</v>
      </c>
      <c r="L45">
        <f t="shared" si="9"/>
        <v>65.253456221198178</v>
      </c>
      <c r="M45" s="14" t="str">
        <f t="shared" si="2"/>
        <v/>
      </c>
      <c r="N45" s="7">
        <f t="shared" si="3"/>
        <v>0</v>
      </c>
      <c r="O45" s="7">
        <f t="shared" si="10"/>
        <v>0</v>
      </c>
      <c r="P45" s="7">
        <f t="shared" si="11"/>
        <v>-1</v>
      </c>
      <c r="Q45" s="10" t="e">
        <f t="shared" si="4"/>
        <v>#N/A</v>
      </c>
      <c r="R45" s="10" t="e">
        <f t="shared" si="5"/>
        <v>#N/A</v>
      </c>
      <c r="S45" s="7">
        <f t="shared" si="12"/>
        <v>766.25</v>
      </c>
      <c r="T45" s="7">
        <f t="shared" si="14"/>
        <v>0</v>
      </c>
    </row>
    <row r="46" spans="1:20" x14ac:dyDescent="0.25">
      <c r="A46" s="1">
        <v>41340</v>
      </c>
      <c r="B46">
        <v>763</v>
      </c>
      <c r="C46">
        <v>778.5</v>
      </c>
      <c r="D46">
        <v>763</v>
      </c>
      <c r="E46">
        <v>768.7</v>
      </c>
      <c r="F46">
        <v>1728866</v>
      </c>
      <c r="G46" s="4">
        <f t="shared" si="0"/>
        <v>6</v>
      </c>
      <c r="H46" s="4">
        <f t="shared" si="1"/>
        <v>0</v>
      </c>
      <c r="I46" s="6">
        <f t="shared" si="6"/>
        <v>2.1000000000000063</v>
      </c>
      <c r="J46" s="6">
        <f t="shared" si="7"/>
        <v>1.3464285714285731</v>
      </c>
      <c r="K46" s="4">
        <f t="shared" si="8"/>
        <v>1.5596816976127348</v>
      </c>
      <c r="L46">
        <f t="shared" si="9"/>
        <v>60.932642487046678</v>
      </c>
      <c r="M46" s="14" t="str">
        <f t="shared" si="2"/>
        <v/>
      </c>
      <c r="N46" s="7">
        <f t="shared" si="3"/>
        <v>0</v>
      </c>
      <c r="O46" s="7">
        <f t="shared" si="10"/>
        <v>0</v>
      </c>
      <c r="P46" s="7">
        <f t="shared" si="11"/>
        <v>-1</v>
      </c>
      <c r="Q46" s="10" t="e">
        <f t="shared" si="4"/>
        <v>#N/A</v>
      </c>
      <c r="R46" s="10" t="e">
        <f t="shared" si="5"/>
        <v>#N/A</v>
      </c>
      <c r="S46" s="7">
        <f t="shared" si="12"/>
        <v>766.25</v>
      </c>
      <c r="T46" s="7">
        <f t="shared" si="14"/>
        <v>0</v>
      </c>
    </row>
    <row r="47" spans="1:20" x14ac:dyDescent="0.25">
      <c r="A47" s="1">
        <v>41341</v>
      </c>
      <c r="B47">
        <v>763.7</v>
      </c>
      <c r="C47">
        <v>784.45</v>
      </c>
      <c r="D47">
        <v>760</v>
      </c>
      <c r="E47">
        <v>780.05</v>
      </c>
      <c r="F47">
        <v>2293937</v>
      </c>
      <c r="G47" s="4">
        <f t="shared" si="0"/>
        <v>11.349999999999909</v>
      </c>
      <c r="H47" s="4">
        <f t="shared" si="1"/>
        <v>0</v>
      </c>
      <c r="I47" s="6">
        <f t="shared" si="6"/>
        <v>2.875</v>
      </c>
      <c r="J47" s="6">
        <f t="shared" si="7"/>
        <v>1.3464285714285731</v>
      </c>
      <c r="K47" s="4">
        <f t="shared" si="8"/>
        <v>2.1352785145888569</v>
      </c>
      <c r="L47">
        <f t="shared" si="9"/>
        <v>68.104906937394219</v>
      </c>
      <c r="M47" s="14" t="str">
        <f t="shared" si="2"/>
        <v/>
      </c>
      <c r="N47" s="7">
        <f t="shared" si="3"/>
        <v>0</v>
      </c>
      <c r="O47" s="7">
        <f t="shared" si="10"/>
        <v>0</v>
      </c>
      <c r="P47" s="7">
        <f t="shared" si="11"/>
        <v>-1</v>
      </c>
      <c r="Q47" s="10" t="e">
        <f t="shared" si="4"/>
        <v>#N/A</v>
      </c>
      <c r="R47" s="10" t="e">
        <f t="shared" si="5"/>
        <v>#N/A</v>
      </c>
      <c r="S47" s="7">
        <f t="shared" si="12"/>
        <v>766.25</v>
      </c>
      <c r="T47" s="7">
        <f t="shared" si="14"/>
        <v>0</v>
      </c>
    </row>
    <row r="48" spans="1:20" x14ac:dyDescent="0.25">
      <c r="A48" s="1">
        <v>41344</v>
      </c>
      <c r="B48">
        <v>780.05</v>
      </c>
      <c r="C48">
        <v>794.9</v>
      </c>
      <c r="D48">
        <v>771.95</v>
      </c>
      <c r="E48">
        <v>791.6</v>
      </c>
      <c r="F48">
        <v>1607015</v>
      </c>
      <c r="G48" s="4">
        <f t="shared" si="0"/>
        <v>11.550000000000068</v>
      </c>
      <c r="H48" s="4">
        <f t="shared" si="1"/>
        <v>0</v>
      </c>
      <c r="I48" s="6">
        <f t="shared" si="6"/>
        <v>3.6892857142857207</v>
      </c>
      <c r="J48" s="6">
        <f t="shared" si="7"/>
        <v>1.3464285714285731</v>
      </c>
      <c r="K48" s="4">
        <f t="shared" si="8"/>
        <v>2.7400530503978793</v>
      </c>
      <c r="L48">
        <f t="shared" si="9"/>
        <v>73.262411347517741</v>
      </c>
      <c r="M48" s="14" t="str">
        <f t="shared" si="2"/>
        <v>OVERBOUGHT</v>
      </c>
      <c r="N48" s="7" t="str">
        <f t="shared" si="3"/>
        <v>SELL</v>
      </c>
      <c r="O48" s="7">
        <f t="shared" si="10"/>
        <v>0</v>
      </c>
      <c r="P48" s="7">
        <f t="shared" si="11"/>
        <v>-1</v>
      </c>
      <c r="Q48" s="10" t="e">
        <f t="shared" si="4"/>
        <v>#N/A</v>
      </c>
      <c r="R48" s="10" t="e">
        <f t="shared" si="5"/>
        <v>#N/A</v>
      </c>
      <c r="S48" s="7">
        <f t="shared" si="12"/>
        <v>766.25</v>
      </c>
      <c r="T48" s="7">
        <f t="shared" si="14"/>
        <v>0</v>
      </c>
    </row>
    <row r="49" spans="1:20" x14ac:dyDescent="0.25">
      <c r="A49" s="1">
        <v>41345</v>
      </c>
      <c r="B49">
        <v>800</v>
      </c>
      <c r="C49">
        <v>800</v>
      </c>
      <c r="D49">
        <v>792</v>
      </c>
      <c r="E49">
        <v>796.95</v>
      </c>
      <c r="F49">
        <v>1255488</v>
      </c>
      <c r="G49" s="4">
        <f t="shared" si="0"/>
        <v>5.3500000000000227</v>
      </c>
      <c r="H49" s="4">
        <f t="shared" si="1"/>
        <v>0</v>
      </c>
      <c r="I49" s="6">
        <f t="shared" si="6"/>
        <v>4.0714285714285792</v>
      </c>
      <c r="J49" s="6">
        <f t="shared" si="7"/>
        <v>0.75714285714285878</v>
      </c>
      <c r="K49" s="4">
        <f t="shared" si="8"/>
        <v>5.3773584905660359</v>
      </c>
      <c r="L49">
        <f t="shared" si="9"/>
        <v>84.319526627218934</v>
      </c>
      <c r="M49" s="14" t="str">
        <f t="shared" si="2"/>
        <v>OVERBOUGHT</v>
      </c>
      <c r="N49" s="7" t="str">
        <f t="shared" si="3"/>
        <v>SELL</v>
      </c>
      <c r="O49" s="7">
        <f t="shared" si="10"/>
        <v>0</v>
      </c>
      <c r="P49" s="7">
        <f t="shared" si="11"/>
        <v>-1</v>
      </c>
      <c r="Q49" s="10" t="e">
        <f t="shared" si="4"/>
        <v>#N/A</v>
      </c>
      <c r="R49" s="10" t="e">
        <f t="shared" si="5"/>
        <v>#N/A</v>
      </c>
      <c r="S49" s="7">
        <f t="shared" si="12"/>
        <v>766.25</v>
      </c>
      <c r="T49" s="7">
        <f t="shared" si="14"/>
        <v>0</v>
      </c>
    </row>
    <row r="50" spans="1:20" x14ac:dyDescent="0.25">
      <c r="A50" s="1">
        <v>41346</v>
      </c>
      <c r="B50">
        <v>796.95</v>
      </c>
      <c r="C50">
        <v>820</v>
      </c>
      <c r="D50">
        <v>791.15</v>
      </c>
      <c r="E50">
        <v>818</v>
      </c>
      <c r="F50">
        <v>3027217</v>
      </c>
      <c r="G50" s="4">
        <f t="shared" si="0"/>
        <v>21.049999999999955</v>
      </c>
      <c r="H50" s="4">
        <f t="shared" si="1"/>
        <v>0</v>
      </c>
      <c r="I50" s="6">
        <f t="shared" si="6"/>
        <v>5.0964285714285733</v>
      </c>
      <c r="J50" s="6">
        <f t="shared" si="7"/>
        <v>0.75714285714285878</v>
      </c>
      <c r="K50" s="4">
        <f t="shared" si="8"/>
        <v>6.7311320754716863</v>
      </c>
      <c r="L50">
        <f t="shared" si="9"/>
        <v>87.065283709578992</v>
      </c>
      <c r="M50" s="14" t="str">
        <f t="shared" si="2"/>
        <v>OVERBOUGHT</v>
      </c>
      <c r="N50" s="7" t="str">
        <f t="shared" si="3"/>
        <v>SELL</v>
      </c>
      <c r="O50" s="7">
        <f t="shared" si="10"/>
        <v>0</v>
      </c>
      <c r="P50" s="7">
        <f t="shared" si="11"/>
        <v>-1</v>
      </c>
      <c r="Q50" s="10" t="e">
        <f t="shared" si="4"/>
        <v>#N/A</v>
      </c>
      <c r="R50" s="10" t="e">
        <f t="shared" si="5"/>
        <v>#N/A</v>
      </c>
      <c r="S50" s="7">
        <f t="shared" si="12"/>
        <v>766.25</v>
      </c>
      <c r="T50" s="7">
        <f t="shared" si="14"/>
        <v>0</v>
      </c>
    </row>
    <row r="51" spans="1:20" x14ac:dyDescent="0.25">
      <c r="A51" s="1">
        <v>41347</v>
      </c>
      <c r="B51">
        <v>821.5</v>
      </c>
      <c r="C51">
        <v>831.95</v>
      </c>
      <c r="D51">
        <v>815.8</v>
      </c>
      <c r="E51">
        <v>829</v>
      </c>
      <c r="F51">
        <v>1544428</v>
      </c>
      <c r="G51" s="4">
        <f t="shared" si="0"/>
        <v>11</v>
      </c>
      <c r="H51" s="4">
        <f t="shared" si="1"/>
        <v>0</v>
      </c>
      <c r="I51" s="6">
        <f t="shared" si="6"/>
        <v>5.5357142857142856</v>
      </c>
      <c r="J51" s="6">
        <f t="shared" si="7"/>
        <v>0.75714285714285878</v>
      </c>
      <c r="K51" s="4">
        <f t="shared" si="8"/>
        <v>7.3113207547169647</v>
      </c>
      <c r="L51">
        <f t="shared" si="9"/>
        <v>87.968217934165693</v>
      </c>
      <c r="M51" s="14" t="str">
        <f t="shared" si="2"/>
        <v>OVERBOUGHT</v>
      </c>
      <c r="N51" s="7" t="str">
        <f t="shared" si="3"/>
        <v>SELL</v>
      </c>
      <c r="O51" s="7">
        <f t="shared" si="10"/>
        <v>0</v>
      </c>
      <c r="P51" s="7">
        <f t="shared" si="11"/>
        <v>-1</v>
      </c>
      <c r="Q51" s="10" t="e">
        <f t="shared" si="4"/>
        <v>#N/A</v>
      </c>
      <c r="R51" s="10" t="e">
        <f t="shared" si="5"/>
        <v>#N/A</v>
      </c>
      <c r="S51" s="7">
        <f t="shared" si="12"/>
        <v>766.25</v>
      </c>
      <c r="T51" s="7">
        <f t="shared" si="14"/>
        <v>0</v>
      </c>
    </row>
    <row r="52" spans="1:20" x14ac:dyDescent="0.25">
      <c r="A52" s="1">
        <v>41348</v>
      </c>
      <c r="B52">
        <v>834</v>
      </c>
      <c r="C52">
        <v>845.9</v>
      </c>
      <c r="D52">
        <v>830</v>
      </c>
      <c r="E52">
        <v>840.7</v>
      </c>
      <c r="F52">
        <v>2087397</v>
      </c>
      <c r="G52" s="4">
        <f t="shared" si="0"/>
        <v>11.700000000000045</v>
      </c>
      <c r="H52" s="4">
        <f t="shared" si="1"/>
        <v>0</v>
      </c>
      <c r="I52" s="6">
        <f t="shared" si="6"/>
        <v>6.1392857142857178</v>
      </c>
      <c r="J52" s="6">
        <f t="shared" si="7"/>
        <v>0.75714285714285878</v>
      </c>
      <c r="K52" s="4">
        <f t="shared" si="8"/>
        <v>8.1084905660377231</v>
      </c>
      <c r="L52">
        <f t="shared" si="9"/>
        <v>89.021232522009313</v>
      </c>
      <c r="M52" s="14" t="str">
        <f t="shared" si="2"/>
        <v>OVERBOUGHT</v>
      </c>
      <c r="N52" s="7" t="str">
        <f t="shared" si="3"/>
        <v>SELL</v>
      </c>
      <c r="O52" s="7">
        <f t="shared" si="10"/>
        <v>0</v>
      </c>
      <c r="P52" s="7">
        <f t="shared" si="11"/>
        <v>-1</v>
      </c>
      <c r="Q52" s="10" t="e">
        <f t="shared" si="4"/>
        <v>#N/A</v>
      </c>
      <c r="R52" s="10" t="e">
        <f t="shared" si="5"/>
        <v>#N/A</v>
      </c>
      <c r="S52" s="7">
        <f t="shared" si="12"/>
        <v>766.25</v>
      </c>
      <c r="T52" s="7">
        <f t="shared" si="14"/>
        <v>0</v>
      </c>
    </row>
    <row r="53" spans="1:20" x14ac:dyDescent="0.25">
      <c r="A53" s="1">
        <v>41351</v>
      </c>
      <c r="B53">
        <v>845</v>
      </c>
      <c r="C53">
        <v>845</v>
      </c>
      <c r="D53">
        <v>820.5</v>
      </c>
      <c r="E53">
        <v>825.85</v>
      </c>
      <c r="F53">
        <v>1862277</v>
      </c>
      <c r="G53" s="4">
        <f t="shared" si="0"/>
        <v>0</v>
      </c>
      <c r="H53" s="4">
        <f t="shared" si="1"/>
        <v>14.850000000000023</v>
      </c>
      <c r="I53" s="6">
        <f t="shared" si="6"/>
        <v>6.0750000000000046</v>
      </c>
      <c r="J53" s="6">
        <f t="shared" si="7"/>
        <v>1.8178571428571462</v>
      </c>
      <c r="K53" s="4">
        <f t="shared" si="8"/>
        <v>3.3418467583497016</v>
      </c>
      <c r="L53">
        <f t="shared" si="9"/>
        <v>76.968325791855179</v>
      </c>
      <c r="M53" s="14" t="str">
        <f t="shared" si="2"/>
        <v>OVERBOUGHT</v>
      </c>
      <c r="N53" s="7" t="str">
        <f t="shared" si="3"/>
        <v>SELL</v>
      </c>
      <c r="O53" s="7">
        <f t="shared" si="10"/>
        <v>0</v>
      </c>
      <c r="P53" s="7">
        <f t="shared" si="11"/>
        <v>-1</v>
      </c>
      <c r="Q53" s="10" t="e">
        <f t="shared" si="4"/>
        <v>#N/A</v>
      </c>
      <c r="R53" s="10" t="e">
        <f t="shared" si="5"/>
        <v>#N/A</v>
      </c>
      <c r="S53" s="7">
        <f t="shared" si="12"/>
        <v>766.25</v>
      </c>
      <c r="T53" s="7">
        <f t="shared" si="14"/>
        <v>0</v>
      </c>
    </row>
    <row r="54" spans="1:20" x14ac:dyDescent="0.25">
      <c r="A54" s="1">
        <v>41352</v>
      </c>
      <c r="B54">
        <v>805.25</v>
      </c>
      <c r="C54">
        <v>834.45</v>
      </c>
      <c r="D54">
        <v>805.25</v>
      </c>
      <c r="E54">
        <v>820.9</v>
      </c>
      <c r="F54">
        <v>2358312</v>
      </c>
      <c r="G54" s="4">
        <f t="shared" si="0"/>
        <v>0</v>
      </c>
      <c r="H54" s="4">
        <f t="shared" si="1"/>
        <v>4.9500000000000455</v>
      </c>
      <c r="I54" s="6">
        <f t="shared" si="6"/>
        <v>6.0750000000000046</v>
      </c>
      <c r="J54" s="6">
        <f t="shared" si="7"/>
        <v>1.8535714285714318</v>
      </c>
      <c r="K54" s="4">
        <f t="shared" si="8"/>
        <v>3.2774566473988407</v>
      </c>
      <c r="L54">
        <f t="shared" si="9"/>
        <v>76.621621621621614</v>
      </c>
      <c r="M54" s="14" t="str">
        <f t="shared" si="2"/>
        <v>OVERBOUGHT</v>
      </c>
      <c r="N54" s="7" t="str">
        <f t="shared" si="3"/>
        <v>SELL</v>
      </c>
      <c r="O54" s="7">
        <f t="shared" si="10"/>
        <v>0</v>
      </c>
      <c r="P54" s="7">
        <f t="shared" si="11"/>
        <v>-1</v>
      </c>
      <c r="Q54" s="10" t="e">
        <f t="shared" si="4"/>
        <v>#N/A</v>
      </c>
      <c r="R54" s="10" t="e">
        <f t="shared" si="5"/>
        <v>#N/A</v>
      </c>
      <c r="S54" s="7">
        <f t="shared" si="12"/>
        <v>766.25</v>
      </c>
      <c r="T54" s="7">
        <f t="shared" si="14"/>
        <v>0</v>
      </c>
    </row>
    <row r="55" spans="1:20" x14ac:dyDescent="0.25">
      <c r="A55" s="1">
        <v>41353</v>
      </c>
      <c r="B55">
        <v>814.9</v>
      </c>
      <c r="C55">
        <v>833.8</v>
      </c>
      <c r="D55">
        <v>806.15</v>
      </c>
      <c r="E55">
        <v>827.6</v>
      </c>
      <c r="F55">
        <v>1655055</v>
      </c>
      <c r="G55" s="4">
        <f t="shared" si="0"/>
        <v>6.7000000000000455</v>
      </c>
      <c r="H55" s="4">
        <f t="shared" si="1"/>
        <v>0</v>
      </c>
      <c r="I55" s="6">
        <f t="shared" si="6"/>
        <v>6.4535714285714301</v>
      </c>
      <c r="J55" s="6">
        <f t="shared" si="7"/>
        <v>1.8535714285714318</v>
      </c>
      <c r="K55" s="4">
        <f t="shared" si="8"/>
        <v>3.4816955684007653</v>
      </c>
      <c r="L55">
        <f t="shared" si="9"/>
        <v>77.687016337059305</v>
      </c>
      <c r="M55" s="14" t="str">
        <f t="shared" si="2"/>
        <v>OVERBOUGHT</v>
      </c>
      <c r="N55" s="7" t="str">
        <f t="shared" si="3"/>
        <v>SELL</v>
      </c>
      <c r="O55" s="7">
        <f t="shared" si="10"/>
        <v>0</v>
      </c>
      <c r="P55" s="7">
        <f t="shared" si="11"/>
        <v>-1</v>
      </c>
      <c r="Q55" s="10" t="e">
        <f t="shared" si="4"/>
        <v>#N/A</v>
      </c>
      <c r="R55" s="10" t="e">
        <f t="shared" si="5"/>
        <v>#N/A</v>
      </c>
      <c r="S55" s="7">
        <f t="shared" si="12"/>
        <v>766.25</v>
      </c>
      <c r="T55" s="7">
        <f t="shared" si="14"/>
        <v>0</v>
      </c>
    </row>
    <row r="56" spans="1:20" x14ac:dyDescent="0.25">
      <c r="A56" s="1">
        <v>41354</v>
      </c>
      <c r="B56">
        <v>830</v>
      </c>
      <c r="C56">
        <v>833</v>
      </c>
      <c r="D56">
        <v>822.1</v>
      </c>
      <c r="E56">
        <v>828.65</v>
      </c>
      <c r="F56">
        <v>847482</v>
      </c>
      <c r="G56" s="4">
        <f t="shared" si="0"/>
        <v>1.0499999999999545</v>
      </c>
      <c r="H56" s="4">
        <f t="shared" si="1"/>
        <v>0</v>
      </c>
      <c r="I56" s="6">
        <f t="shared" si="6"/>
        <v>6.1321428571428589</v>
      </c>
      <c r="J56" s="6">
        <f t="shared" si="7"/>
        <v>1.8535714285714318</v>
      </c>
      <c r="K56" s="4">
        <f t="shared" si="8"/>
        <v>3.3082851637764885</v>
      </c>
      <c r="L56">
        <f t="shared" si="9"/>
        <v>76.788908765652934</v>
      </c>
      <c r="M56" s="14" t="str">
        <f t="shared" si="2"/>
        <v>OVERBOUGHT</v>
      </c>
      <c r="N56" s="7" t="str">
        <f t="shared" si="3"/>
        <v>SELL</v>
      </c>
      <c r="O56" s="7">
        <f t="shared" si="10"/>
        <v>0</v>
      </c>
      <c r="P56" s="7">
        <f t="shared" si="11"/>
        <v>-1</v>
      </c>
      <c r="Q56" s="10" t="e">
        <f t="shared" si="4"/>
        <v>#N/A</v>
      </c>
      <c r="R56" s="10" t="e">
        <f t="shared" si="5"/>
        <v>#N/A</v>
      </c>
      <c r="S56" s="7">
        <f t="shared" si="12"/>
        <v>766.25</v>
      </c>
      <c r="T56" s="7">
        <f t="shared" si="14"/>
        <v>0</v>
      </c>
    </row>
    <row r="57" spans="1:20" x14ac:dyDescent="0.25">
      <c r="A57" s="1">
        <v>41355</v>
      </c>
      <c r="B57">
        <v>824.1</v>
      </c>
      <c r="C57">
        <v>836.8</v>
      </c>
      <c r="D57">
        <v>818</v>
      </c>
      <c r="E57">
        <v>829.8</v>
      </c>
      <c r="F57">
        <v>2758791</v>
      </c>
      <c r="G57" s="4">
        <f t="shared" si="0"/>
        <v>1.1499999999999773</v>
      </c>
      <c r="H57" s="4">
        <f t="shared" si="1"/>
        <v>0</v>
      </c>
      <c r="I57" s="6">
        <f t="shared" si="6"/>
        <v>6.2142857142857144</v>
      </c>
      <c r="J57" s="6">
        <f t="shared" si="7"/>
        <v>1.5071428571428587</v>
      </c>
      <c r="K57" s="4">
        <f t="shared" si="8"/>
        <v>4.123222748815162</v>
      </c>
      <c r="L57">
        <f t="shared" si="9"/>
        <v>80.481036077705809</v>
      </c>
      <c r="M57" s="14" t="str">
        <f t="shared" si="2"/>
        <v>OVERBOUGHT</v>
      </c>
      <c r="N57" s="7" t="str">
        <f t="shared" si="3"/>
        <v>SELL</v>
      </c>
      <c r="O57" s="7">
        <f t="shared" si="10"/>
        <v>0</v>
      </c>
      <c r="P57" s="7">
        <f t="shared" si="11"/>
        <v>-1</v>
      </c>
      <c r="Q57" s="10" t="e">
        <f t="shared" si="4"/>
        <v>#N/A</v>
      </c>
      <c r="R57" s="10" t="e">
        <f t="shared" si="5"/>
        <v>#N/A</v>
      </c>
      <c r="S57" s="7">
        <f t="shared" si="12"/>
        <v>766.25</v>
      </c>
      <c r="T57" s="7">
        <f t="shared" si="14"/>
        <v>0</v>
      </c>
    </row>
    <row r="58" spans="1:20" x14ac:dyDescent="0.25">
      <c r="A58" s="1">
        <v>41358</v>
      </c>
      <c r="B58">
        <v>830</v>
      </c>
      <c r="C58">
        <v>836</v>
      </c>
      <c r="D58">
        <v>822.3</v>
      </c>
      <c r="E58">
        <v>825.05</v>
      </c>
      <c r="F58">
        <v>998903</v>
      </c>
      <c r="G58" s="4">
        <f t="shared" si="0"/>
        <v>0</v>
      </c>
      <c r="H58" s="4">
        <f t="shared" si="1"/>
        <v>4.75</v>
      </c>
      <c r="I58" s="6">
        <f t="shared" si="6"/>
        <v>6.2142857142857144</v>
      </c>
      <c r="J58" s="6">
        <f t="shared" si="7"/>
        <v>1.7535714285714334</v>
      </c>
      <c r="K58" s="4">
        <f t="shared" si="8"/>
        <v>3.5437881873726989</v>
      </c>
      <c r="L58">
        <f t="shared" si="9"/>
        <v>77.991931869116939</v>
      </c>
      <c r="M58" s="14" t="str">
        <f t="shared" si="2"/>
        <v>OVERBOUGHT</v>
      </c>
      <c r="N58" s="7" t="str">
        <f t="shared" si="3"/>
        <v>SELL</v>
      </c>
      <c r="O58" s="7">
        <f t="shared" si="10"/>
        <v>0</v>
      </c>
      <c r="P58" s="7">
        <f t="shared" si="11"/>
        <v>-1</v>
      </c>
      <c r="Q58" s="10" t="e">
        <f t="shared" si="4"/>
        <v>#N/A</v>
      </c>
      <c r="R58" s="10" t="e">
        <f t="shared" si="5"/>
        <v>#N/A</v>
      </c>
      <c r="S58" s="7">
        <f t="shared" si="12"/>
        <v>766.25</v>
      </c>
      <c r="T58" s="7">
        <f t="shared" si="14"/>
        <v>0</v>
      </c>
    </row>
    <row r="59" spans="1:20" x14ac:dyDescent="0.25">
      <c r="A59" s="1">
        <v>41359</v>
      </c>
      <c r="B59">
        <v>824</v>
      </c>
      <c r="C59">
        <v>829.3</v>
      </c>
      <c r="D59">
        <v>808.55</v>
      </c>
      <c r="E59">
        <v>811.95</v>
      </c>
      <c r="F59">
        <v>1721633</v>
      </c>
      <c r="G59" s="4">
        <f t="shared" si="0"/>
        <v>0</v>
      </c>
      <c r="H59" s="4">
        <f t="shared" si="1"/>
        <v>13.099999999999909</v>
      </c>
      <c r="I59" s="6">
        <f t="shared" si="6"/>
        <v>6.2071428571428555</v>
      </c>
      <c r="J59" s="6">
        <f t="shared" si="7"/>
        <v>2.6892857142857127</v>
      </c>
      <c r="K59" s="4">
        <f t="shared" si="8"/>
        <v>2.3081009296148745</v>
      </c>
      <c r="L59">
        <f t="shared" si="9"/>
        <v>69.771176234443999</v>
      </c>
      <c r="M59" s="14" t="str">
        <f t="shared" si="2"/>
        <v/>
      </c>
      <c r="N59" s="7">
        <f t="shared" si="3"/>
        <v>0</v>
      </c>
      <c r="O59" s="7">
        <f t="shared" si="10"/>
        <v>0</v>
      </c>
      <c r="P59" s="7">
        <f t="shared" si="11"/>
        <v>-1</v>
      </c>
      <c r="Q59" s="10" t="e">
        <f t="shared" si="4"/>
        <v>#N/A</v>
      </c>
      <c r="R59" s="10" t="e">
        <f t="shared" si="5"/>
        <v>#N/A</v>
      </c>
      <c r="S59" s="7">
        <f t="shared" si="12"/>
        <v>766.25</v>
      </c>
      <c r="T59" s="7">
        <f t="shared" si="14"/>
        <v>0</v>
      </c>
    </row>
    <row r="60" spans="1:20" x14ac:dyDescent="0.25">
      <c r="A60" s="1">
        <v>41360</v>
      </c>
      <c r="B60">
        <v>808.6</v>
      </c>
      <c r="C60">
        <v>816.1</v>
      </c>
      <c r="D60">
        <v>797.15</v>
      </c>
      <c r="E60">
        <v>800</v>
      </c>
      <c r="F60">
        <v>1548580</v>
      </c>
      <c r="G60" s="4">
        <f t="shared" si="0"/>
        <v>0</v>
      </c>
      <c r="H60" s="4">
        <f t="shared" si="1"/>
        <v>11.950000000000045</v>
      </c>
      <c r="I60" s="6">
        <f t="shared" si="6"/>
        <v>5.7785714285714267</v>
      </c>
      <c r="J60" s="6">
        <f t="shared" si="7"/>
        <v>3.5428571428571445</v>
      </c>
      <c r="K60" s="4">
        <f t="shared" si="8"/>
        <v>1.6310483870967729</v>
      </c>
      <c r="L60">
        <f t="shared" si="9"/>
        <v>61.992337164750943</v>
      </c>
      <c r="M60" s="14" t="str">
        <f t="shared" si="2"/>
        <v/>
      </c>
      <c r="N60" s="7">
        <f t="shared" si="3"/>
        <v>0</v>
      </c>
      <c r="O60" s="7">
        <f t="shared" si="10"/>
        <v>0</v>
      </c>
      <c r="P60" s="7">
        <f t="shared" si="11"/>
        <v>-1</v>
      </c>
      <c r="Q60" s="10" t="e">
        <f t="shared" si="4"/>
        <v>#N/A</v>
      </c>
      <c r="R60" s="10" t="e">
        <f t="shared" si="5"/>
        <v>#N/A</v>
      </c>
      <c r="S60" s="7">
        <f t="shared" si="12"/>
        <v>766.25</v>
      </c>
      <c r="T60" s="7">
        <f t="shared" si="14"/>
        <v>0</v>
      </c>
    </row>
    <row r="61" spans="1:20" x14ac:dyDescent="0.25">
      <c r="A61" s="1">
        <v>41361</v>
      </c>
      <c r="B61">
        <v>800</v>
      </c>
      <c r="C61">
        <v>807.25</v>
      </c>
      <c r="D61">
        <v>777.3</v>
      </c>
      <c r="E61">
        <v>780.65</v>
      </c>
      <c r="F61">
        <v>3541523</v>
      </c>
      <c r="G61" s="4">
        <f t="shared" si="0"/>
        <v>0</v>
      </c>
      <c r="H61" s="4">
        <f t="shared" si="1"/>
        <v>19.350000000000023</v>
      </c>
      <c r="I61" s="6">
        <f t="shared" si="6"/>
        <v>4.9678571428571479</v>
      </c>
      <c r="J61" s="6">
        <f t="shared" si="7"/>
        <v>4.9250000000000034</v>
      </c>
      <c r="K61" s="4">
        <f t="shared" si="8"/>
        <v>1.008701957940537</v>
      </c>
      <c r="L61">
        <f t="shared" si="9"/>
        <v>50.216606498194956</v>
      </c>
      <c r="M61" s="14" t="str">
        <f t="shared" si="2"/>
        <v/>
      </c>
      <c r="N61" s="7">
        <f t="shared" si="3"/>
        <v>0</v>
      </c>
      <c r="O61" s="7">
        <f t="shared" si="10"/>
        <v>0</v>
      </c>
      <c r="P61" s="7">
        <f t="shared" si="11"/>
        <v>-1</v>
      </c>
      <c r="Q61" s="10" t="e">
        <f t="shared" si="4"/>
        <v>#N/A</v>
      </c>
      <c r="R61" s="10" t="e">
        <f t="shared" si="5"/>
        <v>#N/A</v>
      </c>
      <c r="S61" s="7">
        <f t="shared" si="12"/>
        <v>766.25</v>
      </c>
      <c r="T61" s="7">
        <f t="shared" si="14"/>
        <v>0</v>
      </c>
    </row>
    <row r="62" spans="1:20" x14ac:dyDescent="0.25">
      <c r="A62" s="1">
        <v>41362</v>
      </c>
      <c r="B62">
        <v>786.35</v>
      </c>
      <c r="C62">
        <v>809.8</v>
      </c>
      <c r="D62">
        <v>782.1</v>
      </c>
      <c r="E62">
        <v>807.8</v>
      </c>
      <c r="F62">
        <v>2890716</v>
      </c>
      <c r="G62" s="4">
        <f t="shared" si="0"/>
        <v>27.149999999999977</v>
      </c>
      <c r="H62" s="4">
        <f t="shared" si="1"/>
        <v>0</v>
      </c>
      <c r="I62" s="6">
        <f t="shared" si="6"/>
        <v>6.0821428571428555</v>
      </c>
      <c r="J62" s="6">
        <f t="shared" si="7"/>
        <v>4.9250000000000034</v>
      </c>
      <c r="K62" s="4">
        <f t="shared" si="8"/>
        <v>1.2349528643944876</v>
      </c>
      <c r="L62">
        <f t="shared" si="9"/>
        <v>55.256327060350394</v>
      </c>
      <c r="M62" s="14" t="str">
        <f t="shared" si="2"/>
        <v/>
      </c>
      <c r="N62" s="7">
        <f t="shared" si="3"/>
        <v>0</v>
      </c>
      <c r="O62" s="7">
        <f t="shared" si="10"/>
        <v>0</v>
      </c>
      <c r="P62" s="7">
        <f t="shared" si="11"/>
        <v>-1</v>
      </c>
      <c r="Q62" s="10" t="e">
        <f t="shared" si="4"/>
        <v>#N/A</v>
      </c>
      <c r="R62" s="10" t="e">
        <f t="shared" si="5"/>
        <v>#N/A</v>
      </c>
      <c r="S62" s="7">
        <f t="shared" si="12"/>
        <v>766.25</v>
      </c>
      <c r="T62" s="7">
        <f t="shared" si="14"/>
        <v>0</v>
      </c>
    </row>
    <row r="63" spans="1:20" x14ac:dyDescent="0.25">
      <c r="A63" s="1">
        <v>41365</v>
      </c>
      <c r="B63">
        <v>817</v>
      </c>
      <c r="C63">
        <v>817</v>
      </c>
      <c r="D63">
        <v>799.25</v>
      </c>
      <c r="E63">
        <v>803.35</v>
      </c>
      <c r="F63">
        <v>1500918</v>
      </c>
      <c r="G63" s="4">
        <f t="shared" si="0"/>
        <v>0</v>
      </c>
      <c r="H63" s="4">
        <f t="shared" si="1"/>
        <v>4.4499999999999318</v>
      </c>
      <c r="I63" s="6">
        <f t="shared" si="6"/>
        <v>5.6999999999999966</v>
      </c>
      <c r="J63" s="6">
        <f t="shared" si="7"/>
        <v>5.2428571428571411</v>
      </c>
      <c r="K63" s="4">
        <f t="shared" si="8"/>
        <v>1.0871934604904629</v>
      </c>
      <c r="L63">
        <f t="shared" si="9"/>
        <v>52.088772845952988</v>
      </c>
      <c r="M63" s="14" t="str">
        <f t="shared" si="2"/>
        <v/>
      </c>
      <c r="N63" s="7">
        <f t="shared" si="3"/>
        <v>0</v>
      </c>
      <c r="O63" s="7">
        <f t="shared" si="10"/>
        <v>0</v>
      </c>
      <c r="P63" s="7">
        <f t="shared" si="11"/>
        <v>-1</v>
      </c>
      <c r="Q63" s="10" t="e">
        <f t="shared" si="4"/>
        <v>#N/A</v>
      </c>
      <c r="R63" s="10" t="e">
        <f t="shared" si="5"/>
        <v>#N/A</v>
      </c>
      <c r="S63" s="7">
        <f t="shared" si="12"/>
        <v>766.25</v>
      </c>
      <c r="T63" s="7">
        <f t="shared" si="14"/>
        <v>0</v>
      </c>
    </row>
    <row r="64" spans="1:20" x14ac:dyDescent="0.25">
      <c r="A64" s="1">
        <v>41366</v>
      </c>
      <c r="B64">
        <v>808.9</v>
      </c>
      <c r="C64">
        <v>808.9</v>
      </c>
      <c r="D64">
        <v>792.15</v>
      </c>
      <c r="E64">
        <v>796.05</v>
      </c>
      <c r="F64">
        <v>1851183</v>
      </c>
      <c r="G64" s="4">
        <f t="shared" si="0"/>
        <v>0</v>
      </c>
      <c r="H64" s="4">
        <f t="shared" si="1"/>
        <v>7.3000000000000682</v>
      </c>
      <c r="I64" s="6">
        <f t="shared" si="6"/>
        <v>4.1964285714285712</v>
      </c>
      <c r="J64" s="6">
        <f t="shared" si="7"/>
        <v>5.7642857142857178</v>
      </c>
      <c r="K64" s="4">
        <f t="shared" si="8"/>
        <v>0.7280049566294915</v>
      </c>
      <c r="L64">
        <f t="shared" si="9"/>
        <v>42.129795625672266</v>
      </c>
      <c r="M64" s="14" t="str">
        <f t="shared" si="2"/>
        <v/>
      </c>
      <c r="N64" s="7">
        <f t="shared" si="3"/>
        <v>0</v>
      </c>
      <c r="O64" s="7">
        <f t="shared" si="10"/>
        <v>0</v>
      </c>
      <c r="P64" s="7">
        <f t="shared" si="11"/>
        <v>-1</v>
      </c>
      <c r="Q64" s="10" t="e">
        <f t="shared" si="4"/>
        <v>#N/A</v>
      </c>
      <c r="R64" s="10" t="e">
        <f t="shared" si="5"/>
        <v>#N/A</v>
      </c>
      <c r="S64" s="7">
        <f t="shared" si="12"/>
        <v>766.25</v>
      </c>
      <c r="T64" s="7">
        <f t="shared" si="14"/>
        <v>0</v>
      </c>
    </row>
    <row r="65" spans="1:20" x14ac:dyDescent="0.25">
      <c r="A65" s="1">
        <v>41367</v>
      </c>
      <c r="B65">
        <v>790</v>
      </c>
      <c r="C65">
        <v>809</v>
      </c>
      <c r="D65">
        <v>781.15</v>
      </c>
      <c r="E65">
        <v>798.05</v>
      </c>
      <c r="F65">
        <v>1512279</v>
      </c>
      <c r="G65" s="4">
        <f t="shared" si="0"/>
        <v>2</v>
      </c>
      <c r="H65" s="4">
        <f t="shared" si="1"/>
        <v>0</v>
      </c>
      <c r="I65" s="6">
        <f t="shared" si="6"/>
        <v>3.5535714285714284</v>
      </c>
      <c r="J65" s="6">
        <f t="shared" si="7"/>
        <v>5.7642857142857178</v>
      </c>
      <c r="K65" s="4">
        <f t="shared" si="8"/>
        <v>0.61648079306071835</v>
      </c>
      <c r="L65">
        <f t="shared" si="9"/>
        <v>38.137217324645441</v>
      </c>
      <c r="M65" s="14" t="str">
        <f t="shared" si="2"/>
        <v/>
      </c>
      <c r="N65" s="7">
        <f t="shared" si="3"/>
        <v>0</v>
      </c>
      <c r="O65" s="7">
        <f t="shared" si="10"/>
        <v>0</v>
      </c>
      <c r="P65" s="7">
        <f t="shared" si="11"/>
        <v>-1</v>
      </c>
      <c r="Q65" s="10" t="e">
        <f t="shared" si="4"/>
        <v>#N/A</v>
      </c>
      <c r="R65" s="10" t="e">
        <f t="shared" si="5"/>
        <v>#N/A</v>
      </c>
      <c r="S65" s="7">
        <f t="shared" si="12"/>
        <v>766.25</v>
      </c>
      <c r="T65" s="7">
        <f t="shared" si="14"/>
        <v>0</v>
      </c>
    </row>
    <row r="66" spans="1:20" x14ac:dyDescent="0.25">
      <c r="A66" s="1">
        <v>41368</v>
      </c>
      <c r="B66">
        <v>796</v>
      </c>
      <c r="C66">
        <v>807.5</v>
      </c>
      <c r="D66">
        <v>790</v>
      </c>
      <c r="E66">
        <v>799.45</v>
      </c>
      <c r="F66">
        <v>2247219</v>
      </c>
      <c r="G66" s="4">
        <f t="shared" si="0"/>
        <v>1.4000000000000909</v>
      </c>
      <c r="H66" s="4">
        <f t="shared" si="1"/>
        <v>0</v>
      </c>
      <c r="I66" s="6">
        <f t="shared" si="6"/>
        <v>2.8178571428571462</v>
      </c>
      <c r="J66" s="6">
        <f t="shared" si="7"/>
        <v>5.7642857142857178</v>
      </c>
      <c r="K66" s="4">
        <f t="shared" si="8"/>
        <v>0.48884758364312297</v>
      </c>
      <c r="L66">
        <f t="shared" si="9"/>
        <v>32.833957553058696</v>
      </c>
      <c r="M66" s="14" t="str">
        <f t="shared" si="2"/>
        <v/>
      </c>
      <c r="N66" s="7">
        <f t="shared" si="3"/>
        <v>0</v>
      </c>
      <c r="O66" s="7">
        <f t="shared" si="10"/>
        <v>0</v>
      </c>
      <c r="P66" s="7">
        <f t="shared" si="11"/>
        <v>-1</v>
      </c>
      <c r="Q66" s="10" t="e">
        <f t="shared" si="4"/>
        <v>#N/A</v>
      </c>
      <c r="R66" s="10" t="e">
        <f t="shared" si="5"/>
        <v>#N/A</v>
      </c>
      <c r="S66" s="7">
        <f t="shared" si="12"/>
        <v>766.25</v>
      </c>
      <c r="T66" s="7">
        <f t="shared" si="14"/>
        <v>0</v>
      </c>
    </row>
    <row r="67" spans="1:20" x14ac:dyDescent="0.25">
      <c r="A67" s="1">
        <v>41369</v>
      </c>
      <c r="B67">
        <v>802</v>
      </c>
      <c r="C67">
        <v>807.9</v>
      </c>
      <c r="D67">
        <v>788.25</v>
      </c>
      <c r="E67">
        <v>791.6</v>
      </c>
      <c r="F67">
        <v>1509006</v>
      </c>
      <c r="G67" s="4">
        <f t="shared" si="0"/>
        <v>0</v>
      </c>
      <c r="H67" s="4">
        <f t="shared" si="1"/>
        <v>7.8500000000000227</v>
      </c>
      <c r="I67" s="6">
        <f t="shared" si="6"/>
        <v>2.8178571428571462</v>
      </c>
      <c r="J67" s="6">
        <f t="shared" si="7"/>
        <v>5.2642857142857178</v>
      </c>
      <c r="K67" s="4">
        <f t="shared" si="8"/>
        <v>0.53527815468114004</v>
      </c>
      <c r="L67">
        <f t="shared" si="9"/>
        <v>34.865223155103862</v>
      </c>
      <c r="M67" s="14" t="str">
        <f t="shared" si="2"/>
        <v/>
      </c>
      <c r="N67" s="7">
        <f t="shared" si="3"/>
        <v>0</v>
      </c>
      <c r="O67" s="7">
        <f t="shared" si="10"/>
        <v>0</v>
      </c>
      <c r="P67" s="7">
        <f t="shared" si="11"/>
        <v>-1</v>
      </c>
      <c r="Q67" s="10" t="e">
        <f t="shared" si="4"/>
        <v>#N/A</v>
      </c>
      <c r="R67" s="10" t="e">
        <f t="shared" si="5"/>
        <v>#N/A</v>
      </c>
      <c r="S67" s="7">
        <f t="shared" si="12"/>
        <v>766.25</v>
      </c>
      <c r="T67" s="7">
        <f t="shared" si="14"/>
        <v>0</v>
      </c>
    </row>
    <row r="68" spans="1:20" x14ac:dyDescent="0.25">
      <c r="A68" s="1">
        <v>41372</v>
      </c>
      <c r="B68">
        <v>791</v>
      </c>
      <c r="C68">
        <v>800</v>
      </c>
      <c r="D68">
        <v>790.1</v>
      </c>
      <c r="E68">
        <v>798.1</v>
      </c>
      <c r="F68">
        <v>1434941</v>
      </c>
      <c r="G68" s="4">
        <f t="shared" ref="G68:G131" si="15">IF(E68&gt;E67,E68-E67,0)</f>
        <v>6.5</v>
      </c>
      <c r="H68" s="4">
        <f t="shared" ref="H68:H131" si="16">IF(E68&lt;E67,E67-E68,0)</f>
        <v>0</v>
      </c>
      <c r="I68" s="6">
        <f t="shared" si="6"/>
        <v>3.2821428571428606</v>
      </c>
      <c r="J68" s="6">
        <f t="shared" si="7"/>
        <v>4.9107142857142856</v>
      </c>
      <c r="K68" s="4">
        <f t="shared" si="8"/>
        <v>0.66836363636363705</v>
      </c>
      <c r="L68">
        <f t="shared" si="9"/>
        <v>40.061028770706216</v>
      </c>
      <c r="M68" s="14" t="str">
        <f t="shared" si="2"/>
        <v/>
      </c>
      <c r="N68" s="7">
        <f t="shared" si="3"/>
        <v>0</v>
      </c>
      <c r="O68" s="7">
        <f t="shared" si="10"/>
        <v>0</v>
      </c>
      <c r="P68" s="7">
        <f t="shared" si="11"/>
        <v>-1</v>
      </c>
      <c r="Q68" s="10" t="e">
        <f t="shared" si="4"/>
        <v>#N/A</v>
      </c>
      <c r="R68" s="10" t="e">
        <f t="shared" si="5"/>
        <v>#N/A</v>
      </c>
      <c r="S68" s="7">
        <f t="shared" si="12"/>
        <v>766.25</v>
      </c>
      <c r="T68" s="7">
        <f t="shared" si="14"/>
        <v>0</v>
      </c>
    </row>
    <row r="69" spans="1:20" x14ac:dyDescent="0.25">
      <c r="A69" s="1">
        <v>41373</v>
      </c>
      <c r="B69">
        <v>800</v>
      </c>
      <c r="C69">
        <v>823.8</v>
      </c>
      <c r="D69">
        <v>787.25</v>
      </c>
      <c r="E69">
        <v>820.85</v>
      </c>
      <c r="F69">
        <v>4202458</v>
      </c>
      <c r="G69" s="4">
        <f t="shared" si="15"/>
        <v>22.75</v>
      </c>
      <c r="H69" s="4">
        <f t="shared" si="16"/>
        <v>0</v>
      </c>
      <c r="I69" s="6">
        <f t="shared" si="6"/>
        <v>4.4285714285714288</v>
      </c>
      <c r="J69" s="6">
        <f t="shared" si="7"/>
        <v>4.9107142857142856</v>
      </c>
      <c r="K69" s="4">
        <f t="shared" si="8"/>
        <v>0.90181818181818185</v>
      </c>
      <c r="L69">
        <f t="shared" si="9"/>
        <v>47.418738049713191</v>
      </c>
      <c r="M69" s="14" t="str">
        <f t="shared" si="2"/>
        <v/>
      </c>
      <c r="N69" s="7">
        <f t="shared" si="3"/>
        <v>0</v>
      </c>
      <c r="O69" s="7">
        <f t="shared" si="10"/>
        <v>0</v>
      </c>
      <c r="P69" s="7">
        <f t="shared" si="11"/>
        <v>-1</v>
      </c>
      <c r="Q69" s="10" t="e">
        <f t="shared" si="4"/>
        <v>#N/A</v>
      </c>
      <c r="R69" s="10" t="e">
        <f t="shared" si="5"/>
        <v>#N/A</v>
      </c>
      <c r="S69" s="7">
        <f t="shared" si="12"/>
        <v>766.25</v>
      </c>
      <c r="T69" s="7">
        <f t="shared" si="14"/>
        <v>0</v>
      </c>
    </row>
    <row r="70" spans="1:20" x14ac:dyDescent="0.25">
      <c r="A70" s="1">
        <v>41374</v>
      </c>
      <c r="B70">
        <v>822</v>
      </c>
      <c r="C70">
        <v>834.9</v>
      </c>
      <c r="D70">
        <v>819.05</v>
      </c>
      <c r="E70">
        <v>821.7</v>
      </c>
      <c r="F70">
        <v>2145476</v>
      </c>
      <c r="G70" s="4">
        <f t="shared" si="15"/>
        <v>0.85000000000002274</v>
      </c>
      <c r="H70" s="4">
        <f t="shared" si="16"/>
        <v>0</v>
      </c>
      <c r="I70" s="6">
        <f t="shared" si="6"/>
        <v>4.414285714285719</v>
      </c>
      <c r="J70" s="6">
        <f t="shared" si="7"/>
        <v>4.9107142857142856</v>
      </c>
      <c r="K70" s="4">
        <f t="shared" si="8"/>
        <v>0.89890909090909188</v>
      </c>
      <c r="L70">
        <f t="shared" si="9"/>
        <v>47.338184603600183</v>
      </c>
      <c r="M70" s="14" t="str">
        <f t="shared" si="2"/>
        <v/>
      </c>
      <c r="N70" s="7">
        <f t="shared" si="3"/>
        <v>0</v>
      </c>
      <c r="O70" s="7">
        <f t="shared" si="10"/>
        <v>0</v>
      </c>
      <c r="P70" s="7">
        <f t="shared" si="11"/>
        <v>-1</v>
      </c>
      <c r="Q70" s="10" t="e">
        <f t="shared" si="4"/>
        <v>#N/A</v>
      </c>
      <c r="R70" s="10" t="e">
        <f t="shared" si="5"/>
        <v>#N/A</v>
      </c>
      <c r="S70" s="7">
        <f t="shared" si="12"/>
        <v>766.25</v>
      </c>
      <c r="T70" s="7">
        <f t="shared" si="14"/>
        <v>0</v>
      </c>
    </row>
    <row r="71" spans="1:20" x14ac:dyDescent="0.25">
      <c r="A71" s="1">
        <v>41375</v>
      </c>
      <c r="B71">
        <v>819</v>
      </c>
      <c r="C71">
        <v>828</v>
      </c>
      <c r="D71">
        <v>811.85</v>
      </c>
      <c r="E71">
        <v>815.1</v>
      </c>
      <c r="F71">
        <v>1905479</v>
      </c>
      <c r="G71" s="4">
        <f t="shared" si="15"/>
        <v>0</v>
      </c>
      <c r="H71" s="4">
        <f t="shared" si="16"/>
        <v>6.6000000000000227</v>
      </c>
      <c r="I71" s="6">
        <f t="shared" si="6"/>
        <v>4.3321428571428635</v>
      </c>
      <c r="J71" s="6">
        <f t="shared" si="7"/>
        <v>5.3821428571428589</v>
      </c>
      <c r="K71" s="4">
        <f t="shared" si="8"/>
        <v>0.80491041804910513</v>
      </c>
      <c r="L71">
        <f t="shared" si="9"/>
        <v>44.595588235294144</v>
      </c>
      <c r="M71" s="14" t="str">
        <f t="shared" si="2"/>
        <v/>
      </c>
      <c r="N71" s="7">
        <f t="shared" si="3"/>
        <v>0</v>
      </c>
      <c r="O71" s="7">
        <f t="shared" si="10"/>
        <v>0</v>
      </c>
      <c r="P71" s="7">
        <f t="shared" si="11"/>
        <v>-1</v>
      </c>
      <c r="Q71" s="10" t="e">
        <f t="shared" si="4"/>
        <v>#N/A</v>
      </c>
      <c r="R71" s="10" t="e">
        <f t="shared" si="5"/>
        <v>#N/A</v>
      </c>
      <c r="S71" s="7">
        <f t="shared" si="12"/>
        <v>766.25</v>
      </c>
      <c r="T71" s="7">
        <f t="shared" si="14"/>
        <v>0</v>
      </c>
    </row>
    <row r="72" spans="1:20" x14ac:dyDescent="0.25">
      <c r="A72" s="1">
        <v>41376</v>
      </c>
      <c r="B72">
        <v>810</v>
      </c>
      <c r="C72">
        <v>825</v>
      </c>
      <c r="D72">
        <v>800.75</v>
      </c>
      <c r="E72">
        <v>811.95</v>
      </c>
      <c r="F72">
        <v>3473852</v>
      </c>
      <c r="G72" s="4">
        <f t="shared" si="15"/>
        <v>0</v>
      </c>
      <c r="H72" s="4">
        <f t="shared" si="16"/>
        <v>3.1499999999999773</v>
      </c>
      <c r="I72" s="6">
        <f t="shared" si="6"/>
        <v>4.3321428571428635</v>
      </c>
      <c r="J72" s="6">
        <f t="shared" si="7"/>
        <v>5.2678571428571432</v>
      </c>
      <c r="K72" s="4">
        <f t="shared" si="8"/>
        <v>0.82237288135593334</v>
      </c>
      <c r="L72">
        <f t="shared" si="9"/>
        <v>45.126488095238123</v>
      </c>
      <c r="M72" s="14" t="str">
        <f t="shared" si="2"/>
        <v/>
      </c>
      <c r="N72" s="7">
        <f t="shared" si="3"/>
        <v>0</v>
      </c>
      <c r="O72" s="7">
        <f t="shared" si="10"/>
        <v>0</v>
      </c>
      <c r="P72" s="7">
        <f t="shared" si="11"/>
        <v>-1</v>
      </c>
      <c r="Q72" s="10" t="e">
        <f t="shared" si="4"/>
        <v>#N/A</v>
      </c>
      <c r="R72" s="10" t="e">
        <f t="shared" si="5"/>
        <v>#N/A</v>
      </c>
      <c r="S72" s="7">
        <f t="shared" si="12"/>
        <v>766.25</v>
      </c>
      <c r="T72" s="7">
        <f t="shared" si="14"/>
        <v>0</v>
      </c>
    </row>
    <row r="73" spans="1:20" x14ac:dyDescent="0.25">
      <c r="A73" s="1">
        <v>41379</v>
      </c>
      <c r="B73">
        <v>825</v>
      </c>
      <c r="C73">
        <v>832.65</v>
      </c>
      <c r="D73">
        <v>787</v>
      </c>
      <c r="E73">
        <v>789.5</v>
      </c>
      <c r="F73">
        <v>6008493</v>
      </c>
      <c r="G73" s="4">
        <f t="shared" si="15"/>
        <v>0</v>
      </c>
      <c r="H73" s="4">
        <f t="shared" si="16"/>
        <v>22.450000000000045</v>
      </c>
      <c r="I73" s="6">
        <f t="shared" si="6"/>
        <v>4.3321428571428635</v>
      </c>
      <c r="J73" s="6">
        <f t="shared" si="7"/>
        <v>5.9357142857142957</v>
      </c>
      <c r="K73" s="4">
        <f t="shared" si="8"/>
        <v>0.72984356197352573</v>
      </c>
      <c r="L73">
        <f t="shared" si="9"/>
        <v>42.191304347826083</v>
      </c>
      <c r="M73" s="14" t="str">
        <f t="shared" si="2"/>
        <v/>
      </c>
      <c r="N73" s="7">
        <f t="shared" si="3"/>
        <v>0</v>
      </c>
      <c r="O73" s="7">
        <f t="shared" si="10"/>
        <v>0</v>
      </c>
      <c r="P73" s="7">
        <f t="shared" si="11"/>
        <v>-1</v>
      </c>
      <c r="Q73" s="10" t="e">
        <f t="shared" si="4"/>
        <v>#N/A</v>
      </c>
      <c r="R73" s="10" t="e">
        <f t="shared" si="5"/>
        <v>#N/A</v>
      </c>
      <c r="S73" s="7">
        <f t="shared" si="12"/>
        <v>766.25</v>
      </c>
      <c r="T73" s="7">
        <f t="shared" si="14"/>
        <v>0</v>
      </c>
    </row>
    <row r="74" spans="1:20" x14ac:dyDescent="0.25">
      <c r="A74" s="1">
        <v>41380</v>
      </c>
      <c r="B74">
        <v>795</v>
      </c>
      <c r="C74">
        <v>799</v>
      </c>
      <c r="D74">
        <v>780.25</v>
      </c>
      <c r="E74">
        <v>785</v>
      </c>
      <c r="F74">
        <v>3553745</v>
      </c>
      <c r="G74" s="4">
        <f t="shared" si="15"/>
        <v>0</v>
      </c>
      <c r="H74" s="4">
        <f t="shared" si="16"/>
        <v>4.5</v>
      </c>
      <c r="I74" s="6">
        <f t="shared" si="6"/>
        <v>4.3321428571428635</v>
      </c>
      <c r="J74" s="6">
        <f t="shared" si="7"/>
        <v>5.4035714285714347</v>
      </c>
      <c r="K74" s="4">
        <f t="shared" si="8"/>
        <v>0.80171844018506311</v>
      </c>
      <c r="L74">
        <f t="shared" si="9"/>
        <v>44.497432134996345</v>
      </c>
      <c r="M74" s="14" t="str">
        <f t="shared" si="2"/>
        <v/>
      </c>
      <c r="N74" s="7">
        <f t="shared" si="3"/>
        <v>0</v>
      </c>
      <c r="O74" s="7">
        <f t="shared" si="10"/>
        <v>0</v>
      </c>
      <c r="P74" s="7">
        <f t="shared" si="11"/>
        <v>-1</v>
      </c>
      <c r="Q74" s="10" t="e">
        <f t="shared" si="4"/>
        <v>#N/A</v>
      </c>
      <c r="R74" s="10" t="e">
        <f t="shared" si="5"/>
        <v>#N/A</v>
      </c>
      <c r="S74" s="7">
        <f t="shared" si="12"/>
        <v>766.25</v>
      </c>
      <c r="T74" s="7">
        <f t="shared" si="14"/>
        <v>0</v>
      </c>
    </row>
    <row r="75" spans="1:20" x14ac:dyDescent="0.25">
      <c r="A75" s="1">
        <v>41381</v>
      </c>
      <c r="B75">
        <v>789.1</v>
      </c>
      <c r="C75">
        <v>793.65</v>
      </c>
      <c r="D75">
        <v>781</v>
      </c>
      <c r="E75">
        <v>785.95</v>
      </c>
      <c r="F75">
        <v>2375558</v>
      </c>
      <c r="G75" s="4">
        <f t="shared" si="15"/>
        <v>0.95000000000004547</v>
      </c>
      <c r="H75" s="4">
        <f t="shared" si="16"/>
        <v>0</v>
      </c>
      <c r="I75" s="6">
        <f t="shared" si="6"/>
        <v>4.4000000000000101</v>
      </c>
      <c r="J75" s="6">
        <f t="shared" si="7"/>
        <v>4.0214285714285767</v>
      </c>
      <c r="K75" s="4">
        <f t="shared" si="8"/>
        <v>1.0941385435168749</v>
      </c>
      <c r="L75">
        <f t="shared" si="9"/>
        <v>52.247667514843116</v>
      </c>
      <c r="M75" s="14" t="str">
        <f t="shared" si="2"/>
        <v/>
      </c>
      <c r="N75" s="7">
        <f t="shared" si="3"/>
        <v>0</v>
      </c>
      <c r="O75" s="7">
        <f t="shared" si="10"/>
        <v>0</v>
      </c>
      <c r="P75" s="7">
        <f t="shared" si="11"/>
        <v>-1</v>
      </c>
      <c r="Q75" s="10" t="e">
        <f t="shared" si="4"/>
        <v>#N/A</v>
      </c>
      <c r="R75" s="10" t="e">
        <f t="shared" si="5"/>
        <v>#N/A</v>
      </c>
      <c r="S75" s="7">
        <f t="shared" si="12"/>
        <v>766.25</v>
      </c>
      <c r="T75" s="7">
        <f t="shared" si="14"/>
        <v>0</v>
      </c>
    </row>
    <row r="76" spans="1:20" x14ac:dyDescent="0.25">
      <c r="A76" s="1">
        <v>41382</v>
      </c>
      <c r="B76">
        <v>788.05</v>
      </c>
      <c r="C76">
        <v>792</v>
      </c>
      <c r="D76">
        <v>777.5</v>
      </c>
      <c r="E76">
        <v>780.2</v>
      </c>
      <c r="F76">
        <v>2153034</v>
      </c>
      <c r="G76" s="4">
        <f t="shared" si="15"/>
        <v>0</v>
      </c>
      <c r="H76" s="4">
        <f t="shared" si="16"/>
        <v>5.75</v>
      </c>
      <c r="I76" s="6">
        <f t="shared" si="6"/>
        <v>2.460714285714297</v>
      </c>
      <c r="J76" s="6">
        <f t="shared" si="7"/>
        <v>4.4321428571428623</v>
      </c>
      <c r="K76" s="4">
        <f t="shared" si="8"/>
        <v>0.55519742143432904</v>
      </c>
      <c r="L76">
        <f t="shared" si="9"/>
        <v>35.699481865285051</v>
      </c>
      <c r="M76" s="14" t="str">
        <f t="shared" si="2"/>
        <v/>
      </c>
      <c r="N76" s="7">
        <f t="shared" si="3"/>
        <v>0</v>
      </c>
      <c r="O76" s="7">
        <f t="shared" si="10"/>
        <v>0</v>
      </c>
      <c r="P76" s="7">
        <f t="shared" si="11"/>
        <v>-1</v>
      </c>
      <c r="Q76" s="10" t="e">
        <f t="shared" si="4"/>
        <v>#N/A</v>
      </c>
      <c r="R76" s="10" t="e">
        <f t="shared" si="5"/>
        <v>#N/A</v>
      </c>
      <c r="S76" s="7">
        <f t="shared" si="12"/>
        <v>766.25</v>
      </c>
      <c r="T76" s="7">
        <f t="shared" si="14"/>
        <v>0</v>
      </c>
    </row>
    <row r="77" spans="1:20" x14ac:dyDescent="0.25">
      <c r="A77" s="1">
        <v>41383</v>
      </c>
      <c r="B77">
        <v>786</v>
      </c>
      <c r="C77">
        <v>791</v>
      </c>
      <c r="D77">
        <v>780.2</v>
      </c>
      <c r="E77">
        <v>785.1</v>
      </c>
      <c r="F77">
        <v>1256274</v>
      </c>
      <c r="G77" s="4">
        <f t="shared" si="15"/>
        <v>4.8999999999999773</v>
      </c>
      <c r="H77" s="4">
        <f t="shared" si="16"/>
        <v>0</v>
      </c>
      <c r="I77" s="6">
        <f t="shared" si="6"/>
        <v>2.8107142857142953</v>
      </c>
      <c r="J77" s="6">
        <f t="shared" si="7"/>
        <v>4.1142857142857236</v>
      </c>
      <c r="K77" s="4">
        <f t="shared" si="8"/>
        <v>0.68315972222222299</v>
      </c>
      <c r="L77">
        <f t="shared" si="9"/>
        <v>40.587931923672024</v>
      </c>
      <c r="M77" s="14" t="str">
        <f t="shared" si="2"/>
        <v/>
      </c>
      <c r="N77" s="7">
        <f t="shared" si="3"/>
        <v>0</v>
      </c>
      <c r="O77" s="7">
        <f t="shared" si="10"/>
        <v>0</v>
      </c>
      <c r="P77" s="7">
        <f t="shared" si="11"/>
        <v>-1</v>
      </c>
      <c r="Q77" s="10" t="e">
        <f t="shared" si="4"/>
        <v>#N/A</v>
      </c>
      <c r="R77" s="10" t="e">
        <f t="shared" si="5"/>
        <v>#N/A</v>
      </c>
      <c r="S77" s="7">
        <f t="shared" si="12"/>
        <v>766.25</v>
      </c>
      <c r="T77" s="7">
        <f t="shared" si="14"/>
        <v>0</v>
      </c>
    </row>
    <row r="78" spans="1:20" x14ac:dyDescent="0.25">
      <c r="A78" s="1">
        <v>41386</v>
      </c>
      <c r="B78">
        <v>785.95</v>
      </c>
      <c r="C78">
        <v>789.9</v>
      </c>
      <c r="D78">
        <v>781.05</v>
      </c>
      <c r="E78">
        <v>787.3</v>
      </c>
      <c r="F78">
        <v>1310617</v>
      </c>
      <c r="G78" s="4">
        <f t="shared" si="15"/>
        <v>2.1999999999999318</v>
      </c>
      <c r="H78" s="4">
        <f t="shared" si="16"/>
        <v>0</v>
      </c>
      <c r="I78" s="6">
        <f t="shared" si="6"/>
        <v>2.9678571428571479</v>
      </c>
      <c r="J78" s="6">
        <f t="shared" si="7"/>
        <v>3.5928571428571479</v>
      </c>
      <c r="K78" s="4">
        <f t="shared" si="8"/>
        <v>0.82604373757455296</v>
      </c>
      <c r="L78">
        <f t="shared" si="9"/>
        <v>45.236799129014706</v>
      </c>
      <c r="M78" s="14" t="str">
        <f t="shared" si="2"/>
        <v/>
      </c>
      <c r="N78" s="7">
        <f t="shared" si="3"/>
        <v>0</v>
      </c>
      <c r="O78" s="7">
        <f t="shared" si="10"/>
        <v>0</v>
      </c>
      <c r="P78" s="7">
        <f t="shared" si="11"/>
        <v>-1</v>
      </c>
      <c r="Q78" s="10" t="e">
        <f t="shared" si="4"/>
        <v>#N/A</v>
      </c>
      <c r="R78" s="10" t="e">
        <f t="shared" si="5"/>
        <v>#N/A</v>
      </c>
      <c r="S78" s="7">
        <f t="shared" si="12"/>
        <v>766.25</v>
      </c>
      <c r="T78" s="7">
        <f t="shared" si="14"/>
        <v>0</v>
      </c>
    </row>
    <row r="79" spans="1:20" x14ac:dyDescent="0.25">
      <c r="A79" s="1">
        <v>41387</v>
      </c>
      <c r="B79">
        <v>780</v>
      </c>
      <c r="C79">
        <v>783.95</v>
      </c>
      <c r="D79">
        <v>765</v>
      </c>
      <c r="E79">
        <v>770.3</v>
      </c>
      <c r="F79">
        <v>1200191</v>
      </c>
      <c r="G79" s="4">
        <f t="shared" si="15"/>
        <v>0</v>
      </c>
      <c r="H79" s="4">
        <f t="shared" si="16"/>
        <v>17</v>
      </c>
      <c r="I79" s="6">
        <f t="shared" si="6"/>
        <v>2.8250000000000051</v>
      </c>
      <c r="J79" s="6">
        <f t="shared" si="7"/>
        <v>4.8071428571428623</v>
      </c>
      <c r="K79" s="4">
        <f t="shared" si="8"/>
        <v>0.58766716196136748</v>
      </c>
      <c r="L79">
        <f t="shared" si="9"/>
        <v>37.01450631726722</v>
      </c>
      <c r="M79" s="14" t="str">
        <f t="shared" si="2"/>
        <v/>
      </c>
      <c r="N79" s="7">
        <f t="shared" si="3"/>
        <v>0</v>
      </c>
      <c r="O79" s="7">
        <f t="shared" si="10"/>
        <v>0</v>
      </c>
      <c r="P79" s="7">
        <f t="shared" si="11"/>
        <v>-1</v>
      </c>
      <c r="Q79" s="10" t="e">
        <f t="shared" si="4"/>
        <v>#N/A</v>
      </c>
      <c r="R79" s="10" t="e">
        <f t="shared" si="5"/>
        <v>#N/A</v>
      </c>
      <c r="S79" s="7">
        <f t="shared" si="12"/>
        <v>766.25</v>
      </c>
      <c r="T79" s="7">
        <f t="shared" si="14"/>
        <v>0</v>
      </c>
    </row>
    <row r="80" spans="1:20" x14ac:dyDescent="0.25">
      <c r="A80" s="1">
        <v>41388</v>
      </c>
      <c r="B80">
        <v>775.1</v>
      </c>
      <c r="C80">
        <v>775.25</v>
      </c>
      <c r="D80">
        <v>755.6</v>
      </c>
      <c r="E80">
        <v>759.75</v>
      </c>
      <c r="F80">
        <v>2311482</v>
      </c>
      <c r="G80" s="4">
        <f t="shared" si="15"/>
        <v>0</v>
      </c>
      <c r="H80" s="4">
        <f t="shared" si="16"/>
        <v>10.549999999999955</v>
      </c>
      <c r="I80" s="6">
        <f t="shared" si="6"/>
        <v>2.7249999999999983</v>
      </c>
      <c r="J80" s="6">
        <f t="shared" si="7"/>
        <v>5.5607142857142877</v>
      </c>
      <c r="K80" s="4">
        <f t="shared" si="8"/>
        <v>0.49004495825305028</v>
      </c>
      <c r="L80">
        <f t="shared" si="9"/>
        <v>32.887931034482747</v>
      </c>
      <c r="M80" s="14" t="str">
        <f t="shared" ref="M80:M143" si="17">IF(L80&gt;RSI_Overbought,"OVERBOUGHT",IF(L80&lt;RSI_Oversold,"OVERSOLD",""))</f>
        <v/>
      </c>
      <c r="N80" s="7">
        <f t="shared" ref="N80:N143" si="18">IF(L80&gt;RSI_Overbought,"SELL",IF(L80&lt;RSI_Oversold,"BUY",0))</f>
        <v>0</v>
      </c>
      <c r="O80" s="7">
        <f t="shared" si="10"/>
        <v>0</v>
      </c>
      <c r="P80" s="7">
        <f t="shared" si="11"/>
        <v>-1</v>
      </c>
      <c r="Q80" s="10" t="e">
        <f t="shared" ref="Q80:Q143" si="19">IF($O80="BUY",$E80,NA())</f>
        <v>#N/A</v>
      </c>
      <c r="R80" s="10" t="e">
        <f t="shared" ref="R80:R143" si="20">IF($O80="SELL",$E80,NA())</f>
        <v>#N/A</v>
      </c>
      <c r="S80" s="7">
        <f t="shared" si="12"/>
        <v>766.25</v>
      </c>
      <c r="T80" s="7">
        <f t="shared" si="14"/>
        <v>0</v>
      </c>
    </row>
    <row r="81" spans="1:20" x14ac:dyDescent="0.25">
      <c r="A81" s="1">
        <v>41389</v>
      </c>
      <c r="B81">
        <v>765</v>
      </c>
      <c r="C81">
        <v>772.8</v>
      </c>
      <c r="D81">
        <v>762.55</v>
      </c>
      <c r="E81">
        <v>765.4</v>
      </c>
      <c r="F81">
        <v>1845112</v>
      </c>
      <c r="G81" s="4">
        <f t="shared" si="15"/>
        <v>5.6499999999999773</v>
      </c>
      <c r="H81" s="4">
        <f t="shared" si="16"/>
        <v>0</v>
      </c>
      <c r="I81" s="6">
        <f t="shared" ref="I81:I144" si="21">AVERAGE(G68:G81)</f>
        <v>3.1285714285714255</v>
      </c>
      <c r="J81" s="6">
        <f t="shared" ref="J81:J144" si="22">AVERAGE(H68:H81)</f>
        <v>5</v>
      </c>
      <c r="K81" s="4">
        <f t="shared" ref="K81:K144" si="23">I81/J81</f>
        <v>0.62571428571428511</v>
      </c>
      <c r="L81">
        <f t="shared" ref="L81:L144" si="24">100-(100/(K81+1))</f>
        <v>38.488576449912102</v>
      </c>
      <c r="M81" s="14" t="str">
        <f t="shared" si="17"/>
        <v/>
      </c>
      <c r="N81" s="7">
        <f t="shared" si="18"/>
        <v>0</v>
      </c>
      <c r="O81" s="7">
        <f t="shared" ref="O81:O144" si="25">IF(AND(N81="BUY",P80&lt;&gt;1),"BUY",IF(AND(N81="SELL",P80&lt;&gt;-1),"SELL",0))</f>
        <v>0</v>
      </c>
      <c r="P81" s="7">
        <f t="shared" ref="P81:P144" si="26">IF(O81="BUY",1,IF(O81="SELL",-1,P80))</f>
        <v>-1</v>
      </c>
      <c r="Q81" s="10" t="e">
        <f t="shared" si="19"/>
        <v>#N/A</v>
      </c>
      <c r="R81" s="10" t="e">
        <f t="shared" si="20"/>
        <v>#N/A</v>
      </c>
      <c r="S81" s="7">
        <f t="shared" ref="S81:S144" si="27">IF(O81&lt;&gt;0,E81,S80)</f>
        <v>766.25</v>
      </c>
      <c r="T81" s="7">
        <f t="shared" si="14"/>
        <v>0</v>
      </c>
    </row>
    <row r="82" spans="1:20" x14ac:dyDescent="0.25">
      <c r="A82" s="1">
        <v>41390</v>
      </c>
      <c r="B82">
        <v>761.25</v>
      </c>
      <c r="C82">
        <v>771.4</v>
      </c>
      <c r="D82">
        <v>754.1</v>
      </c>
      <c r="E82">
        <v>766.8</v>
      </c>
      <c r="F82">
        <v>1208280</v>
      </c>
      <c r="G82" s="4">
        <f t="shared" si="15"/>
        <v>1.3999999999999773</v>
      </c>
      <c r="H82" s="4">
        <f t="shared" si="16"/>
        <v>0</v>
      </c>
      <c r="I82" s="6">
        <f t="shared" si="21"/>
        <v>2.7642857142857093</v>
      </c>
      <c r="J82" s="6">
        <f t="shared" si="22"/>
        <v>5</v>
      </c>
      <c r="K82" s="4">
        <f t="shared" si="23"/>
        <v>0.55285714285714183</v>
      </c>
      <c r="L82">
        <f t="shared" si="24"/>
        <v>35.602575896964083</v>
      </c>
      <c r="M82" s="14" t="str">
        <f t="shared" si="17"/>
        <v/>
      </c>
      <c r="N82" s="7">
        <f t="shared" si="18"/>
        <v>0</v>
      </c>
      <c r="O82" s="7">
        <f t="shared" si="25"/>
        <v>0</v>
      </c>
      <c r="P82" s="7">
        <f t="shared" si="26"/>
        <v>-1</v>
      </c>
      <c r="Q82" s="10" t="e">
        <f t="shared" si="19"/>
        <v>#N/A</v>
      </c>
      <c r="R82" s="10" t="e">
        <f t="shared" si="20"/>
        <v>#N/A</v>
      </c>
      <c r="S82" s="7">
        <f t="shared" si="27"/>
        <v>766.25</v>
      </c>
      <c r="T82" s="7">
        <f t="shared" si="14"/>
        <v>0</v>
      </c>
    </row>
    <row r="83" spans="1:20" x14ac:dyDescent="0.25">
      <c r="A83" s="1">
        <v>41393</v>
      </c>
      <c r="B83">
        <v>774.85</v>
      </c>
      <c r="C83">
        <v>774.85</v>
      </c>
      <c r="D83">
        <v>756.8</v>
      </c>
      <c r="E83">
        <v>761</v>
      </c>
      <c r="F83">
        <v>1448014</v>
      </c>
      <c r="G83" s="4">
        <f t="shared" si="15"/>
        <v>0</v>
      </c>
      <c r="H83" s="4">
        <f t="shared" si="16"/>
        <v>5.7999999999999545</v>
      </c>
      <c r="I83" s="6">
        <f t="shared" si="21"/>
        <v>1.1392857142857093</v>
      </c>
      <c r="J83" s="6">
        <f t="shared" si="22"/>
        <v>5.414285714285711</v>
      </c>
      <c r="K83" s="4">
        <f t="shared" si="23"/>
        <v>0.21042216358838972</v>
      </c>
      <c r="L83">
        <f t="shared" si="24"/>
        <v>17.384196185286058</v>
      </c>
      <c r="M83" s="14" t="str">
        <f t="shared" si="17"/>
        <v>OVERSOLD</v>
      </c>
      <c r="N83" s="7" t="str">
        <f t="shared" si="18"/>
        <v>BUY</v>
      </c>
      <c r="O83" s="7" t="str">
        <f t="shared" si="25"/>
        <v>BUY</v>
      </c>
      <c r="P83" s="7">
        <f t="shared" si="26"/>
        <v>1</v>
      </c>
      <c r="Q83" s="10">
        <f t="shared" si="19"/>
        <v>761</v>
      </c>
      <c r="R83" s="10" t="e">
        <f t="shared" si="20"/>
        <v>#N/A</v>
      </c>
      <c r="S83" s="7">
        <f t="shared" si="27"/>
        <v>761</v>
      </c>
      <c r="T83" s="7">
        <f t="shared" si="14"/>
        <v>6.8515497553017944E-3</v>
      </c>
    </row>
    <row r="84" spans="1:20" x14ac:dyDescent="0.25">
      <c r="A84" s="1">
        <v>41394</v>
      </c>
      <c r="B84">
        <v>750</v>
      </c>
      <c r="C84">
        <v>768</v>
      </c>
      <c r="D84">
        <v>740.15</v>
      </c>
      <c r="E84">
        <v>765.75</v>
      </c>
      <c r="F84">
        <v>2185615</v>
      </c>
      <c r="G84" s="4">
        <f t="shared" si="15"/>
        <v>4.75</v>
      </c>
      <c r="H84" s="4">
        <f t="shared" si="16"/>
        <v>0</v>
      </c>
      <c r="I84" s="6">
        <f t="shared" si="21"/>
        <v>1.4178571428571363</v>
      </c>
      <c r="J84" s="6">
        <f t="shared" si="22"/>
        <v>5.414285714285711</v>
      </c>
      <c r="K84" s="4">
        <f t="shared" si="23"/>
        <v>0.2618733509234818</v>
      </c>
      <c r="L84">
        <f t="shared" si="24"/>
        <v>20.752744380554034</v>
      </c>
      <c r="M84" s="14" t="str">
        <f t="shared" si="17"/>
        <v>OVERSOLD</v>
      </c>
      <c r="N84" s="7" t="str">
        <f t="shared" si="18"/>
        <v>BUY</v>
      </c>
      <c r="O84" s="7">
        <f t="shared" si="25"/>
        <v>0</v>
      </c>
      <c r="P84" s="7">
        <f t="shared" si="26"/>
        <v>1</v>
      </c>
      <c r="Q84" s="10" t="e">
        <f t="shared" si="19"/>
        <v>#N/A</v>
      </c>
      <c r="R84" s="10" t="e">
        <f t="shared" si="20"/>
        <v>#N/A</v>
      </c>
      <c r="S84" s="7">
        <f t="shared" si="27"/>
        <v>761</v>
      </c>
      <c r="T84" s="7">
        <f t="shared" si="14"/>
        <v>0</v>
      </c>
    </row>
    <row r="85" spans="1:20" x14ac:dyDescent="0.25">
      <c r="A85" s="1">
        <v>41395</v>
      </c>
      <c r="B85">
        <v>767.95</v>
      </c>
      <c r="C85">
        <v>770.9</v>
      </c>
      <c r="D85">
        <v>759.2</v>
      </c>
      <c r="E85">
        <v>767.1</v>
      </c>
      <c r="F85">
        <v>1290436</v>
      </c>
      <c r="G85" s="4">
        <f t="shared" si="15"/>
        <v>1.3500000000000227</v>
      </c>
      <c r="H85" s="4">
        <f t="shared" si="16"/>
        <v>0</v>
      </c>
      <c r="I85" s="6">
        <f t="shared" si="21"/>
        <v>1.5142857142857093</v>
      </c>
      <c r="J85" s="6">
        <f t="shared" si="22"/>
        <v>4.9428571428571377</v>
      </c>
      <c r="K85" s="4">
        <f t="shared" si="23"/>
        <v>0.30635838150288947</v>
      </c>
      <c r="L85">
        <f t="shared" si="24"/>
        <v>23.451327433628279</v>
      </c>
      <c r="M85" s="14" t="str">
        <f t="shared" si="17"/>
        <v>OVERSOLD</v>
      </c>
      <c r="N85" s="7" t="str">
        <f t="shared" si="18"/>
        <v>BUY</v>
      </c>
      <c r="O85" s="7">
        <f t="shared" si="25"/>
        <v>0</v>
      </c>
      <c r="P85" s="7">
        <f t="shared" si="26"/>
        <v>1</v>
      </c>
      <c r="Q85" s="10" t="e">
        <f t="shared" si="19"/>
        <v>#N/A</v>
      </c>
      <c r="R85" s="10" t="e">
        <f t="shared" si="20"/>
        <v>#N/A</v>
      </c>
      <c r="S85" s="7">
        <f t="shared" si="27"/>
        <v>761</v>
      </c>
      <c r="T85" s="7">
        <f t="shared" si="14"/>
        <v>0</v>
      </c>
    </row>
    <row r="86" spans="1:20" x14ac:dyDescent="0.25">
      <c r="A86" s="1">
        <v>41396</v>
      </c>
      <c r="B86">
        <v>757</v>
      </c>
      <c r="C86">
        <v>762.6</v>
      </c>
      <c r="D86">
        <v>735</v>
      </c>
      <c r="E86">
        <v>741.4</v>
      </c>
      <c r="F86">
        <v>2133576</v>
      </c>
      <c r="G86" s="4">
        <f t="shared" si="15"/>
        <v>0</v>
      </c>
      <c r="H86" s="4">
        <f t="shared" si="16"/>
        <v>25.700000000000045</v>
      </c>
      <c r="I86" s="6">
        <f t="shared" si="21"/>
        <v>1.5142857142857093</v>
      </c>
      <c r="J86" s="6">
        <f t="shared" si="22"/>
        <v>6.5535714285714288</v>
      </c>
      <c r="K86" s="4">
        <f t="shared" si="23"/>
        <v>0.23106267029972677</v>
      </c>
      <c r="L86">
        <f t="shared" si="24"/>
        <v>18.769366976538237</v>
      </c>
      <c r="M86" s="14" t="str">
        <f t="shared" si="17"/>
        <v>OVERSOLD</v>
      </c>
      <c r="N86" s="7" t="str">
        <f t="shared" si="18"/>
        <v>BUY</v>
      </c>
      <c r="O86" s="7">
        <f t="shared" si="25"/>
        <v>0</v>
      </c>
      <c r="P86" s="7">
        <f t="shared" si="26"/>
        <v>1</v>
      </c>
      <c r="Q86" s="10" t="e">
        <f t="shared" si="19"/>
        <v>#N/A</v>
      </c>
      <c r="R86" s="10" t="e">
        <f t="shared" si="20"/>
        <v>#N/A</v>
      </c>
      <c r="S86" s="7">
        <f t="shared" si="27"/>
        <v>761</v>
      </c>
      <c r="T86" s="7">
        <f t="shared" si="14"/>
        <v>0</v>
      </c>
    </row>
    <row r="87" spans="1:20" x14ac:dyDescent="0.25">
      <c r="A87" s="1">
        <v>41397</v>
      </c>
      <c r="B87">
        <v>760</v>
      </c>
      <c r="C87">
        <v>843</v>
      </c>
      <c r="D87">
        <v>745</v>
      </c>
      <c r="E87">
        <v>770.25</v>
      </c>
      <c r="F87">
        <v>1163907</v>
      </c>
      <c r="G87" s="4">
        <f t="shared" si="15"/>
        <v>28.850000000000023</v>
      </c>
      <c r="H87" s="4">
        <f t="shared" si="16"/>
        <v>0</v>
      </c>
      <c r="I87" s="6">
        <f t="shared" si="21"/>
        <v>3.5749999999999966</v>
      </c>
      <c r="J87" s="6">
        <f t="shared" si="22"/>
        <v>4.9499999999999966</v>
      </c>
      <c r="K87" s="4">
        <f t="shared" si="23"/>
        <v>0.72222222222222199</v>
      </c>
      <c r="L87">
        <f t="shared" si="24"/>
        <v>41.93548387096773</v>
      </c>
      <c r="M87" s="14" t="str">
        <f t="shared" si="17"/>
        <v/>
      </c>
      <c r="N87" s="7">
        <f t="shared" si="18"/>
        <v>0</v>
      </c>
      <c r="O87" s="7">
        <f t="shared" si="25"/>
        <v>0</v>
      </c>
      <c r="P87" s="7">
        <f t="shared" si="26"/>
        <v>1</v>
      </c>
      <c r="Q87" s="10" t="e">
        <f t="shared" si="19"/>
        <v>#N/A</v>
      </c>
      <c r="R87" s="10" t="e">
        <f t="shared" si="20"/>
        <v>#N/A</v>
      </c>
      <c r="S87" s="7">
        <f t="shared" si="27"/>
        <v>761</v>
      </c>
      <c r="T87" s="7">
        <f t="shared" si="14"/>
        <v>0</v>
      </c>
    </row>
    <row r="88" spans="1:20" x14ac:dyDescent="0.25">
      <c r="A88" s="1">
        <v>41400</v>
      </c>
      <c r="B88">
        <v>775</v>
      </c>
      <c r="C88">
        <v>779</v>
      </c>
      <c r="D88">
        <v>753.9</v>
      </c>
      <c r="E88">
        <v>756.3</v>
      </c>
      <c r="F88">
        <v>675644</v>
      </c>
      <c r="G88" s="4">
        <f t="shared" si="15"/>
        <v>0</v>
      </c>
      <c r="H88" s="4">
        <f t="shared" si="16"/>
        <v>13.950000000000045</v>
      </c>
      <c r="I88" s="6">
        <f t="shared" si="21"/>
        <v>3.5749999999999966</v>
      </c>
      <c r="J88" s="6">
        <f t="shared" si="22"/>
        <v>5.625</v>
      </c>
      <c r="K88" s="4">
        <f t="shared" si="23"/>
        <v>0.63555555555555499</v>
      </c>
      <c r="L88">
        <f t="shared" si="24"/>
        <v>38.858695652173893</v>
      </c>
      <c r="M88" s="14" t="str">
        <f t="shared" si="17"/>
        <v/>
      </c>
      <c r="N88" s="7">
        <f t="shared" si="18"/>
        <v>0</v>
      </c>
      <c r="O88" s="7">
        <f t="shared" si="25"/>
        <v>0</v>
      </c>
      <c r="P88" s="7">
        <f t="shared" si="26"/>
        <v>1</v>
      </c>
      <c r="Q88" s="10" t="e">
        <f t="shared" si="19"/>
        <v>#N/A</v>
      </c>
      <c r="R88" s="10" t="e">
        <f t="shared" si="20"/>
        <v>#N/A</v>
      </c>
      <c r="S88" s="7">
        <f t="shared" si="27"/>
        <v>761</v>
      </c>
      <c r="T88" s="7">
        <f t="shared" si="14"/>
        <v>0</v>
      </c>
    </row>
    <row r="89" spans="1:20" x14ac:dyDescent="0.25">
      <c r="A89" s="1">
        <v>41401</v>
      </c>
      <c r="B89">
        <v>757</v>
      </c>
      <c r="C89">
        <v>767.95</v>
      </c>
      <c r="D89">
        <v>751.1</v>
      </c>
      <c r="E89">
        <v>759.45</v>
      </c>
      <c r="F89">
        <v>1370038</v>
      </c>
      <c r="G89" s="4">
        <f t="shared" si="15"/>
        <v>3.1500000000000909</v>
      </c>
      <c r="H89" s="4">
        <f t="shared" si="16"/>
        <v>0</v>
      </c>
      <c r="I89" s="6">
        <f t="shared" si="21"/>
        <v>3.7321428571428572</v>
      </c>
      <c r="J89" s="6">
        <f t="shared" si="22"/>
        <v>5.625</v>
      </c>
      <c r="K89" s="4">
        <f t="shared" si="23"/>
        <v>0.66349206349206347</v>
      </c>
      <c r="L89">
        <f t="shared" si="24"/>
        <v>39.885496183206101</v>
      </c>
      <c r="M89" s="14" t="str">
        <f t="shared" si="17"/>
        <v/>
      </c>
      <c r="N89" s="7">
        <f t="shared" si="18"/>
        <v>0</v>
      </c>
      <c r="O89" s="7">
        <f t="shared" si="25"/>
        <v>0</v>
      </c>
      <c r="P89" s="7">
        <f t="shared" si="26"/>
        <v>1</v>
      </c>
      <c r="Q89" s="10" t="e">
        <f t="shared" si="19"/>
        <v>#N/A</v>
      </c>
      <c r="R89" s="10" t="e">
        <f t="shared" si="20"/>
        <v>#N/A</v>
      </c>
      <c r="S89" s="7">
        <f t="shared" si="27"/>
        <v>761</v>
      </c>
      <c r="T89" s="7">
        <f t="shared" si="14"/>
        <v>0</v>
      </c>
    </row>
    <row r="90" spans="1:20" x14ac:dyDescent="0.25">
      <c r="A90" s="1">
        <v>41402</v>
      </c>
      <c r="B90">
        <v>765.1</v>
      </c>
      <c r="C90">
        <v>773.2</v>
      </c>
      <c r="D90">
        <v>761.45</v>
      </c>
      <c r="E90">
        <v>765.6</v>
      </c>
      <c r="F90">
        <v>660726</v>
      </c>
      <c r="G90" s="4">
        <f t="shared" si="15"/>
        <v>6.1499999999999773</v>
      </c>
      <c r="H90" s="4">
        <f t="shared" si="16"/>
        <v>0</v>
      </c>
      <c r="I90" s="6">
        <f t="shared" si="21"/>
        <v>4.1714285714285699</v>
      </c>
      <c r="J90" s="6">
        <f t="shared" si="22"/>
        <v>5.2142857142857144</v>
      </c>
      <c r="K90" s="4">
        <f t="shared" si="23"/>
        <v>0.79999999999999971</v>
      </c>
      <c r="L90">
        <f t="shared" si="24"/>
        <v>44.444444444444436</v>
      </c>
      <c r="M90" s="14" t="str">
        <f t="shared" si="17"/>
        <v/>
      </c>
      <c r="N90" s="7">
        <f t="shared" si="18"/>
        <v>0</v>
      </c>
      <c r="O90" s="7">
        <f t="shared" si="25"/>
        <v>0</v>
      </c>
      <c r="P90" s="7">
        <f t="shared" si="26"/>
        <v>1</v>
      </c>
      <c r="Q90" s="10" t="e">
        <f t="shared" si="19"/>
        <v>#N/A</v>
      </c>
      <c r="R90" s="10" t="e">
        <f t="shared" si="20"/>
        <v>#N/A</v>
      </c>
      <c r="S90" s="7">
        <f t="shared" si="27"/>
        <v>761</v>
      </c>
      <c r="T90" s="7">
        <f t="shared" ref="T90:T153" si="28">IF(O90="BUY",(S89-S90)/S89,IF(O90="SELL",(S90-S89)/S89,0))</f>
        <v>0</v>
      </c>
    </row>
    <row r="91" spans="1:20" x14ac:dyDescent="0.25">
      <c r="A91" s="1">
        <v>41403</v>
      </c>
      <c r="B91">
        <v>766</v>
      </c>
      <c r="C91">
        <v>777</v>
      </c>
      <c r="D91">
        <v>755</v>
      </c>
      <c r="E91">
        <v>763.85</v>
      </c>
      <c r="F91">
        <v>1013498</v>
      </c>
      <c r="G91" s="4">
        <f t="shared" si="15"/>
        <v>0</v>
      </c>
      <c r="H91" s="4">
        <f t="shared" si="16"/>
        <v>1.75</v>
      </c>
      <c r="I91" s="6">
        <f t="shared" si="21"/>
        <v>3.8214285714285716</v>
      </c>
      <c r="J91" s="6">
        <f t="shared" si="22"/>
        <v>5.3392857142857144</v>
      </c>
      <c r="K91" s="4">
        <f t="shared" si="23"/>
        <v>0.71571906354515047</v>
      </c>
      <c r="L91">
        <f t="shared" si="24"/>
        <v>41.715399610136451</v>
      </c>
      <c r="M91" s="14" t="str">
        <f t="shared" si="17"/>
        <v/>
      </c>
      <c r="N91" s="7">
        <f t="shared" si="18"/>
        <v>0</v>
      </c>
      <c r="O91" s="7">
        <f t="shared" si="25"/>
        <v>0</v>
      </c>
      <c r="P91" s="7">
        <f t="shared" si="26"/>
        <v>1</v>
      </c>
      <c r="Q91" s="10" t="e">
        <f t="shared" si="19"/>
        <v>#N/A</v>
      </c>
      <c r="R91" s="10" t="e">
        <f t="shared" si="20"/>
        <v>#N/A</v>
      </c>
      <c r="S91" s="7">
        <f t="shared" si="27"/>
        <v>761</v>
      </c>
      <c r="T91" s="7">
        <f t="shared" si="28"/>
        <v>0</v>
      </c>
    </row>
    <row r="92" spans="1:20" x14ac:dyDescent="0.25">
      <c r="A92" s="1">
        <v>41404</v>
      </c>
      <c r="B92">
        <v>774.95</v>
      </c>
      <c r="C92">
        <v>774.95</v>
      </c>
      <c r="D92">
        <v>734.1</v>
      </c>
      <c r="E92">
        <v>745.75</v>
      </c>
      <c r="F92">
        <v>1861025</v>
      </c>
      <c r="G92" s="4">
        <f t="shared" si="15"/>
        <v>0</v>
      </c>
      <c r="H92" s="4">
        <f t="shared" si="16"/>
        <v>18.100000000000023</v>
      </c>
      <c r="I92" s="6">
        <f t="shared" si="21"/>
        <v>3.664285714285719</v>
      </c>
      <c r="J92" s="6">
        <f t="shared" si="22"/>
        <v>6.6321428571428589</v>
      </c>
      <c r="K92" s="4">
        <f t="shared" si="23"/>
        <v>0.55250403877221377</v>
      </c>
      <c r="L92">
        <f t="shared" si="24"/>
        <v>35.587929240374635</v>
      </c>
      <c r="M92" s="14" t="str">
        <f t="shared" si="17"/>
        <v/>
      </c>
      <c r="N92" s="7">
        <f t="shared" si="18"/>
        <v>0</v>
      </c>
      <c r="O92" s="7">
        <f t="shared" si="25"/>
        <v>0</v>
      </c>
      <c r="P92" s="7">
        <f t="shared" si="26"/>
        <v>1</v>
      </c>
      <c r="Q92" s="10" t="e">
        <f t="shared" si="19"/>
        <v>#N/A</v>
      </c>
      <c r="R92" s="10" t="e">
        <f t="shared" si="20"/>
        <v>#N/A</v>
      </c>
      <c r="S92" s="7">
        <f t="shared" si="27"/>
        <v>761</v>
      </c>
      <c r="T92" s="7">
        <f t="shared" si="28"/>
        <v>0</v>
      </c>
    </row>
    <row r="93" spans="1:20" x14ac:dyDescent="0.25">
      <c r="A93" s="1">
        <v>41407</v>
      </c>
      <c r="B93">
        <v>746</v>
      </c>
      <c r="C93">
        <v>746</v>
      </c>
      <c r="D93">
        <v>726.3</v>
      </c>
      <c r="E93">
        <v>735.1</v>
      </c>
      <c r="F93">
        <v>1599590</v>
      </c>
      <c r="G93" s="4">
        <f t="shared" si="15"/>
        <v>0</v>
      </c>
      <c r="H93" s="4">
        <f t="shared" si="16"/>
        <v>10.649999999999977</v>
      </c>
      <c r="I93" s="6">
        <f t="shared" si="21"/>
        <v>3.664285714285719</v>
      </c>
      <c r="J93" s="6">
        <f t="shared" si="22"/>
        <v>6.1785714285714288</v>
      </c>
      <c r="K93" s="4">
        <f t="shared" si="23"/>
        <v>0.59306358381502966</v>
      </c>
      <c r="L93">
        <f t="shared" si="24"/>
        <v>37.227866473149518</v>
      </c>
      <c r="M93" s="14" t="str">
        <f t="shared" si="17"/>
        <v/>
      </c>
      <c r="N93" s="7">
        <f t="shared" si="18"/>
        <v>0</v>
      </c>
      <c r="O93" s="7">
        <f t="shared" si="25"/>
        <v>0</v>
      </c>
      <c r="P93" s="7">
        <f t="shared" si="26"/>
        <v>1</v>
      </c>
      <c r="Q93" s="10" t="e">
        <f t="shared" si="19"/>
        <v>#N/A</v>
      </c>
      <c r="R93" s="10" t="e">
        <f t="shared" si="20"/>
        <v>#N/A</v>
      </c>
      <c r="S93" s="7">
        <f t="shared" si="27"/>
        <v>761</v>
      </c>
      <c r="T93" s="7">
        <f t="shared" si="28"/>
        <v>0</v>
      </c>
    </row>
    <row r="94" spans="1:20" x14ac:dyDescent="0.25">
      <c r="A94" s="1">
        <v>41408</v>
      </c>
      <c r="B94">
        <v>730</v>
      </c>
      <c r="C94">
        <v>733</v>
      </c>
      <c r="D94">
        <v>716.3</v>
      </c>
      <c r="E94">
        <v>721.5</v>
      </c>
      <c r="F94">
        <v>1964633</v>
      </c>
      <c r="G94" s="4">
        <f t="shared" si="15"/>
        <v>0</v>
      </c>
      <c r="H94" s="4">
        <f t="shared" si="16"/>
        <v>13.600000000000023</v>
      </c>
      <c r="I94" s="6">
        <f t="shared" si="21"/>
        <v>3.664285714285719</v>
      </c>
      <c r="J94" s="6">
        <f t="shared" si="22"/>
        <v>6.3964285714285767</v>
      </c>
      <c r="K94" s="4">
        <f t="shared" si="23"/>
        <v>0.57286432160804046</v>
      </c>
      <c r="L94">
        <f t="shared" si="24"/>
        <v>36.421725239616627</v>
      </c>
      <c r="M94" s="14" t="str">
        <f t="shared" si="17"/>
        <v/>
      </c>
      <c r="N94" s="7">
        <f t="shared" si="18"/>
        <v>0</v>
      </c>
      <c r="O94" s="7">
        <f t="shared" si="25"/>
        <v>0</v>
      </c>
      <c r="P94" s="7">
        <f t="shared" si="26"/>
        <v>1</v>
      </c>
      <c r="Q94" s="10" t="e">
        <f t="shared" si="19"/>
        <v>#N/A</v>
      </c>
      <c r="R94" s="10" t="e">
        <f t="shared" si="20"/>
        <v>#N/A</v>
      </c>
      <c r="S94" s="7">
        <f t="shared" si="27"/>
        <v>761</v>
      </c>
      <c r="T94" s="7">
        <f t="shared" si="28"/>
        <v>0</v>
      </c>
    </row>
    <row r="95" spans="1:20" x14ac:dyDescent="0.25">
      <c r="A95" s="1">
        <v>41409</v>
      </c>
      <c r="B95">
        <v>729</v>
      </c>
      <c r="C95">
        <v>732.3</v>
      </c>
      <c r="D95">
        <v>716.15</v>
      </c>
      <c r="E95">
        <v>730</v>
      </c>
      <c r="F95">
        <v>1199046</v>
      </c>
      <c r="G95" s="4">
        <f t="shared" si="15"/>
        <v>8.5</v>
      </c>
      <c r="H95" s="4">
        <f t="shared" si="16"/>
        <v>0</v>
      </c>
      <c r="I95" s="6">
        <f t="shared" si="21"/>
        <v>3.8678571428571495</v>
      </c>
      <c r="J95" s="6">
        <f t="shared" si="22"/>
        <v>6.3964285714285767</v>
      </c>
      <c r="K95" s="4">
        <f t="shared" si="23"/>
        <v>0.60469011725293187</v>
      </c>
      <c r="L95">
        <f t="shared" si="24"/>
        <v>37.682672233820483</v>
      </c>
      <c r="M95" s="14" t="str">
        <f t="shared" si="17"/>
        <v/>
      </c>
      <c r="N95" s="7">
        <f t="shared" si="18"/>
        <v>0</v>
      </c>
      <c r="O95" s="7">
        <f t="shared" si="25"/>
        <v>0</v>
      </c>
      <c r="P95" s="7">
        <f t="shared" si="26"/>
        <v>1</v>
      </c>
      <c r="Q95" s="10" t="e">
        <f t="shared" si="19"/>
        <v>#N/A</v>
      </c>
      <c r="R95" s="10" t="e">
        <f t="shared" si="20"/>
        <v>#N/A</v>
      </c>
      <c r="S95" s="7">
        <f t="shared" si="27"/>
        <v>761</v>
      </c>
      <c r="T95" s="7">
        <f t="shared" si="28"/>
        <v>0</v>
      </c>
    </row>
    <row r="96" spans="1:20" x14ac:dyDescent="0.25">
      <c r="A96" s="1">
        <v>41410</v>
      </c>
      <c r="B96">
        <v>710</v>
      </c>
      <c r="C96">
        <v>725.9</v>
      </c>
      <c r="D96">
        <v>685.25</v>
      </c>
      <c r="E96">
        <v>718.7</v>
      </c>
      <c r="F96">
        <v>1337546</v>
      </c>
      <c r="G96" s="4">
        <f t="shared" si="15"/>
        <v>0</v>
      </c>
      <c r="H96" s="4">
        <f t="shared" si="16"/>
        <v>11.299999999999955</v>
      </c>
      <c r="I96" s="6">
        <f t="shared" si="21"/>
        <v>3.7678571428571508</v>
      </c>
      <c r="J96" s="6">
        <f t="shared" si="22"/>
        <v>7.2035714285714301</v>
      </c>
      <c r="K96" s="4">
        <f t="shared" si="23"/>
        <v>0.52305404065443828</v>
      </c>
      <c r="L96">
        <f t="shared" si="24"/>
        <v>34.3424479166667</v>
      </c>
      <c r="M96" s="14" t="str">
        <f t="shared" si="17"/>
        <v/>
      </c>
      <c r="N96" s="7">
        <f t="shared" si="18"/>
        <v>0</v>
      </c>
      <c r="O96" s="7">
        <f t="shared" si="25"/>
        <v>0</v>
      </c>
      <c r="P96" s="7">
        <f t="shared" si="26"/>
        <v>1</v>
      </c>
      <c r="Q96" s="10" t="e">
        <f t="shared" si="19"/>
        <v>#N/A</v>
      </c>
      <c r="R96" s="10" t="e">
        <f t="shared" si="20"/>
        <v>#N/A</v>
      </c>
      <c r="S96" s="7">
        <f t="shared" si="27"/>
        <v>761</v>
      </c>
      <c r="T96" s="7">
        <f t="shared" si="28"/>
        <v>0</v>
      </c>
    </row>
    <row r="97" spans="1:20" x14ac:dyDescent="0.25">
      <c r="A97" s="1">
        <v>41411</v>
      </c>
      <c r="B97">
        <v>725</v>
      </c>
      <c r="C97">
        <v>730</v>
      </c>
      <c r="D97">
        <v>712.7</v>
      </c>
      <c r="E97">
        <v>717.6</v>
      </c>
      <c r="F97">
        <v>1442714</v>
      </c>
      <c r="G97" s="4">
        <f t="shared" si="15"/>
        <v>0</v>
      </c>
      <c r="H97" s="4">
        <f t="shared" si="16"/>
        <v>1.1000000000000227</v>
      </c>
      <c r="I97" s="6">
        <f t="shared" si="21"/>
        <v>3.7678571428571508</v>
      </c>
      <c r="J97" s="6">
        <f t="shared" si="22"/>
        <v>6.8678571428571491</v>
      </c>
      <c r="K97" s="4">
        <f t="shared" si="23"/>
        <v>0.54862194487779581</v>
      </c>
      <c r="L97">
        <f t="shared" si="24"/>
        <v>35.426460711887202</v>
      </c>
      <c r="M97" s="14" t="str">
        <f t="shared" si="17"/>
        <v/>
      </c>
      <c r="N97" s="7">
        <f t="shared" si="18"/>
        <v>0</v>
      </c>
      <c r="O97" s="7">
        <f t="shared" si="25"/>
        <v>0</v>
      </c>
      <c r="P97" s="7">
        <f t="shared" si="26"/>
        <v>1</v>
      </c>
      <c r="Q97" s="10" t="e">
        <f t="shared" si="19"/>
        <v>#N/A</v>
      </c>
      <c r="R97" s="10" t="e">
        <f t="shared" si="20"/>
        <v>#N/A</v>
      </c>
      <c r="S97" s="7">
        <f t="shared" si="27"/>
        <v>761</v>
      </c>
      <c r="T97" s="7">
        <f t="shared" si="28"/>
        <v>0</v>
      </c>
    </row>
    <row r="98" spans="1:20" x14ac:dyDescent="0.25">
      <c r="A98" s="1">
        <v>41414</v>
      </c>
      <c r="B98">
        <v>708</v>
      </c>
      <c r="C98">
        <v>714</v>
      </c>
      <c r="D98">
        <v>691.55</v>
      </c>
      <c r="E98">
        <v>699.55</v>
      </c>
      <c r="F98">
        <v>1148683</v>
      </c>
      <c r="G98" s="4">
        <f t="shared" si="15"/>
        <v>0</v>
      </c>
      <c r="H98" s="4">
        <f t="shared" si="16"/>
        <v>18.050000000000068</v>
      </c>
      <c r="I98" s="6">
        <f t="shared" si="21"/>
        <v>3.4285714285714368</v>
      </c>
      <c r="J98" s="6">
        <f t="shared" si="22"/>
        <v>8.157142857142869</v>
      </c>
      <c r="K98" s="4">
        <f t="shared" si="23"/>
        <v>0.42031523642732088</v>
      </c>
      <c r="L98">
        <f t="shared" si="24"/>
        <v>29.59309494451297</v>
      </c>
      <c r="M98" s="14" t="str">
        <f t="shared" si="17"/>
        <v>OVERSOLD</v>
      </c>
      <c r="N98" s="7" t="str">
        <f t="shared" si="18"/>
        <v>BUY</v>
      </c>
      <c r="O98" s="7">
        <f t="shared" si="25"/>
        <v>0</v>
      </c>
      <c r="P98" s="7">
        <f t="shared" si="26"/>
        <v>1</v>
      </c>
      <c r="Q98" s="10" t="e">
        <f t="shared" si="19"/>
        <v>#N/A</v>
      </c>
      <c r="R98" s="10" t="e">
        <f t="shared" si="20"/>
        <v>#N/A</v>
      </c>
      <c r="S98" s="7">
        <f t="shared" si="27"/>
        <v>761</v>
      </c>
      <c r="T98" s="7">
        <f t="shared" si="28"/>
        <v>0</v>
      </c>
    </row>
    <row r="99" spans="1:20" x14ac:dyDescent="0.25">
      <c r="A99" s="1">
        <v>41415</v>
      </c>
      <c r="B99">
        <v>708</v>
      </c>
      <c r="C99">
        <v>744.8</v>
      </c>
      <c r="D99">
        <v>704.1</v>
      </c>
      <c r="E99">
        <v>738</v>
      </c>
      <c r="F99">
        <v>1844732</v>
      </c>
      <c r="G99" s="4">
        <f t="shared" si="15"/>
        <v>38.450000000000045</v>
      </c>
      <c r="H99" s="4">
        <f t="shared" si="16"/>
        <v>0</v>
      </c>
      <c r="I99" s="6">
        <f t="shared" si="21"/>
        <v>6.0785714285714381</v>
      </c>
      <c r="J99" s="6">
        <f t="shared" si="22"/>
        <v>8.157142857142869</v>
      </c>
      <c r="K99" s="4">
        <f t="shared" si="23"/>
        <v>0.74518388791593704</v>
      </c>
      <c r="L99">
        <f t="shared" si="24"/>
        <v>42.699448068238844</v>
      </c>
      <c r="M99" s="14" t="str">
        <f t="shared" si="17"/>
        <v/>
      </c>
      <c r="N99" s="7">
        <f t="shared" si="18"/>
        <v>0</v>
      </c>
      <c r="O99" s="7">
        <f t="shared" si="25"/>
        <v>0</v>
      </c>
      <c r="P99" s="7">
        <f t="shared" si="26"/>
        <v>1</v>
      </c>
      <c r="Q99" s="10" t="e">
        <f t="shared" si="19"/>
        <v>#N/A</v>
      </c>
      <c r="R99" s="10" t="e">
        <f t="shared" si="20"/>
        <v>#N/A</v>
      </c>
      <c r="S99" s="7">
        <f t="shared" si="27"/>
        <v>761</v>
      </c>
      <c r="T99" s="7">
        <f t="shared" si="28"/>
        <v>0</v>
      </c>
    </row>
    <row r="100" spans="1:20" x14ac:dyDescent="0.25">
      <c r="A100" s="1">
        <v>41416</v>
      </c>
      <c r="B100">
        <v>735</v>
      </c>
      <c r="C100">
        <v>749.95</v>
      </c>
      <c r="D100">
        <v>727.2</v>
      </c>
      <c r="E100">
        <v>741.85</v>
      </c>
      <c r="F100">
        <v>3441936</v>
      </c>
      <c r="G100" s="4">
        <f t="shared" si="15"/>
        <v>3.8500000000000227</v>
      </c>
      <c r="H100" s="4">
        <f t="shared" si="16"/>
        <v>0</v>
      </c>
      <c r="I100" s="6">
        <f t="shared" si="21"/>
        <v>6.3535714285714402</v>
      </c>
      <c r="J100" s="6">
        <f t="shared" si="22"/>
        <v>6.3214285714285792</v>
      </c>
      <c r="K100" s="4">
        <f t="shared" si="23"/>
        <v>1.0050847457627126</v>
      </c>
      <c r="L100">
        <f t="shared" si="24"/>
        <v>50.126796280642452</v>
      </c>
      <c r="M100" s="14" t="str">
        <f t="shared" si="17"/>
        <v/>
      </c>
      <c r="N100" s="7">
        <f t="shared" si="18"/>
        <v>0</v>
      </c>
      <c r="O100" s="7">
        <f t="shared" si="25"/>
        <v>0</v>
      </c>
      <c r="P100" s="7">
        <f t="shared" si="26"/>
        <v>1</v>
      </c>
      <c r="Q100" s="10" t="e">
        <f t="shared" si="19"/>
        <v>#N/A</v>
      </c>
      <c r="R100" s="10" t="e">
        <f t="shared" si="20"/>
        <v>#N/A</v>
      </c>
      <c r="S100" s="7">
        <f t="shared" si="27"/>
        <v>761</v>
      </c>
      <c r="T100" s="7">
        <f t="shared" si="28"/>
        <v>0</v>
      </c>
    </row>
    <row r="101" spans="1:20" x14ac:dyDescent="0.25">
      <c r="A101" s="1">
        <v>41417</v>
      </c>
      <c r="B101">
        <v>749.8</v>
      </c>
      <c r="C101">
        <v>753.5</v>
      </c>
      <c r="D101">
        <v>735.5</v>
      </c>
      <c r="E101">
        <v>750.8</v>
      </c>
      <c r="F101">
        <v>1239687</v>
      </c>
      <c r="G101" s="4">
        <f t="shared" si="15"/>
        <v>8.9499999999999318</v>
      </c>
      <c r="H101" s="4">
        <f t="shared" si="16"/>
        <v>0</v>
      </c>
      <c r="I101" s="6">
        <f t="shared" si="21"/>
        <v>4.9321428571428623</v>
      </c>
      <c r="J101" s="6">
        <f t="shared" si="22"/>
        <v>6.3214285714285792</v>
      </c>
      <c r="K101" s="4">
        <f t="shared" si="23"/>
        <v>0.78022598870056481</v>
      </c>
      <c r="L101">
        <f t="shared" si="24"/>
        <v>43.827356394795295</v>
      </c>
      <c r="M101" s="14" t="str">
        <f t="shared" si="17"/>
        <v/>
      </c>
      <c r="N101" s="7">
        <f t="shared" si="18"/>
        <v>0</v>
      </c>
      <c r="O101" s="7">
        <f t="shared" si="25"/>
        <v>0</v>
      </c>
      <c r="P101" s="7">
        <f t="shared" si="26"/>
        <v>1</v>
      </c>
      <c r="Q101" s="10" t="e">
        <f t="shared" si="19"/>
        <v>#N/A</v>
      </c>
      <c r="R101" s="10" t="e">
        <f t="shared" si="20"/>
        <v>#N/A</v>
      </c>
      <c r="S101" s="7">
        <f t="shared" si="27"/>
        <v>761</v>
      </c>
      <c r="T101" s="7">
        <f t="shared" si="28"/>
        <v>0</v>
      </c>
    </row>
    <row r="102" spans="1:20" x14ac:dyDescent="0.25">
      <c r="A102" s="1">
        <v>41418</v>
      </c>
      <c r="B102">
        <v>748.5</v>
      </c>
      <c r="C102">
        <v>752.9</v>
      </c>
      <c r="D102">
        <v>738</v>
      </c>
      <c r="E102">
        <v>743.05</v>
      </c>
      <c r="F102">
        <v>1663830</v>
      </c>
      <c r="G102" s="4">
        <f t="shared" si="15"/>
        <v>0</v>
      </c>
      <c r="H102" s="4">
        <f t="shared" si="16"/>
        <v>7.75</v>
      </c>
      <c r="I102" s="6">
        <f t="shared" si="21"/>
        <v>4.9321428571428623</v>
      </c>
      <c r="J102" s="6">
        <f t="shared" si="22"/>
        <v>5.8785714285714334</v>
      </c>
      <c r="K102" s="4">
        <f t="shared" si="23"/>
        <v>0.8390036452004862</v>
      </c>
      <c r="L102">
        <f t="shared" si="24"/>
        <v>45.622728774364063</v>
      </c>
      <c r="M102" s="14" t="str">
        <f t="shared" si="17"/>
        <v/>
      </c>
      <c r="N102" s="7">
        <f t="shared" si="18"/>
        <v>0</v>
      </c>
      <c r="O102" s="7">
        <f t="shared" si="25"/>
        <v>0</v>
      </c>
      <c r="P102" s="7">
        <f t="shared" si="26"/>
        <v>1</v>
      </c>
      <c r="Q102" s="10" t="e">
        <f t="shared" si="19"/>
        <v>#N/A</v>
      </c>
      <c r="R102" s="10" t="e">
        <f t="shared" si="20"/>
        <v>#N/A</v>
      </c>
      <c r="S102" s="7">
        <f t="shared" si="27"/>
        <v>761</v>
      </c>
      <c r="T102" s="7">
        <f t="shared" si="28"/>
        <v>0</v>
      </c>
    </row>
    <row r="103" spans="1:20" x14ac:dyDescent="0.25">
      <c r="A103" s="1">
        <v>41421</v>
      </c>
      <c r="B103">
        <v>743.05</v>
      </c>
      <c r="C103">
        <v>751.95</v>
      </c>
      <c r="D103">
        <v>734.7</v>
      </c>
      <c r="E103">
        <v>739.2</v>
      </c>
      <c r="F103">
        <v>1568456</v>
      </c>
      <c r="G103" s="4">
        <f t="shared" si="15"/>
        <v>0</v>
      </c>
      <c r="H103" s="4">
        <f t="shared" si="16"/>
        <v>3.8499999999999091</v>
      </c>
      <c r="I103" s="6">
        <f t="shared" si="21"/>
        <v>4.7071428571428555</v>
      </c>
      <c r="J103" s="6">
        <f t="shared" si="22"/>
        <v>6.1535714285714267</v>
      </c>
      <c r="K103" s="4">
        <f t="shared" si="23"/>
        <v>0.76494486360998259</v>
      </c>
      <c r="L103">
        <f t="shared" si="24"/>
        <v>43.341006247944755</v>
      </c>
      <c r="M103" s="14" t="str">
        <f t="shared" si="17"/>
        <v/>
      </c>
      <c r="N103" s="7">
        <f t="shared" si="18"/>
        <v>0</v>
      </c>
      <c r="O103" s="7">
        <f t="shared" si="25"/>
        <v>0</v>
      </c>
      <c r="P103" s="7">
        <f t="shared" si="26"/>
        <v>1</v>
      </c>
      <c r="Q103" s="10" t="e">
        <f t="shared" si="19"/>
        <v>#N/A</v>
      </c>
      <c r="R103" s="10" t="e">
        <f t="shared" si="20"/>
        <v>#N/A</v>
      </c>
      <c r="S103" s="7">
        <f t="shared" si="27"/>
        <v>761</v>
      </c>
      <c r="T103" s="7">
        <f t="shared" si="28"/>
        <v>0</v>
      </c>
    </row>
    <row r="104" spans="1:20" x14ac:dyDescent="0.25">
      <c r="A104" s="1">
        <v>41422</v>
      </c>
      <c r="B104">
        <v>737.8</v>
      </c>
      <c r="C104">
        <v>759.5</v>
      </c>
      <c r="D104">
        <v>736.3</v>
      </c>
      <c r="E104">
        <v>754.25</v>
      </c>
      <c r="F104">
        <v>1384665</v>
      </c>
      <c r="G104" s="4">
        <f t="shared" si="15"/>
        <v>15.049999999999955</v>
      </c>
      <c r="H104" s="4">
        <f t="shared" si="16"/>
        <v>0</v>
      </c>
      <c r="I104" s="6">
        <f t="shared" si="21"/>
        <v>5.3428571428571399</v>
      </c>
      <c r="J104" s="6">
        <f t="shared" si="22"/>
        <v>6.1535714285714267</v>
      </c>
      <c r="K104" s="4">
        <f t="shared" si="23"/>
        <v>0.86825304701102701</v>
      </c>
      <c r="L104">
        <f t="shared" si="24"/>
        <v>46.474060267163708</v>
      </c>
      <c r="M104" s="14" t="str">
        <f t="shared" si="17"/>
        <v/>
      </c>
      <c r="N104" s="7">
        <f t="shared" si="18"/>
        <v>0</v>
      </c>
      <c r="O104" s="7">
        <f t="shared" si="25"/>
        <v>0</v>
      </c>
      <c r="P104" s="7">
        <f t="shared" si="26"/>
        <v>1</v>
      </c>
      <c r="Q104" s="10" t="e">
        <f t="shared" si="19"/>
        <v>#N/A</v>
      </c>
      <c r="R104" s="10" t="e">
        <f t="shared" si="20"/>
        <v>#N/A</v>
      </c>
      <c r="S104" s="7">
        <f t="shared" si="27"/>
        <v>761</v>
      </c>
      <c r="T104" s="7">
        <f t="shared" si="28"/>
        <v>0</v>
      </c>
    </row>
    <row r="105" spans="1:20" x14ac:dyDescent="0.25">
      <c r="A105" s="1">
        <v>41423</v>
      </c>
      <c r="B105">
        <v>760</v>
      </c>
      <c r="C105">
        <v>769</v>
      </c>
      <c r="D105">
        <v>745.1</v>
      </c>
      <c r="E105">
        <v>765.45</v>
      </c>
      <c r="F105">
        <v>842217</v>
      </c>
      <c r="G105" s="4">
        <f t="shared" si="15"/>
        <v>11.200000000000045</v>
      </c>
      <c r="H105" s="4">
        <f t="shared" si="16"/>
        <v>0</v>
      </c>
      <c r="I105" s="6">
        <f t="shared" si="21"/>
        <v>6.1428571428571432</v>
      </c>
      <c r="J105" s="6">
        <f t="shared" si="22"/>
        <v>6.0285714285714267</v>
      </c>
      <c r="K105" s="4">
        <f t="shared" si="23"/>
        <v>1.0189573459715644</v>
      </c>
      <c r="L105">
        <f t="shared" si="24"/>
        <v>50.469483568075134</v>
      </c>
      <c r="M105" s="14" t="str">
        <f t="shared" si="17"/>
        <v/>
      </c>
      <c r="N105" s="7">
        <f t="shared" si="18"/>
        <v>0</v>
      </c>
      <c r="O105" s="7">
        <f t="shared" si="25"/>
        <v>0</v>
      </c>
      <c r="P105" s="7">
        <f t="shared" si="26"/>
        <v>1</v>
      </c>
      <c r="Q105" s="10" t="e">
        <f t="shared" si="19"/>
        <v>#N/A</v>
      </c>
      <c r="R105" s="10" t="e">
        <f t="shared" si="20"/>
        <v>#N/A</v>
      </c>
      <c r="S105" s="7">
        <f t="shared" si="27"/>
        <v>761</v>
      </c>
      <c r="T105" s="7">
        <f t="shared" si="28"/>
        <v>0</v>
      </c>
    </row>
    <row r="106" spans="1:20" x14ac:dyDescent="0.25">
      <c r="A106" s="1">
        <v>41424</v>
      </c>
      <c r="B106">
        <v>765.45</v>
      </c>
      <c r="C106">
        <v>769.7</v>
      </c>
      <c r="D106">
        <v>755.2</v>
      </c>
      <c r="E106">
        <v>765.35</v>
      </c>
      <c r="F106">
        <v>684105</v>
      </c>
      <c r="G106" s="4">
        <f t="shared" si="15"/>
        <v>0</v>
      </c>
      <c r="H106" s="4">
        <f t="shared" si="16"/>
        <v>0.10000000000002274</v>
      </c>
      <c r="I106" s="6">
        <f t="shared" si="21"/>
        <v>6.1428571428571432</v>
      </c>
      <c r="J106" s="6">
        <f t="shared" si="22"/>
        <v>4.7428571428571411</v>
      </c>
      <c r="K106" s="4">
        <f t="shared" si="23"/>
        <v>1.2951807228915668</v>
      </c>
      <c r="L106">
        <f t="shared" si="24"/>
        <v>56.43044619422573</v>
      </c>
      <c r="M106" s="14" t="str">
        <f t="shared" si="17"/>
        <v/>
      </c>
      <c r="N106" s="7">
        <f t="shared" si="18"/>
        <v>0</v>
      </c>
      <c r="O106" s="7">
        <f t="shared" si="25"/>
        <v>0</v>
      </c>
      <c r="P106" s="7">
        <f t="shared" si="26"/>
        <v>1</v>
      </c>
      <c r="Q106" s="10" t="e">
        <f t="shared" si="19"/>
        <v>#N/A</v>
      </c>
      <c r="R106" s="10" t="e">
        <f t="shared" si="20"/>
        <v>#N/A</v>
      </c>
      <c r="S106" s="7">
        <f t="shared" si="27"/>
        <v>761</v>
      </c>
      <c r="T106" s="7">
        <f t="shared" si="28"/>
        <v>0</v>
      </c>
    </row>
    <row r="107" spans="1:20" x14ac:dyDescent="0.25">
      <c r="A107" s="1">
        <v>41425</v>
      </c>
      <c r="B107">
        <v>749.9</v>
      </c>
      <c r="C107">
        <v>757.8</v>
      </c>
      <c r="D107">
        <v>736</v>
      </c>
      <c r="E107">
        <v>753.25</v>
      </c>
      <c r="F107">
        <v>867461</v>
      </c>
      <c r="G107" s="4">
        <f t="shared" si="15"/>
        <v>0</v>
      </c>
      <c r="H107" s="4">
        <f t="shared" si="16"/>
        <v>12.100000000000023</v>
      </c>
      <c r="I107" s="6">
        <f t="shared" si="21"/>
        <v>6.1428571428571432</v>
      </c>
      <c r="J107" s="6">
        <f t="shared" si="22"/>
        <v>4.8464285714285733</v>
      </c>
      <c r="K107" s="4">
        <f t="shared" si="23"/>
        <v>1.2675018422991891</v>
      </c>
      <c r="L107">
        <f t="shared" si="24"/>
        <v>55.898602534936614</v>
      </c>
      <c r="M107" s="14" t="str">
        <f t="shared" si="17"/>
        <v/>
      </c>
      <c r="N107" s="7">
        <f t="shared" si="18"/>
        <v>0</v>
      </c>
      <c r="O107" s="7">
        <f t="shared" si="25"/>
        <v>0</v>
      </c>
      <c r="P107" s="7">
        <f t="shared" si="26"/>
        <v>1</v>
      </c>
      <c r="Q107" s="10" t="e">
        <f t="shared" si="19"/>
        <v>#N/A</v>
      </c>
      <c r="R107" s="10" t="e">
        <f t="shared" si="20"/>
        <v>#N/A</v>
      </c>
      <c r="S107" s="7">
        <f t="shared" si="27"/>
        <v>761</v>
      </c>
      <c r="T107" s="7">
        <f t="shared" si="28"/>
        <v>0</v>
      </c>
    </row>
    <row r="108" spans="1:20" x14ac:dyDescent="0.25">
      <c r="A108" s="1">
        <v>41428</v>
      </c>
      <c r="B108">
        <v>754</v>
      </c>
      <c r="C108">
        <v>762</v>
      </c>
      <c r="D108">
        <v>747</v>
      </c>
      <c r="E108">
        <v>750.2</v>
      </c>
      <c r="F108">
        <v>1121111</v>
      </c>
      <c r="G108" s="4">
        <f t="shared" si="15"/>
        <v>0</v>
      </c>
      <c r="H108" s="4">
        <f t="shared" si="16"/>
        <v>3.0499999999999545</v>
      </c>
      <c r="I108" s="6">
        <f t="shared" si="21"/>
        <v>6.1428571428571432</v>
      </c>
      <c r="J108" s="6">
        <f t="shared" si="22"/>
        <v>4.0928571428571399</v>
      </c>
      <c r="K108" s="4">
        <f t="shared" si="23"/>
        <v>1.5008726003490414</v>
      </c>
      <c r="L108">
        <f t="shared" si="24"/>
        <v>60.013956734124235</v>
      </c>
      <c r="M108" s="14" t="str">
        <f t="shared" si="17"/>
        <v/>
      </c>
      <c r="N108" s="7">
        <f t="shared" si="18"/>
        <v>0</v>
      </c>
      <c r="O108" s="7">
        <f t="shared" si="25"/>
        <v>0</v>
      </c>
      <c r="P108" s="7">
        <f t="shared" si="26"/>
        <v>1</v>
      </c>
      <c r="Q108" s="10" t="e">
        <f t="shared" si="19"/>
        <v>#N/A</v>
      </c>
      <c r="R108" s="10" t="e">
        <f t="shared" si="20"/>
        <v>#N/A</v>
      </c>
      <c r="S108" s="7">
        <f t="shared" si="27"/>
        <v>761</v>
      </c>
      <c r="T108" s="7">
        <f t="shared" si="28"/>
        <v>0</v>
      </c>
    </row>
    <row r="109" spans="1:20" x14ac:dyDescent="0.25">
      <c r="A109" s="1">
        <v>41429</v>
      </c>
      <c r="B109">
        <v>752</v>
      </c>
      <c r="C109">
        <v>758.55</v>
      </c>
      <c r="D109">
        <v>731</v>
      </c>
      <c r="E109">
        <v>733.05</v>
      </c>
      <c r="F109">
        <v>2433700</v>
      </c>
      <c r="G109" s="4">
        <f t="shared" si="15"/>
        <v>0</v>
      </c>
      <c r="H109" s="4">
        <f t="shared" si="16"/>
        <v>17.150000000000091</v>
      </c>
      <c r="I109" s="6">
        <f t="shared" si="21"/>
        <v>5.5357142857142856</v>
      </c>
      <c r="J109" s="6">
        <f t="shared" si="22"/>
        <v>5.3178571428571457</v>
      </c>
      <c r="K109" s="4">
        <f t="shared" si="23"/>
        <v>1.0409670920080585</v>
      </c>
      <c r="L109">
        <f t="shared" si="24"/>
        <v>51.003619611714356</v>
      </c>
      <c r="M109" s="14" t="str">
        <f t="shared" si="17"/>
        <v/>
      </c>
      <c r="N109" s="7">
        <f t="shared" si="18"/>
        <v>0</v>
      </c>
      <c r="O109" s="7">
        <f t="shared" si="25"/>
        <v>0</v>
      </c>
      <c r="P109" s="7">
        <f t="shared" si="26"/>
        <v>1</v>
      </c>
      <c r="Q109" s="10" t="e">
        <f t="shared" si="19"/>
        <v>#N/A</v>
      </c>
      <c r="R109" s="10" t="e">
        <f t="shared" si="20"/>
        <v>#N/A</v>
      </c>
      <c r="S109" s="7">
        <f t="shared" si="27"/>
        <v>761</v>
      </c>
      <c r="T109" s="7">
        <f t="shared" si="28"/>
        <v>0</v>
      </c>
    </row>
    <row r="110" spans="1:20" x14ac:dyDescent="0.25">
      <c r="A110" s="1">
        <v>41430</v>
      </c>
      <c r="B110">
        <v>730</v>
      </c>
      <c r="C110">
        <v>753</v>
      </c>
      <c r="D110">
        <v>730</v>
      </c>
      <c r="E110">
        <v>750.5</v>
      </c>
      <c r="F110">
        <v>898018</v>
      </c>
      <c r="G110" s="4">
        <f t="shared" si="15"/>
        <v>17.450000000000045</v>
      </c>
      <c r="H110" s="4">
        <f t="shared" si="16"/>
        <v>0</v>
      </c>
      <c r="I110" s="6">
        <f t="shared" si="21"/>
        <v>6.7821428571428601</v>
      </c>
      <c r="J110" s="6">
        <f t="shared" si="22"/>
        <v>4.5107142857142923</v>
      </c>
      <c r="K110" s="4">
        <f t="shared" si="23"/>
        <v>1.5035629453681694</v>
      </c>
      <c r="L110">
        <f t="shared" si="24"/>
        <v>60.056925996204903</v>
      </c>
      <c r="M110" s="14" t="str">
        <f t="shared" si="17"/>
        <v/>
      </c>
      <c r="N110" s="7">
        <f t="shared" si="18"/>
        <v>0</v>
      </c>
      <c r="O110" s="7">
        <f t="shared" si="25"/>
        <v>0</v>
      </c>
      <c r="P110" s="7">
        <f t="shared" si="26"/>
        <v>1</v>
      </c>
      <c r="Q110" s="10" t="e">
        <f t="shared" si="19"/>
        <v>#N/A</v>
      </c>
      <c r="R110" s="10" t="e">
        <f t="shared" si="20"/>
        <v>#N/A</v>
      </c>
      <c r="S110" s="7">
        <f t="shared" si="27"/>
        <v>761</v>
      </c>
      <c r="T110" s="7">
        <f t="shared" si="28"/>
        <v>0</v>
      </c>
    </row>
    <row r="111" spans="1:20" x14ac:dyDescent="0.25">
      <c r="A111" s="1">
        <v>41431</v>
      </c>
      <c r="B111">
        <v>761.8</v>
      </c>
      <c r="C111">
        <v>763.3</v>
      </c>
      <c r="D111">
        <v>751</v>
      </c>
      <c r="E111">
        <v>759.1</v>
      </c>
      <c r="F111">
        <v>1618512</v>
      </c>
      <c r="G111" s="4">
        <f t="shared" si="15"/>
        <v>8.6000000000000227</v>
      </c>
      <c r="H111" s="4">
        <f t="shared" si="16"/>
        <v>0</v>
      </c>
      <c r="I111" s="6">
        <f t="shared" si="21"/>
        <v>7.3964285714285767</v>
      </c>
      <c r="J111" s="6">
        <f t="shared" si="22"/>
        <v>4.4321428571428623</v>
      </c>
      <c r="K111" s="4">
        <f t="shared" si="23"/>
        <v>1.6688154713940364</v>
      </c>
      <c r="L111">
        <f t="shared" si="24"/>
        <v>62.530193236714965</v>
      </c>
      <c r="M111" s="14" t="str">
        <f t="shared" si="17"/>
        <v/>
      </c>
      <c r="N111" s="7">
        <f t="shared" si="18"/>
        <v>0</v>
      </c>
      <c r="O111" s="7">
        <f t="shared" si="25"/>
        <v>0</v>
      </c>
      <c r="P111" s="7">
        <f t="shared" si="26"/>
        <v>1</v>
      </c>
      <c r="Q111" s="10" t="e">
        <f t="shared" si="19"/>
        <v>#N/A</v>
      </c>
      <c r="R111" s="10" t="e">
        <f t="shared" si="20"/>
        <v>#N/A</v>
      </c>
      <c r="S111" s="7">
        <f t="shared" si="27"/>
        <v>761</v>
      </c>
      <c r="T111" s="7">
        <f t="shared" si="28"/>
        <v>0</v>
      </c>
    </row>
    <row r="112" spans="1:20" x14ac:dyDescent="0.25">
      <c r="A112" s="1">
        <v>41432</v>
      </c>
      <c r="B112">
        <v>763.35</v>
      </c>
      <c r="C112">
        <v>787.1</v>
      </c>
      <c r="D112">
        <v>758</v>
      </c>
      <c r="E112">
        <v>781</v>
      </c>
      <c r="F112">
        <v>1775246</v>
      </c>
      <c r="G112" s="4">
        <f t="shared" si="15"/>
        <v>21.899999999999977</v>
      </c>
      <c r="H112" s="4">
        <f t="shared" si="16"/>
        <v>0</v>
      </c>
      <c r="I112" s="6">
        <f t="shared" si="21"/>
        <v>8.960714285714289</v>
      </c>
      <c r="J112" s="6">
        <f t="shared" si="22"/>
        <v>3.1428571428571428</v>
      </c>
      <c r="K112" s="4">
        <f t="shared" si="23"/>
        <v>2.8511363636363649</v>
      </c>
      <c r="L112">
        <f t="shared" si="24"/>
        <v>74.033638241369147</v>
      </c>
      <c r="M112" s="14" t="str">
        <f t="shared" si="17"/>
        <v>OVERBOUGHT</v>
      </c>
      <c r="N112" s="7" t="str">
        <f t="shared" si="18"/>
        <v>SELL</v>
      </c>
      <c r="O112" s="7" t="str">
        <f t="shared" si="25"/>
        <v>SELL</v>
      </c>
      <c r="P112" s="7">
        <f t="shared" si="26"/>
        <v>-1</v>
      </c>
      <c r="Q112" s="10" t="e">
        <f t="shared" si="19"/>
        <v>#N/A</v>
      </c>
      <c r="R112" s="10">
        <f t="shared" si="20"/>
        <v>781</v>
      </c>
      <c r="S112" s="7">
        <f t="shared" si="27"/>
        <v>781</v>
      </c>
      <c r="T112" s="7">
        <f t="shared" si="28"/>
        <v>2.6281208935611037E-2</v>
      </c>
    </row>
    <row r="113" spans="1:20" x14ac:dyDescent="0.25">
      <c r="A113" s="1">
        <v>41435</v>
      </c>
      <c r="B113">
        <v>756.65</v>
      </c>
      <c r="C113">
        <v>777.7</v>
      </c>
      <c r="D113">
        <v>756.65</v>
      </c>
      <c r="E113">
        <v>766.1</v>
      </c>
      <c r="F113">
        <v>1321488</v>
      </c>
      <c r="G113" s="4">
        <f t="shared" si="15"/>
        <v>0</v>
      </c>
      <c r="H113" s="4">
        <f t="shared" si="16"/>
        <v>14.899999999999977</v>
      </c>
      <c r="I113" s="6">
        <f t="shared" si="21"/>
        <v>6.2142857142857144</v>
      </c>
      <c r="J113" s="6">
        <f t="shared" si="22"/>
        <v>4.2071428571428555</v>
      </c>
      <c r="K113" s="4">
        <f t="shared" si="23"/>
        <v>1.4770797962648563</v>
      </c>
      <c r="L113">
        <f t="shared" si="24"/>
        <v>59.629883481836892</v>
      </c>
      <c r="M113" s="14" t="str">
        <f t="shared" si="17"/>
        <v/>
      </c>
      <c r="N113" s="7">
        <f t="shared" si="18"/>
        <v>0</v>
      </c>
      <c r="O113" s="7">
        <f t="shared" si="25"/>
        <v>0</v>
      </c>
      <c r="P113" s="7">
        <f t="shared" si="26"/>
        <v>-1</v>
      </c>
      <c r="Q113" s="10" t="e">
        <f t="shared" si="19"/>
        <v>#N/A</v>
      </c>
      <c r="R113" s="10" t="e">
        <f t="shared" si="20"/>
        <v>#N/A</v>
      </c>
      <c r="S113" s="7">
        <f t="shared" si="27"/>
        <v>781</v>
      </c>
      <c r="T113" s="7">
        <f t="shared" si="28"/>
        <v>0</v>
      </c>
    </row>
    <row r="114" spans="1:20" x14ac:dyDescent="0.25">
      <c r="A114" s="1">
        <v>41436</v>
      </c>
      <c r="B114">
        <v>777.1</v>
      </c>
      <c r="C114">
        <v>779.95</v>
      </c>
      <c r="D114">
        <v>767.3</v>
      </c>
      <c r="E114">
        <v>774.8</v>
      </c>
      <c r="F114">
        <v>1164408</v>
      </c>
      <c r="G114" s="4">
        <f t="shared" si="15"/>
        <v>8.6999999999999318</v>
      </c>
      <c r="H114" s="4">
        <f t="shared" si="16"/>
        <v>0</v>
      </c>
      <c r="I114" s="6">
        <f t="shared" si="21"/>
        <v>6.5607142857142788</v>
      </c>
      <c r="J114" s="6">
        <f t="shared" si="22"/>
        <v>4.2071428571428555</v>
      </c>
      <c r="K114" s="4">
        <f t="shared" si="23"/>
        <v>1.5594227504244471</v>
      </c>
      <c r="L114">
        <f t="shared" si="24"/>
        <v>60.928689883913748</v>
      </c>
      <c r="M114" s="14" t="str">
        <f t="shared" si="17"/>
        <v/>
      </c>
      <c r="N114" s="7">
        <f t="shared" si="18"/>
        <v>0</v>
      </c>
      <c r="O114" s="7">
        <f t="shared" si="25"/>
        <v>0</v>
      </c>
      <c r="P114" s="7">
        <f t="shared" si="26"/>
        <v>-1</v>
      </c>
      <c r="Q114" s="10" t="e">
        <f t="shared" si="19"/>
        <v>#N/A</v>
      </c>
      <c r="R114" s="10" t="e">
        <f t="shared" si="20"/>
        <v>#N/A</v>
      </c>
      <c r="S114" s="7">
        <f t="shared" si="27"/>
        <v>781</v>
      </c>
      <c r="T114" s="7">
        <f t="shared" si="28"/>
        <v>0</v>
      </c>
    </row>
    <row r="115" spans="1:20" x14ac:dyDescent="0.25">
      <c r="A115" s="1">
        <v>41437</v>
      </c>
      <c r="B115">
        <v>777</v>
      </c>
      <c r="C115">
        <v>784.8</v>
      </c>
      <c r="D115">
        <v>763.7</v>
      </c>
      <c r="E115">
        <v>775.3</v>
      </c>
      <c r="F115">
        <v>764460</v>
      </c>
      <c r="G115" s="4">
        <f t="shared" si="15"/>
        <v>0.5</v>
      </c>
      <c r="H115" s="4">
        <f t="shared" si="16"/>
        <v>0</v>
      </c>
      <c r="I115" s="6">
        <f t="shared" si="21"/>
        <v>5.9571428571428555</v>
      </c>
      <c r="J115" s="6">
        <f t="shared" si="22"/>
        <v>4.2071428571428555</v>
      </c>
      <c r="K115" s="4">
        <f t="shared" si="23"/>
        <v>1.4159592529711378</v>
      </c>
      <c r="L115">
        <f t="shared" si="24"/>
        <v>58.608573436401976</v>
      </c>
      <c r="M115" s="14" t="str">
        <f t="shared" si="17"/>
        <v/>
      </c>
      <c r="N115" s="7">
        <f t="shared" si="18"/>
        <v>0</v>
      </c>
      <c r="O115" s="7">
        <f t="shared" si="25"/>
        <v>0</v>
      </c>
      <c r="P115" s="7">
        <f t="shared" si="26"/>
        <v>-1</v>
      </c>
      <c r="Q115" s="10" t="e">
        <f t="shared" si="19"/>
        <v>#N/A</v>
      </c>
      <c r="R115" s="10" t="e">
        <f t="shared" si="20"/>
        <v>#N/A</v>
      </c>
      <c r="S115" s="7">
        <f t="shared" si="27"/>
        <v>781</v>
      </c>
      <c r="T115" s="7">
        <f t="shared" si="28"/>
        <v>0</v>
      </c>
    </row>
    <row r="116" spans="1:20" x14ac:dyDescent="0.25">
      <c r="A116" s="1">
        <v>41438</v>
      </c>
      <c r="B116">
        <v>775.3</v>
      </c>
      <c r="C116">
        <v>788.9</v>
      </c>
      <c r="D116">
        <v>772.25</v>
      </c>
      <c r="E116">
        <v>783.2</v>
      </c>
      <c r="F116">
        <v>1112836</v>
      </c>
      <c r="G116" s="4">
        <f t="shared" si="15"/>
        <v>7.9000000000000909</v>
      </c>
      <c r="H116" s="4">
        <f t="shared" si="16"/>
        <v>0</v>
      </c>
      <c r="I116" s="6">
        <f t="shared" si="21"/>
        <v>6.5214285714285767</v>
      </c>
      <c r="J116" s="6">
        <f t="shared" si="22"/>
        <v>3.6535714285714271</v>
      </c>
      <c r="K116" s="4">
        <f t="shared" si="23"/>
        <v>1.784946236559142</v>
      </c>
      <c r="L116">
        <f t="shared" si="24"/>
        <v>64.092664092664108</v>
      </c>
      <c r="M116" s="14" t="str">
        <f t="shared" si="17"/>
        <v/>
      </c>
      <c r="N116" s="7">
        <f t="shared" si="18"/>
        <v>0</v>
      </c>
      <c r="O116" s="7">
        <f t="shared" si="25"/>
        <v>0</v>
      </c>
      <c r="P116" s="7">
        <f t="shared" si="26"/>
        <v>-1</v>
      </c>
      <c r="Q116" s="10" t="e">
        <f t="shared" si="19"/>
        <v>#N/A</v>
      </c>
      <c r="R116" s="10" t="e">
        <f t="shared" si="20"/>
        <v>#N/A</v>
      </c>
      <c r="S116" s="7">
        <f t="shared" si="27"/>
        <v>781</v>
      </c>
      <c r="T116" s="7">
        <f t="shared" si="28"/>
        <v>0</v>
      </c>
    </row>
    <row r="117" spans="1:20" x14ac:dyDescent="0.25">
      <c r="A117" s="1">
        <v>41439</v>
      </c>
      <c r="B117">
        <v>792.9</v>
      </c>
      <c r="C117">
        <v>794</v>
      </c>
      <c r="D117">
        <v>784.6</v>
      </c>
      <c r="E117">
        <v>787.7</v>
      </c>
      <c r="F117">
        <v>953714</v>
      </c>
      <c r="G117" s="4">
        <f t="shared" si="15"/>
        <v>4.5</v>
      </c>
      <c r="H117" s="4">
        <f t="shared" si="16"/>
        <v>0</v>
      </c>
      <c r="I117" s="6">
        <f t="shared" si="21"/>
        <v>6.8428571428571479</v>
      </c>
      <c r="J117" s="6">
        <f t="shared" si="22"/>
        <v>3.3785714285714334</v>
      </c>
      <c r="K117" s="4">
        <f t="shared" si="23"/>
        <v>2.0253699788583495</v>
      </c>
      <c r="L117">
        <f t="shared" si="24"/>
        <v>66.946191474493347</v>
      </c>
      <c r="M117" s="14" t="str">
        <f t="shared" si="17"/>
        <v/>
      </c>
      <c r="N117" s="7">
        <f t="shared" si="18"/>
        <v>0</v>
      </c>
      <c r="O117" s="7">
        <f t="shared" si="25"/>
        <v>0</v>
      </c>
      <c r="P117" s="7">
        <f t="shared" si="26"/>
        <v>-1</v>
      </c>
      <c r="Q117" s="10" t="e">
        <f t="shared" si="19"/>
        <v>#N/A</v>
      </c>
      <c r="R117" s="10" t="e">
        <f t="shared" si="20"/>
        <v>#N/A</v>
      </c>
      <c r="S117" s="7">
        <f t="shared" si="27"/>
        <v>781</v>
      </c>
      <c r="T117" s="7">
        <f t="shared" si="28"/>
        <v>0</v>
      </c>
    </row>
    <row r="118" spans="1:20" x14ac:dyDescent="0.25">
      <c r="A118" s="1">
        <v>41442</v>
      </c>
      <c r="B118">
        <v>785</v>
      </c>
      <c r="C118">
        <v>786.5</v>
      </c>
      <c r="D118">
        <v>773.3</v>
      </c>
      <c r="E118">
        <v>778.65</v>
      </c>
      <c r="F118">
        <v>734162</v>
      </c>
      <c r="G118" s="4">
        <f t="shared" si="15"/>
        <v>0</v>
      </c>
      <c r="H118" s="4">
        <f t="shared" si="16"/>
        <v>9.0500000000000682</v>
      </c>
      <c r="I118" s="6">
        <f t="shared" si="21"/>
        <v>5.7678571428571512</v>
      </c>
      <c r="J118" s="6">
        <f t="shared" si="22"/>
        <v>4.0250000000000101</v>
      </c>
      <c r="K118" s="4">
        <f t="shared" si="23"/>
        <v>1.4330079858030154</v>
      </c>
      <c r="L118">
        <f t="shared" si="24"/>
        <v>58.898614150255256</v>
      </c>
      <c r="M118" s="14" t="str">
        <f t="shared" si="17"/>
        <v/>
      </c>
      <c r="N118" s="7">
        <f t="shared" si="18"/>
        <v>0</v>
      </c>
      <c r="O118" s="7">
        <f t="shared" si="25"/>
        <v>0</v>
      </c>
      <c r="P118" s="7">
        <f t="shared" si="26"/>
        <v>-1</v>
      </c>
      <c r="Q118" s="10" t="e">
        <f t="shared" si="19"/>
        <v>#N/A</v>
      </c>
      <c r="R118" s="10" t="e">
        <f t="shared" si="20"/>
        <v>#N/A</v>
      </c>
      <c r="S118" s="7">
        <f t="shared" si="27"/>
        <v>781</v>
      </c>
      <c r="T118" s="7">
        <f t="shared" si="28"/>
        <v>0</v>
      </c>
    </row>
    <row r="119" spans="1:20" x14ac:dyDescent="0.25">
      <c r="A119" s="1">
        <v>41443</v>
      </c>
      <c r="B119">
        <v>770</v>
      </c>
      <c r="C119">
        <v>788.95</v>
      </c>
      <c r="D119">
        <v>769.85</v>
      </c>
      <c r="E119">
        <v>786.3</v>
      </c>
      <c r="F119">
        <v>1479762</v>
      </c>
      <c r="G119" s="4">
        <f t="shared" si="15"/>
        <v>7.6499999999999773</v>
      </c>
      <c r="H119" s="4">
        <f t="shared" si="16"/>
        <v>0</v>
      </c>
      <c r="I119" s="6">
        <f t="shared" si="21"/>
        <v>5.5142857142857178</v>
      </c>
      <c r="J119" s="6">
        <f t="shared" si="22"/>
        <v>4.0250000000000101</v>
      </c>
      <c r="K119" s="4">
        <f t="shared" si="23"/>
        <v>1.3700088731144606</v>
      </c>
      <c r="L119">
        <f t="shared" si="24"/>
        <v>57.806065144140724</v>
      </c>
      <c r="M119" s="14" t="str">
        <f t="shared" si="17"/>
        <v/>
      </c>
      <c r="N119" s="7">
        <f t="shared" si="18"/>
        <v>0</v>
      </c>
      <c r="O119" s="7">
        <f t="shared" si="25"/>
        <v>0</v>
      </c>
      <c r="P119" s="7">
        <f t="shared" si="26"/>
        <v>-1</v>
      </c>
      <c r="Q119" s="10" t="e">
        <f t="shared" si="19"/>
        <v>#N/A</v>
      </c>
      <c r="R119" s="10" t="e">
        <f t="shared" si="20"/>
        <v>#N/A</v>
      </c>
      <c r="S119" s="7">
        <f t="shared" si="27"/>
        <v>781</v>
      </c>
      <c r="T119" s="7">
        <f t="shared" si="28"/>
        <v>0</v>
      </c>
    </row>
    <row r="120" spans="1:20" x14ac:dyDescent="0.25">
      <c r="A120" s="1">
        <v>41444</v>
      </c>
      <c r="B120">
        <v>786.3</v>
      </c>
      <c r="C120">
        <v>788.5</v>
      </c>
      <c r="D120">
        <v>767.7</v>
      </c>
      <c r="E120">
        <v>773.45</v>
      </c>
      <c r="F120">
        <v>1888755</v>
      </c>
      <c r="G120" s="4">
        <f t="shared" si="15"/>
        <v>0</v>
      </c>
      <c r="H120" s="4">
        <f t="shared" si="16"/>
        <v>12.849999999999909</v>
      </c>
      <c r="I120" s="6">
        <f t="shared" si="21"/>
        <v>5.5142857142857178</v>
      </c>
      <c r="J120" s="6">
        <f t="shared" si="22"/>
        <v>4.9357142857142877</v>
      </c>
      <c r="K120" s="4">
        <f t="shared" si="23"/>
        <v>1.1172214182344431</v>
      </c>
      <c r="L120">
        <f t="shared" si="24"/>
        <v>52.768284347231727</v>
      </c>
      <c r="M120" s="14" t="str">
        <f t="shared" si="17"/>
        <v/>
      </c>
      <c r="N120" s="7">
        <f t="shared" si="18"/>
        <v>0</v>
      </c>
      <c r="O120" s="7">
        <f t="shared" si="25"/>
        <v>0</v>
      </c>
      <c r="P120" s="7">
        <f t="shared" si="26"/>
        <v>-1</v>
      </c>
      <c r="Q120" s="10" t="e">
        <f t="shared" si="19"/>
        <v>#N/A</v>
      </c>
      <c r="R120" s="10" t="e">
        <f t="shared" si="20"/>
        <v>#N/A</v>
      </c>
      <c r="S120" s="7">
        <f t="shared" si="27"/>
        <v>781</v>
      </c>
      <c r="T120" s="7">
        <f t="shared" si="28"/>
        <v>0</v>
      </c>
    </row>
    <row r="121" spans="1:20" x14ac:dyDescent="0.25">
      <c r="A121" s="1">
        <v>41445</v>
      </c>
      <c r="B121">
        <v>775.8</v>
      </c>
      <c r="C121">
        <v>775.8</v>
      </c>
      <c r="D121">
        <v>756.1</v>
      </c>
      <c r="E121">
        <v>758.5</v>
      </c>
      <c r="F121">
        <v>1018661</v>
      </c>
      <c r="G121" s="4">
        <f t="shared" si="15"/>
        <v>0</v>
      </c>
      <c r="H121" s="4">
        <f t="shared" si="16"/>
        <v>14.950000000000045</v>
      </c>
      <c r="I121" s="6">
        <f t="shared" si="21"/>
        <v>5.5142857142857178</v>
      </c>
      <c r="J121" s="6">
        <f t="shared" si="22"/>
        <v>5.1392857142857178</v>
      </c>
      <c r="K121" s="4">
        <f t="shared" si="23"/>
        <v>1.0729673384294649</v>
      </c>
      <c r="L121">
        <f t="shared" si="24"/>
        <v>51.759973181361048</v>
      </c>
      <c r="M121" s="14" t="str">
        <f t="shared" si="17"/>
        <v/>
      </c>
      <c r="N121" s="7">
        <f t="shared" si="18"/>
        <v>0</v>
      </c>
      <c r="O121" s="7">
        <f t="shared" si="25"/>
        <v>0</v>
      </c>
      <c r="P121" s="7">
        <f t="shared" si="26"/>
        <v>-1</v>
      </c>
      <c r="Q121" s="10" t="e">
        <f t="shared" si="19"/>
        <v>#N/A</v>
      </c>
      <c r="R121" s="10" t="e">
        <f t="shared" si="20"/>
        <v>#N/A</v>
      </c>
      <c r="S121" s="7">
        <f t="shared" si="27"/>
        <v>781</v>
      </c>
      <c r="T121" s="7">
        <f t="shared" si="28"/>
        <v>0</v>
      </c>
    </row>
    <row r="122" spans="1:20" x14ac:dyDescent="0.25">
      <c r="A122" s="1">
        <v>41446</v>
      </c>
      <c r="B122">
        <v>758.45</v>
      </c>
      <c r="C122">
        <v>767.15</v>
      </c>
      <c r="D122">
        <v>757.6</v>
      </c>
      <c r="E122">
        <v>764.75</v>
      </c>
      <c r="F122">
        <v>576562</v>
      </c>
      <c r="G122" s="4">
        <f t="shared" si="15"/>
        <v>6.25</v>
      </c>
      <c r="H122" s="4">
        <f t="shared" si="16"/>
        <v>0</v>
      </c>
      <c r="I122" s="6">
        <f t="shared" si="21"/>
        <v>5.960714285714289</v>
      </c>
      <c r="J122" s="6">
        <f t="shared" si="22"/>
        <v>4.9214285714285779</v>
      </c>
      <c r="K122" s="4">
        <f t="shared" si="23"/>
        <v>1.2111756168359933</v>
      </c>
      <c r="L122">
        <f t="shared" si="24"/>
        <v>54.775188710206741</v>
      </c>
      <c r="M122" s="14" t="str">
        <f t="shared" si="17"/>
        <v/>
      </c>
      <c r="N122" s="7">
        <f t="shared" si="18"/>
        <v>0</v>
      </c>
      <c r="O122" s="7">
        <f t="shared" si="25"/>
        <v>0</v>
      </c>
      <c r="P122" s="7">
        <f t="shared" si="26"/>
        <v>-1</v>
      </c>
      <c r="Q122" s="10" t="e">
        <f t="shared" si="19"/>
        <v>#N/A</v>
      </c>
      <c r="R122" s="10" t="e">
        <f t="shared" si="20"/>
        <v>#N/A</v>
      </c>
      <c r="S122" s="7">
        <f t="shared" si="27"/>
        <v>781</v>
      </c>
      <c r="T122" s="7">
        <f t="shared" si="28"/>
        <v>0</v>
      </c>
    </row>
    <row r="123" spans="1:20" x14ac:dyDescent="0.25">
      <c r="A123" s="1">
        <v>41449</v>
      </c>
      <c r="B123">
        <v>765</v>
      </c>
      <c r="C123">
        <v>765</v>
      </c>
      <c r="D123">
        <v>749</v>
      </c>
      <c r="E123">
        <v>753.8</v>
      </c>
      <c r="F123">
        <v>1307331</v>
      </c>
      <c r="G123" s="4">
        <f t="shared" si="15"/>
        <v>0</v>
      </c>
      <c r="H123" s="4">
        <f t="shared" si="16"/>
        <v>10.950000000000045</v>
      </c>
      <c r="I123" s="6">
        <f t="shared" si="21"/>
        <v>5.960714285714289</v>
      </c>
      <c r="J123" s="6">
        <f t="shared" si="22"/>
        <v>4.4785714285714322</v>
      </c>
      <c r="K123" s="4">
        <f t="shared" si="23"/>
        <v>1.3309409888357253</v>
      </c>
      <c r="L123">
        <f t="shared" si="24"/>
        <v>57.098871022921649</v>
      </c>
      <c r="M123" s="14" t="str">
        <f t="shared" si="17"/>
        <v/>
      </c>
      <c r="N123" s="7">
        <f t="shared" si="18"/>
        <v>0</v>
      </c>
      <c r="O123" s="7">
        <f t="shared" si="25"/>
        <v>0</v>
      </c>
      <c r="P123" s="7">
        <f t="shared" si="26"/>
        <v>-1</v>
      </c>
      <c r="Q123" s="10" t="e">
        <f t="shared" si="19"/>
        <v>#N/A</v>
      </c>
      <c r="R123" s="10" t="e">
        <f t="shared" si="20"/>
        <v>#N/A</v>
      </c>
      <c r="S123" s="7">
        <f t="shared" si="27"/>
        <v>781</v>
      </c>
      <c r="T123" s="7">
        <f t="shared" si="28"/>
        <v>0</v>
      </c>
    </row>
    <row r="124" spans="1:20" x14ac:dyDescent="0.25">
      <c r="A124" s="1">
        <v>41450</v>
      </c>
      <c r="B124">
        <v>755</v>
      </c>
      <c r="C124">
        <v>759.9</v>
      </c>
      <c r="D124">
        <v>741.25</v>
      </c>
      <c r="E124">
        <v>751</v>
      </c>
      <c r="F124">
        <v>1658258</v>
      </c>
      <c r="G124" s="4">
        <f t="shared" si="15"/>
        <v>0</v>
      </c>
      <c r="H124" s="4">
        <f t="shared" si="16"/>
        <v>2.7999999999999545</v>
      </c>
      <c r="I124" s="6">
        <f t="shared" si="21"/>
        <v>4.7142857142857144</v>
      </c>
      <c r="J124" s="6">
        <f t="shared" si="22"/>
        <v>4.6785714285714288</v>
      </c>
      <c r="K124" s="4">
        <f t="shared" si="23"/>
        <v>1.0076335877862594</v>
      </c>
      <c r="L124">
        <f t="shared" si="24"/>
        <v>50.190114068441062</v>
      </c>
      <c r="M124" s="14" t="str">
        <f t="shared" si="17"/>
        <v/>
      </c>
      <c r="N124" s="7">
        <f t="shared" si="18"/>
        <v>0</v>
      </c>
      <c r="O124" s="7">
        <f t="shared" si="25"/>
        <v>0</v>
      </c>
      <c r="P124" s="7">
        <f t="shared" si="26"/>
        <v>-1</v>
      </c>
      <c r="Q124" s="10" t="e">
        <f t="shared" si="19"/>
        <v>#N/A</v>
      </c>
      <c r="R124" s="10" t="e">
        <f t="shared" si="20"/>
        <v>#N/A</v>
      </c>
      <c r="S124" s="7">
        <f t="shared" si="27"/>
        <v>781</v>
      </c>
      <c r="T124" s="7">
        <f t="shared" si="28"/>
        <v>0</v>
      </c>
    </row>
    <row r="125" spans="1:20" x14ac:dyDescent="0.25">
      <c r="A125" s="1">
        <v>41451</v>
      </c>
      <c r="B125">
        <v>750</v>
      </c>
      <c r="C125">
        <v>750</v>
      </c>
      <c r="D125">
        <v>725.75</v>
      </c>
      <c r="E125">
        <v>732</v>
      </c>
      <c r="F125">
        <v>1703872</v>
      </c>
      <c r="G125" s="4">
        <f t="shared" si="15"/>
        <v>0</v>
      </c>
      <c r="H125" s="4">
        <f t="shared" si="16"/>
        <v>19</v>
      </c>
      <c r="I125" s="6">
        <f t="shared" si="21"/>
        <v>4.0999999999999988</v>
      </c>
      <c r="J125" s="6">
        <f t="shared" si="22"/>
        <v>6.0357142857142856</v>
      </c>
      <c r="K125" s="4">
        <f t="shared" si="23"/>
        <v>0.67928994082840222</v>
      </c>
      <c r="L125">
        <f t="shared" si="24"/>
        <v>40.451021846370672</v>
      </c>
      <c r="M125" s="14" t="str">
        <f t="shared" si="17"/>
        <v/>
      </c>
      <c r="N125" s="7">
        <f t="shared" si="18"/>
        <v>0</v>
      </c>
      <c r="O125" s="7">
        <f t="shared" si="25"/>
        <v>0</v>
      </c>
      <c r="P125" s="7">
        <f t="shared" si="26"/>
        <v>-1</v>
      </c>
      <c r="Q125" s="10" t="e">
        <f t="shared" si="19"/>
        <v>#N/A</v>
      </c>
      <c r="R125" s="10" t="e">
        <f t="shared" si="20"/>
        <v>#N/A</v>
      </c>
      <c r="S125" s="7">
        <f t="shared" si="27"/>
        <v>781</v>
      </c>
      <c r="T125" s="7">
        <f t="shared" si="28"/>
        <v>0</v>
      </c>
    </row>
    <row r="126" spans="1:20" x14ac:dyDescent="0.25">
      <c r="A126" s="1">
        <v>41452</v>
      </c>
      <c r="B126">
        <v>734.8</v>
      </c>
      <c r="C126">
        <v>746</v>
      </c>
      <c r="D126">
        <v>730.85</v>
      </c>
      <c r="E126">
        <v>743.8</v>
      </c>
      <c r="F126">
        <v>1471775</v>
      </c>
      <c r="G126" s="4">
        <f t="shared" si="15"/>
        <v>11.799999999999955</v>
      </c>
      <c r="H126" s="4">
        <f t="shared" si="16"/>
        <v>0</v>
      </c>
      <c r="I126" s="6">
        <f t="shared" si="21"/>
        <v>3.3785714285714255</v>
      </c>
      <c r="J126" s="6">
        <f t="shared" si="22"/>
        <v>6.0357142857142856</v>
      </c>
      <c r="K126" s="4">
        <f t="shared" si="23"/>
        <v>0.55976331360946696</v>
      </c>
      <c r="L126">
        <f t="shared" si="24"/>
        <v>35.887708649468877</v>
      </c>
      <c r="M126" s="14" t="str">
        <f t="shared" si="17"/>
        <v/>
      </c>
      <c r="N126" s="7">
        <f t="shared" si="18"/>
        <v>0</v>
      </c>
      <c r="O126" s="7">
        <f t="shared" si="25"/>
        <v>0</v>
      </c>
      <c r="P126" s="7">
        <f t="shared" si="26"/>
        <v>-1</v>
      </c>
      <c r="Q126" s="10" t="e">
        <f t="shared" si="19"/>
        <v>#N/A</v>
      </c>
      <c r="R126" s="10" t="e">
        <f t="shared" si="20"/>
        <v>#N/A</v>
      </c>
      <c r="S126" s="7">
        <f t="shared" si="27"/>
        <v>781</v>
      </c>
      <c r="T126" s="7">
        <f t="shared" si="28"/>
        <v>0</v>
      </c>
    </row>
    <row r="127" spans="1:20" x14ac:dyDescent="0.25">
      <c r="A127" s="1">
        <v>41453</v>
      </c>
      <c r="B127">
        <v>748.8</v>
      </c>
      <c r="C127">
        <v>748.9</v>
      </c>
      <c r="D127">
        <v>737.1</v>
      </c>
      <c r="E127">
        <v>739</v>
      </c>
      <c r="F127">
        <v>1082798</v>
      </c>
      <c r="G127" s="4">
        <f t="shared" si="15"/>
        <v>0</v>
      </c>
      <c r="H127" s="4">
        <f t="shared" si="16"/>
        <v>4.7999999999999545</v>
      </c>
      <c r="I127" s="6">
        <f t="shared" si="21"/>
        <v>3.3785714285714255</v>
      </c>
      <c r="J127" s="6">
        <f t="shared" si="22"/>
        <v>5.3142857142857123</v>
      </c>
      <c r="K127" s="4">
        <f t="shared" si="23"/>
        <v>0.63575268817204267</v>
      </c>
      <c r="L127">
        <f t="shared" si="24"/>
        <v>38.866064092029561</v>
      </c>
      <c r="M127" s="14" t="str">
        <f t="shared" si="17"/>
        <v/>
      </c>
      <c r="N127" s="7">
        <f t="shared" si="18"/>
        <v>0</v>
      </c>
      <c r="O127" s="7">
        <f t="shared" si="25"/>
        <v>0</v>
      </c>
      <c r="P127" s="7">
        <f t="shared" si="26"/>
        <v>-1</v>
      </c>
      <c r="Q127" s="10" t="e">
        <f t="shared" si="19"/>
        <v>#N/A</v>
      </c>
      <c r="R127" s="10" t="e">
        <f t="shared" si="20"/>
        <v>#N/A</v>
      </c>
      <c r="S127" s="7">
        <f t="shared" si="27"/>
        <v>781</v>
      </c>
      <c r="T127" s="7">
        <f t="shared" si="28"/>
        <v>0</v>
      </c>
    </row>
    <row r="128" spans="1:20" x14ac:dyDescent="0.25">
      <c r="A128" s="1">
        <v>41456</v>
      </c>
      <c r="B128">
        <v>736.5</v>
      </c>
      <c r="C128">
        <v>761.9</v>
      </c>
      <c r="D128">
        <v>735.85</v>
      </c>
      <c r="E128">
        <v>759.15</v>
      </c>
      <c r="F128">
        <v>1380452</v>
      </c>
      <c r="G128" s="4">
        <f t="shared" si="15"/>
        <v>20.149999999999977</v>
      </c>
      <c r="H128" s="4">
        <f t="shared" si="16"/>
        <v>0</v>
      </c>
      <c r="I128" s="6">
        <f t="shared" si="21"/>
        <v>4.1964285714285712</v>
      </c>
      <c r="J128" s="6">
        <f t="shared" si="22"/>
        <v>5.3142857142857123</v>
      </c>
      <c r="K128" s="4">
        <f t="shared" si="23"/>
        <v>0.78965053763440884</v>
      </c>
      <c r="L128">
        <f t="shared" si="24"/>
        <v>44.123169357867077</v>
      </c>
      <c r="M128" s="14" t="str">
        <f t="shared" si="17"/>
        <v/>
      </c>
      <c r="N128" s="7">
        <f t="shared" si="18"/>
        <v>0</v>
      </c>
      <c r="O128" s="7">
        <f t="shared" si="25"/>
        <v>0</v>
      </c>
      <c r="P128" s="7">
        <f t="shared" si="26"/>
        <v>-1</v>
      </c>
      <c r="Q128" s="10" t="e">
        <f t="shared" si="19"/>
        <v>#N/A</v>
      </c>
      <c r="R128" s="10" t="e">
        <f t="shared" si="20"/>
        <v>#N/A</v>
      </c>
      <c r="S128" s="7">
        <f t="shared" si="27"/>
        <v>781</v>
      </c>
      <c r="T128" s="7">
        <f t="shared" si="28"/>
        <v>0</v>
      </c>
    </row>
    <row r="129" spans="1:20" x14ac:dyDescent="0.25">
      <c r="A129" s="1">
        <v>41457</v>
      </c>
      <c r="B129">
        <v>761.4</v>
      </c>
      <c r="C129">
        <v>767.4</v>
      </c>
      <c r="D129">
        <v>748.95</v>
      </c>
      <c r="E129">
        <v>764.6</v>
      </c>
      <c r="F129">
        <v>1076467</v>
      </c>
      <c r="G129" s="4">
        <f t="shared" si="15"/>
        <v>5.4500000000000455</v>
      </c>
      <c r="H129" s="4">
        <f t="shared" si="16"/>
        <v>0</v>
      </c>
      <c r="I129" s="6">
        <f t="shared" si="21"/>
        <v>4.5500000000000034</v>
      </c>
      <c r="J129" s="6">
        <f t="shared" si="22"/>
        <v>5.3142857142857123</v>
      </c>
      <c r="K129" s="4">
        <f t="shared" si="23"/>
        <v>0.85618279569892564</v>
      </c>
      <c r="L129">
        <f t="shared" si="24"/>
        <v>46.125995655322257</v>
      </c>
      <c r="M129" s="14" t="str">
        <f t="shared" si="17"/>
        <v/>
      </c>
      <c r="N129" s="7">
        <f t="shared" si="18"/>
        <v>0</v>
      </c>
      <c r="O129" s="7">
        <f t="shared" si="25"/>
        <v>0</v>
      </c>
      <c r="P129" s="7">
        <f t="shared" si="26"/>
        <v>-1</v>
      </c>
      <c r="Q129" s="10" t="e">
        <f t="shared" si="19"/>
        <v>#N/A</v>
      </c>
      <c r="R129" s="10" t="e">
        <f t="shared" si="20"/>
        <v>#N/A</v>
      </c>
      <c r="S129" s="7">
        <f t="shared" si="27"/>
        <v>781</v>
      </c>
      <c r="T129" s="7">
        <f t="shared" si="28"/>
        <v>0</v>
      </c>
    </row>
    <row r="130" spans="1:20" x14ac:dyDescent="0.25">
      <c r="A130" s="1">
        <v>41458</v>
      </c>
      <c r="B130">
        <v>772</v>
      </c>
      <c r="C130">
        <v>779</v>
      </c>
      <c r="D130">
        <v>769.65</v>
      </c>
      <c r="E130">
        <v>776.8</v>
      </c>
      <c r="F130">
        <v>1093782</v>
      </c>
      <c r="G130" s="4">
        <f t="shared" si="15"/>
        <v>12.199999999999932</v>
      </c>
      <c r="H130" s="4">
        <f t="shared" si="16"/>
        <v>0</v>
      </c>
      <c r="I130" s="6">
        <f t="shared" si="21"/>
        <v>4.8571428571428488</v>
      </c>
      <c r="J130" s="6">
        <f t="shared" si="22"/>
        <v>5.3142857142857123</v>
      </c>
      <c r="K130" s="4">
        <f t="shared" si="23"/>
        <v>0.91397849462365466</v>
      </c>
      <c r="L130">
        <f t="shared" si="24"/>
        <v>47.752808988764009</v>
      </c>
      <c r="M130" s="14" t="str">
        <f t="shared" si="17"/>
        <v/>
      </c>
      <c r="N130" s="7">
        <f t="shared" si="18"/>
        <v>0</v>
      </c>
      <c r="O130" s="7">
        <f t="shared" si="25"/>
        <v>0</v>
      </c>
      <c r="P130" s="7">
        <f t="shared" si="26"/>
        <v>-1</v>
      </c>
      <c r="Q130" s="10" t="e">
        <f t="shared" si="19"/>
        <v>#N/A</v>
      </c>
      <c r="R130" s="10" t="e">
        <f t="shared" si="20"/>
        <v>#N/A</v>
      </c>
      <c r="S130" s="7">
        <f t="shared" si="27"/>
        <v>781</v>
      </c>
      <c r="T130" s="7">
        <f t="shared" si="28"/>
        <v>0</v>
      </c>
    </row>
    <row r="131" spans="1:20" x14ac:dyDescent="0.25">
      <c r="A131" s="1">
        <v>41459</v>
      </c>
      <c r="B131">
        <v>780</v>
      </c>
      <c r="C131">
        <v>784</v>
      </c>
      <c r="D131">
        <v>770.75</v>
      </c>
      <c r="E131">
        <v>774.45</v>
      </c>
      <c r="F131">
        <v>918333</v>
      </c>
      <c r="G131" s="4">
        <f t="shared" si="15"/>
        <v>0</v>
      </c>
      <c r="H131" s="4">
        <f t="shared" si="16"/>
        <v>2.3499999999999091</v>
      </c>
      <c r="I131" s="6">
        <f t="shared" si="21"/>
        <v>4.5357142857142776</v>
      </c>
      <c r="J131" s="6">
        <f t="shared" si="22"/>
        <v>5.4821428571428488</v>
      </c>
      <c r="K131" s="4">
        <f t="shared" si="23"/>
        <v>0.82736156351791512</v>
      </c>
      <c r="L131">
        <f t="shared" si="24"/>
        <v>45.276292335115862</v>
      </c>
      <c r="M131" s="14" t="str">
        <f t="shared" si="17"/>
        <v/>
      </c>
      <c r="N131" s="7">
        <f t="shared" si="18"/>
        <v>0</v>
      </c>
      <c r="O131" s="7">
        <f t="shared" si="25"/>
        <v>0</v>
      </c>
      <c r="P131" s="7">
        <f t="shared" si="26"/>
        <v>-1</v>
      </c>
      <c r="Q131" s="10" t="e">
        <f t="shared" si="19"/>
        <v>#N/A</v>
      </c>
      <c r="R131" s="10" t="e">
        <f t="shared" si="20"/>
        <v>#N/A</v>
      </c>
      <c r="S131" s="7">
        <f t="shared" si="27"/>
        <v>781</v>
      </c>
      <c r="T131" s="7">
        <f t="shared" si="28"/>
        <v>0</v>
      </c>
    </row>
    <row r="132" spans="1:20" x14ac:dyDescent="0.25">
      <c r="A132" s="1">
        <v>41460</v>
      </c>
      <c r="B132">
        <v>779.8</v>
      </c>
      <c r="C132">
        <v>794</v>
      </c>
      <c r="D132">
        <v>779.8</v>
      </c>
      <c r="E132">
        <v>791.7</v>
      </c>
      <c r="F132">
        <v>1362888</v>
      </c>
      <c r="G132" s="4">
        <f t="shared" ref="G132:G195" si="29">IF(E132&gt;E131,E132-E131,0)</f>
        <v>17.25</v>
      </c>
      <c r="H132" s="4">
        <f t="shared" ref="H132:H195" si="30">IF(E132&lt;E131,E131-E132,0)</f>
        <v>0</v>
      </c>
      <c r="I132" s="6">
        <f t="shared" si="21"/>
        <v>5.7678571428571344</v>
      </c>
      <c r="J132" s="6">
        <f t="shared" si="22"/>
        <v>4.835714285714273</v>
      </c>
      <c r="K132" s="4">
        <f t="shared" si="23"/>
        <v>1.1927621861152156</v>
      </c>
      <c r="L132">
        <f t="shared" si="24"/>
        <v>54.395419333108826</v>
      </c>
      <c r="M132" s="14" t="str">
        <f t="shared" si="17"/>
        <v/>
      </c>
      <c r="N132" s="7">
        <f t="shared" si="18"/>
        <v>0</v>
      </c>
      <c r="O132" s="7">
        <f t="shared" si="25"/>
        <v>0</v>
      </c>
      <c r="P132" s="7">
        <f t="shared" si="26"/>
        <v>-1</v>
      </c>
      <c r="Q132" s="10" t="e">
        <f t="shared" si="19"/>
        <v>#N/A</v>
      </c>
      <c r="R132" s="10" t="e">
        <f t="shared" si="20"/>
        <v>#N/A</v>
      </c>
      <c r="S132" s="7">
        <f t="shared" si="27"/>
        <v>781</v>
      </c>
      <c r="T132" s="7">
        <f t="shared" si="28"/>
        <v>0</v>
      </c>
    </row>
    <row r="133" spans="1:20" x14ac:dyDescent="0.25">
      <c r="A133" s="1">
        <v>41463</v>
      </c>
      <c r="B133">
        <v>792</v>
      </c>
      <c r="C133">
        <v>792</v>
      </c>
      <c r="D133">
        <v>769.55</v>
      </c>
      <c r="E133">
        <v>774.65</v>
      </c>
      <c r="F133">
        <v>2772943</v>
      </c>
      <c r="G133" s="4">
        <f t="shared" si="29"/>
        <v>0</v>
      </c>
      <c r="H133" s="4">
        <f t="shared" si="30"/>
        <v>17.050000000000068</v>
      </c>
      <c r="I133" s="6">
        <f t="shared" si="21"/>
        <v>5.2214285714285653</v>
      </c>
      <c r="J133" s="6">
        <f t="shared" si="22"/>
        <v>6.0535714285714208</v>
      </c>
      <c r="K133" s="4">
        <f t="shared" si="23"/>
        <v>0.86253687315634231</v>
      </c>
      <c r="L133">
        <f t="shared" si="24"/>
        <v>46.309787773202409</v>
      </c>
      <c r="M133" s="14" t="str">
        <f t="shared" si="17"/>
        <v/>
      </c>
      <c r="N133" s="7">
        <f t="shared" si="18"/>
        <v>0</v>
      </c>
      <c r="O133" s="7">
        <f t="shared" si="25"/>
        <v>0</v>
      </c>
      <c r="P133" s="7">
        <f t="shared" si="26"/>
        <v>-1</v>
      </c>
      <c r="Q133" s="10" t="e">
        <f t="shared" si="19"/>
        <v>#N/A</v>
      </c>
      <c r="R133" s="10" t="e">
        <f t="shared" si="20"/>
        <v>#N/A</v>
      </c>
      <c r="S133" s="7">
        <f t="shared" si="27"/>
        <v>781</v>
      </c>
      <c r="T133" s="7">
        <f t="shared" si="28"/>
        <v>0</v>
      </c>
    </row>
    <row r="134" spans="1:20" x14ac:dyDescent="0.25">
      <c r="A134" s="1">
        <v>41464</v>
      </c>
      <c r="B134">
        <v>778</v>
      </c>
      <c r="C134">
        <v>784.7</v>
      </c>
      <c r="D134">
        <v>770.25</v>
      </c>
      <c r="E134">
        <v>774.65</v>
      </c>
      <c r="F134">
        <v>1416921</v>
      </c>
      <c r="G134" s="4">
        <f t="shared" si="29"/>
        <v>0</v>
      </c>
      <c r="H134" s="4">
        <f t="shared" si="30"/>
        <v>0</v>
      </c>
      <c r="I134" s="6">
        <f t="shared" si="21"/>
        <v>5.2214285714285653</v>
      </c>
      <c r="J134" s="6">
        <f t="shared" si="22"/>
        <v>5.1357142857142843</v>
      </c>
      <c r="K134" s="4">
        <f t="shared" si="23"/>
        <v>1.0166898470097347</v>
      </c>
      <c r="L134">
        <f t="shared" si="24"/>
        <v>50.413793103448249</v>
      </c>
      <c r="M134" s="14" t="str">
        <f t="shared" si="17"/>
        <v/>
      </c>
      <c r="N134" s="7">
        <f t="shared" si="18"/>
        <v>0</v>
      </c>
      <c r="O134" s="7">
        <f t="shared" si="25"/>
        <v>0</v>
      </c>
      <c r="P134" s="7">
        <f t="shared" si="26"/>
        <v>-1</v>
      </c>
      <c r="Q134" s="10" t="e">
        <f t="shared" si="19"/>
        <v>#N/A</v>
      </c>
      <c r="R134" s="10" t="e">
        <f t="shared" si="20"/>
        <v>#N/A</v>
      </c>
      <c r="S134" s="7">
        <f t="shared" si="27"/>
        <v>781</v>
      </c>
      <c r="T134" s="7">
        <f t="shared" si="28"/>
        <v>0</v>
      </c>
    </row>
    <row r="135" spans="1:20" x14ac:dyDescent="0.25">
      <c r="A135" s="1">
        <v>41465</v>
      </c>
      <c r="B135">
        <v>771</v>
      </c>
      <c r="C135">
        <v>784.9</v>
      </c>
      <c r="D135">
        <v>765.25</v>
      </c>
      <c r="E135">
        <v>782.1</v>
      </c>
      <c r="F135">
        <v>1897768</v>
      </c>
      <c r="G135" s="4">
        <f t="shared" si="29"/>
        <v>7.4500000000000455</v>
      </c>
      <c r="H135" s="4">
        <f t="shared" si="30"/>
        <v>0</v>
      </c>
      <c r="I135" s="6">
        <f t="shared" si="21"/>
        <v>5.7535714285714255</v>
      </c>
      <c r="J135" s="6">
        <f t="shared" si="22"/>
        <v>4.0678571428571377</v>
      </c>
      <c r="K135" s="4">
        <f t="shared" si="23"/>
        <v>1.4143985952590001</v>
      </c>
      <c r="L135">
        <f t="shared" si="24"/>
        <v>58.5818181818182</v>
      </c>
      <c r="M135" s="14" t="str">
        <f t="shared" si="17"/>
        <v/>
      </c>
      <c r="N135" s="7">
        <f t="shared" si="18"/>
        <v>0</v>
      </c>
      <c r="O135" s="7">
        <f t="shared" si="25"/>
        <v>0</v>
      </c>
      <c r="P135" s="7">
        <f t="shared" si="26"/>
        <v>-1</v>
      </c>
      <c r="Q135" s="10" t="e">
        <f t="shared" si="19"/>
        <v>#N/A</v>
      </c>
      <c r="R135" s="10" t="e">
        <f t="shared" si="20"/>
        <v>#N/A</v>
      </c>
      <c r="S135" s="7">
        <f t="shared" si="27"/>
        <v>781</v>
      </c>
      <c r="T135" s="7">
        <f t="shared" si="28"/>
        <v>0</v>
      </c>
    </row>
    <row r="136" spans="1:20" x14ac:dyDescent="0.25">
      <c r="A136" s="1">
        <v>41466</v>
      </c>
      <c r="B136">
        <v>795</v>
      </c>
      <c r="C136">
        <v>838.5</v>
      </c>
      <c r="D136">
        <v>795</v>
      </c>
      <c r="E136">
        <v>833.65</v>
      </c>
      <c r="F136">
        <v>9567726</v>
      </c>
      <c r="G136" s="4">
        <f t="shared" si="29"/>
        <v>51.549999999999955</v>
      </c>
      <c r="H136" s="4">
        <f t="shared" si="30"/>
        <v>0</v>
      </c>
      <c r="I136" s="6">
        <f t="shared" si="21"/>
        <v>8.9892857142857086</v>
      </c>
      <c r="J136" s="6">
        <f t="shared" si="22"/>
        <v>4.0678571428571377</v>
      </c>
      <c r="K136" s="4">
        <f t="shared" si="23"/>
        <v>2.2098331870061472</v>
      </c>
      <c r="L136">
        <f t="shared" si="24"/>
        <v>68.8457330415755</v>
      </c>
      <c r="M136" s="14" t="str">
        <f t="shared" si="17"/>
        <v/>
      </c>
      <c r="N136" s="7">
        <f t="shared" si="18"/>
        <v>0</v>
      </c>
      <c r="O136" s="7">
        <f t="shared" si="25"/>
        <v>0</v>
      </c>
      <c r="P136" s="7">
        <f t="shared" si="26"/>
        <v>-1</v>
      </c>
      <c r="Q136" s="10" t="e">
        <f t="shared" si="19"/>
        <v>#N/A</v>
      </c>
      <c r="R136" s="10" t="e">
        <f t="shared" si="20"/>
        <v>#N/A</v>
      </c>
      <c r="S136" s="7">
        <f t="shared" si="27"/>
        <v>781</v>
      </c>
      <c r="T136" s="7">
        <f t="shared" si="28"/>
        <v>0</v>
      </c>
    </row>
    <row r="137" spans="1:20" x14ac:dyDescent="0.25">
      <c r="A137" s="1">
        <v>41467</v>
      </c>
      <c r="B137">
        <v>831.45</v>
      </c>
      <c r="C137">
        <v>834.7</v>
      </c>
      <c r="D137">
        <v>823.25</v>
      </c>
      <c r="E137">
        <v>826.7</v>
      </c>
      <c r="F137">
        <v>1513962</v>
      </c>
      <c r="G137" s="4">
        <f t="shared" si="29"/>
        <v>0</v>
      </c>
      <c r="H137" s="4">
        <f t="shared" si="30"/>
        <v>6.9499999999999318</v>
      </c>
      <c r="I137" s="6">
        <f t="shared" si="21"/>
        <v>8.9892857142857086</v>
      </c>
      <c r="J137" s="6">
        <f t="shared" si="22"/>
        <v>3.7821428571428442</v>
      </c>
      <c r="K137" s="4">
        <f t="shared" si="23"/>
        <v>2.3767705382436328</v>
      </c>
      <c r="L137">
        <f t="shared" si="24"/>
        <v>70.385906040268509</v>
      </c>
      <c r="M137" s="14" t="str">
        <f t="shared" si="17"/>
        <v>OVERBOUGHT</v>
      </c>
      <c r="N137" s="7" t="str">
        <f t="shared" si="18"/>
        <v>SELL</v>
      </c>
      <c r="O137" s="7">
        <f t="shared" si="25"/>
        <v>0</v>
      </c>
      <c r="P137" s="7">
        <f t="shared" si="26"/>
        <v>-1</v>
      </c>
      <c r="Q137" s="10" t="e">
        <f t="shared" si="19"/>
        <v>#N/A</v>
      </c>
      <c r="R137" s="10" t="e">
        <f t="shared" si="20"/>
        <v>#N/A</v>
      </c>
      <c r="S137" s="7">
        <f t="shared" si="27"/>
        <v>781</v>
      </c>
      <c r="T137" s="7">
        <f t="shared" si="28"/>
        <v>0</v>
      </c>
    </row>
    <row r="138" spans="1:20" x14ac:dyDescent="0.25">
      <c r="A138" s="1">
        <v>41470</v>
      </c>
      <c r="B138">
        <v>826.7</v>
      </c>
      <c r="C138">
        <v>834.55</v>
      </c>
      <c r="D138">
        <v>825</v>
      </c>
      <c r="E138">
        <v>827.25</v>
      </c>
      <c r="F138">
        <v>1171031</v>
      </c>
      <c r="G138" s="4">
        <f t="shared" si="29"/>
        <v>0.54999999999995453</v>
      </c>
      <c r="H138" s="4">
        <f t="shared" si="30"/>
        <v>0</v>
      </c>
      <c r="I138" s="6">
        <f t="shared" si="21"/>
        <v>9.0285714285714196</v>
      </c>
      <c r="J138" s="6">
        <f t="shared" si="22"/>
        <v>3.5821428571428475</v>
      </c>
      <c r="K138" s="4">
        <f t="shared" si="23"/>
        <v>2.5204386839481598</v>
      </c>
      <c r="L138">
        <f t="shared" si="24"/>
        <v>71.594449164542652</v>
      </c>
      <c r="M138" s="14" t="str">
        <f t="shared" si="17"/>
        <v>OVERBOUGHT</v>
      </c>
      <c r="N138" s="7" t="str">
        <f t="shared" si="18"/>
        <v>SELL</v>
      </c>
      <c r="O138" s="7">
        <f t="shared" si="25"/>
        <v>0</v>
      </c>
      <c r="P138" s="7">
        <f t="shared" si="26"/>
        <v>-1</v>
      </c>
      <c r="Q138" s="10" t="e">
        <f t="shared" si="19"/>
        <v>#N/A</v>
      </c>
      <c r="R138" s="10" t="e">
        <f t="shared" si="20"/>
        <v>#N/A</v>
      </c>
      <c r="S138" s="7">
        <f t="shared" si="27"/>
        <v>781</v>
      </c>
      <c r="T138" s="7">
        <f t="shared" si="28"/>
        <v>0</v>
      </c>
    </row>
    <row r="139" spans="1:20" x14ac:dyDescent="0.25">
      <c r="A139" s="1">
        <v>41471</v>
      </c>
      <c r="B139">
        <v>832</v>
      </c>
      <c r="C139">
        <v>844.8</v>
      </c>
      <c r="D139">
        <v>829.6</v>
      </c>
      <c r="E139">
        <v>843</v>
      </c>
      <c r="F139">
        <v>1471860</v>
      </c>
      <c r="G139" s="4">
        <f t="shared" si="29"/>
        <v>15.75</v>
      </c>
      <c r="H139" s="4">
        <f t="shared" si="30"/>
        <v>0</v>
      </c>
      <c r="I139" s="6">
        <f t="shared" si="21"/>
        <v>10.15357142857142</v>
      </c>
      <c r="J139" s="6">
        <f t="shared" si="22"/>
        <v>2.2249999999999903</v>
      </c>
      <c r="K139" s="4">
        <f t="shared" si="23"/>
        <v>4.5634028892456016</v>
      </c>
      <c r="L139">
        <f t="shared" si="24"/>
        <v>82.025389497980427</v>
      </c>
      <c r="M139" s="14" t="str">
        <f t="shared" si="17"/>
        <v>OVERBOUGHT</v>
      </c>
      <c r="N139" s="7" t="str">
        <f t="shared" si="18"/>
        <v>SELL</v>
      </c>
      <c r="O139" s="7">
        <f t="shared" si="25"/>
        <v>0</v>
      </c>
      <c r="P139" s="7">
        <f t="shared" si="26"/>
        <v>-1</v>
      </c>
      <c r="Q139" s="10" t="e">
        <f t="shared" si="19"/>
        <v>#N/A</v>
      </c>
      <c r="R139" s="10" t="e">
        <f t="shared" si="20"/>
        <v>#N/A</v>
      </c>
      <c r="S139" s="7">
        <f t="shared" si="27"/>
        <v>781</v>
      </c>
      <c r="T139" s="7">
        <f t="shared" si="28"/>
        <v>0</v>
      </c>
    </row>
    <row r="140" spans="1:20" x14ac:dyDescent="0.25">
      <c r="A140" s="1">
        <v>41472</v>
      </c>
      <c r="B140">
        <v>843</v>
      </c>
      <c r="C140">
        <v>846</v>
      </c>
      <c r="D140">
        <v>832.5</v>
      </c>
      <c r="E140">
        <v>843.7</v>
      </c>
      <c r="F140">
        <v>681441</v>
      </c>
      <c r="G140" s="4">
        <f t="shared" si="29"/>
        <v>0.70000000000004547</v>
      </c>
      <c r="H140" s="4">
        <f t="shared" si="30"/>
        <v>0</v>
      </c>
      <c r="I140" s="6">
        <f t="shared" si="21"/>
        <v>9.3607142857142822</v>
      </c>
      <c r="J140" s="6">
        <f t="shared" si="22"/>
        <v>2.2249999999999903</v>
      </c>
      <c r="K140" s="4">
        <f t="shared" si="23"/>
        <v>4.2070626003210441</v>
      </c>
      <c r="L140">
        <f t="shared" si="24"/>
        <v>80.795314426633851</v>
      </c>
      <c r="M140" s="14" t="str">
        <f t="shared" si="17"/>
        <v>OVERBOUGHT</v>
      </c>
      <c r="N140" s="7" t="str">
        <f t="shared" si="18"/>
        <v>SELL</v>
      </c>
      <c r="O140" s="7">
        <f t="shared" si="25"/>
        <v>0</v>
      </c>
      <c r="P140" s="7">
        <f t="shared" si="26"/>
        <v>-1</v>
      </c>
      <c r="Q140" s="10" t="e">
        <f t="shared" si="19"/>
        <v>#N/A</v>
      </c>
      <c r="R140" s="10" t="e">
        <f t="shared" si="20"/>
        <v>#N/A</v>
      </c>
      <c r="S140" s="7">
        <f t="shared" si="27"/>
        <v>781</v>
      </c>
      <c r="T140" s="7">
        <f t="shared" si="28"/>
        <v>0</v>
      </c>
    </row>
    <row r="141" spans="1:20" x14ac:dyDescent="0.25">
      <c r="A141" s="1">
        <v>41473</v>
      </c>
      <c r="B141">
        <v>850</v>
      </c>
      <c r="C141">
        <v>850</v>
      </c>
      <c r="D141">
        <v>835.1</v>
      </c>
      <c r="E141">
        <v>839.3</v>
      </c>
      <c r="F141">
        <v>947236</v>
      </c>
      <c r="G141" s="4">
        <f t="shared" si="29"/>
        <v>0</v>
      </c>
      <c r="H141" s="4">
        <f t="shared" si="30"/>
        <v>4.4000000000000909</v>
      </c>
      <c r="I141" s="6">
        <f t="shared" si="21"/>
        <v>9.3607142857142822</v>
      </c>
      <c r="J141" s="6">
        <f t="shared" si="22"/>
        <v>2.1964285714285716</v>
      </c>
      <c r="K141" s="4">
        <f t="shared" si="23"/>
        <v>4.261788617886177</v>
      </c>
      <c r="L141">
        <f t="shared" si="24"/>
        <v>80.995055624227433</v>
      </c>
      <c r="M141" s="14" t="str">
        <f t="shared" si="17"/>
        <v>OVERBOUGHT</v>
      </c>
      <c r="N141" s="7" t="str">
        <f t="shared" si="18"/>
        <v>SELL</v>
      </c>
      <c r="O141" s="7">
        <f t="shared" si="25"/>
        <v>0</v>
      </c>
      <c r="P141" s="7">
        <f t="shared" si="26"/>
        <v>-1</v>
      </c>
      <c r="Q141" s="10" t="e">
        <f t="shared" si="19"/>
        <v>#N/A</v>
      </c>
      <c r="R141" s="10" t="e">
        <f t="shared" si="20"/>
        <v>#N/A</v>
      </c>
      <c r="S141" s="7">
        <f t="shared" si="27"/>
        <v>781</v>
      </c>
      <c r="T141" s="7">
        <f t="shared" si="28"/>
        <v>0</v>
      </c>
    </row>
    <row r="142" spans="1:20" x14ac:dyDescent="0.25">
      <c r="A142" s="1">
        <v>41474</v>
      </c>
      <c r="B142">
        <v>842.4</v>
      </c>
      <c r="C142">
        <v>851.6</v>
      </c>
      <c r="D142">
        <v>840.4</v>
      </c>
      <c r="E142">
        <v>849.25</v>
      </c>
      <c r="F142">
        <v>1383245</v>
      </c>
      <c r="G142" s="4">
        <f t="shared" si="29"/>
        <v>9.9500000000000455</v>
      </c>
      <c r="H142" s="4">
        <f t="shared" si="30"/>
        <v>0</v>
      </c>
      <c r="I142" s="6">
        <f t="shared" si="21"/>
        <v>8.632142857142858</v>
      </c>
      <c r="J142" s="6">
        <f t="shared" si="22"/>
        <v>2.1964285714285716</v>
      </c>
      <c r="K142" s="4">
        <f t="shared" si="23"/>
        <v>3.9300813008130082</v>
      </c>
      <c r="L142">
        <f t="shared" si="24"/>
        <v>79.71635883905013</v>
      </c>
      <c r="M142" s="14" t="str">
        <f t="shared" si="17"/>
        <v>OVERBOUGHT</v>
      </c>
      <c r="N142" s="7" t="str">
        <f t="shared" si="18"/>
        <v>SELL</v>
      </c>
      <c r="O142" s="7">
        <f t="shared" si="25"/>
        <v>0</v>
      </c>
      <c r="P142" s="7">
        <f t="shared" si="26"/>
        <v>-1</v>
      </c>
      <c r="Q142" s="10" t="e">
        <f t="shared" si="19"/>
        <v>#N/A</v>
      </c>
      <c r="R142" s="10" t="e">
        <f t="shared" si="20"/>
        <v>#N/A</v>
      </c>
      <c r="S142" s="7">
        <f t="shared" si="27"/>
        <v>781</v>
      </c>
      <c r="T142" s="7">
        <f t="shared" si="28"/>
        <v>0</v>
      </c>
    </row>
    <row r="143" spans="1:20" x14ac:dyDescent="0.25">
      <c r="A143" s="1">
        <v>41477</v>
      </c>
      <c r="B143">
        <v>855</v>
      </c>
      <c r="C143">
        <v>859.8</v>
      </c>
      <c r="D143">
        <v>846.2</v>
      </c>
      <c r="E143">
        <v>849.15</v>
      </c>
      <c r="F143">
        <v>1053301</v>
      </c>
      <c r="G143" s="4">
        <f t="shared" si="29"/>
        <v>0</v>
      </c>
      <c r="H143" s="4">
        <f t="shared" si="30"/>
        <v>0.10000000000002274</v>
      </c>
      <c r="I143" s="6">
        <f t="shared" si="21"/>
        <v>8.242857142857142</v>
      </c>
      <c r="J143" s="6">
        <f t="shared" si="22"/>
        <v>2.2035714285714301</v>
      </c>
      <c r="K143" s="4">
        <f t="shared" si="23"/>
        <v>3.740680713128036</v>
      </c>
      <c r="L143">
        <f t="shared" si="24"/>
        <v>78.905982905982896</v>
      </c>
      <c r="M143" s="14" t="str">
        <f t="shared" si="17"/>
        <v>OVERBOUGHT</v>
      </c>
      <c r="N143" s="7" t="str">
        <f t="shared" si="18"/>
        <v>SELL</v>
      </c>
      <c r="O143" s="7">
        <f t="shared" si="25"/>
        <v>0</v>
      </c>
      <c r="P143" s="7">
        <f t="shared" si="26"/>
        <v>-1</v>
      </c>
      <c r="Q143" s="10" t="e">
        <f t="shared" si="19"/>
        <v>#N/A</v>
      </c>
      <c r="R143" s="10" t="e">
        <f t="shared" si="20"/>
        <v>#N/A</v>
      </c>
      <c r="S143" s="7">
        <f t="shared" si="27"/>
        <v>781</v>
      </c>
      <c r="T143" s="7">
        <f t="shared" si="28"/>
        <v>0</v>
      </c>
    </row>
    <row r="144" spans="1:20" x14ac:dyDescent="0.25">
      <c r="A144" s="1">
        <v>41478</v>
      </c>
      <c r="B144">
        <v>851</v>
      </c>
      <c r="C144">
        <v>857.95</v>
      </c>
      <c r="D144">
        <v>847</v>
      </c>
      <c r="E144">
        <v>854.45</v>
      </c>
      <c r="F144">
        <v>2179614</v>
      </c>
      <c r="G144" s="4">
        <f t="shared" si="29"/>
        <v>5.3000000000000682</v>
      </c>
      <c r="H144" s="4">
        <f t="shared" si="30"/>
        <v>0</v>
      </c>
      <c r="I144" s="6">
        <f t="shared" si="21"/>
        <v>7.750000000000008</v>
      </c>
      <c r="J144" s="6">
        <f t="shared" si="22"/>
        <v>2.2035714285714301</v>
      </c>
      <c r="K144" s="4">
        <f t="shared" si="23"/>
        <v>3.5170178282009736</v>
      </c>
      <c r="L144">
        <f t="shared" si="24"/>
        <v>77.861499820595625</v>
      </c>
      <c r="M144" s="14" t="str">
        <f t="shared" ref="M144:M207" si="31">IF(L144&gt;RSI_Overbought,"OVERBOUGHT",IF(L144&lt;RSI_Oversold,"OVERSOLD",""))</f>
        <v>OVERBOUGHT</v>
      </c>
      <c r="N144" s="7" t="str">
        <f t="shared" ref="N144:N207" si="32">IF(L144&gt;RSI_Overbought,"SELL",IF(L144&lt;RSI_Oversold,"BUY",0))</f>
        <v>SELL</v>
      </c>
      <c r="O144" s="7">
        <f t="shared" si="25"/>
        <v>0</v>
      </c>
      <c r="P144" s="7">
        <f t="shared" si="26"/>
        <v>-1</v>
      </c>
      <c r="Q144" s="10" t="e">
        <f t="shared" ref="Q144:Q207" si="33">IF($O144="BUY",$E144,NA())</f>
        <v>#N/A</v>
      </c>
      <c r="R144" s="10" t="e">
        <f t="shared" ref="R144:R207" si="34">IF($O144="SELL",$E144,NA())</f>
        <v>#N/A</v>
      </c>
      <c r="S144" s="7">
        <f t="shared" si="27"/>
        <v>781</v>
      </c>
      <c r="T144" s="7">
        <f t="shared" si="28"/>
        <v>0</v>
      </c>
    </row>
    <row r="145" spans="1:20" x14ac:dyDescent="0.25">
      <c r="A145" s="1">
        <v>41479</v>
      </c>
      <c r="B145">
        <v>855</v>
      </c>
      <c r="C145">
        <v>855</v>
      </c>
      <c r="D145">
        <v>849</v>
      </c>
      <c r="E145">
        <v>850</v>
      </c>
      <c r="F145">
        <v>2665952</v>
      </c>
      <c r="G145" s="4">
        <f t="shared" si="29"/>
        <v>0</v>
      </c>
      <c r="H145" s="4">
        <f t="shared" si="30"/>
        <v>4.4500000000000455</v>
      </c>
      <c r="I145" s="6">
        <f t="shared" ref="I145:I208" si="35">AVERAGE(G132:G145)</f>
        <v>7.750000000000008</v>
      </c>
      <c r="J145" s="6">
        <f t="shared" ref="J145:J208" si="36">AVERAGE(H132:H145)</f>
        <v>2.3535714285714397</v>
      </c>
      <c r="K145" s="4">
        <f t="shared" ref="K145:K208" si="37">I145/J145</f>
        <v>3.2928679817905797</v>
      </c>
      <c r="L145">
        <f t="shared" ref="L145:L208" si="38">100-(100/(K145+1))</f>
        <v>76.705549664192233</v>
      </c>
      <c r="M145" s="14" t="str">
        <f t="shared" si="31"/>
        <v>OVERBOUGHT</v>
      </c>
      <c r="N145" s="7" t="str">
        <f t="shared" si="32"/>
        <v>SELL</v>
      </c>
      <c r="O145" s="7">
        <f t="shared" ref="O145:O208" si="39">IF(AND(N145="BUY",P144&lt;&gt;1),"BUY",IF(AND(N145="SELL",P144&lt;&gt;-1),"SELL",0))</f>
        <v>0</v>
      </c>
      <c r="P145" s="7">
        <f t="shared" ref="P145:P208" si="40">IF(O145="BUY",1,IF(O145="SELL",-1,P144))</f>
        <v>-1</v>
      </c>
      <c r="Q145" s="10" t="e">
        <f t="shared" si="33"/>
        <v>#N/A</v>
      </c>
      <c r="R145" s="10" t="e">
        <f t="shared" si="34"/>
        <v>#N/A</v>
      </c>
      <c r="S145" s="7">
        <f t="shared" ref="S145:S208" si="41">IF(O145&lt;&gt;0,E145,S144)</f>
        <v>781</v>
      </c>
      <c r="T145" s="7">
        <f t="shared" si="28"/>
        <v>0</v>
      </c>
    </row>
    <row r="146" spans="1:20" x14ac:dyDescent="0.25">
      <c r="A146" s="1">
        <v>41480</v>
      </c>
      <c r="B146">
        <v>849</v>
      </c>
      <c r="C146">
        <v>850</v>
      </c>
      <c r="D146">
        <v>835</v>
      </c>
      <c r="E146">
        <v>839.8</v>
      </c>
      <c r="F146">
        <v>641713</v>
      </c>
      <c r="G146" s="4">
        <f t="shared" si="29"/>
        <v>0</v>
      </c>
      <c r="H146" s="4">
        <f t="shared" si="30"/>
        <v>10.200000000000045</v>
      </c>
      <c r="I146" s="6">
        <f t="shared" si="35"/>
        <v>6.5178571428571512</v>
      </c>
      <c r="J146" s="6">
        <f t="shared" si="36"/>
        <v>3.082142857142872</v>
      </c>
      <c r="K146" s="4">
        <f t="shared" si="37"/>
        <v>2.1147161066048592</v>
      </c>
      <c r="L146">
        <f t="shared" si="38"/>
        <v>67.894345238095156</v>
      </c>
      <c r="M146" s="14" t="str">
        <f t="shared" si="31"/>
        <v/>
      </c>
      <c r="N146" s="7">
        <f t="shared" si="32"/>
        <v>0</v>
      </c>
      <c r="O146" s="7">
        <f t="shared" si="39"/>
        <v>0</v>
      </c>
      <c r="P146" s="7">
        <f t="shared" si="40"/>
        <v>-1</v>
      </c>
      <c r="Q146" s="10" t="e">
        <f t="shared" si="33"/>
        <v>#N/A</v>
      </c>
      <c r="R146" s="10" t="e">
        <f t="shared" si="34"/>
        <v>#N/A</v>
      </c>
      <c r="S146" s="7">
        <f t="shared" si="41"/>
        <v>781</v>
      </c>
      <c r="T146" s="7">
        <f t="shared" si="28"/>
        <v>0</v>
      </c>
    </row>
    <row r="147" spans="1:20" x14ac:dyDescent="0.25">
      <c r="A147" s="1">
        <v>41481</v>
      </c>
      <c r="B147">
        <v>843</v>
      </c>
      <c r="C147">
        <v>848.45</v>
      </c>
      <c r="D147">
        <v>837</v>
      </c>
      <c r="E147">
        <v>838.3</v>
      </c>
      <c r="F147">
        <v>1413881</v>
      </c>
      <c r="G147" s="4">
        <f t="shared" si="29"/>
        <v>0</v>
      </c>
      <c r="H147" s="4">
        <f t="shared" si="30"/>
        <v>1.5</v>
      </c>
      <c r="I147" s="6">
        <f t="shared" si="35"/>
        <v>6.5178571428571512</v>
      </c>
      <c r="J147" s="6">
        <f t="shared" si="36"/>
        <v>1.9714285714285811</v>
      </c>
      <c r="K147" s="4">
        <f t="shared" si="37"/>
        <v>3.306159420289843</v>
      </c>
      <c r="L147">
        <f t="shared" si="38"/>
        <v>76.777450567942722</v>
      </c>
      <c r="M147" s="14" t="str">
        <f t="shared" si="31"/>
        <v>OVERBOUGHT</v>
      </c>
      <c r="N147" s="7" t="str">
        <f t="shared" si="32"/>
        <v>SELL</v>
      </c>
      <c r="O147" s="7">
        <f t="shared" si="39"/>
        <v>0</v>
      </c>
      <c r="P147" s="7">
        <f t="shared" si="40"/>
        <v>-1</v>
      </c>
      <c r="Q147" s="10" t="e">
        <f t="shared" si="33"/>
        <v>#N/A</v>
      </c>
      <c r="R147" s="10" t="e">
        <f t="shared" si="34"/>
        <v>#N/A</v>
      </c>
      <c r="S147" s="7">
        <f t="shared" si="41"/>
        <v>781</v>
      </c>
      <c r="T147" s="7">
        <f t="shared" si="28"/>
        <v>0</v>
      </c>
    </row>
    <row r="148" spans="1:20" x14ac:dyDescent="0.25">
      <c r="A148" s="1">
        <v>41484</v>
      </c>
      <c r="B148">
        <v>841</v>
      </c>
      <c r="C148">
        <v>844.5</v>
      </c>
      <c r="D148">
        <v>828.55</v>
      </c>
      <c r="E148">
        <v>832.05</v>
      </c>
      <c r="F148">
        <v>640776</v>
      </c>
      <c r="G148" s="4">
        <f t="shared" si="29"/>
        <v>0</v>
      </c>
      <c r="H148" s="4">
        <f t="shared" si="30"/>
        <v>6.25</v>
      </c>
      <c r="I148" s="6">
        <f t="shared" si="35"/>
        <v>6.5178571428571512</v>
      </c>
      <c r="J148" s="6">
        <f t="shared" si="36"/>
        <v>2.4178571428571525</v>
      </c>
      <c r="K148" s="4">
        <f t="shared" si="37"/>
        <v>2.6957163958640993</v>
      </c>
      <c r="L148">
        <f t="shared" si="38"/>
        <v>72.941646682653825</v>
      </c>
      <c r="M148" s="14" t="str">
        <f t="shared" si="31"/>
        <v>OVERBOUGHT</v>
      </c>
      <c r="N148" s="7" t="str">
        <f t="shared" si="32"/>
        <v>SELL</v>
      </c>
      <c r="O148" s="7">
        <f t="shared" si="39"/>
        <v>0</v>
      </c>
      <c r="P148" s="7">
        <f t="shared" si="40"/>
        <v>-1</v>
      </c>
      <c r="Q148" s="10" t="e">
        <f t="shared" si="33"/>
        <v>#N/A</v>
      </c>
      <c r="R148" s="10" t="e">
        <f t="shared" si="34"/>
        <v>#N/A</v>
      </c>
      <c r="S148" s="7">
        <f t="shared" si="41"/>
        <v>781</v>
      </c>
      <c r="T148" s="7">
        <f t="shared" si="28"/>
        <v>0</v>
      </c>
    </row>
    <row r="149" spans="1:20" x14ac:dyDescent="0.25">
      <c r="A149" s="1">
        <v>41485</v>
      </c>
      <c r="B149">
        <v>836</v>
      </c>
      <c r="C149">
        <v>872</v>
      </c>
      <c r="D149">
        <v>835.85</v>
      </c>
      <c r="E149">
        <v>868.8</v>
      </c>
      <c r="F149">
        <v>2791967</v>
      </c>
      <c r="G149" s="4">
        <f t="shared" si="29"/>
        <v>36.75</v>
      </c>
      <c r="H149" s="4">
        <f t="shared" si="30"/>
        <v>0</v>
      </c>
      <c r="I149" s="6">
        <f t="shared" si="35"/>
        <v>8.6107142857142911</v>
      </c>
      <c r="J149" s="6">
        <f t="shared" si="36"/>
        <v>2.4178571428571525</v>
      </c>
      <c r="K149" s="4">
        <f t="shared" si="37"/>
        <v>3.5612998522895007</v>
      </c>
      <c r="L149">
        <f t="shared" si="38"/>
        <v>78.076424870466269</v>
      </c>
      <c r="M149" s="14" t="str">
        <f t="shared" si="31"/>
        <v>OVERBOUGHT</v>
      </c>
      <c r="N149" s="7" t="str">
        <f t="shared" si="32"/>
        <v>SELL</v>
      </c>
      <c r="O149" s="7">
        <f t="shared" si="39"/>
        <v>0</v>
      </c>
      <c r="P149" s="7">
        <f t="shared" si="40"/>
        <v>-1</v>
      </c>
      <c r="Q149" s="10" t="e">
        <f t="shared" si="33"/>
        <v>#N/A</v>
      </c>
      <c r="R149" s="10" t="e">
        <f t="shared" si="34"/>
        <v>#N/A</v>
      </c>
      <c r="S149" s="7">
        <f t="shared" si="41"/>
        <v>781</v>
      </c>
      <c r="T149" s="7">
        <f t="shared" si="28"/>
        <v>0</v>
      </c>
    </row>
    <row r="150" spans="1:20" x14ac:dyDescent="0.25">
      <c r="A150" s="1">
        <v>41486</v>
      </c>
      <c r="B150">
        <v>872</v>
      </c>
      <c r="C150">
        <v>882.4</v>
      </c>
      <c r="D150">
        <v>865.65</v>
      </c>
      <c r="E150">
        <v>877.85</v>
      </c>
      <c r="F150">
        <v>1456475</v>
      </c>
      <c r="G150" s="4">
        <f t="shared" si="29"/>
        <v>9.0500000000000682</v>
      </c>
      <c r="H150" s="4">
        <f t="shared" si="30"/>
        <v>0</v>
      </c>
      <c r="I150" s="6">
        <f t="shared" si="35"/>
        <v>5.5750000000000126</v>
      </c>
      <c r="J150" s="6">
        <f t="shared" si="36"/>
        <v>2.4178571428571525</v>
      </c>
      <c r="K150" s="4">
        <f t="shared" si="37"/>
        <v>2.3057607090103356</v>
      </c>
      <c r="L150">
        <f t="shared" si="38"/>
        <v>69.749776586237672</v>
      </c>
      <c r="M150" s="14" t="str">
        <f t="shared" si="31"/>
        <v/>
      </c>
      <c r="N150" s="7">
        <f t="shared" si="32"/>
        <v>0</v>
      </c>
      <c r="O150" s="7">
        <f t="shared" si="39"/>
        <v>0</v>
      </c>
      <c r="P150" s="7">
        <f t="shared" si="40"/>
        <v>-1</v>
      </c>
      <c r="Q150" s="10" t="e">
        <f t="shared" si="33"/>
        <v>#N/A</v>
      </c>
      <c r="R150" s="10" t="e">
        <f t="shared" si="34"/>
        <v>#N/A</v>
      </c>
      <c r="S150" s="7">
        <f t="shared" si="41"/>
        <v>781</v>
      </c>
      <c r="T150" s="7">
        <f t="shared" si="28"/>
        <v>0</v>
      </c>
    </row>
    <row r="151" spans="1:20" x14ac:dyDescent="0.25">
      <c r="A151" s="1">
        <v>41487</v>
      </c>
      <c r="B151">
        <v>880</v>
      </c>
      <c r="C151">
        <v>883.5</v>
      </c>
      <c r="D151">
        <v>860.65</v>
      </c>
      <c r="E151">
        <v>864.7</v>
      </c>
      <c r="F151">
        <v>1218867</v>
      </c>
      <c r="G151" s="4">
        <f t="shared" si="29"/>
        <v>0</v>
      </c>
      <c r="H151" s="4">
        <f t="shared" si="30"/>
        <v>13.149999999999977</v>
      </c>
      <c r="I151" s="6">
        <f t="shared" si="35"/>
        <v>5.5750000000000126</v>
      </c>
      <c r="J151" s="6">
        <f t="shared" si="36"/>
        <v>2.8607142857142986</v>
      </c>
      <c r="K151" s="4">
        <f t="shared" si="37"/>
        <v>1.9488139825218433</v>
      </c>
      <c r="L151">
        <f t="shared" si="38"/>
        <v>66.088060965283603</v>
      </c>
      <c r="M151" s="14" t="str">
        <f t="shared" si="31"/>
        <v/>
      </c>
      <c r="N151" s="7">
        <f t="shared" si="32"/>
        <v>0</v>
      </c>
      <c r="O151" s="7">
        <f t="shared" si="39"/>
        <v>0</v>
      </c>
      <c r="P151" s="7">
        <f t="shared" si="40"/>
        <v>-1</v>
      </c>
      <c r="Q151" s="10" t="e">
        <f t="shared" si="33"/>
        <v>#N/A</v>
      </c>
      <c r="R151" s="10" t="e">
        <f t="shared" si="34"/>
        <v>#N/A</v>
      </c>
      <c r="S151" s="7">
        <f t="shared" si="41"/>
        <v>781</v>
      </c>
      <c r="T151" s="7">
        <f t="shared" si="28"/>
        <v>0</v>
      </c>
    </row>
    <row r="152" spans="1:20" x14ac:dyDescent="0.25">
      <c r="A152" s="1">
        <v>41488</v>
      </c>
      <c r="B152">
        <v>861.15</v>
      </c>
      <c r="C152">
        <v>883.7</v>
      </c>
      <c r="D152">
        <v>846.1</v>
      </c>
      <c r="E152">
        <v>879.85</v>
      </c>
      <c r="F152">
        <v>2129993</v>
      </c>
      <c r="G152" s="4">
        <f t="shared" si="29"/>
        <v>15.149999999999977</v>
      </c>
      <c r="H152" s="4">
        <f t="shared" si="30"/>
        <v>0</v>
      </c>
      <c r="I152" s="6">
        <f t="shared" si="35"/>
        <v>6.6178571428571571</v>
      </c>
      <c r="J152" s="6">
        <f t="shared" si="36"/>
        <v>2.8607142857142986</v>
      </c>
      <c r="K152" s="4">
        <f t="shared" si="37"/>
        <v>2.3133583021223414</v>
      </c>
      <c r="L152">
        <f t="shared" si="38"/>
        <v>69.819140919366944</v>
      </c>
      <c r="M152" s="14" t="str">
        <f t="shared" si="31"/>
        <v/>
      </c>
      <c r="N152" s="7">
        <f t="shared" si="32"/>
        <v>0</v>
      </c>
      <c r="O152" s="7">
        <f t="shared" si="39"/>
        <v>0</v>
      </c>
      <c r="P152" s="7">
        <f t="shared" si="40"/>
        <v>-1</v>
      </c>
      <c r="Q152" s="10" t="e">
        <f t="shared" si="33"/>
        <v>#N/A</v>
      </c>
      <c r="R152" s="10" t="e">
        <f t="shared" si="34"/>
        <v>#N/A</v>
      </c>
      <c r="S152" s="7">
        <f t="shared" si="41"/>
        <v>781</v>
      </c>
      <c r="T152" s="7">
        <f t="shared" si="28"/>
        <v>0</v>
      </c>
    </row>
    <row r="153" spans="1:20" x14ac:dyDescent="0.25">
      <c r="A153" s="1">
        <v>41491</v>
      </c>
      <c r="B153">
        <v>885</v>
      </c>
      <c r="C153">
        <v>885</v>
      </c>
      <c r="D153">
        <v>861.4</v>
      </c>
      <c r="E153">
        <v>864.5</v>
      </c>
      <c r="F153">
        <v>772597</v>
      </c>
      <c r="G153" s="4">
        <f t="shared" si="29"/>
        <v>0</v>
      </c>
      <c r="H153" s="4">
        <f t="shared" si="30"/>
        <v>15.350000000000023</v>
      </c>
      <c r="I153" s="6">
        <f t="shared" si="35"/>
        <v>5.4928571428571571</v>
      </c>
      <c r="J153" s="6">
        <f t="shared" si="36"/>
        <v>3.957142857142872</v>
      </c>
      <c r="K153" s="4">
        <f t="shared" si="37"/>
        <v>1.3880866425992764</v>
      </c>
      <c r="L153">
        <f t="shared" si="38"/>
        <v>58.125472411186671</v>
      </c>
      <c r="M153" s="14" t="str">
        <f t="shared" si="31"/>
        <v/>
      </c>
      <c r="N153" s="7">
        <f t="shared" si="32"/>
        <v>0</v>
      </c>
      <c r="O153" s="7">
        <f t="shared" si="39"/>
        <v>0</v>
      </c>
      <c r="P153" s="7">
        <f t="shared" si="40"/>
        <v>-1</v>
      </c>
      <c r="Q153" s="10" t="e">
        <f t="shared" si="33"/>
        <v>#N/A</v>
      </c>
      <c r="R153" s="10" t="e">
        <f t="shared" si="34"/>
        <v>#N/A</v>
      </c>
      <c r="S153" s="7">
        <f t="shared" si="41"/>
        <v>781</v>
      </c>
      <c r="T153" s="7">
        <f t="shared" si="28"/>
        <v>0</v>
      </c>
    </row>
    <row r="154" spans="1:20" x14ac:dyDescent="0.25">
      <c r="A154" s="1">
        <v>41492</v>
      </c>
      <c r="B154">
        <v>862</v>
      </c>
      <c r="C154">
        <v>873</v>
      </c>
      <c r="D154">
        <v>854.8</v>
      </c>
      <c r="E154">
        <v>858.15</v>
      </c>
      <c r="F154">
        <v>2010124</v>
      </c>
      <c r="G154" s="4">
        <f t="shared" si="29"/>
        <v>0</v>
      </c>
      <c r="H154" s="4">
        <f t="shared" si="30"/>
        <v>6.3500000000000227</v>
      </c>
      <c r="I154" s="6">
        <f t="shared" si="35"/>
        <v>5.4428571428571546</v>
      </c>
      <c r="J154" s="6">
        <f t="shared" si="36"/>
        <v>4.4107142857143016</v>
      </c>
      <c r="K154" s="4">
        <f t="shared" si="37"/>
        <v>1.2340080971659901</v>
      </c>
      <c r="L154">
        <f t="shared" si="38"/>
        <v>55.23740485683215</v>
      </c>
      <c r="M154" s="14" t="str">
        <f t="shared" si="31"/>
        <v/>
      </c>
      <c r="N154" s="7">
        <f t="shared" si="32"/>
        <v>0</v>
      </c>
      <c r="O154" s="7">
        <f t="shared" si="39"/>
        <v>0</v>
      </c>
      <c r="P154" s="7">
        <f t="shared" si="40"/>
        <v>-1</v>
      </c>
      <c r="Q154" s="10" t="e">
        <f t="shared" si="33"/>
        <v>#N/A</v>
      </c>
      <c r="R154" s="10" t="e">
        <f t="shared" si="34"/>
        <v>#N/A</v>
      </c>
      <c r="S154" s="7">
        <f t="shared" si="41"/>
        <v>781</v>
      </c>
      <c r="T154" s="7">
        <f t="shared" ref="T154:T217" si="42">IF(O154="BUY",(S153-S154)/S153,IF(O154="SELL",(S154-S153)/S153,0))</f>
        <v>0</v>
      </c>
    </row>
    <row r="155" spans="1:20" x14ac:dyDescent="0.25">
      <c r="A155" s="1">
        <v>41493</v>
      </c>
      <c r="B155">
        <v>856.9</v>
      </c>
      <c r="C155">
        <v>856.9</v>
      </c>
      <c r="D155">
        <v>846.2</v>
      </c>
      <c r="E155">
        <v>853.45</v>
      </c>
      <c r="F155">
        <v>1139046</v>
      </c>
      <c r="G155" s="4">
        <f t="shared" si="29"/>
        <v>0</v>
      </c>
      <c r="H155" s="4">
        <f t="shared" si="30"/>
        <v>4.6999999999999318</v>
      </c>
      <c r="I155" s="6">
        <f t="shared" si="35"/>
        <v>5.4428571428571546</v>
      </c>
      <c r="J155" s="6">
        <f t="shared" si="36"/>
        <v>4.4321428571428623</v>
      </c>
      <c r="K155" s="4">
        <f t="shared" si="37"/>
        <v>1.2280419016921849</v>
      </c>
      <c r="L155">
        <f t="shared" si="38"/>
        <v>55.117540687160968</v>
      </c>
      <c r="M155" s="14" t="str">
        <f t="shared" si="31"/>
        <v/>
      </c>
      <c r="N155" s="7">
        <f t="shared" si="32"/>
        <v>0</v>
      </c>
      <c r="O155" s="7">
        <f t="shared" si="39"/>
        <v>0</v>
      </c>
      <c r="P155" s="7">
        <f t="shared" si="40"/>
        <v>-1</v>
      </c>
      <c r="Q155" s="10" t="e">
        <f t="shared" si="33"/>
        <v>#N/A</v>
      </c>
      <c r="R155" s="10" t="e">
        <f t="shared" si="34"/>
        <v>#N/A</v>
      </c>
      <c r="S155" s="7">
        <f t="shared" si="41"/>
        <v>781</v>
      </c>
      <c r="T155" s="7">
        <f t="shared" si="42"/>
        <v>0</v>
      </c>
    </row>
    <row r="156" spans="1:20" x14ac:dyDescent="0.25">
      <c r="A156" s="1">
        <v>41494</v>
      </c>
      <c r="B156">
        <v>857</v>
      </c>
      <c r="C156">
        <v>862.9</v>
      </c>
      <c r="D156">
        <v>838</v>
      </c>
      <c r="E156">
        <v>854.4</v>
      </c>
      <c r="F156">
        <v>1294953</v>
      </c>
      <c r="G156" s="4">
        <f t="shared" si="29"/>
        <v>0.94999999999993179</v>
      </c>
      <c r="H156" s="4">
        <f t="shared" si="30"/>
        <v>0</v>
      </c>
      <c r="I156" s="6">
        <f t="shared" si="35"/>
        <v>4.8000000000000034</v>
      </c>
      <c r="J156" s="6">
        <f t="shared" si="36"/>
        <v>4.4321428571428623</v>
      </c>
      <c r="K156" s="4">
        <f t="shared" si="37"/>
        <v>1.0829975825946812</v>
      </c>
      <c r="L156">
        <f t="shared" si="38"/>
        <v>51.992263056092831</v>
      </c>
      <c r="M156" s="14" t="str">
        <f t="shared" si="31"/>
        <v/>
      </c>
      <c r="N156" s="7">
        <f t="shared" si="32"/>
        <v>0</v>
      </c>
      <c r="O156" s="7">
        <f t="shared" si="39"/>
        <v>0</v>
      </c>
      <c r="P156" s="7">
        <f t="shared" si="40"/>
        <v>-1</v>
      </c>
      <c r="Q156" s="10" t="e">
        <f t="shared" si="33"/>
        <v>#N/A</v>
      </c>
      <c r="R156" s="10" t="e">
        <f t="shared" si="34"/>
        <v>#N/A</v>
      </c>
      <c r="S156" s="7">
        <f t="shared" si="41"/>
        <v>781</v>
      </c>
      <c r="T156" s="7">
        <f t="shared" si="42"/>
        <v>0</v>
      </c>
    </row>
    <row r="157" spans="1:20" x14ac:dyDescent="0.25">
      <c r="A157" s="1">
        <v>41495</v>
      </c>
      <c r="B157">
        <v>857</v>
      </c>
      <c r="C157">
        <v>862.55</v>
      </c>
      <c r="D157">
        <v>848.8</v>
      </c>
      <c r="E157">
        <v>854.1</v>
      </c>
      <c r="F157">
        <v>659549</v>
      </c>
      <c r="G157" s="4">
        <f t="shared" si="29"/>
        <v>0</v>
      </c>
      <c r="H157" s="4">
        <f t="shared" si="30"/>
        <v>0.29999999999995453</v>
      </c>
      <c r="I157" s="6">
        <f t="shared" si="35"/>
        <v>4.8000000000000034</v>
      </c>
      <c r="J157" s="6">
        <f t="shared" si="36"/>
        <v>4.4464285714285712</v>
      </c>
      <c r="K157" s="4">
        <f t="shared" si="37"/>
        <v>1.0795180722891575</v>
      </c>
      <c r="L157">
        <f t="shared" si="38"/>
        <v>51.911935110081131</v>
      </c>
      <c r="M157" s="14" t="str">
        <f t="shared" si="31"/>
        <v/>
      </c>
      <c r="N157" s="7">
        <f t="shared" si="32"/>
        <v>0</v>
      </c>
      <c r="O157" s="7">
        <f t="shared" si="39"/>
        <v>0</v>
      </c>
      <c r="P157" s="7">
        <f t="shared" si="40"/>
        <v>-1</v>
      </c>
      <c r="Q157" s="10" t="e">
        <f t="shared" si="33"/>
        <v>#N/A</v>
      </c>
      <c r="R157" s="10" t="e">
        <f t="shared" si="34"/>
        <v>#N/A</v>
      </c>
      <c r="S157" s="7">
        <f t="shared" si="41"/>
        <v>781</v>
      </c>
      <c r="T157" s="7">
        <f t="shared" si="42"/>
        <v>0</v>
      </c>
    </row>
    <row r="158" spans="1:20" x14ac:dyDescent="0.25">
      <c r="A158" s="1">
        <v>41498</v>
      </c>
      <c r="B158">
        <v>850.1</v>
      </c>
      <c r="C158">
        <v>861</v>
      </c>
      <c r="D158">
        <v>844</v>
      </c>
      <c r="E158">
        <v>850.2</v>
      </c>
      <c r="F158">
        <v>866598</v>
      </c>
      <c r="G158" s="4">
        <f t="shared" si="29"/>
        <v>0</v>
      </c>
      <c r="H158" s="4">
        <f t="shared" si="30"/>
        <v>3.8999999999999773</v>
      </c>
      <c r="I158" s="6">
        <f t="shared" si="35"/>
        <v>4.4214285714285699</v>
      </c>
      <c r="J158" s="6">
        <f t="shared" si="36"/>
        <v>4.7249999999999988</v>
      </c>
      <c r="K158" s="4">
        <f t="shared" si="37"/>
        <v>0.93575207860922138</v>
      </c>
      <c r="L158">
        <f t="shared" si="38"/>
        <v>48.340491995314324</v>
      </c>
      <c r="M158" s="14" t="str">
        <f t="shared" si="31"/>
        <v/>
      </c>
      <c r="N158" s="7">
        <f t="shared" si="32"/>
        <v>0</v>
      </c>
      <c r="O158" s="7">
        <f t="shared" si="39"/>
        <v>0</v>
      </c>
      <c r="P158" s="7">
        <f t="shared" si="40"/>
        <v>-1</v>
      </c>
      <c r="Q158" s="10" t="e">
        <f t="shared" si="33"/>
        <v>#N/A</v>
      </c>
      <c r="R158" s="10" t="e">
        <f t="shared" si="34"/>
        <v>#N/A</v>
      </c>
      <c r="S158" s="7">
        <f t="shared" si="41"/>
        <v>781</v>
      </c>
      <c r="T158" s="7">
        <f t="shared" si="42"/>
        <v>0</v>
      </c>
    </row>
    <row r="159" spans="1:20" x14ac:dyDescent="0.25">
      <c r="A159" s="1">
        <v>41499</v>
      </c>
      <c r="B159">
        <v>853</v>
      </c>
      <c r="C159">
        <v>875.8</v>
      </c>
      <c r="D159">
        <v>850</v>
      </c>
      <c r="E159">
        <v>871.1</v>
      </c>
      <c r="F159">
        <v>1444458</v>
      </c>
      <c r="G159" s="4">
        <f t="shared" si="29"/>
        <v>20.899999999999977</v>
      </c>
      <c r="H159" s="4">
        <f t="shared" si="30"/>
        <v>0</v>
      </c>
      <c r="I159" s="6">
        <f t="shared" si="35"/>
        <v>5.914285714285711</v>
      </c>
      <c r="J159" s="6">
        <f t="shared" si="36"/>
        <v>4.4071428571428521</v>
      </c>
      <c r="K159" s="4">
        <f t="shared" si="37"/>
        <v>1.3419773095623995</v>
      </c>
      <c r="L159">
        <f t="shared" si="38"/>
        <v>57.301038062283752</v>
      </c>
      <c r="M159" s="14" t="str">
        <f t="shared" si="31"/>
        <v/>
      </c>
      <c r="N159" s="7">
        <f t="shared" si="32"/>
        <v>0</v>
      </c>
      <c r="O159" s="7">
        <f t="shared" si="39"/>
        <v>0</v>
      </c>
      <c r="P159" s="7">
        <f t="shared" si="40"/>
        <v>-1</v>
      </c>
      <c r="Q159" s="10" t="e">
        <f t="shared" si="33"/>
        <v>#N/A</v>
      </c>
      <c r="R159" s="10" t="e">
        <f t="shared" si="34"/>
        <v>#N/A</v>
      </c>
      <c r="S159" s="7">
        <f t="shared" si="41"/>
        <v>781</v>
      </c>
      <c r="T159" s="7">
        <f t="shared" si="42"/>
        <v>0</v>
      </c>
    </row>
    <row r="160" spans="1:20" x14ac:dyDescent="0.25">
      <c r="A160" s="1">
        <v>41500</v>
      </c>
      <c r="B160">
        <v>874</v>
      </c>
      <c r="C160">
        <v>880.9</v>
      </c>
      <c r="D160">
        <v>867.3</v>
      </c>
      <c r="E160">
        <v>872.05</v>
      </c>
      <c r="F160">
        <v>1074267</v>
      </c>
      <c r="G160" s="4">
        <f t="shared" si="29"/>
        <v>0.94999999999993179</v>
      </c>
      <c r="H160" s="4">
        <f t="shared" si="30"/>
        <v>0</v>
      </c>
      <c r="I160" s="6">
        <f t="shared" si="35"/>
        <v>5.9821428571428488</v>
      </c>
      <c r="J160" s="6">
        <f t="shared" si="36"/>
        <v>3.6785714285714204</v>
      </c>
      <c r="K160" s="4">
        <f t="shared" si="37"/>
        <v>1.626213592233011</v>
      </c>
      <c r="L160">
        <f t="shared" si="38"/>
        <v>61.922365988909448</v>
      </c>
      <c r="M160" s="14" t="str">
        <f t="shared" si="31"/>
        <v/>
      </c>
      <c r="N160" s="7">
        <f t="shared" si="32"/>
        <v>0</v>
      </c>
      <c r="O160" s="7">
        <f t="shared" si="39"/>
        <v>0</v>
      </c>
      <c r="P160" s="7">
        <f t="shared" si="40"/>
        <v>-1</v>
      </c>
      <c r="Q160" s="10" t="e">
        <f t="shared" si="33"/>
        <v>#N/A</v>
      </c>
      <c r="R160" s="10" t="e">
        <f t="shared" si="34"/>
        <v>#N/A</v>
      </c>
      <c r="S160" s="7">
        <f t="shared" si="41"/>
        <v>781</v>
      </c>
      <c r="T160" s="7">
        <f t="shared" si="42"/>
        <v>0</v>
      </c>
    </row>
    <row r="161" spans="1:20" x14ac:dyDescent="0.25">
      <c r="A161" s="1">
        <v>41501</v>
      </c>
      <c r="B161">
        <v>869</v>
      </c>
      <c r="C161">
        <v>879.9</v>
      </c>
      <c r="D161">
        <v>863</v>
      </c>
      <c r="E161">
        <v>868.95</v>
      </c>
      <c r="F161">
        <v>873198</v>
      </c>
      <c r="G161" s="4">
        <f t="shared" si="29"/>
        <v>0</v>
      </c>
      <c r="H161" s="4">
        <f t="shared" si="30"/>
        <v>3.0999999999999091</v>
      </c>
      <c r="I161" s="6">
        <f t="shared" si="35"/>
        <v>5.9821428571428488</v>
      </c>
      <c r="J161" s="6">
        <f t="shared" si="36"/>
        <v>3.792857142857128</v>
      </c>
      <c r="K161" s="4">
        <f t="shared" si="37"/>
        <v>1.5772128060263693</v>
      </c>
      <c r="L161">
        <f t="shared" si="38"/>
        <v>61.1983924004385</v>
      </c>
      <c r="M161" s="14" t="str">
        <f t="shared" si="31"/>
        <v/>
      </c>
      <c r="N161" s="7">
        <f t="shared" si="32"/>
        <v>0</v>
      </c>
      <c r="O161" s="7">
        <f t="shared" si="39"/>
        <v>0</v>
      </c>
      <c r="P161" s="7">
        <f t="shared" si="40"/>
        <v>-1</v>
      </c>
      <c r="Q161" s="10" t="e">
        <f t="shared" si="33"/>
        <v>#N/A</v>
      </c>
      <c r="R161" s="10" t="e">
        <f t="shared" si="34"/>
        <v>#N/A</v>
      </c>
      <c r="S161" s="7">
        <f t="shared" si="41"/>
        <v>781</v>
      </c>
      <c r="T161" s="7">
        <f t="shared" si="42"/>
        <v>0</v>
      </c>
    </row>
    <row r="162" spans="1:20" x14ac:dyDescent="0.25">
      <c r="A162" s="1">
        <v>41502</v>
      </c>
      <c r="B162">
        <v>860</v>
      </c>
      <c r="C162">
        <v>875.45</v>
      </c>
      <c r="D162">
        <v>857.05</v>
      </c>
      <c r="E162">
        <v>870.4</v>
      </c>
      <c r="F162">
        <v>524915</v>
      </c>
      <c r="G162" s="4">
        <f t="shared" si="29"/>
        <v>1.4499999999999318</v>
      </c>
      <c r="H162" s="4">
        <f t="shared" si="30"/>
        <v>0</v>
      </c>
      <c r="I162" s="6">
        <f t="shared" si="35"/>
        <v>6.085714285714273</v>
      </c>
      <c r="J162" s="6">
        <f t="shared" si="36"/>
        <v>3.3464285714285569</v>
      </c>
      <c r="K162" s="4">
        <f t="shared" si="37"/>
        <v>1.8185699039487768</v>
      </c>
      <c r="L162">
        <f t="shared" si="38"/>
        <v>64.521014767133721</v>
      </c>
      <c r="M162" s="14" t="str">
        <f t="shared" si="31"/>
        <v/>
      </c>
      <c r="N162" s="7">
        <f t="shared" si="32"/>
        <v>0</v>
      </c>
      <c r="O162" s="7">
        <f t="shared" si="39"/>
        <v>0</v>
      </c>
      <c r="P162" s="7">
        <f t="shared" si="40"/>
        <v>-1</v>
      </c>
      <c r="Q162" s="10" t="e">
        <f t="shared" si="33"/>
        <v>#N/A</v>
      </c>
      <c r="R162" s="10" t="e">
        <f t="shared" si="34"/>
        <v>#N/A</v>
      </c>
      <c r="S162" s="7">
        <f t="shared" si="41"/>
        <v>781</v>
      </c>
      <c r="T162" s="7">
        <f t="shared" si="42"/>
        <v>0</v>
      </c>
    </row>
    <row r="163" spans="1:20" x14ac:dyDescent="0.25">
      <c r="A163" s="1">
        <v>41505</v>
      </c>
      <c r="B163">
        <v>870</v>
      </c>
      <c r="C163">
        <v>881.9</v>
      </c>
      <c r="D163">
        <v>865</v>
      </c>
      <c r="E163">
        <v>870.7</v>
      </c>
      <c r="F163">
        <v>1325237</v>
      </c>
      <c r="G163" s="4">
        <f t="shared" si="29"/>
        <v>0.30000000000006821</v>
      </c>
      <c r="H163" s="4">
        <f t="shared" si="30"/>
        <v>0</v>
      </c>
      <c r="I163" s="6">
        <f t="shared" si="35"/>
        <v>3.4821428571428492</v>
      </c>
      <c r="J163" s="6">
        <f t="shared" si="36"/>
        <v>3.3464285714285569</v>
      </c>
      <c r="K163" s="4">
        <f t="shared" si="37"/>
        <v>1.0405549626467472</v>
      </c>
      <c r="L163">
        <f t="shared" si="38"/>
        <v>50.993723849372444</v>
      </c>
      <c r="M163" s="14" t="str">
        <f t="shared" si="31"/>
        <v/>
      </c>
      <c r="N163" s="7">
        <f t="shared" si="32"/>
        <v>0</v>
      </c>
      <c r="O163" s="7">
        <f t="shared" si="39"/>
        <v>0</v>
      </c>
      <c r="P163" s="7">
        <f t="shared" si="40"/>
        <v>-1</v>
      </c>
      <c r="Q163" s="10" t="e">
        <f t="shared" si="33"/>
        <v>#N/A</v>
      </c>
      <c r="R163" s="10" t="e">
        <f t="shared" si="34"/>
        <v>#N/A</v>
      </c>
      <c r="S163" s="7">
        <f t="shared" si="41"/>
        <v>781</v>
      </c>
      <c r="T163" s="7">
        <f t="shared" si="42"/>
        <v>0</v>
      </c>
    </row>
    <row r="164" spans="1:20" x14ac:dyDescent="0.25">
      <c r="A164" s="1">
        <v>41506</v>
      </c>
      <c r="B164">
        <v>872</v>
      </c>
      <c r="C164">
        <v>881.5</v>
      </c>
      <c r="D164">
        <v>866.3</v>
      </c>
      <c r="E164">
        <v>871.2</v>
      </c>
      <c r="F164">
        <v>1189984</v>
      </c>
      <c r="G164" s="4">
        <f t="shared" si="29"/>
        <v>0.5</v>
      </c>
      <c r="H164" s="4">
        <f t="shared" si="30"/>
        <v>0</v>
      </c>
      <c r="I164" s="6">
        <f t="shared" si="35"/>
        <v>2.8714285714285586</v>
      </c>
      <c r="J164" s="6">
        <f t="shared" si="36"/>
        <v>3.3464285714285569</v>
      </c>
      <c r="K164" s="4">
        <f t="shared" si="37"/>
        <v>0.85805763073639263</v>
      </c>
      <c r="L164">
        <f t="shared" si="38"/>
        <v>46.180356117174028</v>
      </c>
      <c r="M164" s="14" t="str">
        <f t="shared" si="31"/>
        <v/>
      </c>
      <c r="N164" s="7">
        <f t="shared" si="32"/>
        <v>0</v>
      </c>
      <c r="O164" s="7">
        <f t="shared" si="39"/>
        <v>0</v>
      </c>
      <c r="P164" s="7">
        <f t="shared" si="40"/>
        <v>-1</v>
      </c>
      <c r="Q164" s="10" t="e">
        <f t="shared" si="33"/>
        <v>#N/A</v>
      </c>
      <c r="R164" s="10" t="e">
        <f t="shared" si="34"/>
        <v>#N/A</v>
      </c>
      <c r="S164" s="7">
        <f t="shared" si="41"/>
        <v>781</v>
      </c>
      <c r="T164" s="7">
        <f t="shared" si="42"/>
        <v>0</v>
      </c>
    </row>
    <row r="165" spans="1:20" x14ac:dyDescent="0.25">
      <c r="A165" s="1">
        <v>41507</v>
      </c>
      <c r="B165">
        <v>874</v>
      </c>
      <c r="C165">
        <v>879</v>
      </c>
      <c r="D165">
        <v>860.25</v>
      </c>
      <c r="E165">
        <v>876.5</v>
      </c>
      <c r="F165">
        <v>2102214</v>
      </c>
      <c r="G165" s="4">
        <f t="shared" si="29"/>
        <v>5.2999999999999545</v>
      </c>
      <c r="H165" s="4">
        <f t="shared" si="30"/>
        <v>0</v>
      </c>
      <c r="I165" s="6">
        <f t="shared" si="35"/>
        <v>3.2499999999999836</v>
      </c>
      <c r="J165" s="6">
        <f t="shared" si="36"/>
        <v>2.4071428571428442</v>
      </c>
      <c r="K165" s="4">
        <f t="shared" si="37"/>
        <v>1.3501483679525228</v>
      </c>
      <c r="L165">
        <f t="shared" si="38"/>
        <v>57.449494949494955</v>
      </c>
      <c r="M165" s="14" t="str">
        <f t="shared" si="31"/>
        <v/>
      </c>
      <c r="N165" s="7">
        <f t="shared" si="32"/>
        <v>0</v>
      </c>
      <c r="O165" s="7">
        <f t="shared" si="39"/>
        <v>0</v>
      </c>
      <c r="P165" s="7">
        <f t="shared" si="40"/>
        <v>-1</v>
      </c>
      <c r="Q165" s="10" t="e">
        <f t="shared" si="33"/>
        <v>#N/A</v>
      </c>
      <c r="R165" s="10" t="e">
        <f t="shared" si="34"/>
        <v>#N/A</v>
      </c>
      <c r="S165" s="7">
        <f t="shared" si="41"/>
        <v>781</v>
      </c>
      <c r="T165" s="7">
        <f t="shared" si="42"/>
        <v>0</v>
      </c>
    </row>
    <row r="166" spans="1:20" x14ac:dyDescent="0.25">
      <c r="A166" s="1">
        <v>41508</v>
      </c>
      <c r="B166">
        <v>872.1</v>
      </c>
      <c r="C166">
        <v>873</v>
      </c>
      <c r="D166">
        <v>851</v>
      </c>
      <c r="E166">
        <v>856.05</v>
      </c>
      <c r="F166">
        <v>638257</v>
      </c>
      <c r="G166" s="4">
        <f t="shared" si="29"/>
        <v>0</v>
      </c>
      <c r="H166" s="4">
        <f t="shared" si="30"/>
        <v>20.450000000000045</v>
      </c>
      <c r="I166" s="6">
        <f t="shared" si="35"/>
        <v>2.167857142857128</v>
      </c>
      <c r="J166" s="6">
        <f t="shared" si="36"/>
        <v>3.8678571428571331</v>
      </c>
      <c r="K166" s="4">
        <f t="shared" si="37"/>
        <v>0.560480147737763</v>
      </c>
      <c r="L166">
        <f t="shared" si="38"/>
        <v>35.917159763313506</v>
      </c>
      <c r="M166" s="14" t="str">
        <f t="shared" si="31"/>
        <v/>
      </c>
      <c r="N166" s="7">
        <f t="shared" si="32"/>
        <v>0</v>
      </c>
      <c r="O166" s="7">
        <f t="shared" si="39"/>
        <v>0</v>
      </c>
      <c r="P166" s="7">
        <f t="shared" si="40"/>
        <v>-1</v>
      </c>
      <c r="Q166" s="10" t="e">
        <f t="shared" si="33"/>
        <v>#N/A</v>
      </c>
      <c r="R166" s="10" t="e">
        <f t="shared" si="34"/>
        <v>#N/A</v>
      </c>
      <c r="S166" s="7">
        <f t="shared" si="41"/>
        <v>781</v>
      </c>
      <c r="T166" s="7">
        <f t="shared" si="42"/>
        <v>0</v>
      </c>
    </row>
    <row r="167" spans="1:20" x14ac:dyDescent="0.25">
      <c r="A167" s="1">
        <v>41509</v>
      </c>
      <c r="B167">
        <v>862.8</v>
      </c>
      <c r="C167">
        <v>862.8</v>
      </c>
      <c r="D167">
        <v>840.1</v>
      </c>
      <c r="E167">
        <v>845.65</v>
      </c>
      <c r="F167">
        <v>779285</v>
      </c>
      <c r="G167" s="4">
        <f t="shared" si="29"/>
        <v>0</v>
      </c>
      <c r="H167" s="4">
        <f t="shared" si="30"/>
        <v>10.399999999999977</v>
      </c>
      <c r="I167" s="6">
        <f t="shared" si="35"/>
        <v>2.167857142857128</v>
      </c>
      <c r="J167" s="6">
        <f t="shared" si="36"/>
        <v>3.5142857142857014</v>
      </c>
      <c r="K167" s="4">
        <f t="shared" si="37"/>
        <v>0.61686991869918506</v>
      </c>
      <c r="L167">
        <f t="shared" si="38"/>
        <v>38.152105593965985</v>
      </c>
      <c r="M167" s="14" t="str">
        <f t="shared" si="31"/>
        <v/>
      </c>
      <c r="N167" s="7">
        <f t="shared" si="32"/>
        <v>0</v>
      </c>
      <c r="O167" s="7">
        <f t="shared" si="39"/>
        <v>0</v>
      </c>
      <c r="P167" s="7">
        <f t="shared" si="40"/>
        <v>-1</v>
      </c>
      <c r="Q167" s="10" t="e">
        <f t="shared" si="33"/>
        <v>#N/A</v>
      </c>
      <c r="R167" s="10" t="e">
        <f t="shared" si="34"/>
        <v>#N/A</v>
      </c>
      <c r="S167" s="7">
        <f t="shared" si="41"/>
        <v>781</v>
      </c>
      <c r="T167" s="7">
        <f t="shared" si="42"/>
        <v>0</v>
      </c>
    </row>
    <row r="168" spans="1:20" x14ac:dyDescent="0.25">
      <c r="A168" s="1">
        <v>41512</v>
      </c>
      <c r="B168">
        <v>840</v>
      </c>
      <c r="C168">
        <v>847.7</v>
      </c>
      <c r="D168">
        <v>830.2</v>
      </c>
      <c r="E168">
        <v>843.75</v>
      </c>
      <c r="F168">
        <v>1223937</v>
      </c>
      <c r="G168" s="4">
        <f t="shared" si="29"/>
        <v>0</v>
      </c>
      <c r="H168" s="4">
        <f t="shared" si="30"/>
        <v>1.8999999999999773</v>
      </c>
      <c r="I168" s="6">
        <f t="shared" si="35"/>
        <v>2.167857142857128</v>
      </c>
      <c r="J168" s="6">
        <f t="shared" si="36"/>
        <v>3.1964285714285552</v>
      </c>
      <c r="K168" s="4">
        <f t="shared" si="37"/>
        <v>0.67821229050279208</v>
      </c>
      <c r="L168">
        <f t="shared" si="38"/>
        <v>40.412782956058543</v>
      </c>
      <c r="M168" s="14" t="str">
        <f t="shared" si="31"/>
        <v/>
      </c>
      <c r="N168" s="7">
        <f t="shared" si="32"/>
        <v>0</v>
      </c>
      <c r="O168" s="7">
        <f t="shared" si="39"/>
        <v>0</v>
      </c>
      <c r="P168" s="7">
        <f t="shared" si="40"/>
        <v>-1</v>
      </c>
      <c r="Q168" s="10" t="e">
        <f t="shared" si="33"/>
        <v>#N/A</v>
      </c>
      <c r="R168" s="10" t="e">
        <f t="shared" si="34"/>
        <v>#N/A</v>
      </c>
      <c r="S168" s="7">
        <f t="shared" si="41"/>
        <v>781</v>
      </c>
      <c r="T168" s="7">
        <f t="shared" si="42"/>
        <v>0</v>
      </c>
    </row>
    <row r="169" spans="1:20" x14ac:dyDescent="0.25">
      <c r="A169" s="1">
        <v>41513</v>
      </c>
      <c r="B169">
        <v>842</v>
      </c>
      <c r="C169">
        <v>861</v>
      </c>
      <c r="D169">
        <v>840</v>
      </c>
      <c r="E169">
        <v>858.4</v>
      </c>
      <c r="F169">
        <v>1372742</v>
      </c>
      <c r="G169" s="4">
        <f t="shared" si="29"/>
        <v>14.649999999999977</v>
      </c>
      <c r="H169" s="4">
        <f t="shared" si="30"/>
        <v>0</v>
      </c>
      <c r="I169" s="6">
        <f t="shared" si="35"/>
        <v>3.214285714285698</v>
      </c>
      <c r="J169" s="6">
        <f t="shared" si="36"/>
        <v>2.8607142857142742</v>
      </c>
      <c r="K169" s="4">
        <f t="shared" si="37"/>
        <v>1.1235955056179763</v>
      </c>
      <c r="L169">
        <f t="shared" si="38"/>
        <v>52.910052910052883</v>
      </c>
      <c r="M169" s="14" t="str">
        <f t="shared" si="31"/>
        <v/>
      </c>
      <c r="N169" s="7">
        <f t="shared" si="32"/>
        <v>0</v>
      </c>
      <c r="O169" s="7">
        <f t="shared" si="39"/>
        <v>0</v>
      </c>
      <c r="P169" s="7">
        <f t="shared" si="40"/>
        <v>-1</v>
      </c>
      <c r="Q169" s="10" t="e">
        <f t="shared" si="33"/>
        <v>#N/A</v>
      </c>
      <c r="R169" s="10" t="e">
        <f t="shared" si="34"/>
        <v>#N/A</v>
      </c>
      <c r="S169" s="7">
        <f t="shared" si="41"/>
        <v>781</v>
      </c>
      <c r="T169" s="7">
        <f t="shared" si="42"/>
        <v>0</v>
      </c>
    </row>
    <row r="170" spans="1:20" x14ac:dyDescent="0.25">
      <c r="A170" s="1">
        <v>41514</v>
      </c>
      <c r="B170">
        <v>867.5</v>
      </c>
      <c r="C170">
        <v>867.5</v>
      </c>
      <c r="D170">
        <v>841.5</v>
      </c>
      <c r="E170">
        <v>844.1</v>
      </c>
      <c r="F170">
        <v>1379400</v>
      </c>
      <c r="G170" s="4">
        <f t="shared" si="29"/>
        <v>0</v>
      </c>
      <c r="H170" s="4">
        <f t="shared" si="30"/>
        <v>14.299999999999955</v>
      </c>
      <c r="I170" s="6">
        <f t="shared" si="35"/>
        <v>3.1464285714285603</v>
      </c>
      <c r="J170" s="6">
        <f t="shared" si="36"/>
        <v>3.8821428571428425</v>
      </c>
      <c r="K170" s="4">
        <f t="shared" si="37"/>
        <v>0.81048758049678027</v>
      </c>
      <c r="L170">
        <f t="shared" si="38"/>
        <v>44.766260162601625</v>
      </c>
      <c r="M170" s="14" t="str">
        <f t="shared" si="31"/>
        <v/>
      </c>
      <c r="N170" s="7">
        <f t="shared" si="32"/>
        <v>0</v>
      </c>
      <c r="O170" s="7">
        <f t="shared" si="39"/>
        <v>0</v>
      </c>
      <c r="P170" s="7">
        <f t="shared" si="40"/>
        <v>-1</v>
      </c>
      <c r="Q170" s="10" t="e">
        <f t="shared" si="33"/>
        <v>#N/A</v>
      </c>
      <c r="R170" s="10" t="e">
        <f t="shared" si="34"/>
        <v>#N/A</v>
      </c>
      <c r="S170" s="7">
        <f t="shared" si="41"/>
        <v>781</v>
      </c>
      <c r="T170" s="7">
        <f t="shared" si="42"/>
        <v>0</v>
      </c>
    </row>
    <row r="171" spans="1:20" x14ac:dyDescent="0.25">
      <c r="A171" s="1">
        <v>41515</v>
      </c>
      <c r="B171">
        <v>850</v>
      </c>
      <c r="C171">
        <v>851.5</v>
      </c>
      <c r="D171">
        <v>835.1</v>
      </c>
      <c r="E171">
        <v>837.3</v>
      </c>
      <c r="F171">
        <v>1388985</v>
      </c>
      <c r="G171" s="4">
        <f t="shared" si="29"/>
        <v>0</v>
      </c>
      <c r="H171" s="4">
        <f t="shared" si="30"/>
        <v>6.8000000000000682</v>
      </c>
      <c r="I171" s="6">
        <f t="shared" si="35"/>
        <v>3.1464285714285603</v>
      </c>
      <c r="J171" s="6">
        <f t="shared" si="36"/>
        <v>4.3464285714285653</v>
      </c>
      <c r="K171" s="4">
        <f t="shared" si="37"/>
        <v>0.72391125718980942</v>
      </c>
      <c r="L171">
        <f t="shared" si="38"/>
        <v>41.992373689227783</v>
      </c>
      <c r="M171" s="14" t="str">
        <f t="shared" si="31"/>
        <v/>
      </c>
      <c r="N171" s="7">
        <f t="shared" si="32"/>
        <v>0</v>
      </c>
      <c r="O171" s="7">
        <f t="shared" si="39"/>
        <v>0</v>
      </c>
      <c r="P171" s="7">
        <f t="shared" si="40"/>
        <v>-1</v>
      </c>
      <c r="Q171" s="10" t="e">
        <f t="shared" si="33"/>
        <v>#N/A</v>
      </c>
      <c r="R171" s="10" t="e">
        <f t="shared" si="34"/>
        <v>#N/A</v>
      </c>
      <c r="S171" s="7">
        <f t="shared" si="41"/>
        <v>781</v>
      </c>
      <c r="T171" s="7">
        <f t="shared" si="42"/>
        <v>0</v>
      </c>
    </row>
    <row r="172" spans="1:20" x14ac:dyDescent="0.25">
      <c r="A172" s="1">
        <v>41516</v>
      </c>
      <c r="B172">
        <v>838</v>
      </c>
      <c r="C172">
        <v>857.5</v>
      </c>
      <c r="D172">
        <v>838</v>
      </c>
      <c r="E172">
        <v>855.35</v>
      </c>
      <c r="F172">
        <v>1143989</v>
      </c>
      <c r="G172" s="4">
        <f t="shared" si="29"/>
        <v>18.050000000000068</v>
      </c>
      <c r="H172" s="4">
        <f t="shared" si="30"/>
        <v>0</v>
      </c>
      <c r="I172" s="6">
        <f t="shared" si="35"/>
        <v>4.4357142857142788</v>
      </c>
      <c r="J172" s="6">
        <f t="shared" si="36"/>
        <v>4.0678571428571377</v>
      </c>
      <c r="K172" s="4">
        <f t="shared" si="37"/>
        <v>1.0904302019315186</v>
      </c>
      <c r="L172">
        <f t="shared" si="38"/>
        <v>52.162956740865177</v>
      </c>
      <c r="M172" s="14" t="str">
        <f t="shared" si="31"/>
        <v/>
      </c>
      <c r="N172" s="7">
        <f t="shared" si="32"/>
        <v>0</v>
      </c>
      <c r="O172" s="7">
        <f t="shared" si="39"/>
        <v>0</v>
      </c>
      <c r="P172" s="7">
        <f t="shared" si="40"/>
        <v>-1</v>
      </c>
      <c r="Q172" s="10" t="e">
        <f t="shared" si="33"/>
        <v>#N/A</v>
      </c>
      <c r="R172" s="10" t="e">
        <f t="shared" si="34"/>
        <v>#N/A</v>
      </c>
      <c r="S172" s="7">
        <f t="shared" si="41"/>
        <v>781</v>
      </c>
      <c r="T172" s="7">
        <f t="shared" si="42"/>
        <v>0</v>
      </c>
    </row>
    <row r="173" spans="1:20" x14ac:dyDescent="0.25">
      <c r="A173" s="1">
        <v>41519</v>
      </c>
      <c r="B173">
        <v>858</v>
      </c>
      <c r="C173">
        <v>874.9</v>
      </c>
      <c r="D173">
        <v>856</v>
      </c>
      <c r="E173">
        <v>871.35</v>
      </c>
      <c r="F173">
        <v>1242118</v>
      </c>
      <c r="G173" s="4">
        <f t="shared" si="29"/>
        <v>16</v>
      </c>
      <c r="H173" s="4">
        <f t="shared" si="30"/>
        <v>0</v>
      </c>
      <c r="I173" s="6">
        <f t="shared" si="35"/>
        <v>4.085714285714281</v>
      </c>
      <c r="J173" s="6">
        <f t="shared" si="36"/>
        <v>4.0678571428571377</v>
      </c>
      <c r="K173" s="4">
        <f t="shared" si="37"/>
        <v>1.0043898156277438</v>
      </c>
      <c r="L173">
        <f t="shared" si="38"/>
        <v>50.109505037231713</v>
      </c>
      <c r="M173" s="14" t="str">
        <f t="shared" si="31"/>
        <v/>
      </c>
      <c r="N173" s="7">
        <f t="shared" si="32"/>
        <v>0</v>
      </c>
      <c r="O173" s="7">
        <f t="shared" si="39"/>
        <v>0</v>
      </c>
      <c r="P173" s="7">
        <f t="shared" si="40"/>
        <v>-1</v>
      </c>
      <c r="Q173" s="10" t="e">
        <f t="shared" si="33"/>
        <v>#N/A</v>
      </c>
      <c r="R173" s="10" t="e">
        <f t="shared" si="34"/>
        <v>#N/A</v>
      </c>
      <c r="S173" s="7">
        <f t="shared" si="41"/>
        <v>781</v>
      </c>
      <c r="T173" s="7">
        <f t="shared" si="42"/>
        <v>0</v>
      </c>
    </row>
    <row r="174" spans="1:20" x14ac:dyDescent="0.25">
      <c r="A174" s="1">
        <v>41520</v>
      </c>
      <c r="B174">
        <v>864</v>
      </c>
      <c r="C174">
        <v>882.9</v>
      </c>
      <c r="D174">
        <v>858.9</v>
      </c>
      <c r="E174">
        <v>879.05</v>
      </c>
      <c r="F174">
        <v>2094739</v>
      </c>
      <c r="G174" s="4">
        <f t="shared" si="29"/>
        <v>7.6999999999999318</v>
      </c>
      <c r="H174" s="4">
        <f t="shared" si="30"/>
        <v>0</v>
      </c>
      <c r="I174" s="6">
        <f t="shared" si="35"/>
        <v>4.5678571428571377</v>
      </c>
      <c r="J174" s="6">
        <f t="shared" si="36"/>
        <v>4.0678571428571377</v>
      </c>
      <c r="K174" s="4">
        <f t="shared" si="37"/>
        <v>1.1229148375768219</v>
      </c>
      <c r="L174">
        <f t="shared" si="38"/>
        <v>52.894954507857733</v>
      </c>
      <c r="M174" s="14" t="str">
        <f t="shared" si="31"/>
        <v/>
      </c>
      <c r="N174" s="7">
        <f t="shared" si="32"/>
        <v>0</v>
      </c>
      <c r="O174" s="7">
        <f t="shared" si="39"/>
        <v>0</v>
      </c>
      <c r="P174" s="7">
        <f t="shared" si="40"/>
        <v>-1</v>
      </c>
      <c r="Q174" s="10" t="e">
        <f t="shared" si="33"/>
        <v>#N/A</v>
      </c>
      <c r="R174" s="10" t="e">
        <f t="shared" si="34"/>
        <v>#N/A</v>
      </c>
      <c r="S174" s="7">
        <f t="shared" si="41"/>
        <v>781</v>
      </c>
      <c r="T174" s="7">
        <f t="shared" si="42"/>
        <v>0</v>
      </c>
    </row>
    <row r="175" spans="1:20" x14ac:dyDescent="0.25">
      <c r="A175" s="1">
        <v>41521</v>
      </c>
      <c r="B175">
        <v>882</v>
      </c>
      <c r="C175">
        <v>882.5</v>
      </c>
      <c r="D175">
        <v>871.35</v>
      </c>
      <c r="E175">
        <v>874.7</v>
      </c>
      <c r="F175">
        <v>1469079</v>
      </c>
      <c r="G175" s="4">
        <f t="shared" si="29"/>
        <v>0</v>
      </c>
      <c r="H175" s="4">
        <f t="shared" si="30"/>
        <v>4.3499999999999091</v>
      </c>
      <c r="I175" s="6">
        <f t="shared" si="35"/>
        <v>4.5678571428571377</v>
      </c>
      <c r="J175" s="6">
        <f t="shared" si="36"/>
        <v>4.1571428571428521</v>
      </c>
      <c r="K175" s="4">
        <f t="shared" si="37"/>
        <v>1.0987972508591066</v>
      </c>
      <c r="L175">
        <f t="shared" si="38"/>
        <v>52.353663528448628</v>
      </c>
      <c r="M175" s="14" t="str">
        <f t="shared" si="31"/>
        <v/>
      </c>
      <c r="N175" s="7">
        <f t="shared" si="32"/>
        <v>0</v>
      </c>
      <c r="O175" s="7">
        <f t="shared" si="39"/>
        <v>0</v>
      </c>
      <c r="P175" s="7">
        <f t="shared" si="40"/>
        <v>-1</v>
      </c>
      <c r="Q175" s="10" t="e">
        <f t="shared" si="33"/>
        <v>#N/A</v>
      </c>
      <c r="R175" s="10" t="e">
        <f t="shared" si="34"/>
        <v>#N/A</v>
      </c>
      <c r="S175" s="7">
        <f t="shared" si="41"/>
        <v>781</v>
      </c>
      <c r="T175" s="7">
        <f t="shared" si="42"/>
        <v>0</v>
      </c>
    </row>
    <row r="176" spans="1:20" x14ac:dyDescent="0.25">
      <c r="A176" s="1">
        <v>41522</v>
      </c>
      <c r="B176">
        <v>871.35</v>
      </c>
      <c r="C176">
        <v>889</v>
      </c>
      <c r="D176">
        <v>870.7</v>
      </c>
      <c r="E176">
        <v>879.75</v>
      </c>
      <c r="F176">
        <v>1174705</v>
      </c>
      <c r="G176" s="4">
        <f t="shared" si="29"/>
        <v>5.0499999999999545</v>
      </c>
      <c r="H176" s="4">
        <f t="shared" si="30"/>
        <v>0</v>
      </c>
      <c r="I176" s="6">
        <f t="shared" si="35"/>
        <v>4.8249999999999966</v>
      </c>
      <c r="J176" s="6">
        <f t="shared" si="36"/>
        <v>4.1571428571428521</v>
      </c>
      <c r="K176" s="4">
        <f t="shared" si="37"/>
        <v>1.1606529209621999</v>
      </c>
      <c r="L176">
        <f t="shared" si="38"/>
        <v>53.717693836978135</v>
      </c>
      <c r="M176" s="14" t="str">
        <f t="shared" si="31"/>
        <v/>
      </c>
      <c r="N176" s="7">
        <f t="shared" si="32"/>
        <v>0</v>
      </c>
      <c r="O176" s="7">
        <f t="shared" si="39"/>
        <v>0</v>
      </c>
      <c r="P176" s="7">
        <f t="shared" si="40"/>
        <v>-1</v>
      </c>
      <c r="Q176" s="10" t="e">
        <f t="shared" si="33"/>
        <v>#N/A</v>
      </c>
      <c r="R176" s="10" t="e">
        <f t="shared" si="34"/>
        <v>#N/A</v>
      </c>
      <c r="S176" s="7">
        <f t="shared" si="41"/>
        <v>781</v>
      </c>
      <c r="T176" s="7">
        <f t="shared" si="42"/>
        <v>0</v>
      </c>
    </row>
    <row r="177" spans="1:20" x14ac:dyDescent="0.25">
      <c r="A177" s="1">
        <v>41523</v>
      </c>
      <c r="B177">
        <v>883</v>
      </c>
      <c r="C177">
        <v>899</v>
      </c>
      <c r="D177">
        <v>880.3</v>
      </c>
      <c r="E177">
        <v>895.35</v>
      </c>
      <c r="F177">
        <v>1535519</v>
      </c>
      <c r="G177" s="4">
        <f t="shared" si="29"/>
        <v>15.600000000000023</v>
      </c>
      <c r="H177" s="4">
        <f t="shared" si="30"/>
        <v>0</v>
      </c>
      <c r="I177" s="6">
        <f t="shared" si="35"/>
        <v>5.9178571428571365</v>
      </c>
      <c r="J177" s="6">
        <f t="shared" si="36"/>
        <v>4.1571428571428521</v>
      </c>
      <c r="K177" s="4">
        <f t="shared" si="37"/>
        <v>1.4235395189003439</v>
      </c>
      <c r="L177">
        <f t="shared" si="38"/>
        <v>58.738036157391001</v>
      </c>
      <c r="M177" s="14" t="str">
        <f t="shared" si="31"/>
        <v/>
      </c>
      <c r="N177" s="7">
        <f t="shared" si="32"/>
        <v>0</v>
      </c>
      <c r="O177" s="7">
        <f t="shared" si="39"/>
        <v>0</v>
      </c>
      <c r="P177" s="7">
        <f t="shared" si="40"/>
        <v>-1</v>
      </c>
      <c r="Q177" s="10" t="e">
        <f t="shared" si="33"/>
        <v>#N/A</v>
      </c>
      <c r="R177" s="10" t="e">
        <f t="shared" si="34"/>
        <v>#N/A</v>
      </c>
      <c r="S177" s="7">
        <f t="shared" si="41"/>
        <v>781</v>
      </c>
      <c r="T177" s="7">
        <f t="shared" si="42"/>
        <v>0</v>
      </c>
    </row>
    <row r="178" spans="1:20" x14ac:dyDescent="0.25">
      <c r="A178" s="1">
        <v>41526</v>
      </c>
      <c r="B178">
        <v>900</v>
      </c>
      <c r="C178">
        <v>919.4</v>
      </c>
      <c r="D178">
        <v>899</v>
      </c>
      <c r="E178">
        <v>914.8</v>
      </c>
      <c r="F178">
        <v>2780197</v>
      </c>
      <c r="G178" s="4">
        <f t="shared" si="29"/>
        <v>19.449999999999932</v>
      </c>
      <c r="H178" s="4">
        <f t="shared" si="30"/>
        <v>0</v>
      </c>
      <c r="I178" s="6">
        <f t="shared" si="35"/>
        <v>7.2714285714285598</v>
      </c>
      <c r="J178" s="6">
        <f t="shared" si="36"/>
        <v>4.1571428571428521</v>
      </c>
      <c r="K178" s="4">
        <f t="shared" si="37"/>
        <v>1.7491408934707897</v>
      </c>
      <c r="L178">
        <f t="shared" si="38"/>
        <v>63.624999999999986</v>
      </c>
      <c r="M178" s="14" t="str">
        <f t="shared" si="31"/>
        <v/>
      </c>
      <c r="N178" s="7">
        <f t="shared" si="32"/>
        <v>0</v>
      </c>
      <c r="O178" s="7">
        <f t="shared" si="39"/>
        <v>0</v>
      </c>
      <c r="P178" s="7">
        <f t="shared" si="40"/>
        <v>-1</v>
      </c>
      <c r="Q178" s="10" t="e">
        <f t="shared" si="33"/>
        <v>#N/A</v>
      </c>
      <c r="R178" s="10" t="e">
        <f t="shared" si="34"/>
        <v>#N/A</v>
      </c>
      <c r="S178" s="7">
        <f t="shared" si="41"/>
        <v>781</v>
      </c>
      <c r="T178" s="7">
        <f t="shared" si="42"/>
        <v>0</v>
      </c>
    </row>
    <row r="179" spans="1:20" x14ac:dyDescent="0.25">
      <c r="A179" s="1">
        <v>41527</v>
      </c>
      <c r="B179">
        <v>908</v>
      </c>
      <c r="C179">
        <v>913.45</v>
      </c>
      <c r="D179">
        <v>864.5</v>
      </c>
      <c r="E179">
        <v>895.4</v>
      </c>
      <c r="F179">
        <v>1167132</v>
      </c>
      <c r="G179" s="4">
        <f t="shared" si="29"/>
        <v>0</v>
      </c>
      <c r="H179" s="4">
        <f t="shared" si="30"/>
        <v>19.399999999999977</v>
      </c>
      <c r="I179" s="6">
        <f t="shared" si="35"/>
        <v>6.8928571428571344</v>
      </c>
      <c r="J179" s="6">
        <f t="shared" si="36"/>
        <v>5.5428571428571365</v>
      </c>
      <c r="K179" s="4">
        <f t="shared" si="37"/>
        <v>1.2435567010309276</v>
      </c>
      <c r="L179">
        <f t="shared" si="38"/>
        <v>55.427914991384256</v>
      </c>
      <c r="M179" s="14" t="str">
        <f t="shared" si="31"/>
        <v/>
      </c>
      <c r="N179" s="7">
        <f t="shared" si="32"/>
        <v>0</v>
      </c>
      <c r="O179" s="7">
        <f t="shared" si="39"/>
        <v>0</v>
      </c>
      <c r="P179" s="7">
        <f t="shared" si="40"/>
        <v>-1</v>
      </c>
      <c r="Q179" s="10" t="e">
        <f t="shared" si="33"/>
        <v>#N/A</v>
      </c>
      <c r="R179" s="10" t="e">
        <f t="shared" si="34"/>
        <v>#N/A</v>
      </c>
      <c r="S179" s="7">
        <f t="shared" si="41"/>
        <v>781</v>
      </c>
      <c r="T179" s="7">
        <f t="shared" si="42"/>
        <v>0</v>
      </c>
    </row>
    <row r="180" spans="1:20" x14ac:dyDescent="0.25">
      <c r="A180" s="1">
        <v>41528</v>
      </c>
      <c r="B180">
        <v>900.1</v>
      </c>
      <c r="C180">
        <v>918.75</v>
      </c>
      <c r="D180">
        <v>900.1</v>
      </c>
      <c r="E180">
        <v>913.8</v>
      </c>
      <c r="F180">
        <v>1503989</v>
      </c>
      <c r="G180" s="4">
        <f t="shared" si="29"/>
        <v>18.399999999999977</v>
      </c>
      <c r="H180" s="4">
        <f t="shared" si="30"/>
        <v>0</v>
      </c>
      <c r="I180" s="6">
        <f t="shared" si="35"/>
        <v>8.2071428571428466</v>
      </c>
      <c r="J180" s="6">
        <f t="shared" si="36"/>
        <v>4.0821428571428475</v>
      </c>
      <c r="K180" s="4">
        <f t="shared" si="37"/>
        <v>2.010498687664044</v>
      </c>
      <c r="L180">
        <f t="shared" si="38"/>
        <v>66.782911944202283</v>
      </c>
      <c r="M180" s="14" t="str">
        <f t="shared" si="31"/>
        <v/>
      </c>
      <c r="N180" s="7">
        <f t="shared" si="32"/>
        <v>0</v>
      </c>
      <c r="O180" s="7">
        <f t="shared" si="39"/>
        <v>0</v>
      </c>
      <c r="P180" s="7">
        <f t="shared" si="40"/>
        <v>-1</v>
      </c>
      <c r="Q180" s="10" t="e">
        <f t="shared" si="33"/>
        <v>#N/A</v>
      </c>
      <c r="R180" s="10" t="e">
        <f t="shared" si="34"/>
        <v>#N/A</v>
      </c>
      <c r="S180" s="7">
        <f t="shared" si="41"/>
        <v>781</v>
      </c>
      <c r="T180" s="7">
        <f t="shared" si="42"/>
        <v>0</v>
      </c>
    </row>
    <row r="181" spans="1:20" x14ac:dyDescent="0.25">
      <c r="A181" s="1">
        <v>41529</v>
      </c>
      <c r="B181">
        <v>917</v>
      </c>
      <c r="C181">
        <v>921.9</v>
      </c>
      <c r="D181">
        <v>906.7</v>
      </c>
      <c r="E181">
        <v>912.25</v>
      </c>
      <c r="F181">
        <v>1209554</v>
      </c>
      <c r="G181" s="4">
        <f t="shared" si="29"/>
        <v>0</v>
      </c>
      <c r="H181" s="4">
        <f t="shared" si="30"/>
        <v>1.5499999999999545</v>
      </c>
      <c r="I181" s="6">
        <f t="shared" si="35"/>
        <v>8.2071428571428466</v>
      </c>
      <c r="J181" s="6">
        <f t="shared" si="36"/>
        <v>3.4499999999999886</v>
      </c>
      <c r="K181" s="4">
        <f t="shared" si="37"/>
        <v>2.3788819875776444</v>
      </c>
      <c r="L181">
        <f t="shared" si="38"/>
        <v>70.404411764705927</v>
      </c>
      <c r="M181" s="14" t="str">
        <f t="shared" si="31"/>
        <v>OVERBOUGHT</v>
      </c>
      <c r="N181" s="7" t="str">
        <f t="shared" si="32"/>
        <v>SELL</v>
      </c>
      <c r="O181" s="7">
        <f t="shared" si="39"/>
        <v>0</v>
      </c>
      <c r="P181" s="7">
        <f t="shared" si="40"/>
        <v>-1</v>
      </c>
      <c r="Q181" s="10" t="e">
        <f t="shared" si="33"/>
        <v>#N/A</v>
      </c>
      <c r="R181" s="10" t="e">
        <f t="shared" si="34"/>
        <v>#N/A</v>
      </c>
      <c r="S181" s="7">
        <f t="shared" si="41"/>
        <v>781</v>
      </c>
      <c r="T181" s="7">
        <f t="shared" si="42"/>
        <v>0</v>
      </c>
    </row>
    <row r="182" spans="1:20" x14ac:dyDescent="0.25">
      <c r="A182" s="1">
        <v>41530</v>
      </c>
      <c r="B182">
        <v>912</v>
      </c>
      <c r="C182">
        <v>958</v>
      </c>
      <c r="D182">
        <v>910.3</v>
      </c>
      <c r="E182">
        <v>953.95</v>
      </c>
      <c r="F182">
        <v>2498592</v>
      </c>
      <c r="G182" s="4">
        <f t="shared" si="29"/>
        <v>41.700000000000045</v>
      </c>
      <c r="H182" s="4">
        <f t="shared" si="30"/>
        <v>0</v>
      </c>
      <c r="I182" s="6">
        <f t="shared" si="35"/>
        <v>11.18571428571428</v>
      </c>
      <c r="J182" s="6">
        <f t="shared" si="36"/>
        <v>3.3142857142857047</v>
      </c>
      <c r="K182" s="4">
        <f t="shared" si="37"/>
        <v>3.375000000000008</v>
      </c>
      <c r="L182">
        <f t="shared" si="38"/>
        <v>77.142857142857181</v>
      </c>
      <c r="M182" s="14" t="str">
        <f t="shared" si="31"/>
        <v>OVERBOUGHT</v>
      </c>
      <c r="N182" s="7" t="str">
        <f t="shared" si="32"/>
        <v>SELL</v>
      </c>
      <c r="O182" s="7">
        <f t="shared" si="39"/>
        <v>0</v>
      </c>
      <c r="P182" s="7">
        <f t="shared" si="40"/>
        <v>-1</v>
      </c>
      <c r="Q182" s="10" t="e">
        <f t="shared" si="33"/>
        <v>#N/A</v>
      </c>
      <c r="R182" s="10" t="e">
        <f t="shared" si="34"/>
        <v>#N/A</v>
      </c>
      <c r="S182" s="7">
        <f t="shared" si="41"/>
        <v>781</v>
      </c>
      <c r="T182" s="7">
        <f t="shared" si="42"/>
        <v>0</v>
      </c>
    </row>
    <row r="183" spans="1:20" x14ac:dyDescent="0.25">
      <c r="A183" s="1">
        <v>41533</v>
      </c>
      <c r="B183">
        <v>956</v>
      </c>
      <c r="C183">
        <v>960</v>
      </c>
      <c r="D183">
        <v>930</v>
      </c>
      <c r="E183">
        <v>935.25</v>
      </c>
      <c r="F183">
        <v>2015533</v>
      </c>
      <c r="G183" s="4">
        <f t="shared" si="29"/>
        <v>0</v>
      </c>
      <c r="H183" s="4">
        <f t="shared" si="30"/>
        <v>18.700000000000045</v>
      </c>
      <c r="I183" s="6">
        <f t="shared" si="35"/>
        <v>10.139285714285709</v>
      </c>
      <c r="J183" s="6">
        <f t="shared" si="36"/>
        <v>4.6499999999999932</v>
      </c>
      <c r="K183" s="4">
        <f t="shared" si="37"/>
        <v>2.1804915514592955</v>
      </c>
      <c r="L183">
        <f t="shared" si="38"/>
        <v>68.558319246558824</v>
      </c>
      <c r="M183" s="14" t="str">
        <f t="shared" si="31"/>
        <v/>
      </c>
      <c r="N183" s="7">
        <f t="shared" si="32"/>
        <v>0</v>
      </c>
      <c r="O183" s="7">
        <f t="shared" si="39"/>
        <v>0</v>
      </c>
      <c r="P183" s="7">
        <f t="shared" si="40"/>
        <v>-1</v>
      </c>
      <c r="Q183" s="10" t="e">
        <f t="shared" si="33"/>
        <v>#N/A</v>
      </c>
      <c r="R183" s="10" t="e">
        <f t="shared" si="34"/>
        <v>#N/A</v>
      </c>
      <c r="S183" s="7">
        <f t="shared" si="41"/>
        <v>781</v>
      </c>
      <c r="T183" s="7">
        <f t="shared" si="42"/>
        <v>0</v>
      </c>
    </row>
    <row r="184" spans="1:20" x14ac:dyDescent="0.25">
      <c r="A184" s="1">
        <v>41534</v>
      </c>
      <c r="B184">
        <v>940</v>
      </c>
      <c r="C184">
        <v>945.3</v>
      </c>
      <c r="D184">
        <v>927.8</v>
      </c>
      <c r="E184">
        <v>931.35</v>
      </c>
      <c r="F184">
        <v>1663618</v>
      </c>
      <c r="G184" s="4">
        <f t="shared" si="29"/>
        <v>0</v>
      </c>
      <c r="H184" s="4">
        <f t="shared" si="30"/>
        <v>3.8999999999999773</v>
      </c>
      <c r="I184" s="6">
        <f t="shared" si="35"/>
        <v>10.139285714285709</v>
      </c>
      <c r="J184" s="6">
        <f t="shared" si="36"/>
        <v>3.9071428571428521</v>
      </c>
      <c r="K184" s="4">
        <f t="shared" si="37"/>
        <v>2.5950639853747735</v>
      </c>
      <c r="L184">
        <f t="shared" si="38"/>
        <v>72.18408339689806</v>
      </c>
      <c r="M184" s="14" t="str">
        <f t="shared" si="31"/>
        <v>OVERBOUGHT</v>
      </c>
      <c r="N184" s="7" t="str">
        <f t="shared" si="32"/>
        <v>SELL</v>
      </c>
      <c r="O184" s="7">
        <f t="shared" si="39"/>
        <v>0</v>
      </c>
      <c r="P184" s="7">
        <f t="shared" si="40"/>
        <v>-1</v>
      </c>
      <c r="Q184" s="10" t="e">
        <f t="shared" si="33"/>
        <v>#N/A</v>
      </c>
      <c r="R184" s="10" t="e">
        <f t="shared" si="34"/>
        <v>#N/A</v>
      </c>
      <c r="S184" s="7">
        <f t="shared" si="41"/>
        <v>781</v>
      </c>
      <c r="T184" s="7">
        <f t="shared" si="42"/>
        <v>0</v>
      </c>
    </row>
    <row r="185" spans="1:20" x14ac:dyDescent="0.25">
      <c r="A185" s="1">
        <v>41535</v>
      </c>
      <c r="B185">
        <v>933.1</v>
      </c>
      <c r="C185">
        <v>937.9</v>
      </c>
      <c r="D185">
        <v>925</v>
      </c>
      <c r="E185">
        <v>931.95</v>
      </c>
      <c r="F185">
        <v>1369392</v>
      </c>
      <c r="G185" s="4">
        <f t="shared" si="29"/>
        <v>0.60000000000002274</v>
      </c>
      <c r="H185" s="4">
        <f t="shared" si="30"/>
        <v>0</v>
      </c>
      <c r="I185" s="6">
        <f t="shared" si="35"/>
        <v>10.182142857142853</v>
      </c>
      <c r="J185" s="6">
        <f t="shared" si="36"/>
        <v>3.4214285714285615</v>
      </c>
      <c r="K185" s="4">
        <f t="shared" si="37"/>
        <v>2.9759916492693188</v>
      </c>
      <c r="L185">
        <f t="shared" si="38"/>
        <v>74.849041743239752</v>
      </c>
      <c r="M185" s="14" t="str">
        <f t="shared" si="31"/>
        <v>OVERBOUGHT</v>
      </c>
      <c r="N185" s="7" t="str">
        <f t="shared" si="32"/>
        <v>SELL</v>
      </c>
      <c r="O185" s="7">
        <f t="shared" si="39"/>
        <v>0</v>
      </c>
      <c r="P185" s="7">
        <f t="shared" si="40"/>
        <v>-1</v>
      </c>
      <c r="Q185" s="10" t="e">
        <f t="shared" si="33"/>
        <v>#N/A</v>
      </c>
      <c r="R185" s="10" t="e">
        <f t="shared" si="34"/>
        <v>#N/A</v>
      </c>
      <c r="S185" s="7">
        <f t="shared" si="41"/>
        <v>781</v>
      </c>
      <c r="T185" s="7">
        <f t="shared" si="42"/>
        <v>0</v>
      </c>
    </row>
    <row r="186" spans="1:20" x14ac:dyDescent="0.25">
      <c r="A186" s="1">
        <v>41536</v>
      </c>
      <c r="B186">
        <v>935</v>
      </c>
      <c r="C186">
        <v>941.45</v>
      </c>
      <c r="D186">
        <v>922</v>
      </c>
      <c r="E186">
        <v>927.6</v>
      </c>
      <c r="F186">
        <v>1711645</v>
      </c>
      <c r="G186" s="4">
        <f t="shared" si="29"/>
        <v>0</v>
      </c>
      <c r="H186" s="4">
        <f t="shared" si="30"/>
        <v>4.3500000000000227</v>
      </c>
      <c r="I186" s="6">
        <f t="shared" si="35"/>
        <v>8.8928571428571352</v>
      </c>
      <c r="J186" s="6">
        <f t="shared" si="36"/>
        <v>3.7321428571428492</v>
      </c>
      <c r="K186" s="4">
        <f t="shared" si="37"/>
        <v>2.3827751196172278</v>
      </c>
      <c r="L186">
        <f t="shared" si="38"/>
        <v>70.438472418670472</v>
      </c>
      <c r="M186" s="14" t="str">
        <f t="shared" si="31"/>
        <v>OVERBOUGHT</v>
      </c>
      <c r="N186" s="7" t="str">
        <f t="shared" si="32"/>
        <v>SELL</v>
      </c>
      <c r="O186" s="7">
        <f t="shared" si="39"/>
        <v>0</v>
      </c>
      <c r="P186" s="7">
        <f t="shared" si="40"/>
        <v>-1</v>
      </c>
      <c r="Q186" s="10" t="e">
        <f t="shared" si="33"/>
        <v>#N/A</v>
      </c>
      <c r="R186" s="10" t="e">
        <f t="shared" si="34"/>
        <v>#N/A</v>
      </c>
      <c r="S186" s="7">
        <f t="shared" si="41"/>
        <v>781</v>
      </c>
      <c r="T186" s="7">
        <f t="shared" si="42"/>
        <v>0</v>
      </c>
    </row>
    <row r="187" spans="1:20" x14ac:dyDescent="0.25">
      <c r="A187" s="1">
        <v>41537</v>
      </c>
      <c r="B187">
        <v>925.25</v>
      </c>
      <c r="C187">
        <v>930.3</v>
      </c>
      <c r="D187">
        <v>914.1</v>
      </c>
      <c r="E187">
        <v>919.65</v>
      </c>
      <c r="F187">
        <v>1260857</v>
      </c>
      <c r="G187" s="4">
        <f t="shared" si="29"/>
        <v>0</v>
      </c>
      <c r="H187" s="4">
        <f t="shared" si="30"/>
        <v>7.9500000000000455</v>
      </c>
      <c r="I187" s="6">
        <f t="shared" si="35"/>
        <v>7.749999999999992</v>
      </c>
      <c r="J187" s="6">
        <f t="shared" si="36"/>
        <v>4.2999999999999954</v>
      </c>
      <c r="K187" s="4">
        <f t="shared" si="37"/>
        <v>1.8023255813953489</v>
      </c>
      <c r="L187">
        <f t="shared" si="38"/>
        <v>64.315352697095435</v>
      </c>
      <c r="M187" s="14" t="str">
        <f t="shared" si="31"/>
        <v/>
      </c>
      <c r="N187" s="7">
        <f t="shared" si="32"/>
        <v>0</v>
      </c>
      <c r="O187" s="7">
        <f t="shared" si="39"/>
        <v>0</v>
      </c>
      <c r="P187" s="7">
        <f t="shared" si="40"/>
        <v>-1</v>
      </c>
      <c r="Q187" s="10" t="e">
        <f t="shared" si="33"/>
        <v>#N/A</v>
      </c>
      <c r="R187" s="10" t="e">
        <f t="shared" si="34"/>
        <v>#N/A</v>
      </c>
      <c r="S187" s="7">
        <f t="shared" si="41"/>
        <v>781</v>
      </c>
      <c r="T187" s="7">
        <f t="shared" si="42"/>
        <v>0</v>
      </c>
    </row>
    <row r="188" spans="1:20" x14ac:dyDescent="0.25">
      <c r="A188" s="1">
        <v>41540</v>
      </c>
      <c r="B188">
        <v>925</v>
      </c>
      <c r="C188">
        <v>937.25</v>
      </c>
      <c r="D188">
        <v>914.9</v>
      </c>
      <c r="E188">
        <v>920.35</v>
      </c>
      <c r="F188">
        <v>1685097</v>
      </c>
      <c r="G188" s="4">
        <f t="shared" si="29"/>
        <v>0.70000000000004547</v>
      </c>
      <c r="H188" s="4">
        <f t="shared" si="30"/>
        <v>0</v>
      </c>
      <c r="I188" s="6">
        <f t="shared" si="35"/>
        <v>7.25</v>
      </c>
      <c r="J188" s="6">
        <f t="shared" si="36"/>
        <v>4.2999999999999954</v>
      </c>
      <c r="K188" s="4">
        <f t="shared" si="37"/>
        <v>1.6860465116279089</v>
      </c>
      <c r="L188">
        <f t="shared" si="38"/>
        <v>62.770562770562798</v>
      </c>
      <c r="M188" s="14" t="str">
        <f t="shared" si="31"/>
        <v/>
      </c>
      <c r="N188" s="7">
        <f t="shared" si="32"/>
        <v>0</v>
      </c>
      <c r="O188" s="7">
        <f t="shared" si="39"/>
        <v>0</v>
      </c>
      <c r="P188" s="7">
        <f t="shared" si="40"/>
        <v>-1</v>
      </c>
      <c r="Q188" s="10" t="e">
        <f t="shared" si="33"/>
        <v>#N/A</v>
      </c>
      <c r="R188" s="10" t="e">
        <f t="shared" si="34"/>
        <v>#N/A</v>
      </c>
      <c r="S188" s="7">
        <f t="shared" si="41"/>
        <v>781</v>
      </c>
      <c r="T188" s="7">
        <f t="shared" si="42"/>
        <v>0</v>
      </c>
    </row>
    <row r="189" spans="1:20" x14ac:dyDescent="0.25">
      <c r="A189" s="1">
        <v>41541</v>
      </c>
      <c r="B189">
        <v>925</v>
      </c>
      <c r="C189">
        <v>930</v>
      </c>
      <c r="D189">
        <v>915.15</v>
      </c>
      <c r="E189">
        <v>926.95</v>
      </c>
      <c r="F189">
        <v>3780462</v>
      </c>
      <c r="G189" s="4">
        <f t="shared" si="29"/>
        <v>6.6000000000000227</v>
      </c>
      <c r="H189" s="4">
        <f t="shared" si="30"/>
        <v>0</v>
      </c>
      <c r="I189" s="6">
        <f t="shared" si="35"/>
        <v>7.7214285714285733</v>
      </c>
      <c r="J189" s="6">
        <f t="shared" si="36"/>
        <v>3.9892857142857161</v>
      </c>
      <c r="K189" s="4">
        <f t="shared" si="37"/>
        <v>1.9355416293643684</v>
      </c>
      <c r="L189">
        <f t="shared" si="38"/>
        <v>65.934736200060996</v>
      </c>
      <c r="M189" s="14" t="str">
        <f t="shared" si="31"/>
        <v/>
      </c>
      <c r="N189" s="7">
        <f t="shared" si="32"/>
        <v>0</v>
      </c>
      <c r="O189" s="7">
        <f t="shared" si="39"/>
        <v>0</v>
      </c>
      <c r="P189" s="7">
        <f t="shared" si="40"/>
        <v>-1</v>
      </c>
      <c r="Q189" s="10" t="e">
        <f t="shared" si="33"/>
        <v>#N/A</v>
      </c>
      <c r="R189" s="10" t="e">
        <f t="shared" si="34"/>
        <v>#N/A</v>
      </c>
      <c r="S189" s="7">
        <f t="shared" si="41"/>
        <v>781</v>
      </c>
      <c r="T189" s="7">
        <f t="shared" si="42"/>
        <v>0</v>
      </c>
    </row>
    <row r="190" spans="1:20" x14ac:dyDescent="0.25">
      <c r="A190" s="1">
        <v>41542</v>
      </c>
      <c r="B190">
        <v>927</v>
      </c>
      <c r="C190">
        <v>966</v>
      </c>
      <c r="D190">
        <v>922</v>
      </c>
      <c r="E190">
        <v>961.6</v>
      </c>
      <c r="F190">
        <v>1663078</v>
      </c>
      <c r="G190" s="4">
        <f t="shared" si="29"/>
        <v>34.649999999999977</v>
      </c>
      <c r="H190" s="4">
        <f t="shared" si="30"/>
        <v>0</v>
      </c>
      <c r="I190" s="6">
        <f t="shared" si="35"/>
        <v>9.835714285714289</v>
      </c>
      <c r="J190" s="6">
        <f t="shared" si="36"/>
        <v>3.9892857142857161</v>
      </c>
      <c r="K190" s="4">
        <f t="shared" si="37"/>
        <v>2.4655326768128916</v>
      </c>
      <c r="L190">
        <f t="shared" si="38"/>
        <v>71.144407129940589</v>
      </c>
      <c r="M190" s="14" t="str">
        <f t="shared" si="31"/>
        <v>OVERBOUGHT</v>
      </c>
      <c r="N190" s="7" t="str">
        <f t="shared" si="32"/>
        <v>SELL</v>
      </c>
      <c r="O190" s="7">
        <f t="shared" si="39"/>
        <v>0</v>
      </c>
      <c r="P190" s="7">
        <f t="shared" si="40"/>
        <v>-1</v>
      </c>
      <c r="Q190" s="10" t="e">
        <f t="shared" si="33"/>
        <v>#N/A</v>
      </c>
      <c r="R190" s="10" t="e">
        <f t="shared" si="34"/>
        <v>#N/A</v>
      </c>
      <c r="S190" s="7">
        <f t="shared" si="41"/>
        <v>781</v>
      </c>
      <c r="T190" s="7">
        <f t="shared" si="42"/>
        <v>0</v>
      </c>
    </row>
    <row r="191" spans="1:20" x14ac:dyDescent="0.25">
      <c r="A191" s="1">
        <v>41543</v>
      </c>
      <c r="B191">
        <v>966.75</v>
      </c>
      <c r="C191">
        <v>975</v>
      </c>
      <c r="D191">
        <v>953</v>
      </c>
      <c r="E191">
        <v>955.8</v>
      </c>
      <c r="F191">
        <v>1070478</v>
      </c>
      <c r="G191" s="4">
        <f t="shared" si="29"/>
        <v>0</v>
      </c>
      <c r="H191" s="4">
        <f t="shared" si="30"/>
        <v>5.8000000000000682</v>
      </c>
      <c r="I191" s="6">
        <f t="shared" si="35"/>
        <v>8.7214285714285733</v>
      </c>
      <c r="J191" s="6">
        <f t="shared" si="36"/>
        <v>4.4035714285714347</v>
      </c>
      <c r="K191" s="4">
        <f t="shared" si="37"/>
        <v>1.9805352798053504</v>
      </c>
      <c r="L191">
        <f t="shared" si="38"/>
        <v>66.448979591836704</v>
      </c>
      <c r="M191" s="14" t="str">
        <f t="shared" si="31"/>
        <v/>
      </c>
      <c r="N191" s="7">
        <f t="shared" si="32"/>
        <v>0</v>
      </c>
      <c r="O191" s="7">
        <f t="shared" si="39"/>
        <v>0</v>
      </c>
      <c r="P191" s="7">
        <f t="shared" si="40"/>
        <v>-1</v>
      </c>
      <c r="Q191" s="10" t="e">
        <f t="shared" si="33"/>
        <v>#N/A</v>
      </c>
      <c r="R191" s="10" t="e">
        <f t="shared" si="34"/>
        <v>#N/A</v>
      </c>
      <c r="S191" s="7">
        <f t="shared" si="41"/>
        <v>781</v>
      </c>
      <c r="T191" s="7">
        <f t="shared" si="42"/>
        <v>0</v>
      </c>
    </row>
    <row r="192" spans="1:20" x14ac:dyDescent="0.25">
      <c r="A192" s="1">
        <v>41544</v>
      </c>
      <c r="B192">
        <v>950</v>
      </c>
      <c r="C192">
        <v>965.95</v>
      </c>
      <c r="D192">
        <v>946.15</v>
      </c>
      <c r="E192">
        <v>950.25</v>
      </c>
      <c r="F192">
        <v>1105832</v>
      </c>
      <c r="G192" s="4">
        <f t="shared" si="29"/>
        <v>0</v>
      </c>
      <c r="H192" s="4">
        <f t="shared" si="30"/>
        <v>5.5499999999999545</v>
      </c>
      <c r="I192" s="6">
        <f t="shared" si="35"/>
        <v>7.3321428571428635</v>
      </c>
      <c r="J192" s="6">
        <f t="shared" si="36"/>
        <v>4.8000000000000034</v>
      </c>
      <c r="K192" s="4">
        <f t="shared" si="37"/>
        <v>1.5275297619047621</v>
      </c>
      <c r="L192">
        <f t="shared" si="38"/>
        <v>60.435678539888137</v>
      </c>
      <c r="M192" s="14" t="str">
        <f t="shared" si="31"/>
        <v/>
      </c>
      <c r="N192" s="7">
        <f t="shared" si="32"/>
        <v>0</v>
      </c>
      <c r="O192" s="7">
        <f t="shared" si="39"/>
        <v>0</v>
      </c>
      <c r="P192" s="7">
        <f t="shared" si="40"/>
        <v>-1</v>
      </c>
      <c r="Q192" s="10" t="e">
        <f t="shared" si="33"/>
        <v>#N/A</v>
      </c>
      <c r="R192" s="10" t="e">
        <f t="shared" si="34"/>
        <v>#N/A</v>
      </c>
      <c r="S192" s="7">
        <f t="shared" si="41"/>
        <v>781</v>
      </c>
      <c r="T192" s="7">
        <f t="shared" si="42"/>
        <v>0</v>
      </c>
    </row>
    <row r="193" spans="1:20" x14ac:dyDescent="0.25">
      <c r="A193" s="1">
        <v>41547</v>
      </c>
      <c r="B193">
        <v>950</v>
      </c>
      <c r="C193">
        <v>967.9</v>
      </c>
      <c r="D193">
        <v>950</v>
      </c>
      <c r="E193">
        <v>959.65</v>
      </c>
      <c r="F193">
        <v>919480</v>
      </c>
      <c r="G193" s="4">
        <f t="shared" si="29"/>
        <v>9.3999999999999773</v>
      </c>
      <c r="H193" s="4">
        <f t="shared" si="30"/>
        <v>0</v>
      </c>
      <c r="I193" s="6">
        <f t="shared" si="35"/>
        <v>8.0035714285714334</v>
      </c>
      <c r="J193" s="6">
        <f t="shared" si="36"/>
        <v>3.414285714285719</v>
      </c>
      <c r="K193" s="4">
        <f t="shared" si="37"/>
        <v>2.344142259414224</v>
      </c>
      <c r="L193">
        <f t="shared" si="38"/>
        <v>70.096965905536422</v>
      </c>
      <c r="M193" s="14" t="str">
        <f t="shared" si="31"/>
        <v>OVERBOUGHT</v>
      </c>
      <c r="N193" s="7" t="str">
        <f t="shared" si="32"/>
        <v>SELL</v>
      </c>
      <c r="O193" s="7">
        <f t="shared" si="39"/>
        <v>0</v>
      </c>
      <c r="P193" s="7">
        <f t="shared" si="40"/>
        <v>-1</v>
      </c>
      <c r="Q193" s="10" t="e">
        <f t="shared" si="33"/>
        <v>#N/A</v>
      </c>
      <c r="R193" s="10" t="e">
        <f t="shared" si="34"/>
        <v>#N/A</v>
      </c>
      <c r="S193" s="7">
        <f t="shared" si="41"/>
        <v>781</v>
      </c>
      <c r="T193" s="7">
        <f t="shared" si="42"/>
        <v>0</v>
      </c>
    </row>
    <row r="194" spans="1:20" x14ac:dyDescent="0.25">
      <c r="A194" s="1">
        <v>41548</v>
      </c>
      <c r="B194">
        <v>960</v>
      </c>
      <c r="C194">
        <v>966</v>
      </c>
      <c r="D194">
        <v>938.4</v>
      </c>
      <c r="E194">
        <v>948.8</v>
      </c>
      <c r="F194">
        <v>986470</v>
      </c>
      <c r="G194" s="4">
        <f t="shared" si="29"/>
        <v>0</v>
      </c>
      <c r="H194" s="4">
        <f t="shared" si="30"/>
        <v>10.850000000000023</v>
      </c>
      <c r="I194" s="6">
        <f t="shared" si="35"/>
        <v>6.6892857142857212</v>
      </c>
      <c r="J194" s="6">
        <f t="shared" si="36"/>
        <v>4.1892857142857212</v>
      </c>
      <c r="K194" s="4">
        <f t="shared" si="37"/>
        <v>1.5967604433077569</v>
      </c>
      <c r="L194">
        <f t="shared" si="38"/>
        <v>61.490479317137215</v>
      </c>
      <c r="M194" s="14" t="str">
        <f t="shared" si="31"/>
        <v/>
      </c>
      <c r="N194" s="7">
        <f t="shared" si="32"/>
        <v>0</v>
      </c>
      <c r="O194" s="7">
        <f t="shared" si="39"/>
        <v>0</v>
      </c>
      <c r="P194" s="7">
        <f t="shared" si="40"/>
        <v>-1</v>
      </c>
      <c r="Q194" s="10" t="e">
        <f t="shared" si="33"/>
        <v>#N/A</v>
      </c>
      <c r="R194" s="10" t="e">
        <f t="shared" si="34"/>
        <v>#N/A</v>
      </c>
      <c r="S194" s="7">
        <f t="shared" si="41"/>
        <v>781</v>
      </c>
      <c r="T194" s="7">
        <f t="shared" si="42"/>
        <v>0</v>
      </c>
    </row>
    <row r="195" spans="1:20" x14ac:dyDescent="0.25">
      <c r="A195" s="1">
        <v>41549</v>
      </c>
      <c r="B195">
        <v>944.05</v>
      </c>
      <c r="C195">
        <v>954.7</v>
      </c>
      <c r="D195">
        <v>869</v>
      </c>
      <c r="E195">
        <v>942.6</v>
      </c>
      <c r="F195">
        <v>1347998</v>
      </c>
      <c r="G195" s="4">
        <f t="shared" si="29"/>
        <v>0</v>
      </c>
      <c r="H195" s="4">
        <f t="shared" si="30"/>
        <v>6.1999999999999318</v>
      </c>
      <c r="I195" s="6">
        <f t="shared" si="35"/>
        <v>6.6892857142857212</v>
      </c>
      <c r="J195" s="6">
        <f t="shared" si="36"/>
        <v>4.5214285714285767</v>
      </c>
      <c r="K195" s="4">
        <f t="shared" si="37"/>
        <v>1.4794628751974721</v>
      </c>
      <c r="L195">
        <f t="shared" si="38"/>
        <v>59.668684294361256</v>
      </c>
      <c r="M195" s="14" t="str">
        <f t="shared" si="31"/>
        <v/>
      </c>
      <c r="N195" s="7">
        <f t="shared" si="32"/>
        <v>0</v>
      </c>
      <c r="O195" s="7">
        <f t="shared" si="39"/>
        <v>0</v>
      </c>
      <c r="P195" s="7">
        <f t="shared" si="40"/>
        <v>-1</v>
      </c>
      <c r="Q195" s="10" t="e">
        <f t="shared" si="33"/>
        <v>#N/A</v>
      </c>
      <c r="R195" s="10" t="e">
        <f t="shared" si="34"/>
        <v>#N/A</v>
      </c>
      <c r="S195" s="7">
        <f t="shared" si="41"/>
        <v>781</v>
      </c>
      <c r="T195" s="7">
        <f t="shared" si="42"/>
        <v>0</v>
      </c>
    </row>
    <row r="196" spans="1:20" x14ac:dyDescent="0.25">
      <c r="A196" s="1">
        <v>41550</v>
      </c>
      <c r="B196">
        <v>942.6</v>
      </c>
      <c r="C196">
        <v>953.95</v>
      </c>
      <c r="D196">
        <v>929.05</v>
      </c>
      <c r="E196">
        <v>940.9</v>
      </c>
      <c r="F196">
        <v>1532685</v>
      </c>
      <c r="G196" s="4">
        <f t="shared" ref="G196:G259" si="43">IF(E196&gt;E195,E196-E195,0)</f>
        <v>0</v>
      </c>
      <c r="H196" s="4">
        <f t="shared" ref="H196:H259" si="44">IF(E196&lt;E195,E195-E196,0)</f>
        <v>1.7000000000000455</v>
      </c>
      <c r="I196" s="6">
        <f t="shared" si="35"/>
        <v>3.710714285714289</v>
      </c>
      <c r="J196" s="6">
        <f t="shared" si="36"/>
        <v>4.6428571428571512</v>
      </c>
      <c r="K196" s="4">
        <f t="shared" si="37"/>
        <v>0.79923076923076852</v>
      </c>
      <c r="L196">
        <f t="shared" si="38"/>
        <v>44.420692603676763</v>
      </c>
      <c r="M196" s="14" t="str">
        <f t="shared" si="31"/>
        <v/>
      </c>
      <c r="N196" s="7">
        <f t="shared" si="32"/>
        <v>0</v>
      </c>
      <c r="O196" s="7">
        <f t="shared" si="39"/>
        <v>0</v>
      </c>
      <c r="P196" s="7">
        <f t="shared" si="40"/>
        <v>-1</v>
      </c>
      <c r="Q196" s="10" t="e">
        <f t="shared" si="33"/>
        <v>#N/A</v>
      </c>
      <c r="R196" s="10" t="e">
        <f t="shared" si="34"/>
        <v>#N/A</v>
      </c>
      <c r="S196" s="7">
        <f t="shared" si="41"/>
        <v>781</v>
      </c>
      <c r="T196" s="7">
        <f t="shared" si="42"/>
        <v>0</v>
      </c>
    </row>
    <row r="197" spans="1:20" x14ac:dyDescent="0.25">
      <c r="A197" s="1">
        <v>41551</v>
      </c>
      <c r="B197">
        <v>942.65</v>
      </c>
      <c r="C197">
        <v>955.8</v>
      </c>
      <c r="D197">
        <v>939.1</v>
      </c>
      <c r="E197">
        <v>950.7</v>
      </c>
      <c r="F197">
        <v>1304451</v>
      </c>
      <c r="G197" s="4">
        <f t="shared" si="43"/>
        <v>9.8000000000000682</v>
      </c>
      <c r="H197" s="4">
        <f t="shared" si="44"/>
        <v>0</v>
      </c>
      <c r="I197" s="6">
        <f t="shared" si="35"/>
        <v>4.4107142857142936</v>
      </c>
      <c r="J197" s="6">
        <f t="shared" si="36"/>
        <v>3.3071428571428618</v>
      </c>
      <c r="K197" s="4">
        <f t="shared" si="37"/>
        <v>1.3336933045356376</v>
      </c>
      <c r="L197">
        <f t="shared" si="38"/>
        <v>57.149467838963453</v>
      </c>
      <c r="M197" s="14" t="str">
        <f t="shared" si="31"/>
        <v/>
      </c>
      <c r="N197" s="7">
        <f t="shared" si="32"/>
        <v>0</v>
      </c>
      <c r="O197" s="7">
        <f t="shared" si="39"/>
        <v>0</v>
      </c>
      <c r="P197" s="7">
        <f t="shared" si="40"/>
        <v>-1</v>
      </c>
      <c r="Q197" s="10" t="e">
        <f t="shared" si="33"/>
        <v>#N/A</v>
      </c>
      <c r="R197" s="10" t="e">
        <f t="shared" si="34"/>
        <v>#N/A</v>
      </c>
      <c r="S197" s="7">
        <f t="shared" si="41"/>
        <v>781</v>
      </c>
      <c r="T197" s="7">
        <f t="shared" si="42"/>
        <v>0</v>
      </c>
    </row>
    <row r="198" spans="1:20" x14ac:dyDescent="0.25">
      <c r="A198" s="1">
        <v>41554</v>
      </c>
      <c r="B198">
        <v>955.95</v>
      </c>
      <c r="C198">
        <v>997.7</v>
      </c>
      <c r="D198">
        <v>949.1</v>
      </c>
      <c r="E198">
        <v>992.85</v>
      </c>
      <c r="F198">
        <v>2675302</v>
      </c>
      <c r="G198" s="4">
        <f t="shared" si="43"/>
        <v>42.149999999999977</v>
      </c>
      <c r="H198" s="4">
        <f t="shared" si="44"/>
        <v>0</v>
      </c>
      <c r="I198" s="6">
        <f t="shared" si="35"/>
        <v>7.4214285714285779</v>
      </c>
      <c r="J198" s="6">
        <f t="shared" si="36"/>
        <v>3.0285714285714351</v>
      </c>
      <c r="K198" s="4">
        <f t="shared" si="37"/>
        <v>2.4504716981132044</v>
      </c>
      <c r="L198">
        <f t="shared" si="38"/>
        <v>71.018455228981523</v>
      </c>
      <c r="M198" s="14" t="str">
        <f t="shared" si="31"/>
        <v>OVERBOUGHT</v>
      </c>
      <c r="N198" s="7" t="str">
        <f t="shared" si="32"/>
        <v>SELL</v>
      </c>
      <c r="O198" s="7">
        <f t="shared" si="39"/>
        <v>0</v>
      </c>
      <c r="P198" s="7">
        <f t="shared" si="40"/>
        <v>-1</v>
      </c>
      <c r="Q198" s="10" t="e">
        <f t="shared" si="33"/>
        <v>#N/A</v>
      </c>
      <c r="R198" s="10" t="e">
        <f t="shared" si="34"/>
        <v>#N/A</v>
      </c>
      <c r="S198" s="7">
        <f t="shared" si="41"/>
        <v>781</v>
      </c>
      <c r="T198" s="7">
        <f t="shared" si="42"/>
        <v>0</v>
      </c>
    </row>
    <row r="199" spans="1:20" x14ac:dyDescent="0.25">
      <c r="A199" s="1">
        <v>41555</v>
      </c>
      <c r="B199">
        <v>996.9</v>
      </c>
      <c r="C199">
        <v>1004</v>
      </c>
      <c r="D199">
        <v>982.35</v>
      </c>
      <c r="E199">
        <v>986.05</v>
      </c>
      <c r="F199">
        <v>1474543</v>
      </c>
      <c r="G199" s="4">
        <f t="shared" si="43"/>
        <v>0</v>
      </c>
      <c r="H199" s="4">
        <f t="shared" si="44"/>
        <v>6.8000000000000682</v>
      </c>
      <c r="I199" s="6">
        <f t="shared" si="35"/>
        <v>7.3785714285714334</v>
      </c>
      <c r="J199" s="6">
        <f t="shared" si="36"/>
        <v>3.5142857142857258</v>
      </c>
      <c r="K199" s="4">
        <f t="shared" si="37"/>
        <v>2.099593495934954</v>
      </c>
      <c r="L199">
        <f t="shared" si="38"/>
        <v>67.737704918032733</v>
      </c>
      <c r="M199" s="14" t="str">
        <f t="shared" si="31"/>
        <v/>
      </c>
      <c r="N199" s="7">
        <f t="shared" si="32"/>
        <v>0</v>
      </c>
      <c r="O199" s="7">
        <f t="shared" si="39"/>
        <v>0</v>
      </c>
      <c r="P199" s="7">
        <f t="shared" si="40"/>
        <v>-1</v>
      </c>
      <c r="Q199" s="10" t="e">
        <f t="shared" si="33"/>
        <v>#N/A</v>
      </c>
      <c r="R199" s="10" t="e">
        <f t="shared" si="34"/>
        <v>#N/A</v>
      </c>
      <c r="S199" s="7">
        <f t="shared" si="41"/>
        <v>781</v>
      </c>
      <c r="T199" s="7">
        <f t="shared" si="42"/>
        <v>0</v>
      </c>
    </row>
    <row r="200" spans="1:20" x14ac:dyDescent="0.25">
      <c r="A200" s="1">
        <v>41556</v>
      </c>
      <c r="B200">
        <v>999</v>
      </c>
      <c r="C200">
        <v>1011</v>
      </c>
      <c r="D200">
        <v>945</v>
      </c>
      <c r="E200">
        <v>950.3</v>
      </c>
      <c r="F200">
        <v>2858899</v>
      </c>
      <c r="G200" s="4">
        <f t="shared" si="43"/>
        <v>0</v>
      </c>
      <c r="H200" s="4">
        <f t="shared" si="44"/>
        <v>35.75</v>
      </c>
      <c r="I200" s="6">
        <f t="shared" si="35"/>
        <v>7.3785714285714334</v>
      </c>
      <c r="J200" s="6">
        <f t="shared" si="36"/>
        <v>5.7571428571428669</v>
      </c>
      <c r="K200" s="4">
        <f t="shared" si="37"/>
        <v>1.2816377171215867</v>
      </c>
      <c r="L200">
        <f t="shared" si="38"/>
        <v>56.171832517672627</v>
      </c>
      <c r="M200" s="14" t="str">
        <f t="shared" si="31"/>
        <v/>
      </c>
      <c r="N200" s="7">
        <f t="shared" si="32"/>
        <v>0</v>
      </c>
      <c r="O200" s="7">
        <f t="shared" si="39"/>
        <v>0</v>
      </c>
      <c r="P200" s="7">
        <f t="shared" si="40"/>
        <v>-1</v>
      </c>
      <c r="Q200" s="10" t="e">
        <f t="shared" si="33"/>
        <v>#N/A</v>
      </c>
      <c r="R200" s="10" t="e">
        <f t="shared" si="34"/>
        <v>#N/A</v>
      </c>
      <c r="S200" s="7">
        <f t="shared" si="41"/>
        <v>781</v>
      </c>
      <c r="T200" s="7">
        <f t="shared" si="42"/>
        <v>0</v>
      </c>
    </row>
    <row r="201" spans="1:20" x14ac:dyDescent="0.25">
      <c r="A201" s="1">
        <v>41557</v>
      </c>
      <c r="B201">
        <v>970</v>
      </c>
      <c r="C201">
        <v>984</v>
      </c>
      <c r="D201">
        <v>930</v>
      </c>
      <c r="E201">
        <v>981.25</v>
      </c>
      <c r="F201">
        <v>2240367</v>
      </c>
      <c r="G201" s="4">
        <f t="shared" si="43"/>
        <v>30.950000000000045</v>
      </c>
      <c r="H201" s="4">
        <f t="shared" si="44"/>
        <v>0</v>
      </c>
      <c r="I201" s="6">
        <f t="shared" si="35"/>
        <v>9.5892857142857224</v>
      </c>
      <c r="J201" s="6">
        <f t="shared" si="36"/>
        <v>5.1892857142857212</v>
      </c>
      <c r="K201" s="4">
        <f t="shared" si="37"/>
        <v>1.8479008947006186</v>
      </c>
      <c r="L201">
        <f t="shared" si="38"/>
        <v>64.886418559690668</v>
      </c>
      <c r="M201" s="14" t="str">
        <f t="shared" si="31"/>
        <v/>
      </c>
      <c r="N201" s="7">
        <f t="shared" si="32"/>
        <v>0</v>
      </c>
      <c r="O201" s="7">
        <f t="shared" si="39"/>
        <v>0</v>
      </c>
      <c r="P201" s="7">
        <f t="shared" si="40"/>
        <v>-1</v>
      </c>
      <c r="Q201" s="10" t="e">
        <f t="shared" si="33"/>
        <v>#N/A</v>
      </c>
      <c r="R201" s="10" t="e">
        <f t="shared" si="34"/>
        <v>#N/A</v>
      </c>
      <c r="S201" s="7">
        <f t="shared" si="41"/>
        <v>781</v>
      </c>
      <c r="T201" s="7">
        <f t="shared" si="42"/>
        <v>0</v>
      </c>
    </row>
    <row r="202" spans="1:20" x14ac:dyDescent="0.25">
      <c r="A202" s="1">
        <v>41558</v>
      </c>
      <c r="B202">
        <v>982</v>
      </c>
      <c r="C202">
        <v>987.4</v>
      </c>
      <c r="D202">
        <v>964.1</v>
      </c>
      <c r="E202">
        <v>967.75</v>
      </c>
      <c r="F202">
        <v>1100456</v>
      </c>
      <c r="G202" s="4">
        <f t="shared" si="43"/>
        <v>0</v>
      </c>
      <c r="H202" s="4">
        <f t="shared" si="44"/>
        <v>13.5</v>
      </c>
      <c r="I202" s="6">
        <f t="shared" si="35"/>
        <v>9.5392857142857199</v>
      </c>
      <c r="J202" s="6">
        <f t="shared" si="36"/>
        <v>6.1535714285714347</v>
      </c>
      <c r="K202" s="4">
        <f t="shared" si="37"/>
        <v>1.5502031340684845</v>
      </c>
      <c r="L202">
        <f t="shared" si="38"/>
        <v>60.787437414656338</v>
      </c>
      <c r="M202" s="14" t="str">
        <f t="shared" si="31"/>
        <v/>
      </c>
      <c r="N202" s="7">
        <f t="shared" si="32"/>
        <v>0</v>
      </c>
      <c r="O202" s="7">
        <f t="shared" si="39"/>
        <v>0</v>
      </c>
      <c r="P202" s="7">
        <f t="shared" si="40"/>
        <v>-1</v>
      </c>
      <c r="Q202" s="10" t="e">
        <f t="shared" si="33"/>
        <v>#N/A</v>
      </c>
      <c r="R202" s="10" t="e">
        <f t="shared" si="34"/>
        <v>#N/A</v>
      </c>
      <c r="S202" s="7">
        <f t="shared" si="41"/>
        <v>781</v>
      </c>
      <c r="T202" s="7">
        <f t="shared" si="42"/>
        <v>0</v>
      </c>
    </row>
    <row r="203" spans="1:20" x14ac:dyDescent="0.25">
      <c r="A203" s="1">
        <v>41561</v>
      </c>
      <c r="B203">
        <v>964.5</v>
      </c>
      <c r="C203">
        <v>980.5</v>
      </c>
      <c r="D203">
        <v>956.2</v>
      </c>
      <c r="E203">
        <v>963.25</v>
      </c>
      <c r="F203">
        <v>1103319</v>
      </c>
      <c r="G203" s="4">
        <f t="shared" si="43"/>
        <v>0</v>
      </c>
      <c r="H203" s="4">
        <f t="shared" si="44"/>
        <v>4.5</v>
      </c>
      <c r="I203" s="6">
        <f t="shared" si="35"/>
        <v>9.0678571428571466</v>
      </c>
      <c r="J203" s="6">
        <f t="shared" si="36"/>
        <v>6.4750000000000068</v>
      </c>
      <c r="K203" s="4">
        <f t="shared" si="37"/>
        <v>1.4004412575841139</v>
      </c>
      <c r="L203">
        <f t="shared" si="38"/>
        <v>58.340992647058812</v>
      </c>
      <c r="M203" s="14" t="str">
        <f t="shared" si="31"/>
        <v/>
      </c>
      <c r="N203" s="7">
        <f t="shared" si="32"/>
        <v>0</v>
      </c>
      <c r="O203" s="7">
        <f t="shared" si="39"/>
        <v>0</v>
      </c>
      <c r="P203" s="7">
        <f t="shared" si="40"/>
        <v>-1</v>
      </c>
      <c r="Q203" s="10" t="e">
        <f t="shared" si="33"/>
        <v>#N/A</v>
      </c>
      <c r="R203" s="10" t="e">
        <f t="shared" si="34"/>
        <v>#N/A</v>
      </c>
      <c r="S203" s="7">
        <f t="shared" si="41"/>
        <v>781</v>
      </c>
      <c r="T203" s="7">
        <f t="shared" si="42"/>
        <v>0</v>
      </c>
    </row>
    <row r="204" spans="1:20" x14ac:dyDescent="0.25">
      <c r="A204" s="1">
        <v>41562</v>
      </c>
      <c r="B204">
        <v>974.05</v>
      </c>
      <c r="C204">
        <v>993.85</v>
      </c>
      <c r="D204">
        <v>970</v>
      </c>
      <c r="E204">
        <v>986.2</v>
      </c>
      <c r="F204">
        <v>1876177</v>
      </c>
      <c r="G204" s="4">
        <f t="shared" si="43"/>
        <v>22.950000000000045</v>
      </c>
      <c r="H204" s="4">
        <f t="shared" si="44"/>
        <v>0</v>
      </c>
      <c r="I204" s="6">
        <f t="shared" si="35"/>
        <v>8.2321428571428648</v>
      </c>
      <c r="J204" s="6">
        <f t="shared" si="36"/>
        <v>6.4750000000000068</v>
      </c>
      <c r="K204" s="4">
        <f t="shared" si="37"/>
        <v>1.2713734142305568</v>
      </c>
      <c r="L204">
        <f t="shared" si="38"/>
        <v>55.97377367654201</v>
      </c>
      <c r="M204" s="14" t="str">
        <f t="shared" si="31"/>
        <v/>
      </c>
      <c r="N204" s="7">
        <f t="shared" si="32"/>
        <v>0</v>
      </c>
      <c r="O204" s="7">
        <f t="shared" si="39"/>
        <v>0</v>
      </c>
      <c r="P204" s="7">
        <f t="shared" si="40"/>
        <v>-1</v>
      </c>
      <c r="Q204" s="10" t="e">
        <f t="shared" si="33"/>
        <v>#N/A</v>
      </c>
      <c r="R204" s="10" t="e">
        <f t="shared" si="34"/>
        <v>#N/A</v>
      </c>
      <c r="S204" s="7">
        <f t="shared" si="41"/>
        <v>781</v>
      </c>
      <c r="T204" s="7">
        <f t="shared" si="42"/>
        <v>0</v>
      </c>
    </row>
    <row r="205" spans="1:20" x14ac:dyDescent="0.25">
      <c r="A205" s="1">
        <v>41563</v>
      </c>
      <c r="B205">
        <v>1022</v>
      </c>
      <c r="C205">
        <v>1049.4000000000001</v>
      </c>
      <c r="D205">
        <v>1022</v>
      </c>
      <c r="E205">
        <v>1040.2</v>
      </c>
      <c r="F205">
        <v>4805202</v>
      </c>
      <c r="G205" s="4">
        <f t="shared" si="43"/>
        <v>54</v>
      </c>
      <c r="H205" s="4">
        <f t="shared" si="44"/>
        <v>0</v>
      </c>
      <c r="I205" s="6">
        <f t="shared" si="35"/>
        <v>12.089285714285722</v>
      </c>
      <c r="J205" s="6">
        <f t="shared" si="36"/>
        <v>6.0607142857142877</v>
      </c>
      <c r="K205" s="4">
        <f t="shared" si="37"/>
        <v>1.9946965232763707</v>
      </c>
      <c r="L205">
        <f t="shared" si="38"/>
        <v>66.607634789452987</v>
      </c>
      <c r="M205" s="14" t="str">
        <f t="shared" si="31"/>
        <v/>
      </c>
      <c r="N205" s="7">
        <f t="shared" si="32"/>
        <v>0</v>
      </c>
      <c r="O205" s="7">
        <f t="shared" si="39"/>
        <v>0</v>
      </c>
      <c r="P205" s="7">
        <f t="shared" si="40"/>
        <v>-1</v>
      </c>
      <c r="Q205" s="10" t="e">
        <f t="shared" si="33"/>
        <v>#N/A</v>
      </c>
      <c r="R205" s="10" t="e">
        <f t="shared" si="34"/>
        <v>#N/A</v>
      </c>
      <c r="S205" s="7">
        <f t="shared" si="41"/>
        <v>781</v>
      </c>
      <c r="T205" s="7">
        <f t="shared" si="42"/>
        <v>0</v>
      </c>
    </row>
    <row r="206" spans="1:20" x14ac:dyDescent="0.25">
      <c r="A206" s="1">
        <v>41564</v>
      </c>
      <c r="B206">
        <v>1043</v>
      </c>
      <c r="C206">
        <v>1072.95</v>
      </c>
      <c r="D206">
        <v>1037.2</v>
      </c>
      <c r="E206">
        <v>1066.95</v>
      </c>
      <c r="F206">
        <v>2578158</v>
      </c>
      <c r="G206" s="4">
        <f t="shared" si="43"/>
        <v>26.75</v>
      </c>
      <c r="H206" s="4">
        <f t="shared" si="44"/>
        <v>0</v>
      </c>
      <c r="I206" s="6">
        <f t="shared" si="35"/>
        <v>14.000000000000009</v>
      </c>
      <c r="J206" s="6">
        <f t="shared" si="36"/>
        <v>5.664285714285719</v>
      </c>
      <c r="K206" s="4">
        <f t="shared" si="37"/>
        <v>2.4716267339218154</v>
      </c>
      <c r="L206">
        <f t="shared" si="38"/>
        <v>71.195059934616779</v>
      </c>
      <c r="M206" s="14" t="str">
        <f t="shared" si="31"/>
        <v>OVERBOUGHT</v>
      </c>
      <c r="N206" s="7" t="str">
        <f t="shared" si="32"/>
        <v>SELL</v>
      </c>
      <c r="O206" s="7">
        <f t="shared" si="39"/>
        <v>0</v>
      </c>
      <c r="P206" s="7">
        <f t="shared" si="40"/>
        <v>-1</v>
      </c>
      <c r="Q206" s="10" t="e">
        <f t="shared" si="33"/>
        <v>#N/A</v>
      </c>
      <c r="R206" s="10" t="e">
        <f t="shared" si="34"/>
        <v>#N/A</v>
      </c>
      <c r="S206" s="7">
        <f t="shared" si="41"/>
        <v>781</v>
      </c>
      <c r="T206" s="7">
        <f t="shared" si="42"/>
        <v>0</v>
      </c>
    </row>
    <row r="207" spans="1:20" x14ac:dyDescent="0.25">
      <c r="A207" s="1">
        <v>41565</v>
      </c>
      <c r="B207">
        <v>1063.5</v>
      </c>
      <c r="C207">
        <v>1067.75</v>
      </c>
      <c r="D207">
        <v>1041.55</v>
      </c>
      <c r="E207">
        <v>1062.5999999999999</v>
      </c>
      <c r="F207">
        <v>1753512</v>
      </c>
      <c r="G207" s="4">
        <f t="shared" si="43"/>
        <v>0</v>
      </c>
      <c r="H207" s="4">
        <f t="shared" si="44"/>
        <v>4.3500000000001364</v>
      </c>
      <c r="I207" s="6">
        <f t="shared" si="35"/>
        <v>13.328571428571438</v>
      </c>
      <c r="J207" s="6">
        <f t="shared" si="36"/>
        <v>5.9750000000000147</v>
      </c>
      <c r="K207" s="4">
        <f t="shared" si="37"/>
        <v>2.2307232516437496</v>
      </c>
      <c r="L207">
        <f t="shared" si="38"/>
        <v>69.047178538390341</v>
      </c>
      <c r="M207" s="14" t="str">
        <f t="shared" si="31"/>
        <v/>
      </c>
      <c r="N207" s="7">
        <f t="shared" si="32"/>
        <v>0</v>
      </c>
      <c r="O207" s="7">
        <f t="shared" si="39"/>
        <v>0</v>
      </c>
      <c r="P207" s="7">
        <f t="shared" si="40"/>
        <v>-1</v>
      </c>
      <c r="Q207" s="10" t="e">
        <f t="shared" si="33"/>
        <v>#N/A</v>
      </c>
      <c r="R207" s="10" t="e">
        <f t="shared" si="34"/>
        <v>#N/A</v>
      </c>
      <c r="S207" s="7">
        <f t="shared" si="41"/>
        <v>781</v>
      </c>
      <c r="T207" s="7">
        <f t="shared" si="42"/>
        <v>0</v>
      </c>
    </row>
    <row r="208" spans="1:20" x14ac:dyDescent="0.25">
      <c r="A208" s="1">
        <v>41568</v>
      </c>
      <c r="B208">
        <v>1060</v>
      </c>
      <c r="C208">
        <v>1066.8</v>
      </c>
      <c r="D208">
        <v>1043.55</v>
      </c>
      <c r="E208">
        <v>1048.2</v>
      </c>
      <c r="F208">
        <v>1070691</v>
      </c>
      <c r="G208" s="4">
        <f t="shared" si="43"/>
        <v>0</v>
      </c>
      <c r="H208" s="4">
        <f t="shared" si="44"/>
        <v>14.399999999999864</v>
      </c>
      <c r="I208" s="6">
        <f t="shared" si="35"/>
        <v>13.328571428571438</v>
      </c>
      <c r="J208" s="6">
        <f t="shared" si="36"/>
        <v>6.2285714285714322</v>
      </c>
      <c r="K208" s="4">
        <f t="shared" si="37"/>
        <v>2.1399082568807342</v>
      </c>
      <c r="L208">
        <f t="shared" si="38"/>
        <v>68.151935719503285</v>
      </c>
      <c r="M208" s="14" t="str">
        <f t="shared" ref="M208:M271" si="45">IF(L208&gt;RSI_Overbought,"OVERBOUGHT",IF(L208&lt;RSI_Oversold,"OVERSOLD",""))</f>
        <v/>
      </c>
      <c r="N208" s="7">
        <f t="shared" ref="N208:N271" si="46">IF(L208&gt;RSI_Overbought,"SELL",IF(L208&lt;RSI_Oversold,"BUY",0))</f>
        <v>0</v>
      </c>
      <c r="O208" s="7">
        <f t="shared" si="39"/>
        <v>0</v>
      </c>
      <c r="P208" s="7">
        <f t="shared" si="40"/>
        <v>-1</v>
      </c>
      <c r="Q208" s="10" t="e">
        <f t="shared" ref="Q208:Q271" si="47">IF($O208="BUY",$E208,NA())</f>
        <v>#N/A</v>
      </c>
      <c r="R208" s="10" t="e">
        <f t="shared" ref="R208:R271" si="48">IF($O208="SELL",$E208,NA())</f>
        <v>#N/A</v>
      </c>
      <c r="S208" s="7">
        <f t="shared" si="41"/>
        <v>781</v>
      </c>
      <c r="T208" s="7">
        <f t="shared" si="42"/>
        <v>0</v>
      </c>
    </row>
    <row r="209" spans="1:20" x14ac:dyDescent="0.25">
      <c r="A209" s="1">
        <v>41569</v>
      </c>
      <c r="B209">
        <v>1050</v>
      </c>
      <c r="C209">
        <v>1067.55</v>
      </c>
      <c r="D209">
        <v>1040</v>
      </c>
      <c r="E209">
        <v>1052.9000000000001</v>
      </c>
      <c r="F209">
        <v>2627845</v>
      </c>
      <c r="G209" s="4">
        <f t="shared" si="43"/>
        <v>4.7000000000000455</v>
      </c>
      <c r="H209" s="4">
        <f t="shared" si="44"/>
        <v>0</v>
      </c>
      <c r="I209" s="6">
        <f t="shared" ref="I209:I272" si="49">AVERAGE(G196:G209)</f>
        <v>13.664285714285727</v>
      </c>
      <c r="J209" s="6">
        <f t="shared" ref="J209:J272" si="50">AVERAGE(H196:H209)</f>
        <v>5.7857142857142936</v>
      </c>
      <c r="K209" s="4">
        <f t="shared" ref="K209:K272" si="51">I209/J209</f>
        <v>2.3617283950617276</v>
      </c>
      <c r="L209">
        <f t="shared" ref="L209:L272" si="52">100-(100/(K209+1))</f>
        <v>70.253396988615492</v>
      </c>
      <c r="M209" s="14" t="str">
        <f t="shared" si="45"/>
        <v>OVERBOUGHT</v>
      </c>
      <c r="N209" s="7" t="str">
        <f t="shared" si="46"/>
        <v>SELL</v>
      </c>
      <c r="O209" s="7">
        <f t="shared" ref="O209:O272" si="53">IF(AND(N209="BUY",P208&lt;&gt;1),"BUY",IF(AND(N209="SELL",P208&lt;&gt;-1),"SELL",0))</f>
        <v>0</v>
      </c>
      <c r="P209" s="7">
        <f t="shared" ref="P209:P272" si="54">IF(O209="BUY",1,IF(O209="SELL",-1,P208))</f>
        <v>-1</v>
      </c>
      <c r="Q209" s="10" t="e">
        <f t="shared" si="47"/>
        <v>#N/A</v>
      </c>
      <c r="R209" s="10" t="e">
        <f t="shared" si="48"/>
        <v>#N/A</v>
      </c>
      <c r="S209" s="7">
        <f t="shared" ref="S209:S272" si="55">IF(O209&lt;&gt;0,E209,S208)</f>
        <v>781</v>
      </c>
      <c r="T209" s="7">
        <f t="shared" si="42"/>
        <v>0</v>
      </c>
    </row>
    <row r="210" spans="1:20" x14ac:dyDescent="0.25">
      <c r="A210" s="1">
        <v>41570</v>
      </c>
      <c r="B210">
        <v>1060</v>
      </c>
      <c r="C210">
        <v>1060</v>
      </c>
      <c r="D210">
        <v>1031</v>
      </c>
      <c r="E210">
        <v>1052.9000000000001</v>
      </c>
      <c r="F210">
        <v>1106199</v>
      </c>
      <c r="G210" s="4">
        <f t="shared" si="43"/>
        <v>0</v>
      </c>
      <c r="H210" s="4">
        <f t="shared" si="44"/>
        <v>0</v>
      </c>
      <c r="I210" s="6">
        <f t="shared" si="49"/>
        <v>13.664285714285727</v>
      </c>
      <c r="J210" s="6">
        <f t="shared" si="50"/>
        <v>5.664285714285719</v>
      </c>
      <c r="K210" s="4">
        <f t="shared" si="51"/>
        <v>2.4123581336696094</v>
      </c>
      <c r="L210">
        <f t="shared" si="52"/>
        <v>70.694752402069483</v>
      </c>
      <c r="M210" s="14" t="str">
        <f t="shared" si="45"/>
        <v>OVERBOUGHT</v>
      </c>
      <c r="N210" s="7" t="str">
        <f t="shared" si="46"/>
        <v>SELL</v>
      </c>
      <c r="O210" s="7">
        <f t="shared" si="53"/>
        <v>0</v>
      </c>
      <c r="P210" s="7">
        <f t="shared" si="54"/>
        <v>-1</v>
      </c>
      <c r="Q210" s="10" t="e">
        <f t="shared" si="47"/>
        <v>#N/A</v>
      </c>
      <c r="R210" s="10" t="e">
        <f t="shared" si="48"/>
        <v>#N/A</v>
      </c>
      <c r="S210" s="7">
        <f t="shared" si="55"/>
        <v>781</v>
      </c>
      <c r="T210" s="7">
        <f t="shared" si="42"/>
        <v>0</v>
      </c>
    </row>
    <row r="211" spans="1:20" x14ac:dyDescent="0.25">
      <c r="A211" s="1">
        <v>41571</v>
      </c>
      <c r="B211">
        <v>1052.05</v>
      </c>
      <c r="C211">
        <v>1066.4000000000001</v>
      </c>
      <c r="D211">
        <v>1049.0999999999999</v>
      </c>
      <c r="E211">
        <v>1053.4000000000001</v>
      </c>
      <c r="F211">
        <v>573974</v>
      </c>
      <c r="G211" s="4">
        <f t="shared" si="43"/>
        <v>0.5</v>
      </c>
      <c r="H211" s="4">
        <f t="shared" si="44"/>
        <v>0</v>
      </c>
      <c r="I211" s="6">
        <f t="shared" si="49"/>
        <v>13.000000000000009</v>
      </c>
      <c r="J211" s="6">
        <f t="shared" si="50"/>
        <v>5.664285714285719</v>
      </c>
      <c r="K211" s="4">
        <f t="shared" si="51"/>
        <v>2.2950819672131142</v>
      </c>
      <c r="L211">
        <f t="shared" si="52"/>
        <v>69.651741293532325</v>
      </c>
      <c r="M211" s="14" t="str">
        <f t="shared" si="45"/>
        <v/>
      </c>
      <c r="N211" s="7">
        <f t="shared" si="46"/>
        <v>0</v>
      </c>
      <c r="O211" s="7">
        <f t="shared" si="53"/>
        <v>0</v>
      </c>
      <c r="P211" s="7">
        <f t="shared" si="54"/>
        <v>-1</v>
      </c>
      <c r="Q211" s="10" t="e">
        <f t="shared" si="47"/>
        <v>#N/A</v>
      </c>
      <c r="R211" s="10" t="e">
        <f t="shared" si="48"/>
        <v>#N/A</v>
      </c>
      <c r="S211" s="7">
        <f t="shared" si="55"/>
        <v>781</v>
      </c>
      <c r="T211" s="7">
        <f t="shared" si="42"/>
        <v>0</v>
      </c>
    </row>
    <row r="212" spans="1:20" x14ac:dyDescent="0.25">
      <c r="A212" s="1">
        <v>41572</v>
      </c>
      <c r="B212">
        <v>1055</v>
      </c>
      <c r="C212">
        <v>1060</v>
      </c>
      <c r="D212">
        <v>1043.7</v>
      </c>
      <c r="E212">
        <v>1049.45</v>
      </c>
      <c r="F212">
        <v>782889</v>
      </c>
      <c r="G212" s="4">
        <f t="shared" si="43"/>
        <v>0</v>
      </c>
      <c r="H212" s="4">
        <f t="shared" si="44"/>
        <v>3.9500000000000455</v>
      </c>
      <c r="I212" s="6">
        <f t="shared" si="49"/>
        <v>9.9892857142857245</v>
      </c>
      <c r="J212" s="6">
        <f t="shared" si="50"/>
        <v>5.9464285714285792</v>
      </c>
      <c r="K212" s="4">
        <f t="shared" si="51"/>
        <v>1.6798798798798795</v>
      </c>
      <c r="L212">
        <f t="shared" si="52"/>
        <v>62.684894666069027</v>
      </c>
      <c r="M212" s="14" t="str">
        <f t="shared" si="45"/>
        <v/>
      </c>
      <c r="N212" s="7">
        <f t="shared" si="46"/>
        <v>0</v>
      </c>
      <c r="O212" s="7">
        <f t="shared" si="53"/>
        <v>0</v>
      </c>
      <c r="P212" s="7">
        <f t="shared" si="54"/>
        <v>-1</v>
      </c>
      <c r="Q212" s="10" t="e">
        <f t="shared" si="47"/>
        <v>#N/A</v>
      </c>
      <c r="R212" s="10" t="e">
        <f t="shared" si="48"/>
        <v>#N/A</v>
      </c>
      <c r="S212" s="7">
        <f t="shared" si="55"/>
        <v>781</v>
      </c>
      <c r="T212" s="7">
        <f t="shared" si="42"/>
        <v>0</v>
      </c>
    </row>
    <row r="213" spans="1:20" x14ac:dyDescent="0.25">
      <c r="A213" s="1">
        <v>41575</v>
      </c>
      <c r="B213">
        <v>1050.9000000000001</v>
      </c>
      <c r="C213">
        <v>1079</v>
      </c>
      <c r="D213">
        <v>1048.4000000000001</v>
      </c>
      <c r="E213">
        <v>1052.8</v>
      </c>
      <c r="F213">
        <v>1108939</v>
      </c>
      <c r="G213" s="4">
        <f t="shared" si="43"/>
        <v>3.3499999999999091</v>
      </c>
      <c r="H213" s="4">
        <f t="shared" si="44"/>
        <v>0</v>
      </c>
      <c r="I213" s="6">
        <f t="shared" si="49"/>
        <v>10.228571428571431</v>
      </c>
      <c r="J213" s="6">
        <f t="shared" si="50"/>
        <v>5.460714285714289</v>
      </c>
      <c r="K213" s="4">
        <f t="shared" si="51"/>
        <v>1.8731196860693258</v>
      </c>
      <c r="L213">
        <f t="shared" si="52"/>
        <v>65.194627816981551</v>
      </c>
      <c r="M213" s="14" t="str">
        <f t="shared" si="45"/>
        <v/>
      </c>
      <c r="N213" s="7">
        <f t="shared" si="46"/>
        <v>0</v>
      </c>
      <c r="O213" s="7">
        <f t="shared" si="53"/>
        <v>0</v>
      </c>
      <c r="P213" s="7">
        <f t="shared" si="54"/>
        <v>-1</v>
      </c>
      <c r="Q213" s="10" t="e">
        <f t="shared" si="47"/>
        <v>#N/A</v>
      </c>
      <c r="R213" s="10" t="e">
        <f t="shared" si="48"/>
        <v>#N/A</v>
      </c>
      <c r="S213" s="7">
        <f t="shared" si="55"/>
        <v>781</v>
      </c>
      <c r="T213" s="7">
        <f t="shared" si="42"/>
        <v>0</v>
      </c>
    </row>
    <row r="214" spans="1:20" x14ac:dyDescent="0.25">
      <c r="A214" s="1">
        <v>41576</v>
      </c>
      <c r="B214">
        <v>1062</v>
      </c>
      <c r="C214">
        <v>1078.5999999999999</v>
      </c>
      <c r="D214">
        <v>1061.5</v>
      </c>
      <c r="E214">
        <v>1069.1500000000001</v>
      </c>
      <c r="F214">
        <v>858720</v>
      </c>
      <c r="G214" s="4">
        <f t="shared" si="43"/>
        <v>16.350000000000136</v>
      </c>
      <c r="H214" s="4">
        <f t="shared" si="44"/>
        <v>0</v>
      </c>
      <c r="I214" s="6">
        <f t="shared" si="49"/>
        <v>11.396428571428585</v>
      </c>
      <c r="J214" s="6">
        <f t="shared" si="50"/>
        <v>2.9071428571428606</v>
      </c>
      <c r="K214" s="4">
        <f t="shared" si="51"/>
        <v>3.92014742014742</v>
      </c>
      <c r="L214">
        <f t="shared" si="52"/>
        <v>79.675405742821468</v>
      </c>
      <c r="M214" s="14" t="str">
        <f t="shared" si="45"/>
        <v>OVERBOUGHT</v>
      </c>
      <c r="N214" s="7" t="str">
        <f t="shared" si="46"/>
        <v>SELL</v>
      </c>
      <c r="O214" s="7">
        <f t="shared" si="53"/>
        <v>0</v>
      </c>
      <c r="P214" s="7">
        <f t="shared" si="54"/>
        <v>-1</v>
      </c>
      <c r="Q214" s="10" t="e">
        <f t="shared" si="47"/>
        <v>#N/A</v>
      </c>
      <c r="R214" s="10" t="e">
        <f t="shared" si="48"/>
        <v>#N/A</v>
      </c>
      <c r="S214" s="7">
        <f t="shared" si="55"/>
        <v>781</v>
      </c>
      <c r="T214" s="7">
        <f t="shared" si="42"/>
        <v>0</v>
      </c>
    </row>
    <row r="215" spans="1:20" x14ac:dyDescent="0.25">
      <c r="A215" s="1">
        <v>41577</v>
      </c>
      <c r="B215">
        <v>1082.9000000000001</v>
      </c>
      <c r="C215">
        <v>1083.9000000000001</v>
      </c>
      <c r="D215">
        <v>1075.3499999999999</v>
      </c>
      <c r="E215">
        <v>1077.75</v>
      </c>
      <c r="F215">
        <v>179483</v>
      </c>
      <c r="G215" s="4">
        <f t="shared" si="43"/>
        <v>8.5999999999999091</v>
      </c>
      <c r="H215" s="4">
        <f t="shared" si="44"/>
        <v>0</v>
      </c>
      <c r="I215" s="6">
        <f t="shared" si="49"/>
        <v>9.8000000000000025</v>
      </c>
      <c r="J215" s="6">
        <f t="shared" si="50"/>
        <v>2.9071428571428606</v>
      </c>
      <c r="K215" s="4">
        <f t="shared" si="51"/>
        <v>3.371007371007368</v>
      </c>
      <c r="L215">
        <f t="shared" si="52"/>
        <v>77.121978639685196</v>
      </c>
      <c r="M215" s="14" t="str">
        <f t="shared" si="45"/>
        <v>OVERBOUGHT</v>
      </c>
      <c r="N215" s="7" t="str">
        <f t="shared" si="46"/>
        <v>SELL</v>
      </c>
      <c r="O215" s="7">
        <f t="shared" si="53"/>
        <v>0</v>
      </c>
      <c r="P215" s="7">
        <f t="shared" si="54"/>
        <v>-1</v>
      </c>
      <c r="Q215" s="10" t="e">
        <f t="shared" si="47"/>
        <v>#N/A</v>
      </c>
      <c r="R215" s="10" t="e">
        <f t="shared" si="48"/>
        <v>#N/A</v>
      </c>
      <c r="S215" s="7">
        <f t="shared" si="55"/>
        <v>781</v>
      </c>
      <c r="T215" s="7">
        <f t="shared" si="42"/>
        <v>0</v>
      </c>
    </row>
    <row r="216" spans="1:20" x14ac:dyDescent="0.25">
      <c r="A216" s="1">
        <v>41578</v>
      </c>
      <c r="B216">
        <v>1080</v>
      </c>
      <c r="C216">
        <v>1082.4000000000001</v>
      </c>
      <c r="D216">
        <v>1062.0999999999999</v>
      </c>
      <c r="E216">
        <v>1068.1500000000001</v>
      </c>
      <c r="F216">
        <v>1124293</v>
      </c>
      <c r="G216" s="4">
        <f t="shared" si="43"/>
        <v>0</v>
      </c>
      <c r="H216" s="4">
        <f t="shared" si="44"/>
        <v>9.5999999999999091</v>
      </c>
      <c r="I216" s="6">
        <f t="shared" si="49"/>
        <v>9.8000000000000025</v>
      </c>
      <c r="J216" s="6">
        <f t="shared" si="50"/>
        <v>2.6285714285714255</v>
      </c>
      <c r="K216" s="4">
        <f t="shared" si="51"/>
        <v>3.7282608695652226</v>
      </c>
      <c r="L216">
        <f t="shared" si="52"/>
        <v>78.850574712643692</v>
      </c>
      <c r="M216" s="14" t="str">
        <f t="shared" si="45"/>
        <v>OVERBOUGHT</v>
      </c>
      <c r="N216" s="7" t="str">
        <f t="shared" si="46"/>
        <v>SELL</v>
      </c>
      <c r="O216" s="7">
        <f t="shared" si="53"/>
        <v>0</v>
      </c>
      <c r="P216" s="7">
        <f t="shared" si="54"/>
        <v>-1</v>
      </c>
      <c r="Q216" s="10" t="e">
        <f t="shared" si="47"/>
        <v>#N/A</v>
      </c>
      <c r="R216" s="10" t="e">
        <f t="shared" si="48"/>
        <v>#N/A</v>
      </c>
      <c r="S216" s="7">
        <f t="shared" si="55"/>
        <v>781</v>
      </c>
      <c r="T216" s="7">
        <f t="shared" si="42"/>
        <v>0</v>
      </c>
    </row>
    <row r="217" spans="1:20" x14ac:dyDescent="0.25">
      <c r="A217" s="1">
        <v>41579</v>
      </c>
      <c r="B217">
        <v>1073.9000000000001</v>
      </c>
      <c r="C217">
        <v>1098.7</v>
      </c>
      <c r="D217">
        <v>1068.5</v>
      </c>
      <c r="E217">
        <v>1091.0999999999999</v>
      </c>
      <c r="F217">
        <v>1752043</v>
      </c>
      <c r="G217" s="4">
        <f t="shared" si="43"/>
        <v>22.949999999999818</v>
      </c>
      <c r="H217" s="4">
        <f t="shared" si="44"/>
        <v>0</v>
      </c>
      <c r="I217" s="6">
        <f t="shared" si="49"/>
        <v>11.439285714285704</v>
      </c>
      <c r="J217" s="6">
        <f t="shared" si="50"/>
        <v>2.3071428571428538</v>
      </c>
      <c r="K217" s="4">
        <f t="shared" si="51"/>
        <v>4.9582043343653277</v>
      </c>
      <c r="L217">
        <f t="shared" si="52"/>
        <v>83.216419849311521</v>
      </c>
      <c r="M217" s="14" t="str">
        <f t="shared" si="45"/>
        <v>OVERBOUGHT</v>
      </c>
      <c r="N217" s="7" t="str">
        <f t="shared" si="46"/>
        <v>SELL</v>
      </c>
      <c r="O217" s="7">
        <f t="shared" si="53"/>
        <v>0</v>
      </c>
      <c r="P217" s="7">
        <f t="shared" si="54"/>
        <v>-1</v>
      </c>
      <c r="Q217" s="10" t="e">
        <f t="shared" si="47"/>
        <v>#N/A</v>
      </c>
      <c r="R217" s="10" t="e">
        <f t="shared" si="48"/>
        <v>#N/A</v>
      </c>
      <c r="S217" s="7">
        <f t="shared" si="55"/>
        <v>781</v>
      </c>
      <c r="T217" s="7">
        <f t="shared" si="42"/>
        <v>0</v>
      </c>
    </row>
    <row r="218" spans="1:20" x14ac:dyDescent="0.25">
      <c r="A218" s="1">
        <v>41582</v>
      </c>
      <c r="B218">
        <v>1092.25</v>
      </c>
      <c r="C218">
        <v>1108</v>
      </c>
      <c r="D218">
        <v>1086.0999999999999</v>
      </c>
      <c r="E218">
        <v>1092.3</v>
      </c>
      <c r="F218">
        <v>770112</v>
      </c>
      <c r="G218" s="4">
        <f t="shared" si="43"/>
        <v>1.2000000000000455</v>
      </c>
      <c r="H218" s="4">
        <f t="shared" si="44"/>
        <v>0</v>
      </c>
      <c r="I218" s="6">
        <f t="shared" si="49"/>
        <v>9.8857142857142755</v>
      </c>
      <c r="J218" s="6">
        <f t="shared" si="50"/>
        <v>2.3071428571428538</v>
      </c>
      <c r="K218" s="4">
        <f t="shared" si="51"/>
        <v>4.2848297213622306</v>
      </c>
      <c r="L218">
        <f t="shared" si="52"/>
        <v>81.07791446983012</v>
      </c>
      <c r="M218" s="14" t="str">
        <f t="shared" si="45"/>
        <v>OVERBOUGHT</v>
      </c>
      <c r="N218" s="7" t="str">
        <f t="shared" si="46"/>
        <v>SELL</v>
      </c>
      <c r="O218" s="7">
        <f t="shared" si="53"/>
        <v>0</v>
      </c>
      <c r="P218" s="7">
        <f t="shared" si="54"/>
        <v>-1</v>
      </c>
      <c r="Q218" s="10" t="e">
        <f t="shared" si="47"/>
        <v>#N/A</v>
      </c>
      <c r="R218" s="10" t="e">
        <f t="shared" si="48"/>
        <v>#N/A</v>
      </c>
      <c r="S218" s="7">
        <f t="shared" si="55"/>
        <v>781</v>
      </c>
      <c r="T218" s="7">
        <f t="shared" ref="T218:T281" si="56">IF(O218="BUY",(S217-S218)/S217,IF(O218="SELL",(S218-S217)/S217,0))</f>
        <v>0</v>
      </c>
    </row>
    <row r="219" spans="1:20" x14ac:dyDescent="0.25">
      <c r="A219" s="1">
        <v>41583</v>
      </c>
      <c r="B219">
        <v>1090</v>
      </c>
      <c r="C219">
        <v>1090</v>
      </c>
      <c r="D219">
        <v>1058.25</v>
      </c>
      <c r="E219">
        <v>1064.75</v>
      </c>
      <c r="F219">
        <v>963048</v>
      </c>
      <c r="G219" s="4">
        <f t="shared" si="43"/>
        <v>0</v>
      </c>
      <c r="H219" s="4">
        <f t="shared" si="44"/>
        <v>27.549999999999955</v>
      </c>
      <c r="I219" s="6">
        <f t="shared" si="49"/>
        <v>6.0285714285714187</v>
      </c>
      <c r="J219" s="6">
        <f t="shared" si="50"/>
        <v>4.2749999999999932</v>
      </c>
      <c r="K219" s="4">
        <f t="shared" si="51"/>
        <v>1.4101921470342522</v>
      </c>
      <c r="L219">
        <f t="shared" si="52"/>
        <v>58.509532062391678</v>
      </c>
      <c r="M219" s="14" t="str">
        <f t="shared" si="45"/>
        <v/>
      </c>
      <c r="N219" s="7">
        <f t="shared" si="46"/>
        <v>0</v>
      </c>
      <c r="O219" s="7">
        <f t="shared" si="53"/>
        <v>0</v>
      </c>
      <c r="P219" s="7">
        <f t="shared" si="54"/>
        <v>-1</v>
      </c>
      <c r="Q219" s="10" t="e">
        <f t="shared" si="47"/>
        <v>#N/A</v>
      </c>
      <c r="R219" s="10" t="e">
        <f t="shared" si="48"/>
        <v>#N/A</v>
      </c>
      <c r="S219" s="7">
        <f t="shared" si="55"/>
        <v>781</v>
      </c>
      <c r="T219" s="7">
        <f t="shared" si="56"/>
        <v>0</v>
      </c>
    </row>
    <row r="220" spans="1:20" x14ac:dyDescent="0.25">
      <c r="A220" s="1">
        <v>41584</v>
      </c>
      <c r="B220">
        <v>1060</v>
      </c>
      <c r="C220">
        <v>1069.9000000000001</v>
      </c>
      <c r="D220">
        <v>1048.2</v>
      </c>
      <c r="E220">
        <v>1055.9000000000001</v>
      </c>
      <c r="F220">
        <v>901165</v>
      </c>
      <c r="G220" s="4">
        <f t="shared" si="43"/>
        <v>0</v>
      </c>
      <c r="H220" s="4">
        <f t="shared" si="44"/>
        <v>8.8499999999999091</v>
      </c>
      <c r="I220" s="6">
        <f t="shared" si="49"/>
        <v>4.1178571428571331</v>
      </c>
      <c r="J220" s="6">
        <f t="shared" si="50"/>
        <v>4.9071428571428442</v>
      </c>
      <c r="K220" s="4">
        <f t="shared" si="51"/>
        <v>0.83915574963609918</v>
      </c>
      <c r="L220">
        <f t="shared" si="52"/>
        <v>45.627225959635943</v>
      </c>
      <c r="M220" s="14" t="str">
        <f t="shared" si="45"/>
        <v/>
      </c>
      <c r="N220" s="7">
        <f t="shared" si="46"/>
        <v>0</v>
      </c>
      <c r="O220" s="7">
        <f t="shared" si="53"/>
        <v>0</v>
      </c>
      <c r="P220" s="7">
        <f t="shared" si="54"/>
        <v>-1</v>
      </c>
      <c r="Q220" s="10" t="e">
        <f t="shared" si="47"/>
        <v>#N/A</v>
      </c>
      <c r="R220" s="10" t="e">
        <f t="shared" si="48"/>
        <v>#N/A</v>
      </c>
      <c r="S220" s="7">
        <f t="shared" si="55"/>
        <v>781</v>
      </c>
      <c r="T220" s="7">
        <f t="shared" si="56"/>
        <v>0</v>
      </c>
    </row>
    <row r="221" spans="1:20" x14ac:dyDescent="0.25">
      <c r="A221" s="1">
        <v>41585</v>
      </c>
      <c r="B221">
        <v>1065</v>
      </c>
      <c r="C221">
        <v>1079.8499999999999</v>
      </c>
      <c r="D221">
        <v>1053</v>
      </c>
      <c r="E221">
        <v>1066</v>
      </c>
      <c r="F221">
        <v>694698</v>
      </c>
      <c r="G221" s="4">
        <f t="shared" si="43"/>
        <v>10.099999999999909</v>
      </c>
      <c r="H221" s="4">
        <f t="shared" si="44"/>
        <v>0</v>
      </c>
      <c r="I221" s="6">
        <f t="shared" si="49"/>
        <v>4.8392857142856984</v>
      </c>
      <c r="J221" s="6">
        <f t="shared" si="50"/>
        <v>4.5964285714285484</v>
      </c>
      <c r="K221" s="4">
        <f t="shared" si="51"/>
        <v>1.0528360528360547</v>
      </c>
      <c r="L221">
        <f t="shared" si="52"/>
        <v>51.286903860711625</v>
      </c>
      <c r="M221" s="14" t="str">
        <f t="shared" si="45"/>
        <v/>
      </c>
      <c r="N221" s="7">
        <f t="shared" si="46"/>
        <v>0</v>
      </c>
      <c r="O221" s="7">
        <f t="shared" si="53"/>
        <v>0</v>
      </c>
      <c r="P221" s="7">
        <f t="shared" si="54"/>
        <v>-1</v>
      </c>
      <c r="Q221" s="10" t="e">
        <f t="shared" si="47"/>
        <v>#N/A</v>
      </c>
      <c r="R221" s="10" t="e">
        <f t="shared" si="48"/>
        <v>#N/A</v>
      </c>
      <c r="S221" s="7">
        <f t="shared" si="55"/>
        <v>781</v>
      </c>
      <c r="T221" s="7">
        <f t="shared" si="56"/>
        <v>0</v>
      </c>
    </row>
    <row r="222" spans="1:20" x14ac:dyDescent="0.25">
      <c r="A222" s="1">
        <v>41586</v>
      </c>
      <c r="B222">
        <v>1066</v>
      </c>
      <c r="C222">
        <v>1066.4000000000001</v>
      </c>
      <c r="D222">
        <v>1042.2</v>
      </c>
      <c r="E222">
        <v>1048.9000000000001</v>
      </c>
      <c r="F222">
        <v>1089038</v>
      </c>
      <c r="G222" s="4">
        <f t="shared" si="43"/>
        <v>0</v>
      </c>
      <c r="H222" s="4">
        <f t="shared" si="44"/>
        <v>17.099999999999909</v>
      </c>
      <c r="I222" s="6">
        <f t="shared" si="49"/>
        <v>4.8392857142856984</v>
      </c>
      <c r="J222" s="6">
        <f t="shared" si="50"/>
        <v>4.7892857142856951</v>
      </c>
      <c r="K222" s="4">
        <f t="shared" si="51"/>
        <v>1.0104399701715145</v>
      </c>
      <c r="L222">
        <f t="shared" si="52"/>
        <v>50.259643916913966</v>
      </c>
      <c r="M222" s="14" t="str">
        <f t="shared" si="45"/>
        <v/>
      </c>
      <c r="N222" s="7">
        <f t="shared" si="46"/>
        <v>0</v>
      </c>
      <c r="O222" s="7">
        <f t="shared" si="53"/>
        <v>0</v>
      </c>
      <c r="P222" s="7">
        <f t="shared" si="54"/>
        <v>-1</v>
      </c>
      <c r="Q222" s="10" t="e">
        <f t="shared" si="47"/>
        <v>#N/A</v>
      </c>
      <c r="R222" s="10" t="e">
        <f t="shared" si="48"/>
        <v>#N/A</v>
      </c>
      <c r="S222" s="7">
        <f t="shared" si="55"/>
        <v>781</v>
      </c>
      <c r="T222" s="7">
        <f t="shared" si="56"/>
        <v>0</v>
      </c>
    </row>
    <row r="223" spans="1:20" x14ac:dyDescent="0.25">
      <c r="A223" s="1">
        <v>41589</v>
      </c>
      <c r="B223">
        <v>1072</v>
      </c>
      <c r="C223">
        <v>1072</v>
      </c>
      <c r="D223">
        <v>1040</v>
      </c>
      <c r="E223">
        <v>1042.8</v>
      </c>
      <c r="F223">
        <v>1382580</v>
      </c>
      <c r="G223" s="4">
        <f t="shared" si="43"/>
        <v>0</v>
      </c>
      <c r="H223" s="4">
        <f t="shared" si="44"/>
        <v>6.1000000000001364</v>
      </c>
      <c r="I223" s="6">
        <f t="shared" si="49"/>
        <v>4.5035714285714095</v>
      </c>
      <c r="J223" s="6">
        <f t="shared" si="50"/>
        <v>5.2249999999999899</v>
      </c>
      <c r="K223" s="4">
        <f t="shared" si="51"/>
        <v>0.86192754613807043</v>
      </c>
      <c r="L223">
        <f t="shared" si="52"/>
        <v>46.292217327459561</v>
      </c>
      <c r="M223" s="14" t="str">
        <f t="shared" si="45"/>
        <v/>
      </c>
      <c r="N223" s="7">
        <f t="shared" si="46"/>
        <v>0</v>
      </c>
      <c r="O223" s="7">
        <f t="shared" si="53"/>
        <v>0</v>
      </c>
      <c r="P223" s="7">
        <f t="shared" si="54"/>
        <v>-1</v>
      </c>
      <c r="Q223" s="10" t="e">
        <f t="shared" si="47"/>
        <v>#N/A</v>
      </c>
      <c r="R223" s="10" t="e">
        <f t="shared" si="48"/>
        <v>#N/A</v>
      </c>
      <c r="S223" s="7">
        <f t="shared" si="55"/>
        <v>781</v>
      </c>
      <c r="T223" s="7">
        <f t="shared" si="56"/>
        <v>0</v>
      </c>
    </row>
    <row r="224" spans="1:20" x14ac:dyDescent="0.25">
      <c r="A224" s="1">
        <v>41590</v>
      </c>
      <c r="B224">
        <v>1044.9000000000001</v>
      </c>
      <c r="C224">
        <v>1049</v>
      </c>
      <c r="D224">
        <v>1006</v>
      </c>
      <c r="E224">
        <v>1015.4</v>
      </c>
      <c r="F224">
        <v>1086326</v>
      </c>
      <c r="G224" s="4">
        <f t="shared" si="43"/>
        <v>0</v>
      </c>
      <c r="H224" s="4">
        <f t="shared" si="44"/>
        <v>27.399999999999977</v>
      </c>
      <c r="I224" s="6">
        <f t="shared" si="49"/>
        <v>4.5035714285714095</v>
      </c>
      <c r="J224" s="6">
        <f t="shared" si="50"/>
        <v>7.1821428571428454</v>
      </c>
      <c r="K224" s="4">
        <f t="shared" si="51"/>
        <v>0.62705121829935195</v>
      </c>
      <c r="L224">
        <f t="shared" si="52"/>
        <v>38.539119804400919</v>
      </c>
      <c r="M224" s="14" t="str">
        <f t="shared" si="45"/>
        <v/>
      </c>
      <c r="N224" s="7">
        <f t="shared" si="46"/>
        <v>0</v>
      </c>
      <c r="O224" s="7">
        <f t="shared" si="53"/>
        <v>0</v>
      </c>
      <c r="P224" s="7">
        <f t="shared" si="54"/>
        <v>-1</v>
      </c>
      <c r="Q224" s="10" t="e">
        <f t="shared" si="47"/>
        <v>#N/A</v>
      </c>
      <c r="R224" s="10" t="e">
        <f t="shared" si="48"/>
        <v>#N/A</v>
      </c>
      <c r="S224" s="7">
        <f t="shared" si="55"/>
        <v>781</v>
      </c>
      <c r="T224" s="7">
        <f t="shared" si="56"/>
        <v>0</v>
      </c>
    </row>
    <row r="225" spans="1:20" x14ac:dyDescent="0.25">
      <c r="A225" s="1">
        <v>41591</v>
      </c>
      <c r="B225">
        <v>1016</v>
      </c>
      <c r="C225">
        <v>1043</v>
      </c>
      <c r="D225">
        <v>1011.5</v>
      </c>
      <c r="E225">
        <v>1039.0999999999999</v>
      </c>
      <c r="F225">
        <v>1110618</v>
      </c>
      <c r="G225" s="4">
        <f t="shared" si="43"/>
        <v>23.699999999999932</v>
      </c>
      <c r="H225" s="4">
        <f t="shared" si="44"/>
        <v>0</v>
      </c>
      <c r="I225" s="6">
        <f t="shared" si="49"/>
        <v>6.1607142857142616</v>
      </c>
      <c r="J225" s="6">
        <f t="shared" si="50"/>
        <v>7.1821428571428454</v>
      </c>
      <c r="K225" s="4">
        <f t="shared" si="51"/>
        <v>0.85778219791148491</v>
      </c>
      <c r="L225">
        <f t="shared" si="52"/>
        <v>46.172376873661612</v>
      </c>
      <c r="M225" s="14" t="str">
        <f t="shared" si="45"/>
        <v/>
      </c>
      <c r="N225" s="7">
        <f t="shared" si="46"/>
        <v>0</v>
      </c>
      <c r="O225" s="7">
        <f t="shared" si="53"/>
        <v>0</v>
      </c>
      <c r="P225" s="7">
        <f t="shared" si="54"/>
        <v>-1</v>
      </c>
      <c r="Q225" s="10" t="e">
        <f t="shared" si="47"/>
        <v>#N/A</v>
      </c>
      <c r="R225" s="10" t="e">
        <f t="shared" si="48"/>
        <v>#N/A</v>
      </c>
      <c r="S225" s="7">
        <f t="shared" si="55"/>
        <v>781</v>
      </c>
      <c r="T225" s="7">
        <f t="shared" si="56"/>
        <v>0</v>
      </c>
    </row>
    <row r="226" spans="1:20" x14ac:dyDescent="0.25">
      <c r="A226" s="1">
        <v>41592</v>
      </c>
      <c r="B226">
        <v>1034</v>
      </c>
      <c r="C226">
        <v>1045</v>
      </c>
      <c r="D226">
        <v>1012.4</v>
      </c>
      <c r="E226">
        <v>1030.05</v>
      </c>
      <c r="F226">
        <v>842224</v>
      </c>
      <c r="G226" s="4">
        <f t="shared" si="43"/>
        <v>0</v>
      </c>
      <c r="H226" s="4">
        <f t="shared" si="44"/>
        <v>9.0499999999999545</v>
      </c>
      <c r="I226" s="6">
        <f t="shared" si="49"/>
        <v>6.1607142857142616</v>
      </c>
      <c r="J226" s="6">
        <f t="shared" si="50"/>
        <v>7.5464285714285539</v>
      </c>
      <c r="K226" s="4">
        <f t="shared" si="51"/>
        <v>0.81637482252721116</v>
      </c>
      <c r="L226">
        <f t="shared" si="52"/>
        <v>44.945284002084378</v>
      </c>
      <c r="M226" s="14" t="str">
        <f t="shared" si="45"/>
        <v/>
      </c>
      <c r="N226" s="7">
        <f t="shared" si="46"/>
        <v>0</v>
      </c>
      <c r="O226" s="7">
        <f t="shared" si="53"/>
        <v>0</v>
      </c>
      <c r="P226" s="7">
        <f t="shared" si="54"/>
        <v>-1</v>
      </c>
      <c r="Q226" s="10" t="e">
        <f t="shared" si="47"/>
        <v>#N/A</v>
      </c>
      <c r="R226" s="10" t="e">
        <f t="shared" si="48"/>
        <v>#N/A</v>
      </c>
      <c r="S226" s="7">
        <f t="shared" si="55"/>
        <v>781</v>
      </c>
      <c r="T226" s="7">
        <f t="shared" si="56"/>
        <v>0</v>
      </c>
    </row>
    <row r="227" spans="1:20" x14ac:dyDescent="0.25">
      <c r="A227" s="1">
        <v>41593</v>
      </c>
      <c r="B227">
        <v>1025</v>
      </c>
      <c r="C227">
        <v>1034.5</v>
      </c>
      <c r="D227">
        <v>998.95</v>
      </c>
      <c r="E227">
        <v>1004.75</v>
      </c>
      <c r="F227">
        <v>1504304</v>
      </c>
      <c r="G227" s="4">
        <f t="shared" si="43"/>
        <v>0</v>
      </c>
      <c r="H227" s="4">
        <f t="shared" si="44"/>
        <v>25.299999999999955</v>
      </c>
      <c r="I227" s="6">
        <f t="shared" si="49"/>
        <v>5.9214285714285539</v>
      </c>
      <c r="J227" s="6">
        <f t="shared" si="50"/>
        <v>9.3535714285714082</v>
      </c>
      <c r="K227" s="4">
        <f t="shared" si="51"/>
        <v>0.63306605574646757</v>
      </c>
      <c r="L227">
        <f t="shared" si="52"/>
        <v>38.765489829319598</v>
      </c>
      <c r="M227" s="14" t="str">
        <f t="shared" si="45"/>
        <v/>
      </c>
      <c r="N227" s="7">
        <f t="shared" si="46"/>
        <v>0</v>
      </c>
      <c r="O227" s="7">
        <f t="shared" si="53"/>
        <v>0</v>
      </c>
      <c r="P227" s="7">
        <f t="shared" si="54"/>
        <v>-1</v>
      </c>
      <c r="Q227" s="10" t="e">
        <f t="shared" si="47"/>
        <v>#N/A</v>
      </c>
      <c r="R227" s="10" t="e">
        <f t="shared" si="48"/>
        <v>#N/A</v>
      </c>
      <c r="S227" s="7">
        <f t="shared" si="55"/>
        <v>781</v>
      </c>
      <c r="T227" s="7">
        <f t="shared" si="56"/>
        <v>0</v>
      </c>
    </row>
    <row r="228" spans="1:20" x14ac:dyDescent="0.25">
      <c r="A228" s="1">
        <v>41596</v>
      </c>
      <c r="B228">
        <v>1010.05</v>
      </c>
      <c r="C228">
        <v>1041.9000000000001</v>
      </c>
      <c r="D228">
        <v>1007.1</v>
      </c>
      <c r="E228">
        <v>1021.8</v>
      </c>
      <c r="F228">
        <v>2927503</v>
      </c>
      <c r="G228" s="4">
        <f t="shared" si="43"/>
        <v>17.049999999999955</v>
      </c>
      <c r="H228" s="4">
        <f t="shared" si="44"/>
        <v>0</v>
      </c>
      <c r="I228" s="6">
        <f t="shared" si="49"/>
        <v>5.9714285714285404</v>
      </c>
      <c r="J228" s="6">
        <f t="shared" si="50"/>
        <v>9.3535714285714082</v>
      </c>
      <c r="K228" s="4">
        <f t="shared" si="51"/>
        <v>0.63841160748377046</v>
      </c>
      <c r="L228">
        <f t="shared" si="52"/>
        <v>38.965276159403331</v>
      </c>
      <c r="M228" s="14" t="str">
        <f t="shared" si="45"/>
        <v/>
      </c>
      <c r="N228" s="7">
        <f t="shared" si="46"/>
        <v>0</v>
      </c>
      <c r="O228" s="7">
        <f t="shared" si="53"/>
        <v>0</v>
      </c>
      <c r="P228" s="7">
        <f t="shared" si="54"/>
        <v>-1</v>
      </c>
      <c r="Q228" s="10" t="e">
        <f t="shared" si="47"/>
        <v>#N/A</v>
      </c>
      <c r="R228" s="10" t="e">
        <f t="shared" si="48"/>
        <v>#N/A</v>
      </c>
      <c r="S228" s="7">
        <f t="shared" si="55"/>
        <v>781</v>
      </c>
      <c r="T228" s="7">
        <f t="shared" si="56"/>
        <v>0</v>
      </c>
    </row>
    <row r="229" spans="1:20" x14ac:dyDescent="0.25">
      <c r="A229" s="1">
        <v>41597</v>
      </c>
      <c r="B229">
        <v>1025</v>
      </c>
      <c r="C229">
        <v>1054</v>
      </c>
      <c r="D229">
        <v>1025</v>
      </c>
      <c r="E229">
        <v>1047.25</v>
      </c>
      <c r="F229">
        <v>1808913</v>
      </c>
      <c r="G229" s="4">
        <f t="shared" si="43"/>
        <v>25.450000000000045</v>
      </c>
      <c r="H229" s="4">
        <f t="shared" si="44"/>
        <v>0</v>
      </c>
      <c r="I229" s="6">
        <f t="shared" si="49"/>
        <v>7.1749999999999785</v>
      </c>
      <c r="J229" s="6">
        <f t="shared" si="50"/>
        <v>9.3535714285714082</v>
      </c>
      <c r="K229" s="4">
        <f t="shared" si="51"/>
        <v>0.76708667430316857</v>
      </c>
      <c r="L229">
        <f t="shared" si="52"/>
        <v>43.409680207432999</v>
      </c>
      <c r="M229" s="14" t="str">
        <f t="shared" si="45"/>
        <v/>
      </c>
      <c r="N229" s="7">
        <f t="shared" si="46"/>
        <v>0</v>
      </c>
      <c r="O229" s="7">
        <f t="shared" si="53"/>
        <v>0</v>
      </c>
      <c r="P229" s="7">
        <f t="shared" si="54"/>
        <v>-1</v>
      </c>
      <c r="Q229" s="10" t="e">
        <f t="shared" si="47"/>
        <v>#N/A</v>
      </c>
      <c r="R229" s="10" t="e">
        <f t="shared" si="48"/>
        <v>#N/A</v>
      </c>
      <c r="S229" s="7">
        <f t="shared" si="55"/>
        <v>781</v>
      </c>
      <c r="T229" s="7">
        <f t="shared" si="56"/>
        <v>0</v>
      </c>
    </row>
    <row r="230" spans="1:20" x14ac:dyDescent="0.25">
      <c r="A230" s="1">
        <v>41598</v>
      </c>
      <c r="B230">
        <v>1055</v>
      </c>
      <c r="C230">
        <v>1078.5</v>
      </c>
      <c r="D230">
        <v>1050.25</v>
      </c>
      <c r="E230">
        <v>1071.3</v>
      </c>
      <c r="F230">
        <v>2259446</v>
      </c>
      <c r="G230" s="4">
        <f t="shared" si="43"/>
        <v>24.049999999999955</v>
      </c>
      <c r="H230" s="4">
        <f t="shared" si="44"/>
        <v>0</v>
      </c>
      <c r="I230" s="6">
        <f t="shared" si="49"/>
        <v>8.8928571428571193</v>
      </c>
      <c r="J230" s="6">
        <f t="shared" si="50"/>
        <v>8.6678571428571285</v>
      </c>
      <c r="K230" s="4">
        <f t="shared" si="51"/>
        <v>1.0259579728059323</v>
      </c>
      <c r="L230">
        <f t="shared" si="52"/>
        <v>50.640634533251962</v>
      </c>
      <c r="M230" s="14" t="str">
        <f t="shared" si="45"/>
        <v/>
      </c>
      <c r="N230" s="7">
        <f t="shared" si="46"/>
        <v>0</v>
      </c>
      <c r="O230" s="7">
        <f t="shared" si="53"/>
        <v>0</v>
      </c>
      <c r="P230" s="7">
        <f t="shared" si="54"/>
        <v>-1</v>
      </c>
      <c r="Q230" s="10" t="e">
        <f t="shared" si="47"/>
        <v>#N/A</v>
      </c>
      <c r="R230" s="10" t="e">
        <f t="shared" si="48"/>
        <v>#N/A</v>
      </c>
      <c r="S230" s="7">
        <f t="shared" si="55"/>
        <v>781</v>
      </c>
      <c r="T230" s="7">
        <f t="shared" si="56"/>
        <v>0</v>
      </c>
    </row>
    <row r="231" spans="1:20" x14ac:dyDescent="0.25">
      <c r="A231" s="1">
        <v>41599</v>
      </c>
      <c r="B231">
        <v>1060.5</v>
      </c>
      <c r="C231">
        <v>1086.05</v>
      </c>
      <c r="D231">
        <v>1053.0999999999999</v>
      </c>
      <c r="E231">
        <v>1076</v>
      </c>
      <c r="F231">
        <v>2404204</v>
      </c>
      <c r="G231" s="4">
        <f t="shared" si="43"/>
        <v>4.7000000000000455</v>
      </c>
      <c r="H231" s="4">
        <f t="shared" si="44"/>
        <v>0</v>
      </c>
      <c r="I231" s="6">
        <f t="shared" si="49"/>
        <v>7.5892857142857064</v>
      </c>
      <c r="J231" s="6">
        <f t="shared" si="50"/>
        <v>8.6678571428571285</v>
      </c>
      <c r="K231" s="4">
        <f t="shared" si="51"/>
        <v>0.87556654305727288</v>
      </c>
      <c r="L231">
        <f t="shared" si="52"/>
        <v>46.682776801405993</v>
      </c>
      <c r="M231" s="14" t="str">
        <f t="shared" si="45"/>
        <v/>
      </c>
      <c r="N231" s="7">
        <f t="shared" si="46"/>
        <v>0</v>
      </c>
      <c r="O231" s="7">
        <f t="shared" si="53"/>
        <v>0</v>
      </c>
      <c r="P231" s="7">
        <f t="shared" si="54"/>
        <v>-1</v>
      </c>
      <c r="Q231" s="10" t="e">
        <f t="shared" si="47"/>
        <v>#N/A</v>
      </c>
      <c r="R231" s="10" t="e">
        <f t="shared" si="48"/>
        <v>#N/A</v>
      </c>
      <c r="S231" s="7">
        <f t="shared" si="55"/>
        <v>781</v>
      </c>
      <c r="T231" s="7">
        <f t="shared" si="56"/>
        <v>0</v>
      </c>
    </row>
    <row r="232" spans="1:20" x14ac:dyDescent="0.25">
      <c r="A232" s="1">
        <v>41600</v>
      </c>
      <c r="B232">
        <v>1064</v>
      </c>
      <c r="C232">
        <v>1093.2</v>
      </c>
      <c r="D232">
        <v>1064</v>
      </c>
      <c r="E232">
        <v>1081.9000000000001</v>
      </c>
      <c r="F232">
        <v>1888016</v>
      </c>
      <c r="G232" s="4">
        <f t="shared" si="43"/>
        <v>5.9000000000000909</v>
      </c>
      <c r="H232" s="4">
        <f t="shared" si="44"/>
        <v>0</v>
      </c>
      <c r="I232" s="6">
        <f t="shared" si="49"/>
        <v>7.9249999999999954</v>
      </c>
      <c r="J232" s="6">
        <f t="shared" si="50"/>
        <v>8.6678571428571285</v>
      </c>
      <c r="K232" s="4">
        <f t="shared" si="51"/>
        <v>0.91429748660898325</v>
      </c>
      <c r="L232">
        <f t="shared" si="52"/>
        <v>47.761515281963007</v>
      </c>
      <c r="M232" s="14" t="str">
        <f t="shared" si="45"/>
        <v/>
      </c>
      <c r="N232" s="7">
        <f t="shared" si="46"/>
        <v>0</v>
      </c>
      <c r="O232" s="7">
        <f t="shared" si="53"/>
        <v>0</v>
      </c>
      <c r="P232" s="7">
        <f t="shared" si="54"/>
        <v>-1</v>
      </c>
      <c r="Q232" s="10" t="e">
        <f t="shared" si="47"/>
        <v>#N/A</v>
      </c>
      <c r="R232" s="10" t="e">
        <f t="shared" si="48"/>
        <v>#N/A</v>
      </c>
      <c r="S232" s="7">
        <f t="shared" si="55"/>
        <v>781</v>
      </c>
      <c r="T232" s="7">
        <f t="shared" si="56"/>
        <v>0</v>
      </c>
    </row>
    <row r="233" spans="1:20" x14ac:dyDescent="0.25">
      <c r="A233" s="1">
        <v>41603</v>
      </c>
      <c r="B233">
        <v>1091</v>
      </c>
      <c r="C233">
        <v>1099.2</v>
      </c>
      <c r="D233">
        <v>1075.05</v>
      </c>
      <c r="E233">
        <v>1095.8</v>
      </c>
      <c r="F233">
        <v>2047858</v>
      </c>
      <c r="G233" s="4">
        <f t="shared" si="43"/>
        <v>13.899999999999864</v>
      </c>
      <c r="H233" s="4">
        <f t="shared" si="44"/>
        <v>0</v>
      </c>
      <c r="I233" s="6">
        <f t="shared" si="49"/>
        <v>8.9178571428571285</v>
      </c>
      <c r="J233" s="6">
        <f t="shared" si="50"/>
        <v>6.6999999999999886</v>
      </c>
      <c r="K233" s="4">
        <f t="shared" si="51"/>
        <v>1.3310234541577826</v>
      </c>
      <c r="L233">
        <f t="shared" si="52"/>
        <v>57.100388749142468</v>
      </c>
      <c r="M233" s="14" t="str">
        <f t="shared" si="45"/>
        <v/>
      </c>
      <c r="N233" s="7">
        <f t="shared" si="46"/>
        <v>0</v>
      </c>
      <c r="O233" s="7">
        <f t="shared" si="53"/>
        <v>0</v>
      </c>
      <c r="P233" s="7">
        <f t="shared" si="54"/>
        <v>-1</v>
      </c>
      <c r="Q233" s="10" t="e">
        <f t="shared" si="47"/>
        <v>#N/A</v>
      </c>
      <c r="R233" s="10" t="e">
        <f t="shared" si="48"/>
        <v>#N/A</v>
      </c>
      <c r="S233" s="7">
        <f t="shared" si="55"/>
        <v>781</v>
      </c>
      <c r="T233" s="7">
        <f t="shared" si="56"/>
        <v>0</v>
      </c>
    </row>
    <row r="234" spans="1:20" x14ac:dyDescent="0.25">
      <c r="A234" s="1">
        <v>41604</v>
      </c>
      <c r="B234">
        <v>1093.05</v>
      </c>
      <c r="C234">
        <v>1113</v>
      </c>
      <c r="D234">
        <v>1091.1500000000001</v>
      </c>
      <c r="E234">
        <v>1097.3499999999999</v>
      </c>
      <c r="F234">
        <v>1015056</v>
      </c>
      <c r="G234" s="4">
        <f t="shared" si="43"/>
        <v>1.5499999999999545</v>
      </c>
      <c r="H234" s="4">
        <f t="shared" si="44"/>
        <v>0</v>
      </c>
      <c r="I234" s="6">
        <f t="shared" si="49"/>
        <v>9.0285714285714107</v>
      </c>
      <c r="J234" s="6">
        <f t="shared" si="50"/>
        <v>6.0678571428571377</v>
      </c>
      <c r="K234" s="4">
        <f t="shared" si="51"/>
        <v>1.4879340788699218</v>
      </c>
      <c r="L234">
        <f t="shared" si="52"/>
        <v>59.806008989827276</v>
      </c>
      <c r="M234" s="14" t="str">
        <f t="shared" si="45"/>
        <v/>
      </c>
      <c r="N234" s="7">
        <f t="shared" si="46"/>
        <v>0</v>
      </c>
      <c r="O234" s="7">
        <f t="shared" si="53"/>
        <v>0</v>
      </c>
      <c r="P234" s="7">
        <f t="shared" si="54"/>
        <v>-1</v>
      </c>
      <c r="Q234" s="10" t="e">
        <f t="shared" si="47"/>
        <v>#N/A</v>
      </c>
      <c r="R234" s="10" t="e">
        <f t="shared" si="48"/>
        <v>#N/A</v>
      </c>
      <c r="S234" s="7">
        <f t="shared" si="55"/>
        <v>781</v>
      </c>
      <c r="T234" s="7">
        <f t="shared" si="56"/>
        <v>0</v>
      </c>
    </row>
    <row r="235" spans="1:20" x14ac:dyDescent="0.25">
      <c r="A235" s="1">
        <v>41605</v>
      </c>
      <c r="B235">
        <v>1100</v>
      </c>
      <c r="C235">
        <v>1110</v>
      </c>
      <c r="D235">
        <v>1095.3</v>
      </c>
      <c r="E235">
        <v>1101.7</v>
      </c>
      <c r="F235">
        <v>965477</v>
      </c>
      <c r="G235" s="4">
        <f t="shared" si="43"/>
        <v>4.3500000000001364</v>
      </c>
      <c r="H235" s="4">
        <f t="shared" si="44"/>
        <v>0</v>
      </c>
      <c r="I235" s="6">
        <f t="shared" si="49"/>
        <v>8.617857142857142</v>
      </c>
      <c r="J235" s="6">
        <f t="shared" si="50"/>
        <v>6.0678571428571377</v>
      </c>
      <c r="K235" s="4">
        <f t="shared" si="51"/>
        <v>1.4202472042377881</v>
      </c>
      <c r="L235">
        <f t="shared" si="52"/>
        <v>58.681906614786016</v>
      </c>
      <c r="M235" s="14" t="str">
        <f t="shared" si="45"/>
        <v/>
      </c>
      <c r="N235" s="7">
        <f t="shared" si="46"/>
        <v>0</v>
      </c>
      <c r="O235" s="7">
        <f t="shared" si="53"/>
        <v>0</v>
      </c>
      <c r="P235" s="7">
        <f t="shared" si="54"/>
        <v>-1</v>
      </c>
      <c r="Q235" s="10" t="e">
        <f t="shared" si="47"/>
        <v>#N/A</v>
      </c>
      <c r="R235" s="10" t="e">
        <f t="shared" si="48"/>
        <v>#N/A</v>
      </c>
      <c r="S235" s="7">
        <f t="shared" si="55"/>
        <v>781</v>
      </c>
      <c r="T235" s="7">
        <f t="shared" si="56"/>
        <v>0</v>
      </c>
    </row>
    <row r="236" spans="1:20" x14ac:dyDescent="0.25">
      <c r="A236" s="1">
        <v>41606</v>
      </c>
      <c r="B236">
        <v>1100</v>
      </c>
      <c r="C236">
        <v>1100</v>
      </c>
      <c r="D236">
        <v>1082.0999999999999</v>
      </c>
      <c r="E236">
        <v>1087.5</v>
      </c>
      <c r="F236">
        <v>1079162</v>
      </c>
      <c r="G236" s="4">
        <f t="shared" si="43"/>
        <v>0</v>
      </c>
      <c r="H236" s="4">
        <f t="shared" si="44"/>
        <v>14.200000000000045</v>
      </c>
      <c r="I236" s="6">
        <f t="shared" si="49"/>
        <v>8.617857142857142</v>
      </c>
      <c r="J236" s="6">
        <f t="shared" si="50"/>
        <v>5.8607142857142902</v>
      </c>
      <c r="K236" s="4">
        <f t="shared" si="51"/>
        <v>1.470444850700791</v>
      </c>
      <c r="L236">
        <f t="shared" si="52"/>
        <v>59.521460286137135</v>
      </c>
      <c r="M236" s="14" t="str">
        <f t="shared" si="45"/>
        <v/>
      </c>
      <c r="N236" s="7">
        <f t="shared" si="46"/>
        <v>0</v>
      </c>
      <c r="O236" s="7">
        <f t="shared" si="53"/>
        <v>0</v>
      </c>
      <c r="P236" s="7">
        <f t="shared" si="54"/>
        <v>-1</v>
      </c>
      <c r="Q236" s="10" t="e">
        <f t="shared" si="47"/>
        <v>#N/A</v>
      </c>
      <c r="R236" s="10" t="e">
        <f t="shared" si="48"/>
        <v>#N/A</v>
      </c>
      <c r="S236" s="7">
        <f t="shared" si="55"/>
        <v>781</v>
      </c>
      <c r="T236" s="7">
        <f t="shared" si="56"/>
        <v>0</v>
      </c>
    </row>
    <row r="237" spans="1:20" x14ac:dyDescent="0.25">
      <c r="A237" s="1">
        <v>41607</v>
      </c>
      <c r="B237">
        <v>1090.95</v>
      </c>
      <c r="C237">
        <v>1092.95</v>
      </c>
      <c r="D237">
        <v>1071.25</v>
      </c>
      <c r="E237">
        <v>1079.1500000000001</v>
      </c>
      <c r="F237">
        <v>992066</v>
      </c>
      <c r="G237" s="4">
        <f t="shared" si="43"/>
        <v>0</v>
      </c>
      <c r="H237" s="4">
        <f t="shared" si="44"/>
        <v>8.3499999999999091</v>
      </c>
      <c r="I237" s="6">
        <f t="shared" si="49"/>
        <v>8.617857142857142</v>
      </c>
      <c r="J237" s="6">
        <f t="shared" si="50"/>
        <v>6.0214285714285598</v>
      </c>
      <c r="K237" s="4">
        <f t="shared" si="51"/>
        <v>1.43119810201661</v>
      </c>
      <c r="L237">
        <f t="shared" si="52"/>
        <v>58.868016589412093</v>
      </c>
      <c r="M237" s="14" t="str">
        <f t="shared" si="45"/>
        <v/>
      </c>
      <c r="N237" s="7">
        <f t="shared" si="46"/>
        <v>0</v>
      </c>
      <c r="O237" s="7">
        <f t="shared" si="53"/>
        <v>0</v>
      </c>
      <c r="P237" s="7">
        <f t="shared" si="54"/>
        <v>-1</v>
      </c>
      <c r="Q237" s="10" t="e">
        <f t="shared" si="47"/>
        <v>#N/A</v>
      </c>
      <c r="R237" s="10" t="e">
        <f t="shared" si="48"/>
        <v>#N/A</v>
      </c>
      <c r="S237" s="7">
        <f t="shared" si="55"/>
        <v>781</v>
      </c>
      <c r="T237" s="7">
        <f t="shared" si="56"/>
        <v>0</v>
      </c>
    </row>
    <row r="238" spans="1:20" x14ac:dyDescent="0.25">
      <c r="A238" s="1">
        <v>41610</v>
      </c>
      <c r="B238">
        <v>1083.7</v>
      </c>
      <c r="C238">
        <v>1097.3</v>
      </c>
      <c r="D238">
        <v>1068.0999999999999</v>
      </c>
      <c r="E238">
        <v>1072.5999999999999</v>
      </c>
      <c r="F238">
        <v>1289951</v>
      </c>
      <c r="G238" s="4">
        <f t="shared" si="43"/>
        <v>0</v>
      </c>
      <c r="H238" s="4">
        <f t="shared" si="44"/>
        <v>6.5500000000001819</v>
      </c>
      <c r="I238" s="6">
        <f t="shared" si="49"/>
        <v>8.617857142857142</v>
      </c>
      <c r="J238" s="6">
        <f t="shared" si="50"/>
        <v>4.5321428571428601</v>
      </c>
      <c r="K238" s="4">
        <f t="shared" si="51"/>
        <v>1.9014972419227725</v>
      </c>
      <c r="L238">
        <f t="shared" si="52"/>
        <v>65.535035306898408</v>
      </c>
      <c r="M238" s="14" t="str">
        <f t="shared" si="45"/>
        <v/>
      </c>
      <c r="N238" s="7">
        <f t="shared" si="46"/>
        <v>0</v>
      </c>
      <c r="O238" s="7">
        <f t="shared" si="53"/>
        <v>0</v>
      </c>
      <c r="P238" s="7">
        <f t="shared" si="54"/>
        <v>-1</v>
      </c>
      <c r="Q238" s="10" t="e">
        <f t="shared" si="47"/>
        <v>#N/A</v>
      </c>
      <c r="R238" s="10" t="e">
        <f t="shared" si="48"/>
        <v>#N/A</v>
      </c>
      <c r="S238" s="7">
        <f t="shared" si="55"/>
        <v>781</v>
      </c>
      <c r="T238" s="7">
        <f t="shared" si="56"/>
        <v>0</v>
      </c>
    </row>
    <row r="239" spans="1:20" x14ac:dyDescent="0.25">
      <c r="A239" s="1">
        <v>41611</v>
      </c>
      <c r="B239">
        <v>1067</v>
      </c>
      <c r="C239">
        <v>1083.8499999999999</v>
      </c>
      <c r="D239">
        <v>1057</v>
      </c>
      <c r="E239">
        <v>1074.9000000000001</v>
      </c>
      <c r="F239">
        <v>1122812</v>
      </c>
      <c r="G239" s="4">
        <f t="shared" si="43"/>
        <v>2.3000000000001819</v>
      </c>
      <c r="H239" s="4">
        <f t="shared" si="44"/>
        <v>0</v>
      </c>
      <c r="I239" s="6">
        <f t="shared" si="49"/>
        <v>7.0892857142857304</v>
      </c>
      <c r="J239" s="6">
        <f t="shared" si="50"/>
        <v>4.5321428571428601</v>
      </c>
      <c r="K239" s="4">
        <f t="shared" si="51"/>
        <v>1.564223798266354</v>
      </c>
      <c r="L239">
        <f t="shared" si="52"/>
        <v>61.001843884449947</v>
      </c>
      <c r="M239" s="14" t="str">
        <f t="shared" si="45"/>
        <v/>
      </c>
      <c r="N239" s="7">
        <f t="shared" si="46"/>
        <v>0</v>
      </c>
      <c r="O239" s="7">
        <f t="shared" si="53"/>
        <v>0</v>
      </c>
      <c r="P239" s="7">
        <f t="shared" si="54"/>
        <v>-1</v>
      </c>
      <c r="Q239" s="10" t="e">
        <f t="shared" si="47"/>
        <v>#N/A</v>
      </c>
      <c r="R239" s="10" t="e">
        <f t="shared" si="48"/>
        <v>#N/A</v>
      </c>
      <c r="S239" s="7">
        <f t="shared" si="55"/>
        <v>781</v>
      </c>
      <c r="T239" s="7">
        <f t="shared" si="56"/>
        <v>0</v>
      </c>
    </row>
    <row r="240" spans="1:20" x14ac:dyDescent="0.25">
      <c r="A240" s="1">
        <v>41612</v>
      </c>
      <c r="B240">
        <v>1071</v>
      </c>
      <c r="C240">
        <v>1080.7</v>
      </c>
      <c r="D240">
        <v>1048.4000000000001</v>
      </c>
      <c r="E240">
        <v>1076.0999999999999</v>
      </c>
      <c r="F240">
        <v>1057533</v>
      </c>
      <c r="G240" s="4">
        <f t="shared" si="43"/>
        <v>1.1999999999998181</v>
      </c>
      <c r="H240" s="4">
        <f t="shared" si="44"/>
        <v>0</v>
      </c>
      <c r="I240" s="6">
        <f t="shared" si="49"/>
        <v>7.1750000000000034</v>
      </c>
      <c r="J240" s="6">
        <f t="shared" si="50"/>
        <v>3.8857142857142923</v>
      </c>
      <c r="K240" s="4">
        <f t="shared" si="51"/>
        <v>1.8465073529411742</v>
      </c>
      <c r="L240">
        <f t="shared" si="52"/>
        <v>64.869228285437487</v>
      </c>
      <c r="M240" s="14" t="str">
        <f t="shared" si="45"/>
        <v/>
      </c>
      <c r="N240" s="7">
        <f t="shared" si="46"/>
        <v>0</v>
      </c>
      <c r="O240" s="7">
        <f t="shared" si="53"/>
        <v>0</v>
      </c>
      <c r="P240" s="7">
        <f t="shared" si="54"/>
        <v>-1</v>
      </c>
      <c r="Q240" s="10" t="e">
        <f t="shared" si="47"/>
        <v>#N/A</v>
      </c>
      <c r="R240" s="10" t="e">
        <f t="shared" si="48"/>
        <v>#N/A</v>
      </c>
      <c r="S240" s="7">
        <f t="shared" si="55"/>
        <v>781</v>
      </c>
      <c r="T240" s="7">
        <f t="shared" si="56"/>
        <v>0</v>
      </c>
    </row>
    <row r="241" spans="1:20" x14ac:dyDescent="0.25">
      <c r="A241" s="1">
        <v>41613</v>
      </c>
      <c r="B241">
        <v>1073.2</v>
      </c>
      <c r="C241">
        <v>1089.5999999999999</v>
      </c>
      <c r="D241">
        <v>1064.1500000000001</v>
      </c>
      <c r="E241">
        <v>1080.95</v>
      </c>
      <c r="F241">
        <v>1307670</v>
      </c>
      <c r="G241" s="4">
        <f t="shared" si="43"/>
        <v>4.8500000000001364</v>
      </c>
      <c r="H241" s="4">
        <f t="shared" si="44"/>
        <v>0</v>
      </c>
      <c r="I241" s="6">
        <f t="shared" si="49"/>
        <v>7.5214285714285847</v>
      </c>
      <c r="J241" s="6">
        <f t="shared" si="50"/>
        <v>2.0785714285714385</v>
      </c>
      <c r="K241" s="4">
        <f t="shared" si="51"/>
        <v>3.6185567010309168</v>
      </c>
      <c r="L241">
        <f t="shared" si="52"/>
        <v>78.348214285714235</v>
      </c>
      <c r="M241" s="14" t="str">
        <f t="shared" si="45"/>
        <v>OVERBOUGHT</v>
      </c>
      <c r="N241" s="7" t="str">
        <f t="shared" si="46"/>
        <v>SELL</v>
      </c>
      <c r="O241" s="7">
        <f t="shared" si="53"/>
        <v>0</v>
      </c>
      <c r="P241" s="7">
        <f t="shared" si="54"/>
        <v>-1</v>
      </c>
      <c r="Q241" s="10" t="e">
        <f t="shared" si="47"/>
        <v>#N/A</v>
      </c>
      <c r="R241" s="10" t="e">
        <f t="shared" si="48"/>
        <v>#N/A</v>
      </c>
      <c r="S241" s="7">
        <f t="shared" si="55"/>
        <v>781</v>
      </c>
      <c r="T241" s="7">
        <f t="shared" si="56"/>
        <v>0</v>
      </c>
    </row>
    <row r="242" spans="1:20" x14ac:dyDescent="0.25">
      <c r="A242" s="1">
        <v>41614</v>
      </c>
      <c r="B242">
        <v>1085.0999999999999</v>
      </c>
      <c r="C242">
        <v>1108.4000000000001</v>
      </c>
      <c r="D242">
        <v>1081.5</v>
      </c>
      <c r="E242">
        <v>1103.6500000000001</v>
      </c>
      <c r="F242">
        <v>1286017</v>
      </c>
      <c r="G242" s="4">
        <f t="shared" si="43"/>
        <v>22.700000000000045</v>
      </c>
      <c r="H242" s="4">
        <f t="shared" si="44"/>
        <v>0</v>
      </c>
      <c r="I242" s="6">
        <f t="shared" si="49"/>
        <v>7.9250000000000194</v>
      </c>
      <c r="J242" s="6">
        <f t="shared" si="50"/>
        <v>2.0785714285714385</v>
      </c>
      <c r="K242" s="4">
        <f t="shared" si="51"/>
        <v>3.8127147766322933</v>
      </c>
      <c r="L242">
        <f t="shared" si="52"/>
        <v>79.221706533380896</v>
      </c>
      <c r="M242" s="14" t="str">
        <f t="shared" si="45"/>
        <v>OVERBOUGHT</v>
      </c>
      <c r="N242" s="7" t="str">
        <f t="shared" si="46"/>
        <v>SELL</v>
      </c>
      <c r="O242" s="7">
        <f t="shared" si="53"/>
        <v>0</v>
      </c>
      <c r="P242" s="7">
        <f t="shared" si="54"/>
        <v>-1</v>
      </c>
      <c r="Q242" s="10" t="e">
        <f t="shared" si="47"/>
        <v>#N/A</v>
      </c>
      <c r="R242" s="10" t="e">
        <f t="shared" si="48"/>
        <v>#N/A</v>
      </c>
      <c r="S242" s="7">
        <f t="shared" si="55"/>
        <v>781</v>
      </c>
      <c r="T242" s="7">
        <f t="shared" si="56"/>
        <v>0</v>
      </c>
    </row>
    <row r="243" spans="1:20" x14ac:dyDescent="0.25">
      <c r="A243" s="1">
        <v>41617</v>
      </c>
      <c r="B243">
        <v>1109</v>
      </c>
      <c r="C243">
        <v>1144</v>
      </c>
      <c r="D243">
        <v>1104.1500000000001</v>
      </c>
      <c r="E243">
        <v>1140.7</v>
      </c>
      <c r="F243">
        <v>2257852</v>
      </c>
      <c r="G243" s="4">
        <f t="shared" si="43"/>
        <v>37.049999999999955</v>
      </c>
      <c r="H243" s="4">
        <f t="shared" si="44"/>
        <v>0</v>
      </c>
      <c r="I243" s="6">
        <f t="shared" si="49"/>
        <v>8.7535714285714423</v>
      </c>
      <c r="J243" s="6">
        <f t="shared" si="50"/>
        <v>2.0785714285714385</v>
      </c>
      <c r="K243" s="4">
        <f t="shared" si="51"/>
        <v>4.2113402061855538</v>
      </c>
      <c r="L243">
        <f t="shared" si="52"/>
        <v>80.811078140454953</v>
      </c>
      <c r="M243" s="14" t="str">
        <f t="shared" si="45"/>
        <v>OVERBOUGHT</v>
      </c>
      <c r="N243" s="7" t="str">
        <f t="shared" si="46"/>
        <v>SELL</v>
      </c>
      <c r="O243" s="7">
        <f t="shared" si="53"/>
        <v>0</v>
      </c>
      <c r="P243" s="7">
        <f t="shared" si="54"/>
        <v>-1</v>
      </c>
      <c r="Q243" s="10" t="e">
        <f t="shared" si="47"/>
        <v>#N/A</v>
      </c>
      <c r="R243" s="10" t="e">
        <f t="shared" si="48"/>
        <v>#N/A</v>
      </c>
      <c r="S243" s="7">
        <f t="shared" si="55"/>
        <v>781</v>
      </c>
      <c r="T243" s="7">
        <f t="shared" si="56"/>
        <v>0</v>
      </c>
    </row>
    <row r="244" spans="1:20" x14ac:dyDescent="0.25">
      <c r="A244" s="1">
        <v>41618</v>
      </c>
      <c r="B244">
        <v>1134.8</v>
      </c>
      <c r="C244">
        <v>1177</v>
      </c>
      <c r="D244">
        <v>1114.8499999999999</v>
      </c>
      <c r="E244">
        <v>1166.7</v>
      </c>
      <c r="F244">
        <v>2257023</v>
      </c>
      <c r="G244" s="4">
        <f t="shared" si="43"/>
        <v>26</v>
      </c>
      <c r="H244" s="4">
        <f t="shared" si="44"/>
        <v>0</v>
      </c>
      <c r="I244" s="6">
        <f t="shared" si="49"/>
        <v>8.8928571428571583</v>
      </c>
      <c r="J244" s="6">
        <f t="shared" si="50"/>
        <v>2.0785714285714385</v>
      </c>
      <c r="K244" s="4">
        <f t="shared" si="51"/>
        <v>4.2783505154639041</v>
      </c>
      <c r="L244">
        <f t="shared" si="52"/>
        <v>81.054687499999943</v>
      </c>
      <c r="M244" s="14" t="str">
        <f t="shared" si="45"/>
        <v>OVERBOUGHT</v>
      </c>
      <c r="N244" s="7" t="str">
        <f t="shared" si="46"/>
        <v>SELL</v>
      </c>
      <c r="O244" s="7">
        <f t="shared" si="53"/>
        <v>0</v>
      </c>
      <c r="P244" s="7">
        <f t="shared" si="54"/>
        <v>-1</v>
      </c>
      <c r="Q244" s="10" t="e">
        <f t="shared" si="47"/>
        <v>#N/A</v>
      </c>
      <c r="R244" s="10" t="e">
        <f t="shared" si="48"/>
        <v>#N/A</v>
      </c>
      <c r="S244" s="7">
        <f t="shared" si="55"/>
        <v>781</v>
      </c>
      <c r="T244" s="7">
        <f t="shared" si="56"/>
        <v>0</v>
      </c>
    </row>
    <row r="245" spans="1:20" x14ac:dyDescent="0.25">
      <c r="A245" s="1">
        <v>41619</v>
      </c>
      <c r="B245">
        <v>1169</v>
      </c>
      <c r="C245">
        <v>1172.25</v>
      </c>
      <c r="D245">
        <v>1154</v>
      </c>
      <c r="E245">
        <v>1160.8</v>
      </c>
      <c r="F245">
        <v>1405321</v>
      </c>
      <c r="G245" s="4">
        <f t="shared" si="43"/>
        <v>0</v>
      </c>
      <c r="H245" s="4">
        <f t="shared" si="44"/>
        <v>5.9000000000000909</v>
      </c>
      <c r="I245" s="6">
        <f t="shared" si="49"/>
        <v>8.5571428571428694</v>
      </c>
      <c r="J245" s="6">
        <f t="shared" si="50"/>
        <v>2.5000000000000164</v>
      </c>
      <c r="K245" s="4">
        <f t="shared" si="51"/>
        <v>3.4228571428571253</v>
      </c>
      <c r="L245">
        <f t="shared" si="52"/>
        <v>77.390180878552883</v>
      </c>
      <c r="M245" s="14" t="str">
        <f t="shared" si="45"/>
        <v>OVERBOUGHT</v>
      </c>
      <c r="N245" s="7" t="str">
        <f t="shared" si="46"/>
        <v>SELL</v>
      </c>
      <c r="O245" s="7">
        <f t="shared" si="53"/>
        <v>0</v>
      </c>
      <c r="P245" s="7">
        <f t="shared" si="54"/>
        <v>-1</v>
      </c>
      <c r="Q245" s="10" t="e">
        <f t="shared" si="47"/>
        <v>#N/A</v>
      </c>
      <c r="R245" s="10" t="e">
        <f t="shared" si="48"/>
        <v>#N/A</v>
      </c>
      <c r="S245" s="7">
        <f t="shared" si="55"/>
        <v>781</v>
      </c>
      <c r="T245" s="7">
        <f t="shared" si="56"/>
        <v>0</v>
      </c>
    </row>
    <row r="246" spans="1:20" x14ac:dyDescent="0.25">
      <c r="A246" s="1">
        <v>41620</v>
      </c>
      <c r="B246">
        <v>1167</v>
      </c>
      <c r="C246">
        <v>1169</v>
      </c>
      <c r="D246">
        <v>1137.75</v>
      </c>
      <c r="E246">
        <v>1149.75</v>
      </c>
      <c r="F246">
        <v>1593418</v>
      </c>
      <c r="G246" s="4">
        <f t="shared" si="43"/>
        <v>0</v>
      </c>
      <c r="H246" s="4">
        <f t="shared" si="44"/>
        <v>11.049999999999955</v>
      </c>
      <c r="I246" s="6">
        <f t="shared" si="49"/>
        <v>8.1357142857142914</v>
      </c>
      <c r="J246" s="6">
        <f t="shared" si="50"/>
        <v>3.2892857142857275</v>
      </c>
      <c r="K246" s="4">
        <f t="shared" si="51"/>
        <v>2.4733984799131297</v>
      </c>
      <c r="L246">
        <f t="shared" si="52"/>
        <v>71.209753047827377</v>
      </c>
      <c r="M246" s="14" t="str">
        <f t="shared" si="45"/>
        <v>OVERBOUGHT</v>
      </c>
      <c r="N246" s="7" t="str">
        <f t="shared" si="46"/>
        <v>SELL</v>
      </c>
      <c r="O246" s="7">
        <f t="shared" si="53"/>
        <v>0</v>
      </c>
      <c r="P246" s="7">
        <f t="shared" si="54"/>
        <v>-1</v>
      </c>
      <c r="Q246" s="10" t="e">
        <f t="shared" si="47"/>
        <v>#N/A</v>
      </c>
      <c r="R246" s="10" t="e">
        <f t="shared" si="48"/>
        <v>#N/A</v>
      </c>
      <c r="S246" s="7">
        <f t="shared" si="55"/>
        <v>781</v>
      </c>
      <c r="T246" s="7">
        <f t="shared" si="56"/>
        <v>0</v>
      </c>
    </row>
    <row r="247" spans="1:20" x14ac:dyDescent="0.25">
      <c r="A247" s="1">
        <v>41621</v>
      </c>
      <c r="B247">
        <v>1150</v>
      </c>
      <c r="C247">
        <v>1159.55</v>
      </c>
      <c r="D247">
        <v>1132.0999999999999</v>
      </c>
      <c r="E247">
        <v>1140</v>
      </c>
      <c r="F247">
        <v>1425462</v>
      </c>
      <c r="G247" s="4">
        <f t="shared" si="43"/>
        <v>0</v>
      </c>
      <c r="H247" s="4">
        <f t="shared" si="44"/>
        <v>9.75</v>
      </c>
      <c r="I247" s="6">
        <f t="shared" si="49"/>
        <v>7.1428571428571592</v>
      </c>
      <c r="J247" s="6">
        <f t="shared" si="50"/>
        <v>3.9857142857142986</v>
      </c>
      <c r="K247" s="4">
        <f t="shared" si="51"/>
        <v>1.7921146953405001</v>
      </c>
      <c r="L247">
        <f t="shared" si="52"/>
        <v>64.184852374839522</v>
      </c>
      <c r="M247" s="14" t="str">
        <f t="shared" si="45"/>
        <v/>
      </c>
      <c r="N247" s="7">
        <f t="shared" si="46"/>
        <v>0</v>
      </c>
      <c r="O247" s="7">
        <f t="shared" si="53"/>
        <v>0</v>
      </c>
      <c r="P247" s="7">
        <f t="shared" si="54"/>
        <v>-1</v>
      </c>
      <c r="Q247" s="10" t="e">
        <f t="shared" si="47"/>
        <v>#N/A</v>
      </c>
      <c r="R247" s="10" t="e">
        <f t="shared" si="48"/>
        <v>#N/A</v>
      </c>
      <c r="S247" s="7">
        <f t="shared" si="55"/>
        <v>781</v>
      </c>
      <c r="T247" s="7">
        <f t="shared" si="56"/>
        <v>0</v>
      </c>
    </row>
    <row r="248" spans="1:20" x14ac:dyDescent="0.25">
      <c r="A248" s="1">
        <v>41624</v>
      </c>
      <c r="B248">
        <v>1134</v>
      </c>
      <c r="C248">
        <v>1148.8</v>
      </c>
      <c r="D248">
        <v>1125.75</v>
      </c>
      <c r="E248">
        <v>1141.0999999999999</v>
      </c>
      <c r="F248">
        <v>812320</v>
      </c>
      <c r="G248" s="4">
        <f t="shared" si="43"/>
        <v>1.0999999999999091</v>
      </c>
      <c r="H248" s="4">
        <f t="shared" si="44"/>
        <v>0</v>
      </c>
      <c r="I248" s="6">
        <f t="shared" si="49"/>
        <v>7.1107142857142991</v>
      </c>
      <c r="J248" s="6">
        <f t="shared" si="50"/>
        <v>3.9857142857142986</v>
      </c>
      <c r="K248" s="4">
        <f t="shared" si="51"/>
        <v>1.7840501792114671</v>
      </c>
      <c r="L248">
        <f t="shared" si="52"/>
        <v>64.081107177341465</v>
      </c>
      <c r="M248" s="14" t="str">
        <f t="shared" si="45"/>
        <v/>
      </c>
      <c r="N248" s="7">
        <f t="shared" si="46"/>
        <v>0</v>
      </c>
      <c r="O248" s="7">
        <f t="shared" si="53"/>
        <v>0</v>
      </c>
      <c r="P248" s="7">
        <f t="shared" si="54"/>
        <v>-1</v>
      </c>
      <c r="Q248" s="10" t="e">
        <f t="shared" si="47"/>
        <v>#N/A</v>
      </c>
      <c r="R248" s="10" t="e">
        <f t="shared" si="48"/>
        <v>#N/A</v>
      </c>
      <c r="S248" s="7">
        <f t="shared" si="55"/>
        <v>781</v>
      </c>
      <c r="T248" s="7">
        <f t="shared" si="56"/>
        <v>0</v>
      </c>
    </row>
    <row r="249" spans="1:20" x14ac:dyDescent="0.25">
      <c r="A249" s="1">
        <v>41625</v>
      </c>
      <c r="B249">
        <v>1145</v>
      </c>
      <c r="C249">
        <v>1159.45</v>
      </c>
      <c r="D249">
        <v>1138.2</v>
      </c>
      <c r="E249">
        <v>1141.2</v>
      </c>
      <c r="F249">
        <v>832468</v>
      </c>
      <c r="G249" s="4">
        <f t="shared" si="43"/>
        <v>0.10000000000013642</v>
      </c>
      <c r="H249" s="4">
        <f t="shared" si="44"/>
        <v>0</v>
      </c>
      <c r="I249" s="6">
        <f t="shared" si="49"/>
        <v>6.8071428571428703</v>
      </c>
      <c r="J249" s="6">
        <f t="shared" si="50"/>
        <v>3.9857142857142986</v>
      </c>
      <c r="K249" s="4">
        <f t="shared" si="51"/>
        <v>1.707885304659496</v>
      </c>
      <c r="L249">
        <f t="shared" si="52"/>
        <v>63.070814030443387</v>
      </c>
      <c r="M249" s="14" t="str">
        <f t="shared" si="45"/>
        <v/>
      </c>
      <c r="N249" s="7">
        <f t="shared" si="46"/>
        <v>0</v>
      </c>
      <c r="O249" s="7">
        <f t="shared" si="53"/>
        <v>0</v>
      </c>
      <c r="P249" s="7">
        <f t="shared" si="54"/>
        <v>-1</v>
      </c>
      <c r="Q249" s="10" t="e">
        <f t="shared" si="47"/>
        <v>#N/A</v>
      </c>
      <c r="R249" s="10" t="e">
        <f t="shared" si="48"/>
        <v>#N/A</v>
      </c>
      <c r="S249" s="7">
        <f t="shared" si="55"/>
        <v>781</v>
      </c>
      <c r="T249" s="7">
        <f t="shared" si="56"/>
        <v>0</v>
      </c>
    </row>
    <row r="250" spans="1:20" x14ac:dyDescent="0.25">
      <c r="A250" s="1">
        <v>41626</v>
      </c>
      <c r="B250">
        <v>1141.2</v>
      </c>
      <c r="C250">
        <v>1150.9000000000001</v>
      </c>
      <c r="D250">
        <v>1140.05</v>
      </c>
      <c r="E250">
        <v>1146.3499999999999</v>
      </c>
      <c r="F250">
        <v>506438</v>
      </c>
      <c r="G250" s="4">
        <f t="shared" si="43"/>
        <v>5.1499999999998636</v>
      </c>
      <c r="H250" s="4">
        <f t="shared" si="44"/>
        <v>0</v>
      </c>
      <c r="I250" s="6">
        <f t="shared" si="49"/>
        <v>7.1750000000000034</v>
      </c>
      <c r="J250" s="6">
        <f t="shared" si="50"/>
        <v>2.9714285714285813</v>
      </c>
      <c r="K250" s="4">
        <f t="shared" si="51"/>
        <v>2.4146634615384546</v>
      </c>
      <c r="L250">
        <f t="shared" si="52"/>
        <v>70.714537134811621</v>
      </c>
      <c r="M250" s="14" t="str">
        <f t="shared" si="45"/>
        <v>OVERBOUGHT</v>
      </c>
      <c r="N250" s="7" t="str">
        <f t="shared" si="46"/>
        <v>SELL</v>
      </c>
      <c r="O250" s="7">
        <f t="shared" si="53"/>
        <v>0</v>
      </c>
      <c r="P250" s="7">
        <f t="shared" si="54"/>
        <v>-1</v>
      </c>
      <c r="Q250" s="10" t="e">
        <f t="shared" si="47"/>
        <v>#N/A</v>
      </c>
      <c r="R250" s="10" t="e">
        <f t="shared" si="48"/>
        <v>#N/A</v>
      </c>
      <c r="S250" s="7">
        <f t="shared" si="55"/>
        <v>781</v>
      </c>
      <c r="T250" s="7">
        <f t="shared" si="56"/>
        <v>0</v>
      </c>
    </row>
    <row r="251" spans="1:20" x14ac:dyDescent="0.25">
      <c r="A251" s="1">
        <v>41627</v>
      </c>
      <c r="B251">
        <v>1149</v>
      </c>
      <c r="C251">
        <v>1162</v>
      </c>
      <c r="D251">
        <v>1147.05</v>
      </c>
      <c r="E251">
        <v>1156.95</v>
      </c>
      <c r="F251">
        <v>521185</v>
      </c>
      <c r="G251" s="4">
        <f t="shared" si="43"/>
        <v>10.600000000000136</v>
      </c>
      <c r="H251" s="4">
        <f t="shared" si="44"/>
        <v>0</v>
      </c>
      <c r="I251" s="6">
        <f t="shared" si="49"/>
        <v>7.9321428571428703</v>
      </c>
      <c r="J251" s="6">
        <f t="shared" si="50"/>
        <v>2.3750000000000164</v>
      </c>
      <c r="K251" s="4">
        <f t="shared" si="51"/>
        <v>3.339849624060133</v>
      </c>
      <c r="L251">
        <f t="shared" si="52"/>
        <v>76.957726957726862</v>
      </c>
      <c r="M251" s="14" t="str">
        <f t="shared" si="45"/>
        <v>OVERBOUGHT</v>
      </c>
      <c r="N251" s="7" t="str">
        <f t="shared" si="46"/>
        <v>SELL</v>
      </c>
      <c r="O251" s="7">
        <f t="shared" si="53"/>
        <v>0</v>
      </c>
      <c r="P251" s="7">
        <f t="shared" si="54"/>
        <v>-1</v>
      </c>
      <c r="Q251" s="10" t="e">
        <f t="shared" si="47"/>
        <v>#N/A</v>
      </c>
      <c r="R251" s="10" t="e">
        <f t="shared" si="48"/>
        <v>#N/A</v>
      </c>
      <c r="S251" s="7">
        <f t="shared" si="55"/>
        <v>781</v>
      </c>
      <c r="T251" s="7">
        <f t="shared" si="56"/>
        <v>0</v>
      </c>
    </row>
    <row r="252" spans="1:20" x14ac:dyDescent="0.25">
      <c r="A252" s="1">
        <v>41628</v>
      </c>
      <c r="B252">
        <v>1152.5</v>
      </c>
      <c r="C252">
        <v>1174.8</v>
      </c>
      <c r="D252">
        <v>1152.5</v>
      </c>
      <c r="E252">
        <v>1170.2</v>
      </c>
      <c r="F252">
        <v>1922776</v>
      </c>
      <c r="G252" s="4">
        <f t="shared" si="43"/>
        <v>13.25</v>
      </c>
      <c r="H252" s="4">
        <f t="shared" si="44"/>
        <v>0</v>
      </c>
      <c r="I252" s="6">
        <f t="shared" si="49"/>
        <v>8.8785714285714423</v>
      </c>
      <c r="J252" s="6">
        <f t="shared" si="50"/>
        <v>1.9071428571428604</v>
      </c>
      <c r="K252" s="4">
        <f t="shared" si="51"/>
        <v>4.655430711610486</v>
      </c>
      <c r="L252">
        <f t="shared" si="52"/>
        <v>82.317880794701978</v>
      </c>
      <c r="M252" s="14" t="str">
        <f t="shared" si="45"/>
        <v>OVERBOUGHT</v>
      </c>
      <c r="N252" s="7" t="str">
        <f t="shared" si="46"/>
        <v>SELL</v>
      </c>
      <c r="O252" s="7">
        <f t="shared" si="53"/>
        <v>0</v>
      </c>
      <c r="P252" s="7">
        <f t="shared" si="54"/>
        <v>-1</v>
      </c>
      <c r="Q252" s="10" t="e">
        <f t="shared" si="47"/>
        <v>#N/A</v>
      </c>
      <c r="R252" s="10" t="e">
        <f t="shared" si="48"/>
        <v>#N/A</v>
      </c>
      <c r="S252" s="7">
        <f t="shared" si="55"/>
        <v>781</v>
      </c>
      <c r="T252" s="7">
        <f t="shared" si="56"/>
        <v>0</v>
      </c>
    </row>
    <row r="253" spans="1:20" x14ac:dyDescent="0.25">
      <c r="A253" s="1">
        <v>41631</v>
      </c>
      <c r="B253">
        <v>1172.5</v>
      </c>
      <c r="C253">
        <v>1180</v>
      </c>
      <c r="D253">
        <v>1161.8</v>
      </c>
      <c r="E253">
        <v>1165.6500000000001</v>
      </c>
      <c r="F253">
        <v>766490</v>
      </c>
      <c r="G253" s="4">
        <f t="shared" si="43"/>
        <v>0</v>
      </c>
      <c r="H253" s="4">
        <f t="shared" si="44"/>
        <v>4.5499999999999545</v>
      </c>
      <c r="I253" s="6">
        <f t="shared" si="49"/>
        <v>8.7142857142857135</v>
      </c>
      <c r="J253" s="6">
        <f t="shared" si="50"/>
        <v>2.2321428571428572</v>
      </c>
      <c r="K253" s="4">
        <f t="shared" si="51"/>
        <v>3.9039999999999995</v>
      </c>
      <c r="L253">
        <f t="shared" si="52"/>
        <v>79.608482871125616</v>
      </c>
      <c r="M253" s="14" t="str">
        <f t="shared" si="45"/>
        <v>OVERBOUGHT</v>
      </c>
      <c r="N253" s="7" t="str">
        <f t="shared" si="46"/>
        <v>SELL</v>
      </c>
      <c r="O253" s="7">
        <f t="shared" si="53"/>
        <v>0</v>
      </c>
      <c r="P253" s="7">
        <f t="shared" si="54"/>
        <v>-1</v>
      </c>
      <c r="Q253" s="10" t="e">
        <f t="shared" si="47"/>
        <v>#N/A</v>
      </c>
      <c r="R253" s="10" t="e">
        <f t="shared" si="48"/>
        <v>#N/A</v>
      </c>
      <c r="S253" s="7">
        <f t="shared" si="55"/>
        <v>781</v>
      </c>
      <c r="T253" s="7">
        <f t="shared" si="56"/>
        <v>0</v>
      </c>
    </row>
    <row r="254" spans="1:20" x14ac:dyDescent="0.25">
      <c r="A254" s="1">
        <v>41632</v>
      </c>
      <c r="B254">
        <v>1167</v>
      </c>
      <c r="C254">
        <v>1176.95</v>
      </c>
      <c r="D254">
        <v>1154.55</v>
      </c>
      <c r="E254">
        <v>1158.05</v>
      </c>
      <c r="F254">
        <v>702521</v>
      </c>
      <c r="G254" s="4">
        <f t="shared" si="43"/>
        <v>0</v>
      </c>
      <c r="H254" s="4">
        <f t="shared" si="44"/>
        <v>7.6000000000001364</v>
      </c>
      <c r="I254" s="6">
        <f t="shared" si="49"/>
        <v>8.6285714285714423</v>
      </c>
      <c r="J254" s="6">
        <f t="shared" si="50"/>
        <v>2.7750000000000097</v>
      </c>
      <c r="K254" s="4">
        <f t="shared" si="51"/>
        <v>3.1093951093951033</v>
      </c>
      <c r="L254">
        <f t="shared" si="52"/>
        <v>75.66551832132788</v>
      </c>
      <c r="M254" s="14" t="str">
        <f t="shared" si="45"/>
        <v>OVERBOUGHT</v>
      </c>
      <c r="N254" s="7" t="str">
        <f t="shared" si="46"/>
        <v>SELL</v>
      </c>
      <c r="O254" s="7">
        <f t="shared" si="53"/>
        <v>0</v>
      </c>
      <c r="P254" s="7">
        <f t="shared" si="54"/>
        <v>-1</v>
      </c>
      <c r="Q254" s="10" t="e">
        <f t="shared" si="47"/>
        <v>#N/A</v>
      </c>
      <c r="R254" s="10" t="e">
        <f t="shared" si="48"/>
        <v>#N/A</v>
      </c>
      <c r="S254" s="7">
        <f t="shared" si="55"/>
        <v>781</v>
      </c>
      <c r="T254" s="7">
        <f t="shared" si="56"/>
        <v>0</v>
      </c>
    </row>
    <row r="255" spans="1:20" x14ac:dyDescent="0.25">
      <c r="A255" s="1">
        <v>41633</v>
      </c>
      <c r="B255">
        <v>1163.9000000000001</v>
      </c>
      <c r="C255">
        <v>1166.1500000000001</v>
      </c>
      <c r="D255">
        <v>1138.0999999999999</v>
      </c>
      <c r="E255">
        <v>1144.75</v>
      </c>
      <c r="F255">
        <v>1251434</v>
      </c>
      <c r="G255" s="4">
        <f t="shared" si="43"/>
        <v>0</v>
      </c>
      <c r="H255" s="4">
        <f t="shared" si="44"/>
        <v>13.299999999999955</v>
      </c>
      <c r="I255" s="6">
        <f t="shared" si="49"/>
        <v>8.2821428571428601</v>
      </c>
      <c r="J255" s="6">
        <f t="shared" si="50"/>
        <v>3.7250000000000063</v>
      </c>
      <c r="K255" s="4">
        <f t="shared" si="51"/>
        <v>2.2233940556088179</v>
      </c>
      <c r="L255">
        <f t="shared" si="52"/>
        <v>68.976799524092769</v>
      </c>
      <c r="M255" s="14" t="str">
        <f t="shared" si="45"/>
        <v/>
      </c>
      <c r="N255" s="7">
        <f t="shared" si="46"/>
        <v>0</v>
      </c>
      <c r="O255" s="7">
        <f t="shared" si="53"/>
        <v>0</v>
      </c>
      <c r="P255" s="7">
        <f t="shared" si="54"/>
        <v>-1</v>
      </c>
      <c r="Q255" s="10" t="e">
        <f t="shared" si="47"/>
        <v>#N/A</v>
      </c>
      <c r="R255" s="10" t="e">
        <f t="shared" si="48"/>
        <v>#N/A</v>
      </c>
      <c r="S255" s="7">
        <f t="shared" si="55"/>
        <v>781</v>
      </c>
      <c r="T255" s="7">
        <f t="shared" si="56"/>
        <v>0</v>
      </c>
    </row>
    <row r="256" spans="1:20" x14ac:dyDescent="0.25">
      <c r="A256" s="1">
        <v>41634</v>
      </c>
      <c r="B256">
        <v>1145.25</v>
      </c>
      <c r="C256">
        <v>1165.9000000000001</v>
      </c>
      <c r="D256">
        <v>1141.75</v>
      </c>
      <c r="E256">
        <v>1158.95</v>
      </c>
      <c r="F256">
        <v>1534837</v>
      </c>
      <c r="G256" s="4">
        <f t="shared" si="43"/>
        <v>14.200000000000045</v>
      </c>
      <c r="H256" s="4">
        <f t="shared" si="44"/>
        <v>0</v>
      </c>
      <c r="I256" s="6">
        <f t="shared" si="49"/>
        <v>7.6750000000000034</v>
      </c>
      <c r="J256" s="6">
        <f t="shared" si="50"/>
        <v>3.7250000000000063</v>
      </c>
      <c r="K256" s="4">
        <f t="shared" si="51"/>
        <v>2.0604026845637557</v>
      </c>
      <c r="L256">
        <f t="shared" si="52"/>
        <v>67.324561403508739</v>
      </c>
      <c r="M256" s="14" t="str">
        <f t="shared" si="45"/>
        <v/>
      </c>
      <c r="N256" s="7">
        <f t="shared" si="46"/>
        <v>0</v>
      </c>
      <c r="O256" s="7">
        <f t="shared" si="53"/>
        <v>0</v>
      </c>
      <c r="P256" s="7">
        <f t="shared" si="54"/>
        <v>-1</v>
      </c>
      <c r="Q256" s="10" t="e">
        <f t="shared" si="47"/>
        <v>#N/A</v>
      </c>
      <c r="R256" s="10" t="e">
        <f t="shared" si="48"/>
        <v>#N/A</v>
      </c>
      <c r="S256" s="7">
        <f t="shared" si="55"/>
        <v>781</v>
      </c>
      <c r="T256" s="7">
        <f t="shared" si="56"/>
        <v>0</v>
      </c>
    </row>
    <row r="257" spans="1:20" x14ac:dyDescent="0.25">
      <c r="A257" s="1">
        <v>41635</v>
      </c>
      <c r="B257">
        <v>1168</v>
      </c>
      <c r="C257">
        <v>1182</v>
      </c>
      <c r="D257">
        <v>1153.0999999999999</v>
      </c>
      <c r="E257">
        <v>1171.7</v>
      </c>
      <c r="F257">
        <v>1423360</v>
      </c>
      <c r="G257" s="4">
        <f t="shared" si="43"/>
        <v>12.75</v>
      </c>
      <c r="H257" s="4">
        <f t="shared" si="44"/>
        <v>0</v>
      </c>
      <c r="I257" s="6">
        <f t="shared" si="49"/>
        <v>5.9392857142857212</v>
      </c>
      <c r="J257" s="6">
        <f t="shared" si="50"/>
        <v>3.7250000000000063</v>
      </c>
      <c r="K257" s="4">
        <f t="shared" si="51"/>
        <v>1.59443911792905</v>
      </c>
      <c r="L257">
        <f t="shared" si="52"/>
        <v>61.456023651145593</v>
      </c>
      <c r="M257" s="14" t="str">
        <f t="shared" si="45"/>
        <v/>
      </c>
      <c r="N257" s="7">
        <f t="shared" si="46"/>
        <v>0</v>
      </c>
      <c r="O257" s="7">
        <f t="shared" si="53"/>
        <v>0</v>
      </c>
      <c r="P257" s="7">
        <f t="shared" si="54"/>
        <v>-1</v>
      </c>
      <c r="Q257" s="10" t="e">
        <f t="shared" si="47"/>
        <v>#N/A</v>
      </c>
      <c r="R257" s="10" t="e">
        <f t="shared" si="48"/>
        <v>#N/A</v>
      </c>
      <c r="S257" s="7">
        <f t="shared" si="55"/>
        <v>781</v>
      </c>
      <c r="T257" s="7">
        <f t="shared" si="56"/>
        <v>0</v>
      </c>
    </row>
    <row r="258" spans="1:20" x14ac:dyDescent="0.25">
      <c r="A258" s="1">
        <v>41638</v>
      </c>
      <c r="B258">
        <v>1176</v>
      </c>
      <c r="C258">
        <v>1186.8499999999999</v>
      </c>
      <c r="D258">
        <v>1138.1500000000001</v>
      </c>
      <c r="E258">
        <v>1142.6500000000001</v>
      </c>
      <c r="F258">
        <v>1266362</v>
      </c>
      <c r="G258" s="4">
        <f t="shared" si="43"/>
        <v>0</v>
      </c>
      <c r="H258" s="4">
        <f t="shared" si="44"/>
        <v>29.049999999999955</v>
      </c>
      <c r="I258" s="6">
        <f t="shared" si="49"/>
        <v>4.0821428571428635</v>
      </c>
      <c r="J258" s="6">
        <f t="shared" si="50"/>
        <v>5.8000000000000034</v>
      </c>
      <c r="K258" s="4">
        <f t="shared" si="51"/>
        <v>0.70381773399014846</v>
      </c>
      <c r="L258">
        <f t="shared" si="52"/>
        <v>41.308276111311919</v>
      </c>
      <c r="M258" s="14" t="str">
        <f t="shared" si="45"/>
        <v/>
      </c>
      <c r="N258" s="7">
        <f t="shared" si="46"/>
        <v>0</v>
      </c>
      <c r="O258" s="7">
        <f t="shared" si="53"/>
        <v>0</v>
      </c>
      <c r="P258" s="7">
        <f t="shared" si="54"/>
        <v>-1</v>
      </c>
      <c r="Q258" s="10" t="e">
        <f t="shared" si="47"/>
        <v>#N/A</v>
      </c>
      <c r="R258" s="10" t="e">
        <f t="shared" si="48"/>
        <v>#N/A</v>
      </c>
      <c r="S258" s="7">
        <f t="shared" si="55"/>
        <v>781</v>
      </c>
      <c r="T258" s="7">
        <f t="shared" si="56"/>
        <v>0</v>
      </c>
    </row>
    <row r="259" spans="1:20" x14ac:dyDescent="0.25">
      <c r="A259" s="1">
        <v>41639</v>
      </c>
      <c r="B259">
        <v>1147.5</v>
      </c>
      <c r="C259">
        <v>1149</v>
      </c>
      <c r="D259">
        <v>1121</v>
      </c>
      <c r="E259">
        <v>1130.9000000000001</v>
      </c>
      <c r="F259">
        <v>1976213</v>
      </c>
      <c r="G259" s="4">
        <f t="shared" si="43"/>
        <v>0</v>
      </c>
      <c r="H259" s="4">
        <f t="shared" si="44"/>
        <v>11.75</v>
      </c>
      <c r="I259" s="6">
        <f t="shared" si="49"/>
        <v>4.0821428571428635</v>
      </c>
      <c r="J259" s="6">
        <f t="shared" si="50"/>
        <v>6.2178571428571399</v>
      </c>
      <c r="K259" s="4">
        <f t="shared" si="51"/>
        <v>0.65651924181505017</v>
      </c>
      <c r="L259">
        <f t="shared" si="52"/>
        <v>39.632454923717106</v>
      </c>
      <c r="M259" s="14" t="str">
        <f t="shared" si="45"/>
        <v/>
      </c>
      <c r="N259" s="7">
        <f t="shared" si="46"/>
        <v>0</v>
      </c>
      <c r="O259" s="7">
        <f t="shared" si="53"/>
        <v>0</v>
      </c>
      <c r="P259" s="7">
        <f t="shared" si="54"/>
        <v>-1</v>
      </c>
      <c r="Q259" s="10" t="e">
        <f t="shared" si="47"/>
        <v>#N/A</v>
      </c>
      <c r="R259" s="10" t="e">
        <f t="shared" si="48"/>
        <v>#N/A</v>
      </c>
      <c r="S259" s="7">
        <f t="shared" si="55"/>
        <v>781</v>
      </c>
      <c r="T259" s="7">
        <f t="shared" si="56"/>
        <v>0</v>
      </c>
    </row>
    <row r="260" spans="1:20" x14ac:dyDescent="0.25">
      <c r="A260" s="1">
        <v>41640</v>
      </c>
      <c r="B260">
        <v>1123</v>
      </c>
      <c r="C260">
        <v>1135.55</v>
      </c>
      <c r="D260">
        <v>1087.8</v>
      </c>
      <c r="E260">
        <v>1098.5</v>
      </c>
      <c r="F260">
        <v>1884365</v>
      </c>
      <c r="G260" s="4">
        <f t="shared" ref="G260:G323" si="57">IF(E260&gt;E259,E260-E259,0)</f>
        <v>0</v>
      </c>
      <c r="H260" s="4">
        <f t="shared" ref="H260:H323" si="58">IF(E260&lt;E259,E259-E260,0)</f>
        <v>32.400000000000091</v>
      </c>
      <c r="I260" s="6">
        <f t="shared" si="49"/>
        <v>4.0821428571428635</v>
      </c>
      <c r="J260" s="6">
        <f t="shared" si="50"/>
        <v>7.7428571428571491</v>
      </c>
      <c r="K260" s="4">
        <f t="shared" si="51"/>
        <v>0.52721402214022184</v>
      </c>
      <c r="L260">
        <f t="shared" si="52"/>
        <v>34.521292660827569</v>
      </c>
      <c r="M260" s="14" t="str">
        <f t="shared" si="45"/>
        <v/>
      </c>
      <c r="N260" s="7">
        <f t="shared" si="46"/>
        <v>0</v>
      </c>
      <c r="O260" s="7">
        <f t="shared" si="53"/>
        <v>0</v>
      </c>
      <c r="P260" s="7">
        <f t="shared" si="54"/>
        <v>-1</v>
      </c>
      <c r="Q260" s="10" t="e">
        <f t="shared" si="47"/>
        <v>#N/A</v>
      </c>
      <c r="R260" s="10" t="e">
        <f t="shared" si="48"/>
        <v>#N/A</v>
      </c>
      <c r="S260" s="7">
        <f t="shared" si="55"/>
        <v>781</v>
      </c>
      <c r="T260" s="7">
        <f t="shared" si="56"/>
        <v>0</v>
      </c>
    </row>
    <row r="261" spans="1:20" x14ac:dyDescent="0.25">
      <c r="A261" s="1">
        <v>41641</v>
      </c>
      <c r="B261">
        <v>1109.9000000000001</v>
      </c>
      <c r="C261">
        <v>1151.5999999999999</v>
      </c>
      <c r="D261">
        <v>1108</v>
      </c>
      <c r="E261">
        <v>1135.95</v>
      </c>
      <c r="F261">
        <v>1580437</v>
      </c>
      <c r="G261" s="4">
        <f t="shared" si="57"/>
        <v>37.450000000000045</v>
      </c>
      <c r="H261" s="4">
        <f t="shared" si="58"/>
        <v>0</v>
      </c>
      <c r="I261" s="6">
        <f t="shared" si="49"/>
        <v>6.7571428571428669</v>
      </c>
      <c r="J261" s="6">
        <f t="shared" si="50"/>
        <v>7.0464285714285779</v>
      </c>
      <c r="K261" s="4">
        <f t="shared" si="51"/>
        <v>0.95894576786619412</v>
      </c>
      <c r="L261">
        <f t="shared" si="52"/>
        <v>48.952134540750336</v>
      </c>
      <c r="M261" s="14" t="str">
        <f t="shared" si="45"/>
        <v/>
      </c>
      <c r="N261" s="7">
        <f t="shared" si="46"/>
        <v>0</v>
      </c>
      <c r="O261" s="7">
        <f t="shared" si="53"/>
        <v>0</v>
      </c>
      <c r="P261" s="7">
        <f t="shared" si="54"/>
        <v>-1</v>
      </c>
      <c r="Q261" s="10" t="e">
        <f t="shared" si="47"/>
        <v>#N/A</v>
      </c>
      <c r="R261" s="10" t="e">
        <f t="shared" si="48"/>
        <v>#N/A</v>
      </c>
      <c r="S261" s="7">
        <f t="shared" si="55"/>
        <v>781</v>
      </c>
      <c r="T261" s="7">
        <f t="shared" si="56"/>
        <v>0</v>
      </c>
    </row>
    <row r="262" spans="1:20" x14ac:dyDescent="0.25">
      <c r="A262" s="1">
        <v>41642</v>
      </c>
      <c r="B262">
        <v>1128.95</v>
      </c>
      <c r="C262">
        <v>1155.95</v>
      </c>
      <c r="D262">
        <v>1116.2</v>
      </c>
      <c r="E262">
        <v>1124.25</v>
      </c>
      <c r="F262">
        <v>2794599</v>
      </c>
      <c r="G262" s="4">
        <f t="shared" si="57"/>
        <v>0</v>
      </c>
      <c r="H262" s="4">
        <f t="shared" si="58"/>
        <v>11.700000000000045</v>
      </c>
      <c r="I262" s="6">
        <f t="shared" si="49"/>
        <v>6.6785714285714448</v>
      </c>
      <c r="J262" s="6">
        <f t="shared" si="50"/>
        <v>7.8821428571428669</v>
      </c>
      <c r="K262" s="4">
        <f t="shared" si="51"/>
        <v>0.84730403262347176</v>
      </c>
      <c r="L262">
        <f t="shared" si="52"/>
        <v>45.867059112092257</v>
      </c>
      <c r="M262" s="14" t="str">
        <f t="shared" si="45"/>
        <v/>
      </c>
      <c r="N262" s="7">
        <f t="shared" si="46"/>
        <v>0</v>
      </c>
      <c r="O262" s="7">
        <f t="shared" si="53"/>
        <v>0</v>
      </c>
      <c r="P262" s="7">
        <f t="shared" si="54"/>
        <v>-1</v>
      </c>
      <c r="Q262" s="10" t="e">
        <f t="shared" si="47"/>
        <v>#N/A</v>
      </c>
      <c r="R262" s="10" t="e">
        <f t="shared" si="48"/>
        <v>#N/A</v>
      </c>
      <c r="S262" s="7">
        <f t="shared" si="55"/>
        <v>781</v>
      </c>
      <c r="T262" s="7">
        <f t="shared" si="56"/>
        <v>0</v>
      </c>
    </row>
    <row r="263" spans="1:20" x14ac:dyDescent="0.25">
      <c r="A263" s="1">
        <v>41645</v>
      </c>
      <c r="B263">
        <v>1129.9000000000001</v>
      </c>
      <c r="C263">
        <v>1150</v>
      </c>
      <c r="D263">
        <v>1120</v>
      </c>
      <c r="E263">
        <v>1120.1500000000001</v>
      </c>
      <c r="F263">
        <v>1575846</v>
      </c>
      <c r="G263" s="4">
        <f t="shared" si="57"/>
        <v>0</v>
      </c>
      <c r="H263" s="4">
        <f t="shared" si="58"/>
        <v>4.0999999999999091</v>
      </c>
      <c r="I263" s="6">
        <f t="shared" si="49"/>
        <v>6.6714285714285779</v>
      </c>
      <c r="J263" s="6">
        <f t="shared" si="50"/>
        <v>8.1750000000000025</v>
      </c>
      <c r="K263" s="4">
        <f t="shared" si="51"/>
        <v>0.81607688947138546</v>
      </c>
      <c r="L263">
        <f t="shared" si="52"/>
        <v>44.936252104883344</v>
      </c>
      <c r="M263" s="14" t="str">
        <f t="shared" si="45"/>
        <v/>
      </c>
      <c r="N263" s="7">
        <f t="shared" si="46"/>
        <v>0</v>
      </c>
      <c r="O263" s="7">
        <f t="shared" si="53"/>
        <v>0</v>
      </c>
      <c r="P263" s="7">
        <f t="shared" si="54"/>
        <v>-1</v>
      </c>
      <c r="Q263" s="10" t="e">
        <f t="shared" si="47"/>
        <v>#N/A</v>
      </c>
      <c r="R263" s="10" t="e">
        <f t="shared" si="48"/>
        <v>#N/A</v>
      </c>
      <c r="S263" s="7">
        <f t="shared" si="55"/>
        <v>781</v>
      </c>
      <c r="T263" s="7">
        <f t="shared" si="56"/>
        <v>0</v>
      </c>
    </row>
    <row r="264" spans="1:20" x14ac:dyDescent="0.25">
      <c r="A264" s="1">
        <v>41646</v>
      </c>
      <c r="B264">
        <v>1121.2</v>
      </c>
      <c r="C264">
        <v>1146.55</v>
      </c>
      <c r="D264">
        <v>1120</v>
      </c>
      <c r="E264">
        <v>1137.4000000000001</v>
      </c>
      <c r="F264">
        <v>1500106</v>
      </c>
      <c r="G264" s="4">
        <f t="shared" si="57"/>
        <v>17.25</v>
      </c>
      <c r="H264" s="4">
        <f t="shared" si="58"/>
        <v>0</v>
      </c>
      <c r="I264" s="6">
        <f t="shared" si="49"/>
        <v>7.5357142857143016</v>
      </c>
      <c r="J264" s="6">
        <f t="shared" si="50"/>
        <v>8.1750000000000025</v>
      </c>
      <c r="K264" s="4">
        <f t="shared" si="51"/>
        <v>0.92179991262560235</v>
      </c>
      <c r="L264">
        <f t="shared" si="52"/>
        <v>47.965446692430142</v>
      </c>
      <c r="M264" s="14" t="str">
        <f t="shared" si="45"/>
        <v/>
      </c>
      <c r="N264" s="7">
        <f t="shared" si="46"/>
        <v>0</v>
      </c>
      <c r="O264" s="7">
        <f t="shared" si="53"/>
        <v>0</v>
      </c>
      <c r="P264" s="7">
        <f t="shared" si="54"/>
        <v>-1</v>
      </c>
      <c r="Q264" s="10" t="e">
        <f t="shared" si="47"/>
        <v>#N/A</v>
      </c>
      <c r="R264" s="10" t="e">
        <f t="shared" si="48"/>
        <v>#N/A</v>
      </c>
      <c r="S264" s="7">
        <f t="shared" si="55"/>
        <v>781</v>
      </c>
      <c r="T264" s="7">
        <f t="shared" si="56"/>
        <v>0</v>
      </c>
    </row>
    <row r="265" spans="1:20" x14ac:dyDescent="0.25">
      <c r="A265" s="1">
        <v>41647</v>
      </c>
      <c r="B265">
        <v>1174</v>
      </c>
      <c r="C265">
        <v>1208.9000000000001</v>
      </c>
      <c r="D265">
        <v>1164.3499999999999</v>
      </c>
      <c r="E265">
        <v>1202.55</v>
      </c>
      <c r="F265">
        <v>4240685</v>
      </c>
      <c r="G265" s="4">
        <f t="shared" si="57"/>
        <v>65.149999999999864</v>
      </c>
      <c r="H265" s="4">
        <f t="shared" si="58"/>
        <v>0</v>
      </c>
      <c r="I265" s="6">
        <f t="shared" si="49"/>
        <v>11.432142857142853</v>
      </c>
      <c r="J265" s="6">
        <f t="shared" si="50"/>
        <v>8.1750000000000025</v>
      </c>
      <c r="K265" s="4">
        <f t="shared" si="51"/>
        <v>1.398427260812581</v>
      </c>
      <c r="L265">
        <f t="shared" si="52"/>
        <v>58.306010928961733</v>
      </c>
      <c r="M265" s="14" t="str">
        <f t="shared" si="45"/>
        <v/>
      </c>
      <c r="N265" s="7">
        <f t="shared" si="46"/>
        <v>0</v>
      </c>
      <c r="O265" s="7">
        <f t="shared" si="53"/>
        <v>0</v>
      </c>
      <c r="P265" s="7">
        <f t="shared" si="54"/>
        <v>-1</v>
      </c>
      <c r="Q265" s="10" t="e">
        <f t="shared" si="47"/>
        <v>#N/A</v>
      </c>
      <c r="R265" s="10" t="e">
        <f t="shared" si="48"/>
        <v>#N/A</v>
      </c>
      <c r="S265" s="7">
        <f t="shared" si="55"/>
        <v>781</v>
      </c>
      <c r="T265" s="7">
        <f t="shared" si="56"/>
        <v>0</v>
      </c>
    </row>
    <row r="266" spans="1:20" x14ac:dyDescent="0.25">
      <c r="A266" s="1">
        <v>41648</v>
      </c>
      <c r="B266">
        <v>1203.45</v>
      </c>
      <c r="C266">
        <v>1209</v>
      </c>
      <c r="D266">
        <v>1185</v>
      </c>
      <c r="E266">
        <v>1193</v>
      </c>
      <c r="F266">
        <v>1476020</v>
      </c>
      <c r="G266" s="4">
        <f t="shared" si="57"/>
        <v>0</v>
      </c>
      <c r="H266" s="4">
        <f t="shared" si="58"/>
        <v>9.5499999999999545</v>
      </c>
      <c r="I266" s="6">
        <f t="shared" si="49"/>
        <v>10.485714285714282</v>
      </c>
      <c r="J266" s="6">
        <f t="shared" si="50"/>
        <v>8.8571428571428577</v>
      </c>
      <c r="K266" s="4">
        <f t="shared" si="51"/>
        <v>1.183870967741935</v>
      </c>
      <c r="L266">
        <f t="shared" si="52"/>
        <v>54.209748892171341</v>
      </c>
      <c r="M266" s="14" t="str">
        <f t="shared" si="45"/>
        <v/>
      </c>
      <c r="N266" s="7">
        <f t="shared" si="46"/>
        <v>0</v>
      </c>
      <c r="O266" s="7">
        <f t="shared" si="53"/>
        <v>0</v>
      </c>
      <c r="P266" s="7">
        <f t="shared" si="54"/>
        <v>-1</v>
      </c>
      <c r="Q266" s="10" t="e">
        <f t="shared" si="47"/>
        <v>#N/A</v>
      </c>
      <c r="R266" s="10" t="e">
        <f t="shared" si="48"/>
        <v>#N/A</v>
      </c>
      <c r="S266" s="7">
        <f t="shared" si="55"/>
        <v>781</v>
      </c>
      <c r="T266" s="7">
        <f t="shared" si="56"/>
        <v>0</v>
      </c>
    </row>
    <row r="267" spans="1:20" x14ac:dyDescent="0.25">
      <c r="A267" s="1">
        <v>41649</v>
      </c>
      <c r="B267">
        <v>1180</v>
      </c>
      <c r="C267">
        <v>1218.75</v>
      </c>
      <c r="D267">
        <v>1180</v>
      </c>
      <c r="E267">
        <v>1212.2</v>
      </c>
      <c r="F267">
        <v>2272604</v>
      </c>
      <c r="G267" s="4">
        <f t="shared" si="57"/>
        <v>19.200000000000045</v>
      </c>
      <c r="H267" s="4">
        <f t="shared" si="58"/>
        <v>0</v>
      </c>
      <c r="I267" s="6">
        <f t="shared" si="49"/>
        <v>11.857142857142858</v>
      </c>
      <c r="J267" s="6">
        <f t="shared" si="50"/>
        <v>8.5321428571428601</v>
      </c>
      <c r="K267" s="4">
        <f t="shared" si="51"/>
        <v>1.3897028045207196</v>
      </c>
      <c r="L267">
        <f t="shared" si="52"/>
        <v>58.153792257838496</v>
      </c>
      <c r="M267" s="14" t="str">
        <f t="shared" si="45"/>
        <v/>
      </c>
      <c r="N267" s="7">
        <f t="shared" si="46"/>
        <v>0</v>
      </c>
      <c r="O267" s="7">
        <f t="shared" si="53"/>
        <v>0</v>
      </c>
      <c r="P267" s="7">
        <f t="shared" si="54"/>
        <v>-1</v>
      </c>
      <c r="Q267" s="10" t="e">
        <f t="shared" si="47"/>
        <v>#N/A</v>
      </c>
      <c r="R267" s="10" t="e">
        <f t="shared" si="48"/>
        <v>#N/A</v>
      </c>
      <c r="S267" s="7">
        <f t="shared" si="55"/>
        <v>781</v>
      </c>
      <c r="T267" s="7">
        <f t="shared" si="56"/>
        <v>0</v>
      </c>
    </row>
    <row r="268" spans="1:20" x14ac:dyDescent="0.25">
      <c r="A268" s="1">
        <v>41652</v>
      </c>
      <c r="B268">
        <v>1210</v>
      </c>
      <c r="C268">
        <v>1220</v>
      </c>
      <c r="D268">
        <v>1204</v>
      </c>
      <c r="E268">
        <v>1211.6500000000001</v>
      </c>
      <c r="F268">
        <v>1298702</v>
      </c>
      <c r="G268" s="4">
        <f t="shared" si="57"/>
        <v>0</v>
      </c>
      <c r="H268" s="4">
        <f t="shared" si="58"/>
        <v>0.54999999999995453</v>
      </c>
      <c r="I268" s="6">
        <f t="shared" si="49"/>
        <v>11.857142857142858</v>
      </c>
      <c r="J268" s="6">
        <f t="shared" si="50"/>
        <v>8.0285714285714196</v>
      </c>
      <c r="K268" s="4">
        <f t="shared" si="51"/>
        <v>1.476868327402137</v>
      </c>
      <c r="L268">
        <f t="shared" si="52"/>
        <v>59.626436781609222</v>
      </c>
      <c r="M268" s="14" t="str">
        <f t="shared" si="45"/>
        <v/>
      </c>
      <c r="N268" s="7">
        <f t="shared" si="46"/>
        <v>0</v>
      </c>
      <c r="O268" s="7">
        <f t="shared" si="53"/>
        <v>0</v>
      </c>
      <c r="P268" s="7">
        <f t="shared" si="54"/>
        <v>-1</v>
      </c>
      <c r="Q268" s="10" t="e">
        <f t="shared" si="47"/>
        <v>#N/A</v>
      </c>
      <c r="R268" s="10" t="e">
        <f t="shared" si="48"/>
        <v>#N/A</v>
      </c>
      <c r="S268" s="7">
        <f t="shared" si="55"/>
        <v>781</v>
      </c>
      <c r="T268" s="7">
        <f t="shared" si="56"/>
        <v>0</v>
      </c>
    </row>
    <row r="269" spans="1:20" x14ac:dyDescent="0.25">
      <c r="A269" s="1">
        <v>41653</v>
      </c>
      <c r="B269">
        <v>1200</v>
      </c>
      <c r="C269">
        <v>1220</v>
      </c>
      <c r="D269">
        <v>1198.25</v>
      </c>
      <c r="E269">
        <v>1209.2</v>
      </c>
      <c r="F269">
        <v>1008339</v>
      </c>
      <c r="G269" s="4">
        <f t="shared" si="57"/>
        <v>0</v>
      </c>
      <c r="H269" s="4">
        <f t="shared" si="58"/>
        <v>2.4500000000000455</v>
      </c>
      <c r="I269" s="6">
        <f t="shared" si="49"/>
        <v>11.857142857142858</v>
      </c>
      <c r="J269" s="6">
        <f t="shared" si="50"/>
        <v>7.2535714285714255</v>
      </c>
      <c r="K269" s="4">
        <f t="shared" si="51"/>
        <v>1.6346627277203356</v>
      </c>
      <c r="L269">
        <f t="shared" si="52"/>
        <v>62.044477667725673</v>
      </c>
      <c r="M269" s="14" t="str">
        <f t="shared" si="45"/>
        <v/>
      </c>
      <c r="N269" s="7">
        <f t="shared" si="46"/>
        <v>0</v>
      </c>
      <c r="O269" s="7">
        <f t="shared" si="53"/>
        <v>0</v>
      </c>
      <c r="P269" s="7">
        <f t="shared" si="54"/>
        <v>-1</v>
      </c>
      <c r="Q269" s="10" t="e">
        <f t="shared" si="47"/>
        <v>#N/A</v>
      </c>
      <c r="R269" s="10" t="e">
        <f t="shared" si="48"/>
        <v>#N/A</v>
      </c>
      <c r="S269" s="7">
        <f t="shared" si="55"/>
        <v>781</v>
      </c>
      <c r="T269" s="7">
        <f t="shared" si="56"/>
        <v>0</v>
      </c>
    </row>
    <row r="270" spans="1:20" x14ac:dyDescent="0.25">
      <c r="A270" s="1">
        <v>41654</v>
      </c>
      <c r="B270">
        <v>1214.8</v>
      </c>
      <c r="C270">
        <v>1219.3</v>
      </c>
      <c r="D270">
        <v>1180</v>
      </c>
      <c r="E270">
        <v>1188.55</v>
      </c>
      <c r="F270">
        <v>1233547</v>
      </c>
      <c r="G270" s="4">
        <f t="shared" si="57"/>
        <v>0</v>
      </c>
      <c r="H270" s="4">
        <f t="shared" si="58"/>
        <v>20.650000000000091</v>
      </c>
      <c r="I270" s="6">
        <f t="shared" si="49"/>
        <v>10.84285714285714</v>
      </c>
      <c r="J270" s="6">
        <f t="shared" si="50"/>
        <v>8.7285714285714313</v>
      </c>
      <c r="K270" s="4">
        <f t="shared" si="51"/>
        <v>1.2422258592471351</v>
      </c>
      <c r="L270">
        <f t="shared" si="52"/>
        <v>55.401459854014583</v>
      </c>
      <c r="M270" s="14" t="str">
        <f t="shared" si="45"/>
        <v/>
      </c>
      <c r="N270" s="7">
        <f t="shared" si="46"/>
        <v>0</v>
      </c>
      <c r="O270" s="7">
        <f t="shared" si="53"/>
        <v>0</v>
      </c>
      <c r="P270" s="7">
        <f t="shared" si="54"/>
        <v>-1</v>
      </c>
      <c r="Q270" s="10" t="e">
        <f t="shared" si="47"/>
        <v>#N/A</v>
      </c>
      <c r="R270" s="10" t="e">
        <f t="shared" si="48"/>
        <v>#N/A</v>
      </c>
      <c r="S270" s="7">
        <f t="shared" si="55"/>
        <v>781</v>
      </c>
      <c r="T270" s="7">
        <f t="shared" si="56"/>
        <v>0</v>
      </c>
    </row>
    <row r="271" spans="1:20" x14ac:dyDescent="0.25">
      <c r="A271" s="1">
        <v>41655</v>
      </c>
      <c r="B271">
        <v>1187.55</v>
      </c>
      <c r="C271">
        <v>1209.95</v>
      </c>
      <c r="D271">
        <v>1181.5999999999999</v>
      </c>
      <c r="E271">
        <v>1199.4000000000001</v>
      </c>
      <c r="F271">
        <v>2357059</v>
      </c>
      <c r="G271" s="4">
        <f t="shared" si="57"/>
        <v>10.850000000000136</v>
      </c>
      <c r="H271" s="4">
        <f t="shared" si="58"/>
        <v>0</v>
      </c>
      <c r="I271" s="6">
        <f t="shared" si="49"/>
        <v>10.707142857142864</v>
      </c>
      <c r="J271" s="6">
        <f t="shared" si="50"/>
        <v>8.7285714285714313</v>
      </c>
      <c r="K271" s="4">
        <f t="shared" si="51"/>
        <v>1.2266775777414081</v>
      </c>
      <c r="L271">
        <f t="shared" si="52"/>
        <v>55.090040426313863</v>
      </c>
      <c r="M271" s="14" t="str">
        <f t="shared" si="45"/>
        <v/>
      </c>
      <c r="N271" s="7">
        <f t="shared" si="46"/>
        <v>0</v>
      </c>
      <c r="O271" s="7">
        <f t="shared" si="53"/>
        <v>0</v>
      </c>
      <c r="P271" s="7">
        <f t="shared" si="54"/>
        <v>-1</v>
      </c>
      <c r="Q271" s="10" t="e">
        <f t="shared" si="47"/>
        <v>#N/A</v>
      </c>
      <c r="R271" s="10" t="e">
        <f t="shared" si="48"/>
        <v>#N/A</v>
      </c>
      <c r="S271" s="7">
        <f t="shared" si="55"/>
        <v>781</v>
      </c>
      <c r="T271" s="7">
        <f t="shared" si="56"/>
        <v>0</v>
      </c>
    </row>
    <row r="272" spans="1:20" x14ac:dyDescent="0.25">
      <c r="A272" s="1">
        <v>41656</v>
      </c>
      <c r="B272">
        <v>1195</v>
      </c>
      <c r="C272">
        <v>1203.5999999999999</v>
      </c>
      <c r="D272">
        <v>1165.25</v>
      </c>
      <c r="E272">
        <v>1181.3499999999999</v>
      </c>
      <c r="F272">
        <v>1507289</v>
      </c>
      <c r="G272" s="4">
        <f t="shared" si="57"/>
        <v>0</v>
      </c>
      <c r="H272" s="4">
        <f t="shared" si="58"/>
        <v>18.050000000000182</v>
      </c>
      <c r="I272" s="6">
        <f t="shared" si="49"/>
        <v>10.707142857142864</v>
      </c>
      <c r="J272" s="6">
        <f t="shared" si="50"/>
        <v>7.9428571428571626</v>
      </c>
      <c r="K272" s="4">
        <f t="shared" si="51"/>
        <v>1.3480215827338105</v>
      </c>
      <c r="L272">
        <f t="shared" si="52"/>
        <v>57.410953657602413</v>
      </c>
      <c r="M272" s="14" t="str">
        <f t="shared" ref="M272:M335" si="59">IF(L272&gt;RSI_Overbought,"OVERBOUGHT",IF(L272&lt;RSI_Oversold,"OVERSOLD",""))</f>
        <v/>
      </c>
      <c r="N272" s="7">
        <f t="shared" ref="N272:N335" si="60">IF(L272&gt;RSI_Overbought,"SELL",IF(L272&lt;RSI_Oversold,"BUY",0))</f>
        <v>0</v>
      </c>
      <c r="O272" s="7">
        <f t="shared" si="53"/>
        <v>0</v>
      </c>
      <c r="P272" s="7">
        <f t="shared" si="54"/>
        <v>-1</v>
      </c>
      <c r="Q272" s="10" t="e">
        <f t="shared" ref="Q272:Q335" si="61">IF($O272="BUY",$E272,NA())</f>
        <v>#N/A</v>
      </c>
      <c r="R272" s="10" t="e">
        <f t="shared" ref="R272:R335" si="62">IF($O272="SELL",$E272,NA())</f>
        <v>#N/A</v>
      </c>
      <c r="S272" s="7">
        <f t="shared" si="55"/>
        <v>781</v>
      </c>
      <c r="T272" s="7">
        <f t="shared" si="56"/>
        <v>0</v>
      </c>
    </row>
    <row r="273" spans="1:20" x14ac:dyDescent="0.25">
      <c r="A273" s="1">
        <v>41659</v>
      </c>
      <c r="B273">
        <v>1169</v>
      </c>
      <c r="C273">
        <v>1169</v>
      </c>
      <c r="D273">
        <v>1128.55</v>
      </c>
      <c r="E273">
        <v>1159.5</v>
      </c>
      <c r="F273">
        <v>2970408</v>
      </c>
      <c r="G273" s="4">
        <f t="shared" si="57"/>
        <v>0</v>
      </c>
      <c r="H273" s="4">
        <f t="shared" si="58"/>
        <v>21.849999999999909</v>
      </c>
      <c r="I273" s="6">
        <f t="shared" ref="I273:I336" si="63">AVERAGE(G260:G273)</f>
        <v>10.707142857142864</v>
      </c>
      <c r="J273" s="6">
        <f t="shared" ref="J273:J336" si="64">AVERAGE(H260:H273)</f>
        <v>8.664285714285727</v>
      </c>
      <c r="K273" s="4">
        <f t="shared" ref="K273:K336" si="65">I273/J273</f>
        <v>1.2357790601813676</v>
      </c>
      <c r="L273">
        <f t="shared" ref="L273:L336" si="66">100-(100/(K273+1))</f>
        <v>55.272861356932133</v>
      </c>
      <c r="M273" s="14" t="str">
        <f t="shared" si="59"/>
        <v/>
      </c>
      <c r="N273" s="7">
        <f t="shared" si="60"/>
        <v>0</v>
      </c>
      <c r="O273" s="7">
        <f t="shared" ref="O273:O336" si="67">IF(AND(N273="BUY",P272&lt;&gt;1),"BUY",IF(AND(N273="SELL",P272&lt;&gt;-1),"SELL",0))</f>
        <v>0</v>
      </c>
      <c r="P273" s="7">
        <f t="shared" ref="P273:P336" si="68">IF(O273="BUY",1,IF(O273="SELL",-1,P272))</f>
        <v>-1</v>
      </c>
      <c r="Q273" s="10" t="e">
        <f t="shared" si="61"/>
        <v>#N/A</v>
      </c>
      <c r="R273" s="10" t="e">
        <f t="shared" si="62"/>
        <v>#N/A</v>
      </c>
      <c r="S273" s="7">
        <f t="shared" ref="S273:S336" si="69">IF(O273&lt;&gt;0,E273,S272)</f>
        <v>781</v>
      </c>
      <c r="T273" s="7">
        <f t="shared" si="56"/>
        <v>0</v>
      </c>
    </row>
    <row r="274" spans="1:20" x14ac:dyDescent="0.25">
      <c r="A274" s="1">
        <v>41660</v>
      </c>
      <c r="B274">
        <v>1165</v>
      </c>
      <c r="C274">
        <v>1165</v>
      </c>
      <c r="D274">
        <v>1133</v>
      </c>
      <c r="E274">
        <v>1150.1500000000001</v>
      </c>
      <c r="F274">
        <v>2106354</v>
      </c>
      <c r="G274" s="4">
        <f t="shared" si="57"/>
        <v>0</v>
      </c>
      <c r="H274" s="4">
        <f t="shared" si="58"/>
        <v>9.3499999999999091</v>
      </c>
      <c r="I274" s="6">
        <f t="shared" si="63"/>
        <v>10.707142857142864</v>
      </c>
      <c r="J274" s="6">
        <f t="shared" si="64"/>
        <v>7.0178571428571432</v>
      </c>
      <c r="K274" s="4">
        <f t="shared" si="65"/>
        <v>1.5256997455470747</v>
      </c>
      <c r="L274">
        <f t="shared" si="66"/>
        <v>60.407011887971002</v>
      </c>
      <c r="M274" s="14" t="str">
        <f t="shared" si="59"/>
        <v/>
      </c>
      <c r="N274" s="7">
        <f t="shared" si="60"/>
        <v>0</v>
      </c>
      <c r="O274" s="7">
        <f t="shared" si="67"/>
        <v>0</v>
      </c>
      <c r="P274" s="7">
        <f t="shared" si="68"/>
        <v>-1</v>
      </c>
      <c r="Q274" s="10" t="e">
        <f t="shared" si="61"/>
        <v>#N/A</v>
      </c>
      <c r="R274" s="10" t="e">
        <f t="shared" si="62"/>
        <v>#N/A</v>
      </c>
      <c r="S274" s="7">
        <f t="shared" si="69"/>
        <v>781</v>
      </c>
      <c r="T274" s="7">
        <f t="shared" si="56"/>
        <v>0</v>
      </c>
    </row>
    <row r="275" spans="1:20" x14ac:dyDescent="0.25">
      <c r="A275" s="1">
        <v>41661</v>
      </c>
      <c r="B275">
        <v>1170</v>
      </c>
      <c r="C275">
        <v>1198.9000000000001</v>
      </c>
      <c r="D275">
        <v>1162.3499999999999</v>
      </c>
      <c r="E275">
        <v>1182.45</v>
      </c>
      <c r="F275">
        <v>1968809</v>
      </c>
      <c r="G275" s="4">
        <f t="shared" si="57"/>
        <v>32.299999999999955</v>
      </c>
      <c r="H275" s="4">
        <f t="shared" si="58"/>
        <v>0</v>
      </c>
      <c r="I275" s="6">
        <f t="shared" si="63"/>
        <v>10.339285714285714</v>
      </c>
      <c r="J275" s="6">
        <f t="shared" si="64"/>
        <v>7.0178571428571432</v>
      </c>
      <c r="K275" s="4">
        <f t="shared" si="65"/>
        <v>1.4732824427480915</v>
      </c>
      <c r="L275">
        <f t="shared" si="66"/>
        <v>59.567901234567906</v>
      </c>
      <c r="M275" s="14" t="str">
        <f t="shared" si="59"/>
        <v/>
      </c>
      <c r="N275" s="7">
        <f t="shared" si="60"/>
        <v>0</v>
      </c>
      <c r="O275" s="7">
        <f t="shared" si="67"/>
        <v>0</v>
      </c>
      <c r="P275" s="7">
        <f t="shared" si="68"/>
        <v>-1</v>
      </c>
      <c r="Q275" s="10" t="e">
        <f t="shared" si="61"/>
        <v>#N/A</v>
      </c>
      <c r="R275" s="10" t="e">
        <f t="shared" si="62"/>
        <v>#N/A</v>
      </c>
      <c r="S275" s="7">
        <f t="shared" si="69"/>
        <v>781</v>
      </c>
      <c r="T275" s="7">
        <f t="shared" si="56"/>
        <v>0</v>
      </c>
    </row>
    <row r="276" spans="1:20" x14ac:dyDescent="0.25">
      <c r="A276" s="1">
        <v>41662</v>
      </c>
      <c r="B276">
        <v>1184.7</v>
      </c>
      <c r="C276">
        <v>1195.7</v>
      </c>
      <c r="D276">
        <v>1170.6500000000001</v>
      </c>
      <c r="E276">
        <v>1183.7</v>
      </c>
      <c r="F276">
        <v>941706</v>
      </c>
      <c r="G276" s="4">
        <f t="shared" si="57"/>
        <v>1.25</v>
      </c>
      <c r="H276" s="4">
        <f t="shared" si="58"/>
        <v>0</v>
      </c>
      <c r="I276" s="6">
        <f t="shared" si="63"/>
        <v>10.428571428571429</v>
      </c>
      <c r="J276" s="6">
        <f t="shared" si="64"/>
        <v>6.1821428571428543</v>
      </c>
      <c r="K276" s="4">
        <f t="shared" si="65"/>
        <v>1.6868861929520516</v>
      </c>
      <c r="L276">
        <f t="shared" si="66"/>
        <v>62.782197376908201</v>
      </c>
      <c r="M276" s="14" t="str">
        <f t="shared" si="59"/>
        <v/>
      </c>
      <c r="N276" s="7">
        <f t="shared" si="60"/>
        <v>0</v>
      </c>
      <c r="O276" s="7">
        <f t="shared" si="67"/>
        <v>0</v>
      </c>
      <c r="P276" s="7">
        <f t="shared" si="68"/>
        <v>-1</v>
      </c>
      <c r="Q276" s="10" t="e">
        <f t="shared" si="61"/>
        <v>#N/A</v>
      </c>
      <c r="R276" s="10" t="e">
        <f t="shared" si="62"/>
        <v>#N/A</v>
      </c>
      <c r="S276" s="7">
        <f t="shared" si="69"/>
        <v>781</v>
      </c>
      <c r="T276" s="7">
        <f t="shared" si="56"/>
        <v>0</v>
      </c>
    </row>
    <row r="277" spans="1:20" x14ac:dyDescent="0.25">
      <c r="A277" s="1">
        <v>41663</v>
      </c>
      <c r="B277">
        <v>1176</v>
      </c>
      <c r="C277">
        <v>1183.0999999999999</v>
      </c>
      <c r="D277">
        <v>1140.25</v>
      </c>
      <c r="E277">
        <v>1148.8</v>
      </c>
      <c r="F277">
        <v>1728800</v>
      </c>
      <c r="G277" s="4">
        <f t="shared" si="57"/>
        <v>0</v>
      </c>
      <c r="H277" s="4">
        <f t="shared" si="58"/>
        <v>34.900000000000091</v>
      </c>
      <c r="I277" s="6">
        <f t="shared" si="63"/>
        <v>10.428571428571429</v>
      </c>
      <c r="J277" s="6">
        <f t="shared" si="64"/>
        <v>8.3821428571428669</v>
      </c>
      <c r="K277" s="4">
        <f t="shared" si="65"/>
        <v>1.2441414571793765</v>
      </c>
      <c r="L277">
        <f t="shared" si="66"/>
        <v>55.439529143725053</v>
      </c>
      <c r="M277" s="14" t="str">
        <f t="shared" si="59"/>
        <v/>
      </c>
      <c r="N277" s="7">
        <f t="shared" si="60"/>
        <v>0</v>
      </c>
      <c r="O277" s="7">
        <f t="shared" si="67"/>
        <v>0</v>
      </c>
      <c r="P277" s="7">
        <f t="shared" si="68"/>
        <v>-1</v>
      </c>
      <c r="Q277" s="10" t="e">
        <f t="shared" si="61"/>
        <v>#N/A</v>
      </c>
      <c r="R277" s="10" t="e">
        <f t="shared" si="62"/>
        <v>#N/A</v>
      </c>
      <c r="S277" s="7">
        <f t="shared" si="69"/>
        <v>781</v>
      </c>
      <c r="T277" s="7">
        <f t="shared" si="56"/>
        <v>0</v>
      </c>
    </row>
    <row r="278" spans="1:20" x14ac:dyDescent="0.25">
      <c r="A278" s="1">
        <v>41666</v>
      </c>
      <c r="B278">
        <v>1173.5</v>
      </c>
      <c r="C278">
        <v>1173.5</v>
      </c>
      <c r="D278">
        <v>1126.5</v>
      </c>
      <c r="E278">
        <v>1131.1500000000001</v>
      </c>
      <c r="F278">
        <v>1289191</v>
      </c>
      <c r="G278" s="4">
        <f t="shared" si="57"/>
        <v>0</v>
      </c>
      <c r="H278" s="4">
        <f t="shared" si="58"/>
        <v>17.649999999999864</v>
      </c>
      <c r="I278" s="6">
        <f t="shared" si="63"/>
        <v>9.1964285714285712</v>
      </c>
      <c r="J278" s="6">
        <f t="shared" si="64"/>
        <v>9.6428571428571423</v>
      </c>
      <c r="K278" s="4">
        <f t="shared" si="65"/>
        <v>0.95370370370370372</v>
      </c>
      <c r="L278">
        <f t="shared" si="66"/>
        <v>48.81516587677725</v>
      </c>
      <c r="M278" s="14" t="str">
        <f t="shared" si="59"/>
        <v/>
      </c>
      <c r="N278" s="7">
        <f t="shared" si="60"/>
        <v>0</v>
      </c>
      <c r="O278" s="7">
        <f t="shared" si="67"/>
        <v>0</v>
      </c>
      <c r="P278" s="7">
        <f t="shared" si="68"/>
        <v>-1</v>
      </c>
      <c r="Q278" s="10" t="e">
        <f t="shared" si="61"/>
        <v>#N/A</v>
      </c>
      <c r="R278" s="10" t="e">
        <f t="shared" si="62"/>
        <v>#N/A</v>
      </c>
      <c r="S278" s="7">
        <f t="shared" si="69"/>
        <v>781</v>
      </c>
      <c r="T278" s="7">
        <f t="shared" si="56"/>
        <v>0</v>
      </c>
    </row>
    <row r="279" spans="1:20" x14ac:dyDescent="0.25">
      <c r="A279" s="1">
        <v>41667</v>
      </c>
      <c r="B279">
        <v>1132</v>
      </c>
      <c r="C279">
        <v>1149.9000000000001</v>
      </c>
      <c r="D279">
        <v>1118.5</v>
      </c>
      <c r="E279">
        <v>1125.0999999999999</v>
      </c>
      <c r="F279">
        <v>2644319</v>
      </c>
      <c r="G279" s="4">
        <f t="shared" si="57"/>
        <v>0</v>
      </c>
      <c r="H279" s="4">
        <f t="shared" si="58"/>
        <v>6.0500000000001819</v>
      </c>
      <c r="I279" s="6">
        <f t="shared" si="63"/>
        <v>4.5428571428571525</v>
      </c>
      <c r="J279" s="6">
        <f t="shared" si="64"/>
        <v>10.075000000000014</v>
      </c>
      <c r="K279" s="4">
        <f t="shared" si="65"/>
        <v>0.45090393477490287</v>
      </c>
      <c r="L279">
        <f t="shared" si="66"/>
        <v>31.077449303689235</v>
      </c>
      <c r="M279" s="14" t="str">
        <f t="shared" si="59"/>
        <v/>
      </c>
      <c r="N279" s="7">
        <f t="shared" si="60"/>
        <v>0</v>
      </c>
      <c r="O279" s="7">
        <f t="shared" si="67"/>
        <v>0</v>
      </c>
      <c r="P279" s="7">
        <f t="shared" si="68"/>
        <v>-1</v>
      </c>
      <c r="Q279" s="10" t="e">
        <f t="shared" si="61"/>
        <v>#N/A</v>
      </c>
      <c r="R279" s="10" t="e">
        <f t="shared" si="62"/>
        <v>#N/A</v>
      </c>
      <c r="S279" s="7">
        <f t="shared" si="69"/>
        <v>781</v>
      </c>
      <c r="T279" s="7">
        <f t="shared" si="56"/>
        <v>0</v>
      </c>
    </row>
    <row r="280" spans="1:20" x14ac:dyDescent="0.25">
      <c r="A280" s="1">
        <v>41668</v>
      </c>
      <c r="B280">
        <v>1122.5</v>
      </c>
      <c r="C280">
        <v>1129.5999999999999</v>
      </c>
      <c r="D280">
        <v>1083.7</v>
      </c>
      <c r="E280">
        <v>1098.3</v>
      </c>
      <c r="F280">
        <v>3006366</v>
      </c>
      <c r="G280" s="4">
        <f t="shared" si="57"/>
        <v>0</v>
      </c>
      <c r="H280" s="4">
        <f t="shared" si="58"/>
        <v>26.799999999999955</v>
      </c>
      <c r="I280" s="6">
        <f t="shared" si="63"/>
        <v>4.5428571428571525</v>
      </c>
      <c r="J280" s="6">
        <f t="shared" si="64"/>
        <v>11.307142857142869</v>
      </c>
      <c r="K280" s="4">
        <f t="shared" si="65"/>
        <v>0.40176879343019622</v>
      </c>
      <c r="L280">
        <f t="shared" si="66"/>
        <v>28.661559260928371</v>
      </c>
      <c r="M280" s="14" t="str">
        <f t="shared" si="59"/>
        <v>OVERSOLD</v>
      </c>
      <c r="N280" s="7" t="str">
        <f t="shared" si="60"/>
        <v>BUY</v>
      </c>
      <c r="O280" s="7" t="str">
        <f t="shared" si="67"/>
        <v>BUY</v>
      </c>
      <c r="P280" s="7">
        <f t="shared" si="68"/>
        <v>1</v>
      </c>
      <c r="Q280" s="10">
        <f t="shared" si="61"/>
        <v>1098.3</v>
      </c>
      <c r="R280" s="10" t="e">
        <f t="shared" si="62"/>
        <v>#N/A</v>
      </c>
      <c r="S280" s="7">
        <f t="shared" si="69"/>
        <v>1098.3</v>
      </c>
      <c r="T280" s="7">
        <f t="shared" si="56"/>
        <v>-0.4062740076824583</v>
      </c>
    </row>
    <row r="281" spans="1:20" x14ac:dyDescent="0.25">
      <c r="A281" s="1">
        <v>41669</v>
      </c>
      <c r="B281">
        <v>1100</v>
      </c>
      <c r="C281">
        <v>1114.5</v>
      </c>
      <c r="D281">
        <v>1072</v>
      </c>
      <c r="E281">
        <v>1090.75</v>
      </c>
      <c r="F281">
        <v>2275911</v>
      </c>
      <c r="G281" s="4">
        <f t="shared" si="57"/>
        <v>0</v>
      </c>
      <c r="H281" s="4">
        <f t="shared" si="58"/>
        <v>7.5499999999999545</v>
      </c>
      <c r="I281" s="6">
        <f t="shared" si="63"/>
        <v>3.1714285714285779</v>
      </c>
      <c r="J281" s="6">
        <f t="shared" si="64"/>
        <v>11.84642857142858</v>
      </c>
      <c r="K281" s="4">
        <f t="shared" si="65"/>
        <v>0.26771178776002447</v>
      </c>
      <c r="L281">
        <f t="shared" si="66"/>
        <v>21.117717003567208</v>
      </c>
      <c r="M281" s="14" t="str">
        <f t="shared" si="59"/>
        <v>OVERSOLD</v>
      </c>
      <c r="N281" s="7" t="str">
        <f t="shared" si="60"/>
        <v>BUY</v>
      </c>
      <c r="O281" s="7">
        <f t="shared" si="67"/>
        <v>0</v>
      </c>
      <c r="P281" s="7">
        <f t="shared" si="68"/>
        <v>1</v>
      </c>
      <c r="Q281" s="10" t="e">
        <f t="shared" si="61"/>
        <v>#N/A</v>
      </c>
      <c r="R281" s="10" t="e">
        <f t="shared" si="62"/>
        <v>#N/A</v>
      </c>
      <c r="S281" s="7">
        <f t="shared" si="69"/>
        <v>1098.3</v>
      </c>
      <c r="T281" s="7">
        <f t="shared" si="56"/>
        <v>0</v>
      </c>
    </row>
    <row r="282" spans="1:20" x14ac:dyDescent="0.25">
      <c r="A282" s="1">
        <v>41670</v>
      </c>
      <c r="B282">
        <v>1084.0999999999999</v>
      </c>
      <c r="C282">
        <v>1104.2</v>
      </c>
      <c r="D282">
        <v>1055.9000000000001</v>
      </c>
      <c r="E282">
        <v>1089.5999999999999</v>
      </c>
      <c r="F282">
        <v>1472528</v>
      </c>
      <c r="G282" s="4">
        <f t="shared" si="57"/>
        <v>0</v>
      </c>
      <c r="H282" s="4">
        <f t="shared" si="58"/>
        <v>1.1500000000000909</v>
      </c>
      <c r="I282" s="6">
        <f t="shared" si="63"/>
        <v>3.1714285714285779</v>
      </c>
      <c r="J282" s="6">
        <f t="shared" si="64"/>
        <v>11.889285714285734</v>
      </c>
      <c r="K282" s="4">
        <f t="shared" si="65"/>
        <v>0.26674677080204279</v>
      </c>
      <c r="L282">
        <f t="shared" si="66"/>
        <v>21.057623903248768</v>
      </c>
      <c r="M282" s="14" t="str">
        <f t="shared" si="59"/>
        <v>OVERSOLD</v>
      </c>
      <c r="N282" s="7" t="str">
        <f t="shared" si="60"/>
        <v>BUY</v>
      </c>
      <c r="O282" s="7">
        <f t="shared" si="67"/>
        <v>0</v>
      </c>
      <c r="P282" s="7">
        <f t="shared" si="68"/>
        <v>1</v>
      </c>
      <c r="Q282" s="10" t="e">
        <f t="shared" si="61"/>
        <v>#N/A</v>
      </c>
      <c r="R282" s="10" t="e">
        <f t="shared" si="62"/>
        <v>#N/A</v>
      </c>
      <c r="S282" s="7">
        <f t="shared" si="69"/>
        <v>1098.3</v>
      </c>
      <c r="T282" s="7">
        <f t="shared" ref="T282:T345" si="70">IF(O282="BUY",(S281-S282)/S281,IF(O282="SELL",(S282-S281)/S281,0))</f>
        <v>0</v>
      </c>
    </row>
    <row r="283" spans="1:20" x14ac:dyDescent="0.25">
      <c r="A283" s="1">
        <v>41673</v>
      </c>
      <c r="B283">
        <v>1091</v>
      </c>
      <c r="C283">
        <v>1120</v>
      </c>
      <c r="D283">
        <v>1087</v>
      </c>
      <c r="E283">
        <v>1112.3</v>
      </c>
      <c r="F283">
        <v>1231274</v>
      </c>
      <c r="G283" s="4">
        <f t="shared" si="57"/>
        <v>22.700000000000045</v>
      </c>
      <c r="H283" s="4">
        <f t="shared" si="58"/>
        <v>0</v>
      </c>
      <c r="I283" s="6">
        <f t="shared" si="63"/>
        <v>4.7928571428571525</v>
      </c>
      <c r="J283" s="6">
        <f t="shared" si="64"/>
        <v>11.714285714285731</v>
      </c>
      <c r="K283" s="4">
        <f t="shared" si="65"/>
        <v>0.40914634146341489</v>
      </c>
      <c r="L283">
        <f t="shared" si="66"/>
        <v>29.035049762007802</v>
      </c>
      <c r="M283" s="14" t="str">
        <f t="shared" si="59"/>
        <v>OVERSOLD</v>
      </c>
      <c r="N283" s="7" t="str">
        <f t="shared" si="60"/>
        <v>BUY</v>
      </c>
      <c r="O283" s="7">
        <f t="shared" si="67"/>
        <v>0</v>
      </c>
      <c r="P283" s="7">
        <f t="shared" si="68"/>
        <v>1</v>
      </c>
      <c r="Q283" s="10" t="e">
        <f t="shared" si="61"/>
        <v>#N/A</v>
      </c>
      <c r="R283" s="10" t="e">
        <f t="shared" si="62"/>
        <v>#N/A</v>
      </c>
      <c r="S283" s="7">
        <f t="shared" si="69"/>
        <v>1098.3</v>
      </c>
      <c r="T283" s="7">
        <f t="shared" si="70"/>
        <v>0</v>
      </c>
    </row>
    <row r="284" spans="1:20" x14ac:dyDescent="0.25">
      <c r="A284" s="1">
        <v>41674</v>
      </c>
      <c r="B284">
        <v>1119</v>
      </c>
      <c r="C284">
        <v>1119</v>
      </c>
      <c r="D284">
        <v>1076.55</v>
      </c>
      <c r="E284">
        <v>1097.7</v>
      </c>
      <c r="F284">
        <v>1812713</v>
      </c>
      <c r="G284" s="4">
        <f t="shared" si="57"/>
        <v>0</v>
      </c>
      <c r="H284" s="4">
        <f t="shared" si="58"/>
        <v>14.599999999999909</v>
      </c>
      <c r="I284" s="6">
        <f t="shared" si="63"/>
        <v>4.7928571428571525</v>
      </c>
      <c r="J284" s="6">
        <f t="shared" si="64"/>
        <v>11.28214285714286</v>
      </c>
      <c r="K284" s="4">
        <f t="shared" si="65"/>
        <v>0.42481798037353669</v>
      </c>
      <c r="L284">
        <f t="shared" si="66"/>
        <v>29.815596534103562</v>
      </c>
      <c r="M284" s="14" t="str">
        <f t="shared" si="59"/>
        <v>OVERSOLD</v>
      </c>
      <c r="N284" s="7" t="str">
        <f t="shared" si="60"/>
        <v>BUY</v>
      </c>
      <c r="O284" s="7">
        <f t="shared" si="67"/>
        <v>0</v>
      </c>
      <c r="P284" s="7">
        <f t="shared" si="68"/>
        <v>1</v>
      </c>
      <c r="Q284" s="10" t="e">
        <f t="shared" si="61"/>
        <v>#N/A</v>
      </c>
      <c r="R284" s="10" t="e">
        <f t="shared" si="62"/>
        <v>#N/A</v>
      </c>
      <c r="S284" s="7">
        <f t="shared" si="69"/>
        <v>1098.3</v>
      </c>
      <c r="T284" s="7">
        <f t="shared" si="70"/>
        <v>0</v>
      </c>
    </row>
    <row r="285" spans="1:20" x14ac:dyDescent="0.25">
      <c r="A285" s="1">
        <v>41675</v>
      </c>
      <c r="B285">
        <v>1105</v>
      </c>
      <c r="C285">
        <v>1109.7</v>
      </c>
      <c r="D285">
        <v>1081</v>
      </c>
      <c r="E285">
        <v>1096.5</v>
      </c>
      <c r="F285">
        <v>1232296</v>
      </c>
      <c r="G285" s="4">
        <f t="shared" si="57"/>
        <v>0</v>
      </c>
      <c r="H285" s="4">
        <f t="shared" si="58"/>
        <v>1.2000000000000455</v>
      </c>
      <c r="I285" s="6">
        <f t="shared" si="63"/>
        <v>4.0178571428571432</v>
      </c>
      <c r="J285" s="6">
        <f t="shared" si="64"/>
        <v>11.367857142857149</v>
      </c>
      <c r="K285" s="4">
        <f t="shared" si="65"/>
        <v>0.35344015080113084</v>
      </c>
      <c r="L285">
        <f t="shared" si="66"/>
        <v>26.114206128133702</v>
      </c>
      <c r="M285" s="14" t="str">
        <f t="shared" si="59"/>
        <v>OVERSOLD</v>
      </c>
      <c r="N285" s="7" t="str">
        <f t="shared" si="60"/>
        <v>BUY</v>
      </c>
      <c r="O285" s="7">
        <f t="shared" si="67"/>
        <v>0</v>
      </c>
      <c r="P285" s="7">
        <f t="shared" si="68"/>
        <v>1</v>
      </c>
      <c r="Q285" s="10" t="e">
        <f t="shared" si="61"/>
        <v>#N/A</v>
      </c>
      <c r="R285" s="10" t="e">
        <f t="shared" si="62"/>
        <v>#N/A</v>
      </c>
      <c r="S285" s="7">
        <f t="shared" si="69"/>
        <v>1098.3</v>
      </c>
      <c r="T285" s="7">
        <f t="shared" si="70"/>
        <v>0</v>
      </c>
    </row>
    <row r="286" spans="1:20" x14ac:dyDescent="0.25">
      <c r="A286" s="1">
        <v>41676</v>
      </c>
      <c r="B286">
        <v>1105</v>
      </c>
      <c r="C286">
        <v>1114.45</v>
      </c>
      <c r="D286">
        <v>1092.4000000000001</v>
      </c>
      <c r="E286">
        <v>1109.2</v>
      </c>
      <c r="F286">
        <v>738880</v>
      </c>
      <c r="G286" s="4">
        <f t="shared" si="57"/>
        <v>12.700000000000045</v>
      </c>
      <c r="H286" s="4">
        <f t="shared" si="58"/>
        <v>0</v>
      </c>
      <c r="I286" s="6">
        <f t="shared" si="63"/>
        <v>4.9250000000000034</v>
      </c>
      <c r="J286" s="6">
        <f t="shared" si="64"/>
        <v>10.078571428571422</v>
      </c>
      <c r="K286" s="4">
        <f t="shared" si="65"/>
        <v>0.48866052445074482</v>
      </c>
      <c r="L286">
        <f t="shared" si="66"/>
        <v>32.825517733872928</v>
      </c>
      <c r="M286" s="14" t="str">
        <f t="shared" si="59"/>
        <v/>
      </c>
      <c r="N286" s="7">
        <f t="shared" si="60"/>
        <v>0</v>
      </c>
      <c r="O286" s="7">
        <f t="shared" si="67"/>
        <v>0</v>
      </c>
      <c r="P286" s="7">
        <f t="shared" si="68"/>
        <v>1</v>
      </c>
      <c r="Q286" s="10" t="e">
        <f t="shared" si="61"/>
        <v>#N/A</v>
      </c>
      <c r="R286" s="10" t="e">
        <f t="shared" si="62"/>
        <v>#N/A</v>
      </c>
      <c r="S286" s="7">
        <f t="shared" si="69"/>
        <v>1098.3</v>
      </c>
      <c r="T286" s="7">
        <f t="shared" si="70"/>
        <v>0</v>
      </c>
    </row>
    <row r="287" spans="1:20" x14ac:dyDescent="0.25">
      <c r="A287" s="1">
        <v>41677</v>
      </c>
      <c r="B287">
        <v>1110.25</v>
      </c>
      <c r="C287">
        <v>1132.4000000000001</v>
      </c>
      <c r="D287">
        <v>1082.0999999999999</v>
      </c>
      <c r="E287">
        <v>1089.7</v>
      </c>
      <c r="F287">
        <v>2038464</v>
      </c>
      <c r="G287" s="4">
        <f t="shared" si="57"/>
        <v>0</v>
      </c>
      <c r="H287" s="4">
        <f t="shared" si="58"/>
        <v>19.5</v>
      </c>
      <c r="I287" s="6">
        <f t="shared" si="63"/>
        <v>4.9250000000000034</v>
      </c>
      <c r="J287" s="6">
        <f t="shared" si="64"/>
        <v>9.9107142857142865</v>
      </c>
      <c r="K287" s="4">
        <f t="shared" si="65"/>
        <v>0.49693693693693725</v>
      </c>
      <c r="L287">
        <f t="shared" si="66"/>
        <v>33.196918632643246</v>
      </c>
      <c r="M287" s="14" t="str">
        <f t="shared" si="59"/>
        <v/>
      </c>
      <c r="N287" s="7">
        <f t="shared" si="60"/>
        <v>0</v>
      </c>
      <c r="O287" s="7">
        <f t="shared" si="67"/>
        <v>0</v>
      </c>
      <c r="P287" s="7">
        <f t="shared" si="68"/>
        <v>1</v>
      </c>
      <c r="Q287" s="10" t="e">
        <f t="shared" si="61"/>
        <v>#N/A</v>
      </c>
      <c r="R287" s="10" t="e">
        <f t="shared" si="62"/>
        <v>#N/A</v>
      </c>
      <c r="S287" s="7">
        <f t="shared" si="69"/>
        <v>1098.3</v>
      </c>
      <c r="T287" s="7">
        <f t="shared" si="70"/>
        <v>0</v>
      </c>
    </row>
    <row r="288" spans="1:20" x14ac:dyDescent="0.25">
      <c r="A288" s="1">
        <v>41680</v>
      </c>
      <c r="B288">
        <v>1090</v>
      </c>
      <c r="C288">
        <v>1148</v>
      </c>
      <c r="D288">
        <v>1058.2</v>
      </c>
      <c r="E288">
        <v>1138.5999999999999</v>
      </c>
      <c r="F288">
        <v>2828900</v>
      </c>
      <c r="G288" s="4">
        <f t="shared" si="57"/>
        <v>48.899999999999864</v>
      </c>
      <c r="H288" s="4">
        <f t="shared" si="58"/>
        <v>0</v>
      </c>
      <c r="I288" s="6">
        <f t="shared" si="63"/>
        <v>8.4178571428571356</v>
      </c>
      <c r="J288" s="6">
        <f t="shared" si="64"/>
        <v>9.2428571428571491</v>
      </c>
      <c r="K288" s="4">
        <f t="shared" si="65"/>
        <v>0.91074188562596459</v>
      </c>
      <c r="L288">
        <f t="shared" si="66"/>
        <v>47.664307381193083</v>
      </c>
      <c r="M288" s="14" t="str">
        <f t="shared" si="59"/>
        <v/>
      </c>
      <c r="N288" s="7">
        <f t="shared" si="60"/>
        <v>0</v>
      </c>
      <c r="O288" s="7">
        <f t="shared" si="67"/>
        <v>0</v>
      </c>
      <c r="P288" s="7">
        <f t="shared" si="68"/>
        <v>1</v>
      </c>
      <c r="Q288" s="10" t="e">
        <f t="shared" si="61"/>
        <v>#N/A</v>
      </c>
      <c r="R288" s="10" t="e">
        <f t="shared" si="62"/>
        <v>#N/A</v>
      </c>
      <c r="S288" s="7">
        <f t="shared" si="69"/>
        <v>1098.3</v>
      </c>
      <c r="T288" s="7">
        <f t="shared" si="70"/>
        <v>0</v>
      </c>
    </row>
    <row r="289" spans="1:20" x14ac:dyDescent="0.25">
      <c r="A289" s="1">
        <v>41681</v>
      </c>
      <c r="B289">
        <v>1122.6500000000001</v>
      </c>
      <c r="C289">
        <v>1147.7</v>
      </c>
      <c r="D289">
        <v>1120</v>
      </c>
      <c r="E289">
        <v>1138.75</v>
      </c>
      <c r="F289">
        <v>1652700</v>
      </c>
      <c r="G289" s="4">
        <f t="shared" si="57"/>
        <v>0.15000000000009095</v>
      </c>
      <c r="H289" s="4">
        <f t="shared" si="58"/>
        <v>0</v>
      </c>
      <c r="I289" s="6">
        <f t="shared" si="63"/>
        <v>6.1214285714285745</v>
      </c>
      <c r="J289" s="6">
        <f t="shared" si="64"/>
        <v>9.2428571428571491</v>
      </c>
      <c r="K289" s="4">
        <f t="shared" si="65"/>
        <v>0.66228748068006171</v>
      </c>
      <c r="L289">
        <f t="shared" si="66"/>
        <v>39.841933984193389</v>
      </c>
      <c r="M289" s="14" t="str">
        <f t="shared" si="59"/>
        <v/>
      </c>
      <c r="N289" s="7">
        <f t="shared" si="60"/>
        <v>0</v>
      </c>
      <c r="O289" s="7">
        <f t="shared" si="67"/>
        <v>0</v>
      </c>
      <c r="P289" s="7">
        <f t="shared" si="68"/>
        <v>1</v>
      </c>
      <c r="Q289" s="10" t="e">
        <f t="shared" si="61"/>
        <v>#N/A</v>
      </c>
      <c r="R289" s="10" t="e">
        <f t="shared" si="62"/>
        <v>#N/A</v>
      </c>
      <c r="S289" s="7">
        <f t="shared" si="69"/>
        <v>1098.3</v>
      </c>
      <c r="T289" s="7">
        <f t="shared" si="70"/>
        <v>0</v>
      </c>
    </row>
    <row r="290" spans="1:20" x14ac:dyDescent="0.25">
      <c r="A290" s="1">
        <v>41682</v>
      </c>
      <c r="B290">
        <v>1128.1500000000001</v>
      </c>
      <c r="C290">
        <v>1144.95</v>
      </c>
      <c r="D290">
        <v>1123.0999999999999</v>
      </c>
      <c r="E290">
        <v>1125.55</v>
      </c>
      <c r="F290">
        <v>939672</v>
      </c>
      <c r="G290" s="4">
        <f t="shared" si="57"/>
        <v>0</v>
      </c>
      <c r="H290" s="4">
        <f t="shared" si="58"/>
        <v>13.200000000000045</v>
      </c>
      <c r="I290" s="6">
        <f t="shared" si="63"/>
        <v>6.0321428571428601</v>
      </c>
      <c r="J290" s="6">
        <f t="shared" si="64"/>
        <v>10.185714285714296</v>
      </c>
      <c r="K290" s="4">
        <f t="shared" si="65"/>
        <v>0.5922159887798033</v>
      </c>
      <c r="L290">
        <f t="shared" si="66"/>
        <v>37.194450561550305</v>
      </c>
      <c r="M290" s="14" t="str">
        <f t="shared" si="59"/>
        <v/>
      </c>
      <c r="N290" s="7">
        <f t="shared" si="60"/>
        <v>0</v>
      </c>
      <c r="O290" s="7">
        <f t="shared" si="67"/>
        <v>0</v>
      </c>
      <c r="P290" s="7">
        <f t="shared" si="68"/>
        <v>1</v>
      </c>
      <c r="Q290" s="10" t="e">
        <f t="shared" si="61"/>
        <v>#N/A</v>
      </c>
      <c r="R290" s="10" t="e">
        <f t="shared" si="62"/>
        <v>#N/A</v>
      </c>
      <c r="S290" s="7">
        <f t="shared" si="69"/>
        <v>1098.3</v>
      </c>
      <c r="T290" s="7">
        <f t="shared" si="70"/>
        <v>0</v>
      </c>
    </row>
    <row r="291" spans="1:20" x14ac:dyDescent="0.25">
      <c r="A291" s="1">
        <v>41683</v>
      </c>
      <c r="B291">
        <v>1119</v>
      </c>
      <c r="C291">
        <v>1138.75</v>
      </c>
      <c r="D291">
        <v>1091.3</v>
      </c>
      <c r="E291">
        <v>1111.8</v>
      </c>
      <c r="F291">
        <v>2689415</v>
      </c>
      <c r="G291" s="4">
        <f t="shared" si="57"/>
        <v>0</v>
      </c>
      <c r="H291" s="4">
        <f t="shared" si="58"/>
        <v>13.75</v>
      </c>
      <c r="I291" s="6">
        <f t="shared" si="63"/>
        <v>6.0321428571428601</v>
      </c>
      <c r="J291" s="6">
        <f t="shared" si="64"/>
        <v>8.6750000000000025</v>
      </c>
      <c r="K291" s="4">
        <f t="shared" si="65"/>
        <v>0.69534787978592028</v>
      </c>
      <c r="L291">
        <f t="shared" si="66"/>
        <v>41.015055852355516</v>
      </c>
      <c r="M291" s="14" t="str">
        <f t="shared" si="59"/>
        <v/>
      </c>
      <c r="N291" s="7">
        <f t="shared" si="60"/>
        <v>0</v>
      </c>
      <c r="O291" s="7">
        <f t="shared" si="67"/>
        <v>0</v>
      </c>
      <c r="P291" s="7">
        <f t="shared" si="68"/>
        <v>1</v>
      </c>
      <c r="Q291" s="10" t="e">
        <f t="shared" si="61"/>
        <v>#N/A</v>
      </c>
      <c r="R291" s="10" t="e">
        <f t="shared" si="62"/>
        <v>#N/A</v>
      </c>
      <c r="S291" s="7">
        <f t="shared" si="69"/>
        <v>1098.3</v>
      </c>
      <c r="T291" s="7">
        <f t="shared" si="70"/>
        <v>0</v>
      </c>
    </row>
    <row r="292" spans="1:20" x14ac:dyDescent="0.25">
      <c r="A292" s="1">
        <v>41684</v>
      </c>
      <c r="B292">
        <v>1105.3</v>
      </c>
      <c r="C292">
        <v>1117</v>
      </c>
      <c r="D292">
        <v>1088.25</v>
      </c>
      <c r="E292">
        <v>1110.05</v>
      </c>
      <c r="F292">
        <v>1535237</v>
      </c>
      <c r="G292" s="4">
        <f t="shared" si="57"/>
        <v>0</v>
      </c>
      <c r="H292" s="4">
        <f t="shared" si="58"/>
        <v>1.75</v>
      </c>
      <c r="I292" s="6">
        <f t="shared" si="63"/>
        <v>6.0321428571428601</v>
      </c>
      <c r="J292" s="6">
        <f t="shared" si="64"/>
        <v>7.539285714285727</v>
      </c>
      <c r="K292" s="4">
        <f t="shared" si="65"/>
        <v>0.80009474182851636</v>
      </c>
      <c r="L292">
        <f t="shared" si="66"/>
        <v>44.447368421052609</v>
      </c>
      <c r="M292" s="14" t="str">
        <f t="shared" si="59"/>
        <v/>
      </c>
      <c r="N292" s="7">
        <f t="shared" si="60"/>
        <v>0</v>
      </c>
      <c r="O292" s="7">
        <f t="shared" si="67"/>
        <v>0</v>
      </c>
      <c r="P292" s="7">
        <f t="shared" si="68"/>
        <v>1</v>
      </c>
      <c r="Q292" s="10" t="e">
        <f t="shared" si="61"/>
        <v>#N/A</v>
      </c>
      <c r="R292" s="10" t="e">
        <f t="shared" si="62"/>
        <v>#N/A</v>
      </c>
      <c r="S292" s="7">
        <f t="shared" si="69"/>
        <v>1098.3</v>
      </c>
      <c r="T292" s="7">
        <f t="shared" si="70"/>
        <v>0</v>
      </c>
    </row>
    <row r="293" spans="1:20" x14ac:dyDescent="0.25">
      <c r="A293" s="1">
        <v>41687</v>
      </c>
      <c r="B293">
        <v>1101.2</v>
      </c>
      <c r="C293">
        <v>1148.25</v>
      </c>
      <c r="D293">
        <v>1100</v>
      </c>
      <c r="E293">
        <v>1110.25</v>
      </c>
      <c r="F293">
        <v>1614698</v>
      </c>
      <c r="G293" s="4">
        <f t="shared" si="57"/>
        <v>0.20000000000004547</v>
      </c>
      <c r="H293" s="4">
        <f t="shared" si="58"/>
        <v>0</v>
      </c>
      <c r="I293" s="6">
        <f t="shared" si="63"/>
        <v>6.0464285714285779</v>
      </c>
      <c r="J293" s="6">
        <f t="shared" si="64"/>
        <v>7.1071428571428568</v>
      </c>
      <c r="K293" s="4">
        <f t="shared" si="65"/>
        <v>0.85075376884422205</v>
      </c>
      <c r="L293">
        <f t="shared" si="66"/>
        <v>45.967960901439078</v>
      </c>
      <c r="M293" s="14" t="str">
        <f t="shared" si="59"/>
        <v/>
      </c>
      <c r="N293" s="7">
        <f t="shared" si="60"/>
        <v>0</v>
      </c>
      <c r="O293" s="7">
        <f t="shared" si="67"/>
        <v>0</v>
      </c>
      <c r="P293" s="7">
        <f t="shared" si="68"/>
        <v>1</v>
      </c>
      <c r="Q293" s="10" t="e">
        <f t="shared" si="61"/>
        <v>#N/A</v>
      </c>
      <c r="R293" s="10" t="e">
        <f t="shared" si="62"/>
        <v>#N/A</v>
      </c>
      <c r="S293" s="7">
        <f t="shared" si="69"/>
        <v>1098.3</v>
      </c>
      <c r="T293" s="7">
        <f t="shared" si="70"/>
        <v>0</v>
      </c>
    </row>
    <row r="294" spans="1:20" x14ac:dyDescent="0.25">
      <c r="A294" s="1">
        <v>41688</v>
      </c>
      <c r="B294">
        <v>1113</v>
      </c>
      <c r="C294">
        <v>1132</v>
      </c>
      <c r="D294">
        <v>1097.5999999999999</v>
      </c>
      <c r="E294">
        <v>1124.5</v>
      </c>
      <c r="F294">
        <v>1583902</v>
      </c>
      <c r="G294" s="4">
        <f t="shared" si="57"/>
        <v>14.25</v>
      </c>
      <c r="H294" s="4">
        <f t="shared" si="58"/>
        <v>0</v>
      </c>
      <c r="I294" s="6">
        <f t="shared" si="63"/>
        <v>7.0642857142857212</v>
      </c>
      <c r="J294" s="6">
        <f t="shared" si="64"/>
        <v>5.1928571428571457</v>
      </c>
      <c r="K294" s="4">
        <f t="shared" si="65"/>
        <v>1.3603851444291615</v>
      </c>
      <c r="L294">
        <f t="shared" si="66"/>
        <v>57.634032634032643</v>
      </c>
      <c r="M294" s="14" t="str">
        <f t="shared" si="59"/>
        <v/>
      </c>
      <c r="N294" s="7">
        <f t="shared" si="60"/>
        <v>0</v>
      </c>
      <c r="O294" s="7">
        <f t="shared" si="67"/>
        <v>0</v>
      </c>
      <c r="P294" s="7">
        <f t="shared" si="68"/>
        <v>1</v>
      </c>
      <c r="Q294" s="10" t="e">
        <f t="shared" si="61"/>
        <v>#N/A</v>
      </c>
      <c r="R294" s="10" t="e">
        <f t="shared" si="62"/>
        <v>#N/A</v>
      </c>
      <c r="S294" s="7">
        <f t="shared" si="69"/>
        <v>1098.3</v>
      </c>
      <c r="T294" s="7">
        <f t="shared" si="70"/>
        <v>0</v>
      </c>
    </row>
    <row r="295" spans="1:20" x14ac:dyDescent="0.25">
      <c r="A295" s="1">
        <v>41689</v>
      </c>
      <c r="B295">
        <v>1119.9000000000001</v>
      </c>
      <c r="C295">
        <v>1155</v>
      </c>
      <c r="D295">
        <v>1107</v>
      </c>
      <c r="E295">
        <v>1150.2</v>
      </c>
      <c r="F295">
        <v>1726300</v>
      </c>
      <c r="G295" s="4">
        <f t="shared" si="57"/>
        <v>25.700000000000045</v>
      </c>
      <c r="H295" s="4">
        <f t="shared" si="58"/>
        <v>0</v>
      </c>
      <c r="I295" s="6">
        <f t="shared" si="63"/>
        <v>8.9000000000000092</v>
      </c>
      <c r="J295" s="6">
        <f t="shared" si="64"/>
        <v>4.6535714285714347</v>
      </c>
      <c r="K295" s="4">
        <f t="shared" si="65"/>
        <v>1.9125095932463541</v>
      </c>
      <c r="L295">
        <f t="shared" si="66"/>
        <v>65.665349143610001</v>
      </c>
      <c r="M295" s="14" t="str">
        <f t="shared" si="59"/>
        <v/>
      </c>
      <c r="N295" s="7">
        <f t="shared" si="60"/>
        <v>0</v>
      </c>
      <c r="O295" s="7">
        <f t="shared" si="67"/>
        <v>0</v>
      </c>
      <c r="P295" s="7">
        <f t="shared" si="68"/>
        <v>1</v>
      </c>
      <c r="Q295" s="10" t="e">
        <f t="shared" si="61"/>
        <v>#N/A</v>
      </c>
      <c r="R295" s="10" t="e">
        <f t="shared" si="62"/>
        <v>#N/A</v>
      </c>
      <c r="S295" s="7">
        <f t="shared" si="69"/>
        <v>1098.3</v>
      </c>
      <c r="T295" s="7">
        <f t="shared" si="70"/>
        <v>0</v>
      </c>
    </row>
    <row r="296" spans="1:20" x14ac:dyDescent="0.25">
      <c r="A296" s="1">
        <v>41690</v>
      </c>
      <c r="B296">
        <v>1163.3499999999999</v>
      </c>
      <c r="C296">
        <v>1163.3499999999999</v>
      </c>
      <c r="D296">
        <v>1132.5</v>
      </c>
      <c r="E296">
        <v>1135.55</v>
      </c>
      <c r="F296">
        <v>1030599</v>
      </c>
      <c r="G296" s="4">
        <f t="shared" si="57"/>
        <v>0</v>
      </c>
      <c r="H296" s="4">
        <f t="shared" si="58"/>
        <v>14.650000000000091</v>
      </c>
      <c r="I296" s="6">
        <f t="shared" si="63"/>
        <v>8.9000000000000092</v>
      </c>
      <c r="J296" s="6">
        <f t="shared" si="64"/>
        <v>5.6178571428571491</v>
      </c>
      <c r="K296" s="4">
        <f t="shared" si="65"/>
        <v>1.5842339478703114</v>
      </c>
      <c r="L296">
        <f t="shared" si="66"/>
        <v>61.303813038130379</v>
      </c>
      <c r="M296" s="14" t="str">
        <f t="shared" si="59"/>
        <v/>
      </c>
      <c r="N296" s="7">
        <f t="shared" si="60"/>
        <v>0</v>
      </c>
      <c r="O296" s="7">
        <f t="shared" si="67"/>
        <v>0</v>
      </c>
      <c r="P296" s="7">
        <f t="shared" si="68"/>
        <v>1</v>
      </c>
      <c r="Q296" s="10" t="e">
        <f t="shared" si="61"/>
        <v>#N/A</v>
      </c>
      <c r="R296" s="10" t="e">
        <f t="shared" si="62"/>
        <v>#N/A</v>
      </c>
      <c r="S296" s="7">
        <f t="shared" si="69"/>
        <v>1098.3</v>
      </c>
      <c r="T296" s="7">
        <f t="shared" si="70"/>
        <v>0</v>
      </c>
    </row>
    <row r="297" spans="1:20" x14ac:dyDescent="0.25">
      <c r="A297" s="1">
        <v>41691</v>
      </c>
      <c r="B297">
        <v>1124</v>
      </c>
      <c r="C297">
        <v>1125</v>
      </c>
      <c r="D297">
        <v>1094.45</v>
      </c>
      <c r="E297">
        <v>1108.25</v>
      </c>
      <c r="F297">
        <v>2092294</v>
      </c>
      <c r="G297" s="4">
        <f t="shared" si="57"/>
        <v>0</v>
      </c>
      <c r="H297" s="4">
        <f t="shared" si="58"/>
        <v>27.299999999999955</v>
      </c>
      <c r="I297" s="6">
        <f t="shared" si="63"/>
        <v>7.2785714285714347</v>
      </c>
      <c r="J297" s="6">
        <f t="shared" si="64"/>
        <v>7.5678571428571457</v>
      </c>
      <c r="K297" s="4">
        <f t="shared" si="65"/>
        <v>0.9617744218971217</v>
      </c>
      <c r="L297">
        <f t="shared" si="66"/>
        <v>49.025739716141459</v>
      </c>
      <c r="M297" s="14" t="str">
        <f t="shared" si="59"/>
        <v/>
      </c>
      <c r="N297" s="7">
        <f t="shared" si="60"/>
        <v>0</v>
      </c>
      <c r="O297" s="7">
        <f t="shared" si="67"/>
        <v>0</v>
      </c>
      <c r="P297" s="7">
        <f t="shared" si="68"/>
        <v>1</v>
      </c>
      <c r="Q297" s="10" t="e">
        <f t="shared" si="61"/>
        <v>#N/A</v>
      </c>
      <c r="R297" s="10" t="e">
        <f t="shared" si="62"/>
        <v>#N/A</v>
      </c>
      <c r="S297" s="7">
        <f t="shared" si="69"/>
        <v>1098.3</v>
      </c>
      <c r="T297" s="7">
        <f t="shared" si="70"/>
        <v>0</v>
      </c>
    </row>
    <row r="298" spans="1:20" x14ac:dyDescent="0.25">
      <c r="A298" s="1">
        <v>41694</v>
      </c>
      <c r="B298">
        <v>1105.1500000000001</v>
      </c>
      <c r="C298">
        <v>1128.8</v>
      </c>
      <c r="D298">
        <v>1105.1500000000001</v>
      </c>
      <c r="E298">
        <v>1117.7</v>
      </c>
      <c r="F298">
        <v>1973951</v>
      </c>
      <c r="G298" s="4">
        <f t="shared" si="57"/>
        <v>9.4500000000000455</v>
      </c>
      <c r="H298" s="4">
        <f t="shared" si="58"/>
        <v>0</v>
      </c>
      <c r="I298" s="6">
        <f t="shared" si="63"/>
        <v>7.9535714285714381</v>
      </c>
      <c r="J298" s="6">
        <f t="shared" si="64"/>
        <v>6.5250000000000101</v>
      </c>
      <c r="K298" s="4">
        <f t="shared" si="65"/>
        <v>1.2189381499726324</v>
      </c>
      <c r="L298">
        <f t="shared" si="66"/>
        <v>54.933399111988152</v>
      </c>
      <c r="M298" s="14" t="str">
        <f t="shared" si="59"/>
        <v/>
      </c>
      <c r="N298" s="7">
        <f t="shared" si="60"/>
        <v>0</v>
      </c>
      <c r="O298" s="7">
        <f t="shared" si="67"/>
        <v>0</v>
      </c>
      <c r="P298" s="7">
        <f t="shared" si="68"/>
        <v>1</v>
      </c>
      <c r="Q298" s="10" t="e">
        <f t="shared" si="61"/>
        <v>#N/A</v>
      </c>
      <c r="R298" s="10" t="e">
        <f t="shared" si="62"/>
        <v>#N/A</v>
      </c>
      <c r="S298" s="7">
        <f t="shared" si="69"/>
        <v>1098.3</v>
      </c>
      <c r="T298" s="7">
        <f t="shared" si="70"/>
        <v>0</v>
      </c>
    </row>
    <row r="299" spans="1:20" x14ac:dyDescent="0.25">
      <c r="A299" s="1">
        <v>41695</v>
      </c>
      <c r="B299">
        <v>1122.55</v>
      </c>
      <c r="C299">
        <v>1138</v>
      </c>
      <c r="D299">
        <v>1118.5</v>
      </c>
      <c r="E299">
        <v>1126.7</v>
      </c>
      <c r="F299">
        <v>1212243</v>
      </c>
      <c r="G299" s="4">
        <f t="shared" si="57"/>
        <v>9</v>
      </c>
      <c r="H299" s="4">
        <f t="shared" si="58"/>
        <v>0</v>
      </c>
      <c r="I299" s="6">
        <f t="shared" si="63"/>
        <v>8.5964285714285804</v>
      </c>
      <c r="J299" s="6">
        <f t="shared" si="64"/>
        <v>6.4392857142857212</v>
      </c>
      <c r="K299" s="4">
        <f t="shared" si="65"/>
        <v>1.3349972268441486</v>
      </c>
      <c r="L299">
        <f t="shared" si="66"/>
        <v>57.173396674584318</v>
      </c>
      <c r="M299" s="14" t="str">
        <f t="shared" si="59"/>
        <v/>
      </c>
      <c r="N299" s="7">
        <f t="shared" si="60"/>
        <v>0</v>
      </c>
      <c r="O299" s="7">
        <f t="shared" si="67"/>
        <v>0</v>
      </c>
      <c r="P299" s="7">
        <f t="shared" si="68"/>
        <v>1</v>
      </c>
      <c r="Q299" s="10" t="e">
        <f t="shared" si="61"/>
        <v>#N/A</v>
      </c>
      <c r="R299" s="10" t="e">
        <f t="shared" si="62"/>
        <v>#N/A</v>
      </c>
      <c r="S299" s="7">
        <f t="shared" si="69"/>
        <v>1098.3</v>
      </c>
      <c r="T299" s="7">
        <f t="shared" si="70"/>
        <v>0</v>
      </c>
    </row>
    <row r="300" spans="1:20" x14ac:dyDescent="0.25">
      <c r="A300" s="1">
        <v>41696</v>
      </c>
      <c r="B300">
        <v>1122</v>
      </c>
      <c r="C300">
        <v>1122</v>
      </c>
      <c r="D300">
        <v>1100</v>
      </c>
      <c r="E300">
        <v>1108.55</v>
      </c>
      <c r="F300">
        <v>935662</v>
      </c>
      <c r="G300" s="4">
        <f t="shared" si="57"/>
        <v>0</v>
      </c>
      <c r="H300" s="4">
        <f t="shared" si="58"/>
        <v>18.150000000000091</v>
      </c>
      <c r="I300" s="6">
        <f t="shared" si="63"/>
        <v>7.6892857142857212</v>
      </c>
      <c r="J300" s="6">
        <f t="shared" si="64"/>
        <v>7.7357142857142991</v>
      </c>
      <c r="K300" s="4">
        <f t="shared" si="65"/>
        <v>0.99399815327793084</v>
      </c>
      <c r="L300">
        <f t="shared" si="66"/>
        <v>49.849502199583213</v>
      </c>
      <c r="M300" s="14" t="str">
        <f t="shared" si="59"/>
        <v/>
      </c>
      <c r="N300" s="7">
        <f t="shared" si="60"/>
        <v>0</v>
      </c>
      <c r="O300" s="7">
        <f t="shared" si="67"/>
        <v>0</v>
      </c>
      <c r="P300" s="7">
        <f t="shared" si="68"/>
        <v>1</v>
      </c>
      <c r="Q300" s="10" t="e">
        <f t="shared" si="61"/>
        <v>#N/A</v>
      </c>
      <c r="R300" s="10" t="e">
        <f t="shared" si="62"/>
        <v>#N/A</v>
      </c>
      <c r="S300" s="7">
        <f t="shared" si="69"/>
        <v>1098.3</v>
      </c>
      <c r="T300" s="7">
        <f t="shared" si="70"/>
        <v>0</v>
      </c>
    </row>
    <row r="301" spans="1:20" x14ac:dyDescent="0.25">
      <c r="A301" s="1">
        <v>41697</v>
      </c>
      <c r="B301">
        <v>1100</v>
      </c>
      <c r="C301">
        <v>1102.4000000000001</v>
      </c>
      <c r="D301">
        <v>1063.3</v>
      </c>
      <c r="E301">
        <v>1077.05</v>
      </c>
      <c r="F301">
        <v>2506441</v>
      </c>
      <c r="G301" s="4">
        <f t="shared" si="57"/>
        <v>0</v>
      </c>
      <c r="H301" s="4">
        <f t="shared" si="58"/>
        <v>31.5</v>
      </c>
      <c r="I301" s="6">
        <f t="shared" si="63"/>
        <v>7.6892857142857212</v>
      </c>
      <c r="J301" s="6">
        <f t="shared" si="64"/>
        <v>8.5928571428571558</v>
      </c>
      <c r="K301" s="4">
        <f t="shared" si="65"/>
        <v>0.89484621778886064</v>
      </c>
      <c r="L301">
        <f t="shared" si="66"/>
        <v>47.225268699276135</v>
      </c>
      <c r="M301" s="14" t="str">
        <f t="shared" si="59"/>
        <v/>
      </c>
      <c r="N301" s="7">
        <f t="shared" si="60"/>
        <v>0</v>
      </c>
      <c r="O301" s="7">
        <f t="shared" si="67"/>
        <v>0</v>
      </c>
      <c r="P301" s="7">
        <f t="shared" si="68"/>
        <v>1</v>
      </c>
      <c r="Q301" s="10" t="e">
        <f t="shared" si="61"/>
        <v>#N/A</v>
      </c>
      <c r="R301" s="10" t="e">
        <f t="shared" si="62"/>
        <v>#N/A</v>
      </c>
      <c r="S301" s="7">
        <f t="shared" si="69"/>
        <v>1098.3</v>
      </c>
      <c r="T301" s="7">
        <f t="shared" si="70"/>
        <v>0</v>
      </c>
    </row>
    <row r="302" spans="1:20" x14ac:dyDescent="0.25">
      <c r="A302" s="1">
        <v>41698</v>
      </c>
      <c r="B302">
        <v>1071</v>
      </c>
      <c r="C302">
        <v>1102</v>
      </c>
      <c r="D302">
        <v>1058.4000000000001</v>
      </c>
      <c r="E302">
        <v>1097.55</v>
      </c>
      <c r="F302">
        <v>1624309</v>
      </c>
      <c r="G302" s="4">
        <f t="shared" si="57"/>
        <v>20.5</v>
      </c>
      <c r="H302" s="4">
        <f t="shared" si="58"/>
        <v>0</v>
      </c>
      <c r="I302" s="6">
        <f t="shared" si="63"/>
        <v>5.6607142857143016</v>
      </c>
      <c r="J302" s="6">
        <f t="shared" si="64"/>
        <v>8.5928571428571558</v>
      </c>
      <c r="K302" s="4">
        <f t="shared" si="65"/>
        <v>0.65876974231089025</v>
      </c>
      <c r="L302">
        <f t="shared" si="66"/>
        <v>39.71435730393388</v>
      </c>
      <c r="M302" s="14" t="str">
        <f t="shared" si="59"/>
        <v/>
      </c>
      <c r="N302" s="7">
        <f t="shared" si="60"/>
        <v>0</v>
      </c>
      <c r="O302" s="7">
        <f t="shared" si="67"/>
        <v>0</v>
      </c>
      <c r="P302" s="7">
        <f t="shared" si="68"/>
        <v>1</v>
      </c>
      <c r="Q302" s="10" t="e">
        <f t="shared" si="61"/>
        <v>#N/A</v>
      </c>
      <c r="R302" s="10" t="e">
        <f t="shared" si="62"/>
        <v>#N/A</v>
      </c>
      <c r="S302" s="7">
        <f t="shared" si="69"/>
        <v>1098.3</v>
      </c>
      <c r="T302" s="7">
        <f t="shared" si="70"/>
        <v>0</v>
      </c>
    </row>
    <row r="303" spans="1:20" x14ac:dyDescent="0.25">
      <c r="A303" s="1">
        <v>41701</v>
      </c>
      <c r="B303">
        <v>1075</v>
      </c>
      <c r="C303">
        <v>1095.45</v>
      </c>
      <c r="D303">
        <v>1065.6500000000001</v>
      </c>
      <c r="E303">
        <v>1089.8</v>
      </c>
      <c r="F303">
        <v>1705934</v>
      </c>
      <c r="G303" s="4">
        <f t="shared" si="57"/>
        <v>0</v>
      </c>
      <c r="H303" s="4">
        <f t="shared" si="58"/>
        <v>7.75</v>
      </c>
      <c r="I303" s="6">
        <f t="shared" si="63"/>
        <v>5.6500000000000101</v>
      </c>
      <c r="J303" s="6">
        <f t="shared" si="64"/>
        <v>9.1464285714285847</v>
      </c>
      <c r="K303" s="4">
        <f t="shared" si="65"/>
        <v>0.61772745021476005</v>
      </c>
      <c r="L303">
        <f t="shared" si="66"/>
        <v>38.184890176200831</v>
      </c>
      <c r="M303" s="14" t="str">
        <f t="shared" si="59"/>
        <v/>
      </c>
      <c r="N303" s="7">
        <f t="shared" si="60"/>
        <v>0</v>
      </c>
      <c r="O303" s="7">
        <f t="shared" si="67"/>
        <v>0</v>
      </c>
      <c r="P303" s="7">
        <f t="shared" si="68"/>
        <v>1</v>
      </c>
      <c r="Q303" s="10" t="e">
        <f t="shared" si="61"/>
        <v>#N/A</v>
      </c>
      <c r="R303" s="10" t="e">
        <f t="shared" si="62"/>
        <v>#N/A</v>
      </c>
      <c r="S303" s="7">
        <f t="shared" si="69"/>
        <v>1098.3</v>
      </c>
      <c r="T303" s="7">
        <f t="shared" si="70"/>
        <v>0</v>
      </c>
    </row>
    <row r="304" spans="1:20" x14ac:dyDescent="0.25">
      <c r="A304" s="1">
        <v>41702</v>
      </c>
      <c r="B304">
        <v>1092</v>
      </c>
      <c r="C304">
        <v>1123.45</v>
      </c>
      <c r="D304">
        <v>1091.1500000000001</v>
      </c>
      <c r="E304">
        <v>1114.8499999999999</v>
      </c>
      <c r="F304">
        <v>1338937</v>
      </c>
      <c r="G304" s="4">
        <f t="shared" si="57"/>
        <v>25.049999999999955</v>
      </c>
      <c r="H304" s="4">
        <f t="shared" si="58"/>
        <v>0</v>
      </c>
      <c r="I304" s="6">
        <f t="shared" si="63"/>
        <v>7.4392857142857212</v>
      </c>
      <c r="J304" s="6">
        <f t="shared" si="64"/>
        <v>8.2035714285714381</v>
      </c>
      <c r="K304" s="4">
        <f t="shared" si="65"/>
        <v>0.90683500217675206</v>
      </c>
      <c r="L304">
        <f t="shared" si="66"/>
        <v>47.55707762557077</v>
      </c>
      <c r="M304" s="14" t="str">
        <f t="shared" si="59"/>
        <v/>
      </c>
      <c r="N304" s="7">
        <f t="shared" si="60"/>
        <v>0</v>
      </c>
      <c r="O304" s="7">
        <f t="shared" si="67"/>
        <v>0</v>
      </c>
      <c r="P304" s="7">
        <f t="shared" si="68"/>
        <v>1</v>
      </c>
      <c r="Q304" s="10" t="e">
        <f t="shared" si="61"/>
        <v>#N/A</v>
      </c>
      <c r="R304" s="10" t="e">
        <f t="shared" si="62"/>
        <v>#N/A</v>
      </c>
      <c r="S304" s="7">
        <f t="shared" si="69"/>
        <v>1098.3</v>
      </c>
      <c r="T304" s="7">
        <f t="shared" si="70"/>
        <v>0</v>
      </c>
    </row>
    <row r="305" spans="1:20" x14ac:dyDescent="0.25">
      <c r="A305" s="1">
        <v>41703</v>
      </c>
      <c r="B305">
        <v>1105</v>
      </c>
      <c r="C305">
        <v>1118.9000000000001</v>
      </c>
      <c r="D305">
        <v>1092.6500000000001</v>
      </c>
      <c r="E305">
        <v>1098</v>
      </c>
      <c r="F305">
        <v>1028051</v>
      </c>
      <c r="G305" s="4">
        <f t="shared" si="57"/>
        <v>0</v>
      </c>
      <c r="H305" s="4">
        <f t="shared" si="58"/>
        <v>16.849999999999909</v>
      </c>
      <c r="I305" s="6">
        <f t="shared" si="63"/>
        <v>7.4392857142857212</v>
      </c>
      <c r="J305" s="6">
        <f t="shared" si="64"/>
        <v>8.4250000000000025</v>
      </c>
      <c r="K305" s="4">
        <f t="shared" si="65"/>
        <v>0.88300127172530785</v>
      </c>
      <c r="L305">
        <f t="shared" si="66"/>
        <v>46.893291310220633</v>
      </c>
      <c r="M305" s="14" t="str">
        <f t="shared" si="59"/>
        <v/>
      </c>
      <c r="N305" s="7">
        <f t="shared" si="60"/>
        <v>0</v>
      </c>
      <c r="O305" s="7">
        <f t="shared" si="67"/>
        <v>0</v>
      </c>
      <c r="P305" s="7">
        <f t="shared" si="68"/>
        <v>1</v>
      </c>
      <c r="Q305" s="10" t="e">
        <f t="shared" si="61"/>
        <v>#N/A</v>
      </c>
      <c r="R305" s="10" t="e">
        <f t="shared" si="62"/>
        <v>#N/A</v>
      </c>
      <c r="S305" s="7">
        <f t="shared" si="69"/>
        <v>1098.3</v>
      </c>
      <c r="T305" s="7">
        <f t="shared" si="70"/>
        <v>0</v>
      </c>
    </row>
    <row r="306" spans="1:20" x14ac:dyDescent="0.25">
      <c r="A306" s="1">
        <v>41704</v>
      </c>
      <c r="B306">
        <v>1093.5</v>
      </c>
      <c r="C306">
        <v>1109</v>
      </c>
      <c r="D306">
        <v>1076.0999999999999</v>
      </c>
      <c r="E306">
        <v>1082.75</v>
      </c>
      <c r="F306">
        <v>1105674</v>
      </c>
      <c r="G306" s="4">
        <f t="shared" si="57"/>
        <v>0</v>
      </c>
      <c r="H306" s="4">
        <f t="shared" si="58"/>
        <v>15.25</v>
      </c>
      <c r="I306" s="6">
        <f t="shared" si="63"/>
        <v>7.4392857142857212</v>
      </c>
      <c r="J306" s="6">
        <f t="shared" si="64"/>
        <v>9.3892857142857178</v>
      </c>
      <c r="K306" s="4">
        <f t="shared" si="65"/>
        <v>0.79231647014073836</v>
      </c>
      <c r="L306">
        <f t="shared" si="66"/>
        <v>44.206281833616309</v>
      </c>
      <c r="M306" s="14" t="str">
        <f t="shared" si="59"/>
        <v/>
      </c>
      <c r="N306" s="7">
        <f t="shared" si="60"/>
        <v>0</v>
      </c>
      <c r="O306" s="7">
        <f t="shared" si="67"/>
        <v>0</v>
      </c>
      <c r="P306" s="7">
        <f t="shared" si="68"/>
        <v>1</v>
      </c>
      <c r="Q306" s="10" t="e">
        <f t="shared" si="61"/>
        <v>#N/A</v>
      </c>
      <c r="R306" s="10" t="e">
        <f t="shared" si="62"/>
        <v>#N/A</v>
      </c>
      <c r="S306" s="7">
        <f t="shared" si="69"/>
        <v>1098.3</v>
      </c>
      <c r="T306" s="7">
        <f t="shared" si="70"/>
        <v>0</v>
      </c>
    </row>
    <row r="307" spans="1:20" x14ac:dyDescent="0.25">
      <c r="A307" s="1">
        <v>41705</v>
      </c>
      <c r="B307">
        <v>1091.5</v>
      </c>
      <c r="C307">
        <v>1091.5</v>
      </c>
      <c r="D307">
        <v>1066.5</v>
      </c>
      <c r="E307">
        <v>1070.8</v>
      </c>
      <c r="F307">
        <v>1309545</v>
      </c>
      <c r="G307" s="4">
        <f t="shared" si="57"/>
        <v>0</v>
      </c>
      <c r="H307" s="4">
        <f t="shared" si="58"/>
        <v>11.950000000000045</v>
      </c>
      <c r="I307" s="6">
        <f t="shared" si="63"/>
        <v>7.4250000000000034</v>
      </c>
      <c r="J307" s="6">
        <f t="shared" si="64"/>
        <v>10.242857142857149</v>
      </c>
      <c r="K307" s="4">
        <f t="shared" si="65"/>
        <v>0.72489539748953968</v>
      </c>
      <c r="L307">
        <f t="shared" si="66"/>
        <v>42.025469981807149</v>
      </c>
      <c r="M307" s="14" t="str">
        <f t="shared" si="59"/>
        <v/>
      </c>
      <c r="N307" s="7">
        <f t="shared" si="60"/>
        <v>0</v>
      </c>
      <c r="O307" s="7">
        <f t="shared" si="67"/>
        <v>0</v>
      </c>
      <c r="P307" s="7">
        <f t="shared" si="68"/>
        <v>1</v>
      </c>
      <c r="Q307" s="10" t="e">
        <f t="shared" si="61"/>
        <v>#N/A</v>
      </c>
      <c r="R307" s="10" t="e">
        <f t="shared" si="62"/>
        <v>#N/A</v>
      </c>
      <c r="S307" s="7">
        <f t="shared" si="69"/>
        <v>1098.3</v>
      </c>
      <c r="T307" s="7">
        <f t="shared" si="70"/>
        <v>0</v>
      </c>
    </row>
    <row r="308" spans="1:20" x14ac:dyDescent="0.25">
      <c r="A308" s="1">
        <v>41708</v>
      </c>
      <c r="B308">
        <v>1075.0999999999999</v>
      </c>
      <c r="C308">
        <v>1080</v>
      </c>
      <c r="D308">
        <v>1063</v>
      </c>
      <c r="E308">
        <v>1069.5</v>
      </c>
      <c r="F308">
        <v>1328887</v>
      </c>
      <c r="G308" s="4">
        <f t="shared" si="57"/>
        <v>0</v>
      </c>
      <c r="H308" s="4">
        <f t="shared" si="58"/>
        <v>1.2999999999999545</v>
      </c>
      <c r="I308" s="6">
        <f t="shared" si="63"/>
        <v>6.4071428571428601</v>
      </c>
      <c r="J308" s="6">
        <f t="shared" si="64"/>
        <v>10.335714285714289</v>
      </c>
      <c r="K308" s="4">
        <f t="shared" si="65"/>
        <v>0.61990324809951636</v>
      </c>
      <c r="L308">
        <f t="shared" si="66"/>
        <v>38.267918088737204</v>
      </c>
      <c r="M308" s="14" t="str">
        <f t="shared" si="59"/>
        <v/>
      </c>
      <c r="N308" s="7">
        <f t="shared" si="60"/>
        <v>0</v>
      </c>
      <c r="O308" s="7">
        <f t="shared" si="67"/>
        <v>0</v>
      </c>
      <c r="P308" s="7">
        <f t="shared" si="68"/>
        <v>1</v>
      </c>
      <c r="Q308" s="10" t="e">
        <f t="shared" si="61"/>
        <v>#N/A</v>
      </c>
      <c r="R308" s="10" t="e">
        <f t="shared" si="62"/>
        <v>#N/A</v>
      </c>
      <c r="S308" s="7">
        <f t="shared" si="69"/>
        <v>1098.3</v>
      </c>
      <c r="T308" s="7">
        <f t="shared" si="70"/>
        <v>0</v>
      </c>
    </row>
    <row r="309" spans="1:20" x14ac:dyDescent="0.25">
      <c r="A309" s="1">
        <v>41709</v>
      </c>
      <c r="B309">
        <v>1071</v>
      </c>
      <c r="C309">
        <v>1071</v>
      </c>
      <c r="D309">
        <v>1057.25</v>
      </c>
      <c r="E309">
        <v>1064.3499999999999</v>
      </c>
      <c r="F309">
        <v>2176124</v>
      </c>
      <c r="G309" s="4">
        <f t="shared" si="57"/>
        <v>0</v>
      </c>
      <c r="H309" s="4">
        <f t="shared" si="58"/>
        <v>5.1500000000000909</v>
      </c>
      <c r="I309" s="6">
        <f t="shared" si="63"/>
        <v>4.5714285714285712</v>
      </c>
      <c r="J309" s="6">
        <f t="shared" si="64"/>
        <v>10.703571428571438</v>
      </c>
      <c r="K309" s="4">
        <f t="shared" si="65"/>
        <v>0.42709376042709335</v>
      </c>
      <c r="L309">
        <f t="shared" si="66"/>
        <v>29.927519289221408</v>
      </c>
      <c r="M309" s="14" t="str">
        <f t="shared" si="59"/>
        <v>OVERSOLD</v>
      </c>
      <c r="N309" s="7" t="str">
        <f t="shared" si="60"/>
        <v>BUY</v>
      </c>
      <c r="O309" s="7">
        <f t="shared" si="67"/>
        <v>0</v>
      </c>
      <c r="P309" s="7">
        <f t="shared" si="68"/>
        <v>1</v>
      </c>
      <c r="Q309" s="10" t="e">
        <f t="shared" si="61"/>
        <v>#N/A</v>
      </c>
      <c r="R309" s="10" t="e">
        <f t="shared" si="62"/>
        <v>#N/A</v>
      </c>
      <c r="S309" s="7">
        <f t="shared" si="69"/>
        <v>1098.3</v>
      </c>
      <c r="T309" s="7">
        <f t="shared" si="70"/>
        <v>0</v>
      </c>
    </row>
    <row r="310" spans="1:20" x14ac:dyDescent="0.25">
      <c r="A310" s="1">
        <v>41710</v>
      </c>
      <c r="B310">
        <v>1071</v>
      </c>
      <c r="C310">
        <v>1095.55</v>
      </c>
      <c r="D310">
        <v>1070</v>
      </c>
      <c r="E310">
        <v>1093.4000000000001</v>
      </c>
      <c r="F310">
        <v>1547417</v>
      </c>
      <c r="G310" s="4">
        <f t="shared" si="57"/>
        <v>29.050000000000182</v>
      </c>
      <c r="H310" s="4">
        <f t="shared" si="58"/>
        <v>0</v>
      </c>
      <c r="I310" s="6">
        <f t="shared" si="63"/>
        <v>6.6464285714285847</v>
      </c>
      <c r="J310" s="6">
        <f t="shared" si="64"/>
        <v>9.6571428571428601</v>
      </c>
      <c r="K310" s="4">
        <f t="shared" si="65"/>
        <v>0.68823964497041534</v>
      </c>
      <c r="L310">
        <f t="shared" si="66"/>
        <v>40.766703176341771</v>
      </c>
      <c r="M310" s="14" t="str">
        <f t="shared" si="59"/>
        <v/>
      </c>
      <c r="N310" s="7">
        <f t="shared" si="60"/>
        <v>0</v>
      </c>
      <c r="O310" s="7">
        <f t="shared" si="67"/>
        <v>0</v>
      </c>
      <c r="P310" s="7">
        <f t="shared" si="68"/>
        <v>1</v>
      </c>
      <c r="Q310" s="10" t="e">
        <f t="shared" si="61"/>
        <v>#N/A</v>
      </c>
      <c r="R310" s="10" t="e">
        <f t="shared" si="62"/>
        <v>#N/A</v>
      </c>
      <c r="S310" s="7">
        <f t="shared" si="69"/>
        <v>1098.3</v>
      </c>
      <c r="T310" s="7">
        <f t="shared" si="70"/>
        <v>0</v>
      </c>
    </row>
    <row r="311" spans="1:20" x14ac:dyDescent="0.25">
      <c r="A311" s="1">
        <v>41711</v>
      </c>
      <c r="B311">
        <v>1116.8499999999999</v>
      </c>
      <c r="C311">
        <v>1128.5</v>
      </c>
      <c r="D311">
        <v>1103.75</v>
      </c>
      <c r="E311">
        <v>1119.6500000000001</v>
      </c>
      <c r="F311">
        <v>2073217</v>
      </c>
      <c r="G311" s="4">
        <f t="shared" si="57"/>
        <v>26.25</v>
      </c>
      <c r="H311" s="4">
        <f t="shared" si="58"/>
        <v>0</v>
      </c>
      <c r="I311" s="6">
        <f t="shared" si="63"/>
        <v>8.5214285714285847</v>
      </c>
      <c r="J311" s="6">
        <f t="shared" si="64"/>
        <v>7.7071428571428635</v>
      </c>
      <c r="K311" s="4">
        <f t="shared" si="65"/>
        <v>1.1056533827618173</v>
      </c>
      <c r="L311">
        <f t="shared" si="66"/>
        <v>52.508802816901422</v>
      </c>
      <c r="M311" s="14" t="str">
        <f t="shared" si="59"/>
        <v/>
      </c>
      <c r="N311" s="7">
        <f t="shared" si="60"/>
        <v>0</v>
      </c>
      <c r="O311" s="7">
        <f t="shared" si="67"/>
        <v>0</v>
      </c>
      <c r="P311" s="7">
        <f t="shared" si="68"/>
        <v>1</v>
      </c>
      <c r="Q311" s="10" t="e">
        <f t="shared" si="61"/>
        <v>#N/A</v>
      </c>
      <c r="R311" s="10" t="e">
        <f t="shared" si="62"/>
        <v>#N/A</v>
      </c>
      <c r="S311" s="7">
        <f t="shared" si="69"/>
        <v>1098.3</v>
      </c>
      <c r="T311" s="7">
        <f t="shared" si="70"/>
        <v>0</v>
      </c>
    </row>
    <row r="312" spans="1:20" x14ac:dyDescent="0.25">
      <c r="A312" s="1">
        <v>41712</v>
      </c>
      <c r="B312">
        <v>1123.8499999999999</v>
      </c>
      <c r="C312">
        <v>1126.7</v>
      </c>
      <c r="D312">
        <v>1108</v>
      </c>
      <c r="E312">
        <v>1119.9000000000001</v>
      </c>
      <c r="F312">
        <v>1124321</v>
      </c>
      <c r="G312" s="4">
        <f t="shared" si="57"/>
        <v>0.25</v>
      </c>
      <c r="H312" s="4">
        <f t="shared" si="58"/>
        <v>0</v>
      </c>
      <c r="I312" s="6">
        <f t="shared" si="63"/>
        <v>7.8642857142857236</v>
      </c>
      <c r="J312" s="6">
        <f t="shared" si="64"/>
        <v>7.7071428571428635</v>
      </c>
      <c r="K312" s="4">
        <f t="shared" si="65"/>
        <v>1.0203892493049123</v>
      </c>
      <c r="L312">
        <f t="shared" si="66"/>
        <v>50.504587155963314</v>
      </c>
      <c r="M312" s="14" t="str">
        <f t="shared" si="59"/>
        <v/>
      </c>
      <c r="N312" s="7">
        <f t="shared" si="60"/>
        <v>0</v>
      </c>
      <c r="O312" s="7">
        <f t="shared" si="67"/>
        <v>0</v>
      </c>
      <c r="P312" s="7">
        <f t="shared" si="68"/>
        <v>1</v>
      </c>
      <c r="Q312" s="10" t="e">
        <f t="shared" si="61"/>
        <v>#N/A</v>
      </c>
      <c r="R312" s="10" t="e">
        <f t="shared" si="62"/>
        <v>#N/A</v>
      </c>
      <c r="S312" s="7">
        <f t="shared" si="69"/>
        <v>1098.3</v>
      </c>
      <c r="T312" s="7">
        <f t="shared" si="70"/>
        <v>0</v>
      </c>
    </row>
    <row r="313" spans="1:20" x14ac:dyDescent="0.25">
      <c r="A313" s="1">
        <v>41715</v>
      </c>
      <c r="B313">
        <v>1120</v>
      </c>
      <c r="C313">
        <v>1151.9000000000001</v>
      </c>
      <c r="D313">
        <v>1119.1500000000001</v>
      </c>
      <c r="E313">
        <v>1138.7</v>
      </c>
      <c r="F313">
        <v>1579794</v>
      </c>
      <c r="G313" s="4">
        <f t="shared" si="57"/>
        <v>18.799999999999955</v>
      </c>
      <c r="H313" s="4">
        <f t="shared" si="58"/>
        <v>0</v>
      </c>
      <c r="I313" s="6">
        <f t="shared" si="63"/>
        <v>8.5642857142857203</v>
      </c>
      <c r="J313" s="6">
        <f t="shared" si="64"/>
        <v>7.7071428571428635</v>
      </c>
      <c r="K313" s="4">
        <f t="shared" si="65"/>
        <v>1.1112140871177014</v>
      </c>
      <c r="L313">
        <f t="shared" si="66"/>
        <v>52.633889376646181</v>
      </c>
      <c r="M313" s="14" t="str">
        <f t="shared" si="59"/>
        <v/>
      </c>
      <c r="N313" s="7">
        <f t="shared" si="60"/>
        <v>0</v>
      </c>
      <c r="O313" s="7">
        <f t="shared" si="67"/>
        <v>0</v>
      </c>
      <c r="P313" s="7">
        <f t="shared" si="68"/>
        <v>1</v>
      </c>
      <c r="Q313" s="10" t="e">
        <f t="shared" si="61"/>
        <v>#N/A</v>
      </c>
      <c r="R313" s="10" t="e">
        <f t="shared" si="62"/>
        <v>#N/A</v>
      </c>
      <c r="S313" s="7">
        <f t="shared" si="69"/>
        <v>1098.3</v>
      </c>
      <c r="T313" s="7">
        <f t="shared" si="70"/>
        <v>0</v>
      </c>
    </row>
    <row r="314" spans="1:20" x14ac:dyDescent="0.25">
      <c r="A314" s="1">
        <v>41716</v>
      </c>
      <c r="B314">
        <v>1148</v>
      </c>
      <c r="C314">
        <v>1164</v>
      </c>
      <c r="D314">
        <v>1144.9000000000001</v>
      </c>
      <c r="E314">
        <v>1151.95</v>
      </c>
      <c r="F314">
        <v>1147385</v>
      </c>
      <c r="G314" s="4">
        <f t="shared" si="57"/>
        <v>13.25</v>
      </c>
      <c r="H314" s="4">
        <f t="shared" si="58"/>
        <v>0</v>
      </c>
      <c r="I314" s="6">
        <f t="shared" si="63"/>
        <v>9.5107142857142914</v>
      </c>
      <c r="J314" s="6">
        <f t="shared" si="64"/>
        <v>6.4107142857142856</v>
      </c>
      <c r="K314" s="4">
        <f t="shared" si="65"/>
        <v>1.4835654596100287</v>
      </c>
      <c r="L314">
        <f t="shared" si="66"/>
        <v>59.735307312696293</v>
      </c>
      <c r="M314" s="14" t="str">
        <f t="shared" si="59"/>
        <v/>
      </c>
      <c r="N314" s="7">
        <f t="shared" si="60"/>
        <v>0</v>
      </c>
      <c r="O314" s="7">
        <f t="shared" si="67"/>
        <v>0</v>
      </c>
      <c r="P314" s="7">
        <f t="shared" si="68"/>
        <v>1</v>
      </c>
      <c r="Q314" s="10" t="e">
        <f t="shared" si="61"/>
        <v>#N/A</v>
      </c>
      <c r="R314" s="10" t="e">
        <f t="shared" si="62"/>
        <v>#N/A</v>
      </c>
      <c r="S314" s="7">
        <f t="shared" si="69"/>
        <v>1098.3</v>
      </c>
      <c r="T314" s="7">
        <f t="shared" si="70"/>
        <v>0</v>
      </c>
    </row>
    <row r="315" spans="1:20" x14ac:dyDescent="0.25">
      <c r="A315" s="1">
        <v>41717</v>
      </c>
      <c r="B315">
        <v>1152</v>
      </c>
      <c r="C315">
        <v>1198</v>
      </c>
      <c r="D315">
        <v>1152</v>
      </c>
      <c r="E315">
        <v>1183.9000000000001</v>
      </c>
      <c r="F315">
        <v>3697063</v>
      </c>
      <c r="G315" s="4">
        <f t="shared" si="57"/>
        <v>31.950000000000045</v>
      </c>
      <c r="H315" s="4">
        <f t="shared" si="58"/>
        <v>0</v>
      </c>
      <c r="I315" s="6">
        <f t="shared" si="63"/>
        <v>11.792857142857153</v>
      </c>
      <c r="J315" s="6">
        <f t="shared" si="64"/>
        <v>4.1607142857142856</v>
      </c>
      <c r="K315" s="4">
        <f t="shared" si="65"/>
        <v>2.8343347639485006</v>
      </c>
      <c r="L315">
        <f t="shared" si="66"/>
        <v>73.919856727109931</v>
      </c>
      <c r="M315" s="14" t="str">
        <f t="shared" si="59"/>
        <v>OVERBOUGHT</v>
      </c>
      <c r="N315" s="7" t="str">
        <f t="shared" si="60"/>
        <v>SELL</v>
      </c>
      <c r="O315" s="7" t="str">
        <f t="shared" si="67"/>
        <v>SELL</v>
      </c>
      <c r="P315" s="7">
        <f t="shared" si="68"/>
        <v>-1</v>
      </c>
      <c r="Q315" s="10" t="e">
        <f t="shared" si="61"/>
        <v>#N/A</v>
      </c>
      <c r="R315" s="10">
        <f t="shared" si="62"/>
        <v>1183.9000000000001</v>
      </c>
      <c r="S315" s="7">
        <f t="shared" si="69"/>
        <v>1183.9000000000001</v>
      </c>
      <c r="T315" s="7">
        <f t="shared" si="70"/>
        <v>7.7938632431940394E-2</v>
      </c>
    </row>
    <row r="316" spans="1:20" x14ac:dyDescent="0.25">
      <c r="A316" s="1">
        <v>41718</v>
      </c>
      <c r="B316">
        <v>1185</v>
      </c>
      <c r="C316">
        <v>1198.75</v>
      </c>
      <c r="D316">
        <v>1172.55</v>
      </c>
      <c r="E316">
        <v>1180.1500000000001</v>
      </c>
      <c r="F316">
        <v>899812</v>
      </c>
      <c r="G316" s="4">
        <f t="shared" si="57"/>
        <v>0</v>
      </c>
      <c r="H316" s="4">
        <f t="shared" si="58"/>
        <v>3.75</v>
      </c>
      <c r="I316" s="6">
        <f t="shared" si="63"/>
        <v>10.328571428571438</v>
      </c>
      <c r="J316" s="6">
        <f t="shared" si="64"/>
        <v>4.4285714285714288</v>
      </c>
      <c r="K316" s="4">
        <f t="shared" si="65"/>
        <v>2.332258064516131</v>
      </c>
      <c r="L316">
        <f t="shared" si="66"/>
        <v>69.990319457889655</v>
      </c>
      <c r="M316" s="14" t="str">
        <f t="shared" si="59"/>
        <v/>
      </c>
      <c r="N316" s="7">
        <f t="shared" si="60"/>
        <v>0</v>
      </c>
      <c r="O316" s="7">
        <f t="shared" si="67"/>
        <v>0</v>
      </c>
      <c r="P316" s="7">
        <f t="shared" si="68"/>
        <v>-1</v>
      </c>
      <c r="Q316" s="10" t="e">
        <f t="shared" si="61"/>
        <v>#N/A</v>
      </c>
      <c r="R316" s="10" t="e">
        <f t="shared" si="62"/>
        <v>#N/A</v>
      </c>
      <c r="S316" s="7">
        <f t="shared" si="69"/>
        <v>1183.9000000000001</v>
      </c>
      <c r="T316" s="7">
        <f t="shared" si="70"/>
        <v>0</v>
      </c>
    </row>
    <row r="317" spans="1:20" x14ac:dyDescent="0.25">
      <c r="A317" s="1">
        <v>41719</v>
      </c>
      <c r="B317">
        <v>1185</v>
      </c>
      <c r="C317">
        <v>1216</v>
      </c>
      <c r="D317">
        <v>1184</v>
      </c>
      <c r="E317">
        <v>1213.2</v>
      </c>
      <c r="F317">
        <v>1155808</v>
      </c>
      <c r="G317" s="4">
        <f t="shared" si="57"/>
        <v>33.049999999999955</v>
      </c>
      <c r="H317" s="4">
        <f t="shared" si="58"/>
        <v>0</v>
      </c>
      <c r="I317" s="6">
        <f t="shared" si="63"/>
        <v>12.68928571428572</v>
      </c>
      <c r="J317" s="6">
        <f t="shared" si="64"/>
        <v>3.875</v>
      </c>
      <c r="K317" s="4">
        <f t="shared" si="65"/>
        <v>3.2746543778801858</v>
      </c>
      <c r="L317">
        <f t="shared" si="66"/>
        <v>76.606295817162575</v>
      </c>
      <c r="M317" s="14" t="str">
        <f t="shared" si="59"/>
        <v>OVERBOUGHT</v>
      </c>
      <c r="N317" s="7" t="str">
        <f t="shared" si="60"/>
        <v>SELL</v>
      </c>
      <c r="O317" s="7">
        <f t="shared" si="67"/>
        <v>0</v>
      </c>
      <c r="P317" s="7">
        <f t="shared" si="68"/>
        <v>-1</v>
      </c>
      <c r="Q317" s="10" t="e">
        <f t="shared" si="61"/>
        <v>#N/A</v>
      </c>
      <c r="R317" s="10" t="e">
        <f t="shared" si="62"/>
        <v>#N/A</v>
      </c>
      <c r="S317" s="7">
        <f t="shared" si="69"/>
        <v>1183.9000000000001</v>
      </c>
      <c r="T317" s="7">
        <f t="shared" si="70"/>
        <v>0</v>
      </c>
    </row>
    <row r="318" spans="1:20" x14ac:dyDescent="0.25">
      <c r="A318" s="1">
        <v>41722</v>
      </c>
      <c r="B318">
        <v>1215.05</v>
      </c>
      <c r="C318">
        <v>1243.95</v>
      </c>
      <c r="D318">
        <v>1203.75</v>
      </c>
      <c r="E318">
        <v>1239.8499999999999</v>
      </c>
      <c r="F318">
        <v>1445507</v>
      </c>
      <c r="G318" s="4">
        <f t="shared" si="57"/>
        <v>26.649999999999864</v>
      </c>
      <c r="H318" s="4">
        <f t="shared" si="58"/>
        <v>0</v>
      </c>
      <c r="I318" s="6">
        <f t="shared" si="63"/>
        <v>12.803571428571429</v>
      </c>
      <c r="J318" s="6">
        <f t="shared" si="64"/>
        <v>3.875</v>
      </c>
      <c r="K318" s="4">
        <f t="shared" si="65"/>
        <v>3.3041474654377883</v>
      </c>
      <c r="L318">
        <f t="shared" si="66"/>
        <v>76.766595289079234</v>
      </c>
      <c r="M318" s="14" t="str">
        <f t="shared" si="59"/>
        <v>OVERBOUGHT</v>
      </c>
      <c r="N318" s="7" t="str">
        <f t="shared" si="60"/>
        <v>SELL</v>
      </c>
      <c r="O318" s="7">
        <f t="shared" si="67"/>
        <v>0</v>
      </c>
      <c r="P318" s="7">
        <f t="shared" si="68"/>
        <v>-1</v>
      </c>
      <c r="Q318" s="10" t="e">
        <f t="shared" si="61"/>
        <v>#N/A</v>
      </c>
      <c r="R318" s="10" t="e">
        <f t="shared" si="62"/>
        <v>#N/A</v>
      </c>
      <c r="S318" s="7">
        <f t="shared" si="69"/>
        <v>1183.9000000000001</v>
      </c>
      <c r="T318" s="7">
        <f t="shared" si="70"/>
        <v>0</v>
      </c>
    </row>
    <row r="319" spans="1:20" x14ac:dyDescent="0.25">
      <c r="A319" s="1">
        <v>41723</v>
      </c>
      <c r="B319">
        <v>1239</v>
      </c>
      <c r="C319">
        <v>1246.95</v>
      </c>
      <c r="D319">
        <v>1214.1500000000001</v>
      </c>
      <c r="E319">
        <v>1221.8499999999999</v>
      </c>
      <c r="F319">
        <v>1211176</v>
      </c>
      <c r="G319" s="4">
        <f t="shared" si="57"/>
        <v>0</v>
      </c>
      <c r="H319" s="4">
        <f t="shared" si="58"/>
        <v>18</v>
      </c>
      <c r="I319" s="6">
        <f t="shared" si="63"/>
        <v>12.803571428571429</v>
      </c>
      <c r="J319" s="6">
        <f t="shared" si="64"/>
        <v>3.9571428571428635</v>
      </c>
      <c r="K319" s="4">
        <f t="shared" si="65"/>
        <v>3.2355595667869985</v>
      </c>
      <c r="L319">
        <f t="shared" si="66"/>
        <v>76.39036863413591</v>
      </c>
      <c r="M319" s="14" t="str">
        <f t="shared" si="59"/>
        <v>OVERBOUGHT</v>
      </c>
      <c r="N319" s="7" t="str">
        <f t="shared" si="60"/>
        <v>SELL</v>
      </c>
      <c r="O319" s="7">
        <f t="shared" si="67"/>
        <v>0</v>
      </c>
      <c r="P319" s="7">
        <f t="shared" si="68"/>
        <v>-1</v>
      </c>
      <c r="Q319" s="10" t="e">
        <f t="shared" si="61"/>
        <v>#N/A</v>
      </c>
      <c r="R319" s="10" t="e">
        <f t="shared" si="62"/>
        <v>#N/A</v>
      </c>
      <c r="S319" s="7">
        <f t="shared" si="69"/>
        <v>1183.9000000000001</v>
      </c>
      <c r="T319" s="7">
        <f t="shared" si="70"/>
        <v>0</v>
      </c>
    </row>
    <row r="320" spans="1:20" x14ac:dyDescent="0.25">
      <c r="A320" s="1">
        <v>41724</v>
      </c>
      <c r="B320">
        <v>1220</v>
      </c>
      <c r="C320">
        <v>1220</v>
      </c>
      <c r="D320">
        <v>1195.1500000000001</v>
      </c>
      <c r="E320">
        <v>1199.2</v>
      </c>
      <c r="F320">
        <v>1074508</v>
      </c>
      <c r="G320" s="4">
        <f t="shared" si="57"/>
        <v>0</v>
      </c>
      <c r="H320" s="4">
        <f t="shared" si="58"/>
        <v>22.649999999999864</v>
      </c>
      <c r="I320" s="6">
        <f t="shared" si="63"/>
        <v>12.803571428571429</v>
      </c>
      <c r="J320" s="6">
        <f t="shared" si="64"/>
        <v>4.4857142857142822</v>
      </c>
      <c r="K320" s="4">
        <f t="shared" si="65"/>
        <v>2.854299363057327</v>
      </c>
      <c r="L320">
        <f t="shared" si="66"/>
        <v>74.054947324932883</v>
      </c>
      <c r="M320" s="14" t="str">
        <f t="shared" si="59"/>
        <v>OVERBOUGHT</v>
      </c>
      <c r="N320" s="7" t="str">
        <f t="shared" si="60"/>
        <v>SELL</v>
      </c>
      <c r="O320" s="7">
        <f t="shared" si="67"/>
        <v>0</v>
      </c>
      <c r="P320" s="7">
        <f t="shared" si="68"/>
        <v>-1</v>
      </c>
      <c r="Q320" s="10" t="e">
        <f t="shared" si="61"/>
        <v>#N/A</v>
      </c>
      <c r="R320" s="10" t="e">
        <f t="shared" si="62"/>
        <v>#N/A</v>
      </c>
      <c r="S320" s="7">
        <f t="shared" si="69"/>
        <v>1183.9000000000001</v>
      </c>
      <c r="T320" s="7">
        <f t="shared" si="70"/>
        <v>0</v>
      </c>
    </row>
    <row r="321" spans="1:20" x14ac:dyDescent="0.25">
      <c r="A321" s="1">
        <v>41725</v>
      </c>
      <c r="B321">
        <v>1196.9000000000001</v>
      </c>
      <c r="C321">
        <v>1214</v>
      </c>
      <c r="D321">
        <v>1184.75</v>
      </c>
      <c r="E321">
        <v>1196</v>
      </c>
      <c r="F321">
        <v>991884</v>
      </c>
      <c r="G321" s="4">
        <f t="shared" si="57"/>
        <v>0</v>
      </c>
      <c r="H321" s="4">
        <f t="shared" si="58"/>
        <v>3.2000000000000455</v>
      </c>
      <c r="I321" s="6">
        <f t="shared" si="63"/>
        <v>12.803571428571429</v>
      </c>
      <c r="J321" s="6">
        <f t="shared" si="64"/>
        <v>3.8607142857142827</v>
      </c>
      <c r="K321" s="4">
        <f t="shared" si="65"/>
        <v>3.3163737280296051</v>
      </c>
      <c r="L321">
        <f t="shared" si="66"/>
        <v>76.832404629232769</v>
      </c>
      <c r="M321" s="14" t="str">
        <f t="shared" si="59"/>
        <v>OVERBOUGHT</v>
      </c>
      <c r="N321" s="7" t="str">
        <f t="shared" si="60"/>
        <v>SELL</v>
      </c>
      <c r="O321" s="7">
        <f t="shared" si="67"/>
        <v>0</v>
      </c>
      <c r="P321" s="7">
        <f t="shared" si="68"/>
        <v>-1</v>
      </c>
      <c r="Q321" s="10" t="e">
        <f t="shared" si="61"/>
        <v>#N/A</v>
      </c>
      <c r="R321" s="10" t="e">
        <f t="shared" si="62"/>
        <v>#N/A</v>
      </c>
      <c r="S321" s="7">
        <f t="shared" si="69"/>
        <v>1183.9000000000001</v>
      </c>
      <c r="T321" s="7">
        <f t="shared" si="70"/>
        <v>0</v>
      </c>
    </row>
    <row r="322" spans="1:20" x14ac:dyDescent="0.25">
      <c r="A322" s="1">
        <v>41726</v>
      </c>
      <c r="B322">
        <v>1180.1500000000001</v>
      </c>
      <c r="C322">
        <v>1195</v>
      </c>
      <c r="D322">
        <v>1175.3</v>
      </c>
      <c r="E322">
        <v>1178.4000000000001</v>
      </c>
      <c r="F322">
        <v>1128116</v>
      </c>
      <c r="G322" s="4">
        <f t="shared" si="57"/>
        <v>0</v>
      </c>
      <c r="H322" s="4">
        <f t="shared" si="58"/>
        <v>17.599999999999909</v>
      </c>
      <c r="I322" s="6">
        <f t="shared" si="63"/>
        <v>12.803571428571429</v>
      </c>
      <c r="J322" s="6">
        <f t="shared" si="64"/>
        <v>5.0249999999999932</v>
      </c>
      <c r="K322" s="4">
        <f t="shared" si="65"/>
        <v>2.5479744136460587</v>
      </c>
      <c r="L322">
        <f t="shared" si="66"/>
        <v>71.814903846153868</v>
      </c>
      <c r="M322" s="14" t="str">
        <f t="shared" si="59"/>
        <v>OVERBOUGHT</v>
      </c>
      <c r="N322" s="7" t="str">
        <f t="shared" si="60"/>
        <v>SELL</v>
      </c>
      <c r="O322" s="7">
        <f t="shared" si="67"/>
        <v>0</v>
      </c>
      <c r="P322" s="7">
        <f t="shared" si="68"/>
        <v>-1</v>
      </c>
      <c r="Q322" s="10" t="e">
        <f t="shared" si="61"/>
        <v>#N/A</v>
      </c>
      <c r="R322" s="10" t="e">
        <f t="shared" si="62"/>
        <v>#N/A</v>
      </c>
      <c r="S322" s="7">
        <f t="shared" si="69"/>
        <v>1183.9000000000001</v>
      </c>
      <c r="T322" s="7">
        <f t="shared" si="70"/>
        <v>0</v>
      </c>
    </row>
    <row r="323" spans="1:20" x14ac:dyDescent="0.25">
      <c r="A323" s="1">
        <v>41729</v>
      </c>
      <c r="B323">
        <v>1175</v>
      </c>
      <c r="C323">
        <v>1221.4000000000001</v>
      </c>
      <c r="D323">
        <v>1174.3</v>
      </c>
      <c r="E323">
        <v>1210.0999999999999</v>
      </c>
      <c r="F323">
        <v>1878765</v>
      </c>
      <c r="G323" s="4">
        <f t="shared" si="57"/>
        <v>31.699999999999818</v>
      </c>
      <c r="H323" s="4">
        <f t="shared" si="58"/>
        <v>0</v>
      </c>
      <c r="I323" s="6">
        <f t="shared" si="63"/>
        <v>15.067857142857131</v>
      </c>
      <c r="J323" s="6">
        <f t="shared" si="64"/>
        <v>4.6571428571428442</v>
      </c>
      <c r="K323" s="4">
        <f t="shared" si="65"/>
        <v>3.2354294478527672</v>
      </c>
      <c r="L323">
        <f t="shared" si="66"/>
        <v>76.389643309795446</v>
      </c>
      <c r="M323" s="14" t="str">
        <f t="shared" si="59"/>
        <v>OVERBOUGHT</v>
      </c>
      <c r="N323" s="7" t="str">
        <f t="shared" si="60"/>
        <v>SELL</v>
      </c>
      <c r="O323" s="7">
        <f t="shared" si="67"/>
        <v>0</v>
      </c>
      <c r="P323" s="7">
        <f t="shared" si="68"/>
        <v>-1</v>
      </c>
      <c r="Q323" s="10" t="e">
        <f t="shared" si="61"/>
        <v>#N/A</v>
      </c>
      <c r="R323" s="10" t="e">
        <f t="shared" si="62"/>
        <v>#N/A</v>
      </c>
      <c r="S323" s="7">
        <f t="shared" si="69"/>
        <v>1183.9000000000001</v>
      </c>
      <c r="T323" s="7">
        <f t="shared" si="70"/>
        <v>0</v>
      </c>
    </row>
    <row r="324" spans="1:20" x14ac:dyDescent="0.25">
      <c r="A324" s="1">
        <v>41730</v>
      </c>
      <c r="B324">
        <v>1216.9000000000001</v>
      </c>
      <c r="C324">
        <v>1219.9000000000001</v>
      </c>
      <c r="D324">
        <v>1180</v>
      </c>
      <c r="E324">
        <v>1191.4000000000001</v>
      </c>
      <c r="F324">
        <v>3783385</v>
      </c>
      <c r="G324" s="4">
        <f t="shared" ref="G324:G387" si="71">IF(E324&gt;E323,E324-E323,0)</f>
        <v>0</v>
      </c>
      <c r="H324" s="4">
        <f t="shared" ref="H324:H387" si="72">IF(E324&lt;E323,E323-E324,0)</f>
        <v>18.699999999999818</v>
      </c>
      <c r="I324" s="6">
        <f t="shared" si="63"/>
        <v>12.992857142857117</v>
      </c>
      <c r="J324" s="6">
        <f t="shared" si="64"/>
        <v>5.9928571428571171</v>
      </c>
      <c r="K324" s="4">
        <f t="shared" si="65"/>
        <v>2.1680572109654399</v>
      </c>
      <c r="L324">
        <f t="shared" si="66"/>
        <v>68.434913468773559</v>
      </c>
      <c r="M324" s="14" t="str">
        <f t="shared" si="59"/>
        <v/>
      </c>
      <c r="N324" s="7">
        <f t="shared" si="60"/>
        <v>0</v>
      </c>
      <c r="O324" s="7">
        <f t="shared" si="67"/>
        <v>0</v>
      </c>
      <c r="P324" s="7">
        <f t="shared" si="68"/>
        <v>-1</v>
      </c>
      <c r="Q324" s="10" t="e">
        <f t="shared" si="61"/>
        <v>#N/A</v>
      </c>
      <c r="R324" s="10" t="e">
        <f t="shared" si="62"/>
        <v>#N/A</v>
      </c>
      <c r="S324" s="7">
        <f t="shared" si="69"/>
        <v>1183.9000000000001</v>
      </c>
      <c r="T324" s="7">
        <f t="shared" si="70"/>
        <v>0</v>
      </c>
    </row>
    <row r="325" spans="1:20" x14ac:dyDescent="0.25">
      <c r="A325" s="1">
        <v>41731</v>
      </c>
      <c r="B325">
        <v>1198</v>
      </c>
      <c r="C325">
        <v>1212.5</v>
      </c>
      <c r="D325">
        <v>1140.05</v>
      </c>
      <c r="E325">
        <v>1144.5999999999999</v>
      </c>
      <c r="F325">
        <v>3882727</v>
      </c>
      <c r="G325" s="4">
        <f t="shared" si="71"/>
        <v>0</v>
      </c>
      <c r="H325" s="4">
        <f t="shared" si="72"/>
        <v>46.800000000000182</v>
      </c>
      <c r="I325" s="6">
        <f t="shared" si="63"/>
        <v>11.117857142857117</v>
      </c>
      <c r="J325" s="6">
        <f t="shared" si="64"/>
        <v>9.335714285714273</v>
      </c>
      <c r="K325" s="4">
        <f t="shared" si="65"/>
        <v>1.1908951798010701</v>
      </c>
      <c r="L325">
        <f t="shared" si="66"/>
        <v>54.356556661428307</v>
      </c>
      <c r="M325" s="14" t="str">
        <f t="shared" si="59"/>
        <v/>
      </c>
      <c r="N325" s="7">
        <f t="shared" si="60"/>
        <v>0</v>
      </c>
      <c r="O325" s="7">
        <f t="shared" si="67"/>
        <v>0</v>
      </c>
      <c r="P325" s="7">
        <f t="shared" si="68"/>
        <v>-1</v>
      </c>
      <c r="Q325" s="10" t="e">
        <f t="shared" si="61"/>
        <v>#N/A</v>
      </c>
      <c r="R325" s="10" t="e">
        <f t="shared" si="62"/>
        <v>#N/A</v>
      </c>
      <c r="S325" s="7">
        <f t="shared" si="69"/>
        <v>1183.9000000000001</v>
      </c>
      <c r="T325" s="7">
        <f t="shared" si="70"/>
        <v>0</v>
      </c>
    </row>
    <row r="326" spans="1:20" x14ac:dyDescent="0.25">
      <c r="A326" s="1">
        <v>41732</v>
      </c>
      <c r="B326">
        <v>1144.5999999999999</v>
      </c>
      <c r="C326">
        <v>1169.4000000000001</v>
      </c>
      <c r="D326">
        <v>1140</v>
      </c>
      <c r="E326">
        <v>1164.7</v>
      </c>
      <c r="F326">
        <v>1560112</v>
      </c>
      <c r="G326" s="4">
        <f t="shared" si="71"/>
        <v>20.100000000000136</v>
      </c>
      <c r="H326" s="4">
        <f t="shared" si="72"/>
        <v>0</v>
      </c>
      <c r="I326" s="6">
        <f t="shared" si="63"/>
        <v>12.535714285714269</v>
      </c>
      <c r="J326" s="6">
        <f t="shared" si="64"/>
        <v>9.335714285714273</v>
      </c>
      <c r="K326" s="4">
        <f t="shared" si="65"/>
        <v>1.342769701606733</v>
      </c>
      <c r="L326">
        <f t="shared" si="66"/>
        <v>57.315480078380148</v>
      </c>
      <c r="M326" s="14" t="str">
        <f t="shared" si="59"/>
        <v/>
      </c>
      <c r="N326" s="7">
        <f t="shared" si="60"/>
        <v>0</v>
      </c>
      <c r="O326" s="7">
        <f t="shared" si="67"/>
        <v>0</v>
      </c>
      <c r="P326" s="7">
        <f t="shared" si="68"/>
        <v>-1</v>
      </c>
      <c r="Q326" s="10" t="e">
        <f t="shared" si="61"/>
        <v>#N/A</v>
      </c>
      <c r="R326" s="10" t="e">
        <f t="shared" si="62"/>
        <v>#N/A</v>
      </c>
      <c r="S326" s="7">
        <f t="shared" si="69"/>
        <v>1183.9000000000001</v>
      </c>
      <c r="T326" s="7">
        <f t="shared" si="70"/>
        <v>0</v>
      </c>
    </row>
    <row r="327" spans="1:20" x14ac:dyDescent="0.25">
      <c r="A327" s="1">
        <v>41733</v>
      </c>
      <c r="B327">
        <v>1179.8</v>
      </c>
      <c r="C327">
        <v>1224</v>
      </c>
      <c r="D327">
        <v>1179.55</v>
      </c>
      <c r="E327">
        <v>1218.7</v>
      </c>
      <c r="F327">
        <v>2669274</v>
      </c>
      <c r="G327" s="4">
        <f t="shared" si="71"/>
        <v>54</v>
      </c>
      <c r="H327" s="4">
        <f t="shared" si="72"/>
        <v>0</v>
      </c>
      <c r="I327" s="6">
        <f t="shared" si="63"/>
        <v>15.049999999999986</v>
      </c>
      <c r="J327" s="6">
        <f t="shared" si="64"/>
        <v>9.335714285714273</v>
      </c>
      <c r="K327" s="4">
        <f t="shared" si="65"/>
        <v>1.6120887528691668</v>
      </c>
      <c r="L327">
        <f t="shared" si="66"/>
        <v>61.716461628588178</v>
      </c>
      <c r="M327" s="14" t="str">
        <f t="shared" si="59"/>
        <v/>
      </c>
      <c r="N327" s="7">
        <f t="shared" si="60"/>
        <v>0</v>
      </c>
      <c r="O327" s="7">
        <f t="shared" si="67"/>
        <v>0</v>
      </c>
      <c r="P327" s="7">
        <f t="shared" si="68"/>
        <v>-1</v>
      </c>
      <c r="Q327" s="10" t="e">
        <f t="shared" si="61"/>
        <v>#N/A</v>
      </c>
      <c r="R327" s="10" t="e">
        <f t="shared" si="62"/>
        <v>#N/A</v>
      </c>
      <c r="S327" s="7">
        <f t="shared" si="69"/>
        <v>1183.9000000000001</v>
      </c>
      <c r="T327" s="7">
        <f t="shared" si="70"/>
        <v>0</v>
      </c>
    </row>
    <row r="328" spans="1:20" x14ac:dyDescent="0.25">
      <c r="A328" s="1">
        <v>41736</v>
      </c>
      <c r="B328">
        <v>1241</v>
      </c>
      <c r="C328">
        <v>1245.8</v>
      </c>
      <c r="D328">
        <v>1170.8499999999999</v>
      </c>
      <c r="E328">
        <v>1192.0999999999999</v>
      </c>
      <c r="F328">
        <v>8666984</v>
      </c>
      <c r="G328" s="4">
        <f t="shared" si="71"/>
        <v>0</v>
      </c>
      <c r="H328" s="4">
        <f t="shared" si="72"/>
        <v>26.600000000000136</v>
      </c>
      <c r="I328" s="6">
        <f t="shared" si="63"/>
        <v>14.103571428571415</v>
      </c>
      <c r="J328" s="6">
        <f t="shared" si="64"/>
        <v>11.235714285714282</v>
      </c>
      <c r="K328" s="4">
        <f t="shared" si="65"/>
        <v>1.2552447552447545</v>
      </c>
      <c r="L328">
        <f t="shared" si="66"/>
        <v>55.658914728682156</v>
      </c>
      <c r="M328" s="14" t="str">
        <f t="shared" si="59"/>
        <v/>
      </c>
      <c r="N328" s="7">
        <f t="shared" si="60"/>
        <v>0</v>
      </c>
      <c r="O328" s="7">
        <f t="shared" si="67"/>
        <v>0</v>
      </c>
      <c r="P328" s="7">
        <f t="shared" si="68"/>
        <v>-1</v>
      </c>
      <c r="Q328" s="10" t="e">
        <f t="shared" si="61"/>
        <v>#N/A</v>
      </c>
      <c r="R328" s="10" t="e">
        <f t="shared" si="62"/>
        <v>#N/A</v>
      </c>
      <c r="S328" s="7">
        <f t="shared" si="69"/>
        <v>1183.9000000000001</v>
      </c>
      <c r="T328" s="7">
        <f t="shared" si="70"/>
        <v>0</v>
      </c>
    </row>
    <row r="329" spans="1:20" x14ac:dyDescent="0.25">
      <c r="A329" s="1">
        <v>41737</v>
      </c>
      <c r="B329">
        <v>1197</v>
      </c>
      <c r="C329">
        <v>1204</v>
      </c>
      <c r="D329">
        <v>1172.6500000000001</v>
      </c>
      <c r="E329">
        <v>1197.8499999999999</v>
      </c>
      <c r="F329">
        <v>2095776</v>
      </c>
      <c r="G329" s="4">
        <f t="shared" si="71"/>
        <v>5.75</v>
      </c>
      <c r="H329" s="4">
        <f t="shared" si="72"/>
        <v>0</v>
      </c>
      <c r="I329" s="6">
        <f t="shared" si="63"/>
        <v>12.232142857142842</v>
      </c>
      <c r="J329" s="6">
        <f t="shared" si="64"/>
        <v>11.235714285714282</v>
      </c>
      <c r="K329" s="4">
        <f t="shared" si="65"/>
        <v>1.0886840432294966</v>
      </c>
      <c r="L329">
        <f t="shared" si="66"/>
        <v>52.1229645411657</v>
      </c>
      <c r="M329" s="14" t="str">
        <f t="shared" si="59"/>
        <v/>
      </c>
      <c r="N329" s="7">
        <f t="shared" si="60"/>
        <v>0</v>
      </c>
      <c r="O329" s="7">
        <f t="shared" si="67"/>
        <v>0</v>
      </c>
      <c r="P329" s="7">
        <f t="shared" si="68"/>
        <v>-1</v>
      </c>
      <c r="Q329" s="10" t="e">
        <f t="shared" si="61"/>
        <v>#N/A</v>
      </c>
      <c r="R329" s="10" t="e">
        <f t="shared" si="62"/>
        <v>#N/A</v>
      </c>
      <c r="S329" s="7">
        <f t="shared" si="69"/>
        <v>1183.9000000000001</v>
      </c>
      <c r="T329" s="7">
        <f t="shared" si="70"/>
        <v>0</v>
      </c>
    </row>
    <row r="330" spans="1:20" x14ac:dyDescent="0.25">
      <c r="A330" s="1">
        <v>41738</v>
      </c>
      <c r="B330">
        <v>1200</v>
      </c>
      <c r="C330">
        <v>1202</v>
      </c>
      <c r="D330">
        <v>1180.3499999999999</v>
      </c>
      <c r="E330">
        <v>1189</v>
      </c>
      <c r="F330">
        <v>1577623</v>
      </c>
      <c r="G330" s="4">
        <f t="shared" si="71"/>
        <v>0</v>
      </c>
      <c r="H330" s="4">
        <f t="shared" si="72"/>
        <v>8.8499999999999091</v>
      </c>
      <c r="I330" s="6">
        <f t="shared" si="63"/>
        <v>12.232142857142842</v>
      </c>
      <c r="J330" s="6">
        <f t="shared" si="64"/>
        <v>11.599999999999991</v>
      </c>
      <c r="K330" s="4">
        <f t="shared" si="65"/>
        <v>1.0544950738916252</v>
      </c>
      <c r="L330">
        <f t="shared" si="66"/>
        <v>51.326240071931657</v>
      </c>
      <c r="M330" s="14" t="str">
        <f t="shared" si="59"/>
        <v/>
      </c>
      <c r="N330" s="7">
        <f t="shared" si="60"/>
        <v>0</v>
      </c>
      <c r="O330" s="7">
        <f t="shared" si="67"/>
        <v>0</v>
      </c>
      <c r="P330" s="7">
        <f t="shared" si="68"/>
        <v>-1</v>
      </c>
      <c r="Q330" s="10" t="e">
        <f t="shared" si="61"/>
        <v>#N/A</v>
      </c>
      <c r="R330" s="10" t="e">
        <f t="shared" si="62"/>
        <v>#N/A</v>
      </c>
      <c r="S330" s="7">
        <f t="shared" si="69"/>
        <v>1183.9000000000001</v>
      </c>
      <c r="T330" s="7">
        <f t="shared" si="70"/>
        <v>0</v>
      </c>
    </row>
    <row r="331" spans="1:20" x14ac:dyDescent="0.25">
      <c r="A331" s="1">
        <v>41739</v>
      </c>
      <c r="B331">
        <v>1194.95</v>
      </c>
      <c r="C331">
        <v>1194.95</v>
      </c>
      <c r="D331">
        <v>1176.05</v>
      </c>
      <c r="E331">
        <v>1180.5999999999999</v>
      </c>
      <c r="F331">
        <v>887239</v>
      </c>
      <c r="G331" s="4">
        <f t="shared" si="71"/>
        <v>0</v>
      </c>
      <c r="H331" s="4">
        <f t="shared" si="72"/>
        <v>8.4000000000000909</v>
      </c>
      <c r="I331" s="6">
        <f t="shared" si="63"/>
        <v>9.8714285714285577</v>
      </c>
      <c r="J331" s="6">
        <f t="shared" si="64"/>
        <v>12.199999999999998</v>
      </c>
      <c r="K331" s="4">
        <f t="shared" si="65"/>
        <v>0.80913348946135732</v>
      </c>
      <c r="L331">
        <f t="shared" si="66"/>
        <v>44.724919093851099</v>
      </c>
      <c r="M331" s="14" t="str">
        <f t="shared" si="59"/>
        <v/>
      </c>
      <c r="N331" s="7">
        <f t="shared" si="60"/>
        <v>0</v>
      </c>
      <c r="O331" s="7">
        <f t="shared" si="67"/>
        <v>0</v>
      </c>
      <c r="P331" s="7">
        <f t="shared" si="68"/>
        <v>-1</v>
      </c>
      <c r="Q331" s="10" t="e">
        <f t="shared" si="61"/>
        <v>#N/A</v>
      </c>
      <c r="R331" s="10" t="e">
        <f t="shared" si="62"/>
        <v>#N/A</v>
      </c>
      <c r="S331" s="7">
        <f t="shared" si="69"/>
        <v>1183.9000000000001</v>
      </c>
      <c r="T331" s="7">
        <f t="shared" si="70"/>
        <v>0</v>
      </c>
    </row>
    <row r="332" spans="1:20" x14ac:dyDescent="0.25">
      <c r="A332" s="1">
        <v>41740</v>
      </c>
      <c r="B332">
        <v>1180.1500000000001</v>
      </c>
      <c r="C332">
        <v>1183.5</v>
      </c>
      <c r="D332">
        <v>1155.5999999999999</v>
      </c>
      <c r="E332">
        <v>1158.6500000000001</v>
      </c>
      <c r="F332">
        <v>1423097</v>
      </c>
      <c r="G332" s="4">
        <f t="shared" si="71"/>
        <v>0</v>
      </c>
      <c r="H332" s="4">
        <f t="shared" si="72"/>
        <v>21.949999999999818</v>
      </c>
      <c r="I332" s="6">
        <f t="shared" si="63"/>
        <v>7.9678571428571399</v>
      </c>
      <c r="J332" s="6">
        <f t="shared" si="64"/>
        <v>13.767857142857126</v>
      </c>
      <c r="K332" s="4">
        <f t="shared" si="65"/>
        <v>0.57872892347600569</v>
      </c>
      <c r="L332">
        <f t="shared" si="66"/>
        <v>36.657903384817637</v>
      </c>
      <c r="M332" s="14" t="str">
        <f t="shared" si="59"/>
        <v/>
      </c>
      <c r="N332" s="7">
        <f t="shared" si="60"/>
        <v>0</v>
      </c>
      <c r="O332" s="7">
        <f t="shared" si="67"/>
        <v>0</v>
      </c>
      <c r="P332" s="7">
        <f t="shared" si="68"/>
        <v>-1</v>
      </c>
      <c r="Q332" s="10" t="e">
        <f t="shared" si="61"/>
        <v>#N/A</v>
      </c>
      <c r="R332" s="10" t="e">
        <f t="shared" si="62"/>
        <v>#N/A</v>
      </c>
      <c r="S332" s="7">
        <f t="shared" si="69"/>
        <v>1183.9000000000001</v>
      </c>
      <c r="T332" s="7">
        <f t="shared" si="70"/>
        <v>0</v>
      </c>
    </row>
    <row r="333" spans="1:20" x14ac:dyDescent="0.25">
      <c r="A333" s="1">
        <v>41743</v>
      </c>
      <c r="B333">
        <v>1172</v>
      </c>
      <c r="C333">
        <v>1172</v>
      </c>
      <c r="D333">
        <v>1150.25</v>
      </c>
      <c r="E333">
        <v>1165.6500000000001</v>
      </c>
      <c r="F333">
        <v>933348</v>
      </c>
      <c r="G333" s="4">
        <f t="shared" si="71"/>
        <v>7</v>
      </c>
      <c r="H333" s="4">
        <f t="shared" si="72"/>
        <v>0</v>
      </c>
      <c r="I333" s="6">
        <f t="shared" si="63"/>
        <v>8.4678571428571399</v>
      </c>
      <c r="J333" s="6">
        <f t="shared" si="64"/>
        <v>12.482142857142842</v>
      </c>
      <c r="K333" s="4">
        <f t="shared" si="65"/>
        <v>0.67839771101573731</v>
      </c>
      <c r="L333">
        <f t="shared" si="66"/>
        <v>40.419365837026952</v>
      </c>
      <c r="M333" s="14" t="str">
        <f t="shared" si="59"/>
        <v/>
      </c>
      <c r="N333" s="7">
        <f t="shared" si="60"/>
        <v>0</v>
      </c>
      <c r="O333" s="7">
        <f t="shared" si="67"/>
        <v>0</v>
      </c>
      <c r="P333" s="7">
        <f t="shared" si="68"/>
        <v>-1</v>
      </c>
      <c r="Q333" s="10" t="e">
        <f t="shared" si="61"/>
        <v>#N/A</v>
      </c>
      <c r="R333" s="10" t="e">
        <f t="shared" si="62"/>
        <v>#N/A</v>
      </c>
      <c r="S333" s="7">
        <f t="shared" si="69"/>
        <v>1183.9000000000001</v>
      </c>
      <c r="T333" s="7">
        <f t="shared" si="70"/>
        <v>0</v>
      </c>
    </row>
    <row r="334" spans="1:20" x14ac:dyDescent="0.25">
      <c r="A334" s="1">
        <v>41744</v>
      </c>
      <c r="B334">
        <v>1170</v>
      </c>
      <c r="C334">
        <v>1177.5</v>
      </c>
      <c r="D334">
        <v>1152.5</v>
      </c>
      <c r="E334">
        <v>1158.45</v>
      </c>
      <c r="F334">
        <v>771535</v>
      </c>
      <c r="G334" s="4">
        <f t="shared" si="71"/>
        <v>0</v>
      </c>
      <c r="H334" s="4">
        <f t="shared" si="72"/>
        <v>7.2000000000000455</v>
      </c>
      <c r="I334" s="6">
        <f t="shared" si="63"/>
        <v>8.4678571428571399</v>
      </c>
      <c r="J334" s="6">
        <f t="shared" si="64"/>
        <v>11.378571428571425</v>
      </c>
      <c r="K334" s="4">
        <f t="shared" si="65"/>
        <v>0.74419334588826114</v>
      </c>
      <c r="L334">
        <f t="shared" si="66"/>
        <v>42.666906604282893</v>
      </c>
      <c r="M334" s="14" t="str">
        <f t="shared" si="59"/>
        <v/>
      </c>
      <c r="N334" s="7">
        <f t="shared" si="60"/>
        <v>0</v>
      </c>
      <c r="O334" s="7">
        <f t="shared" si="67"/>
        <v>0</v>
      </c>
      <c r="P334" s="7">
        <f t="shared" si="68"/>
        <v>-1</v>
      </c>
      <c r="Q334" s="10" t="e">
        <f t="shared" si="61"/>
        <v>#N/A</v>
      </c>
      <c r="R334" s="10" t="e">
        <f t="shared" si="62"/>
        <v>#N/A</v>
      </c>
      <c r="S334" s="7">
        <f t="shared" si="69"/>
        <v>1183.9000000000001</v>
      </c>
      <c r="T334" s="7">
        <f t="shared" si="70"/>
        <v>0</v>
      </c>
    </row>
    <row r="335" spans="1:20" x14ac:dyDescent="0.25">
      <c r="A335" s="1">
        <v>41745</v>
      </c>
      <c r="B335">
        <v>1162</v>
      </c>
      <c r="C335">
        <v>1162</v>
      </c>
      <c r="D335">
        <v>1131</v>
      </c>
      <c r="E335">
        <v>1138.45</v>
      </c>
      <c r="F335">
        <v>1060078</v>
      </c>
      <c r="G335" s="4">
        <f t="shared" si="71"/>
        <v>0</v>
      </c>
      <c r="H335" s="4">
        <f t="shared" si="72"/>
        <v>20</v>
      </c>
      <c r="I335" s="6">
        <f t="shared" si="63"/>
        <v>8.4678571428571399</v>
      </c>
      <c r="J335" s="6">
        <f t="shared" si="64"/>
        <v>12.578571428571422</v>
      </c>
      <c r="K335" s="4">
        <f t="shared" si="65"/>
        <v>0.67319704713231132</v>
      </c>
      <c r="L335">
        <f t="shared" si="66"/>
        <v>40.234176141184463</v>
      </c>
      <c r="M335" s="14" t="str">
        <f t="shared" si="59"/>
        <v/>
      </c>
      <c r="N335" s="7">
        <f t="shared" si="60"/>
        <v>0</v>
      </c>
      <c r="O335" s="7">
        <f t="shared" si="67"/>
        <v>0</v>
      </c>
      <c r="P335" s="7">
        <f t="shared" si="68"/>
        <v>-1</v>
      </c>
      <c r="Q335" s="10" t="e">
        <f t="shared" si="61"/>
        <v>#N/A</v>
      </c>
      <c r="R335" s="10" t="e">
        <f t="shared" si="62"/>
        <v>#N/A</v>
      </c>
      <c r="S335" s="7">
        <f t="shared" si="69"/>
        <v>1183.9000000000001</v>
      </c>
      <c r="T335" s="7">
        <f t="shared" si="70"/>
        <v>0</v>
      </c>
    </row>
    <row r="336" spans="1:20" x14ac:dyDescent="0.25">
      <c r="A336" s="1">
        <v>41746</v>
      </c>
      <c r="B336">
        <v>1146</v>
      </c>
      <c r="C336">
        <v>1146</v>
      </c>
      <c r="D336">
        <v>1115.1500000000001</v>
      </c>
      <c r="E336">
        <v>1137.05</v>
      </c>
      <c r="F336">
        <v>1361467</v>
      </c>
      <c r="G336" s="4">
        <f t="shared" si="71"/>
        <v>0</v>
      </c>
      <c r="H336" s="4">
        <f t="shared" si="72"/>
        <v>1.4000000000000909</v>
      </c>
      <c r="I336" s="6">
        <f t="shared" si="63"/>
        <v>8.4678571428571399</v>
      </c>
      <c r="J336" s="6">
        <f t="shared" si="64"/>
        <v>11.421428571428578</v>
      </c>
      <c r="K336" s="4">
        <f t="shared" si="65"/>
        <v>0.74140087554721634</v>
      </c>
      <c r="L336">
        <f t="shared" si="66"/>
        <v>42.574968576045947</v>
      </c>
      <c r="M336" s="14" t="str">
        <f t="shared" ref="M336:M399" si="73">IF(L336&gt;RSI_Overbought,"OVERBOUGHT",IF(L336&lt;RSI_Oversold,"OVERSOLD",""))</f>
        <v/>
      </c>
      <c r="N336" s="7">
        <f t="shared" ref="N336:N399" si="74">IF(L336&gt;RSI_Overbought,"SELL",IF(L336&lt;RSI_Oversold,"BUY",0))</f>
        <v>0</v>
      </c>
      <c r="O336" s="7">
        <f t="shared" si="67"/>
        <v>0</v>
      </c>
      <c r="P336" s="7">
        <f t="shared" si="68"/>
        <v>-1</v>
      </c>
      <c r="Q336" s="10" t="e">
        <f t="shared" ref="Q336:Q399" si="75">IF($O336="BUY",$E336,NA())</f>
        <v>#N/A</v>
      </c>
      <c r="R336" s="10" t="e">
        <f t="shared" ref="R336:R399" si="76">IF($O336="SELL",$E336,NA())</f>
        <v>#N/A</v>
      </c>
      <c r="S336" s="7">
        <f t="shared" si="69"/>
        <v>1183.9000000000001</v>
      </c>
      <c r="T336" s="7">
        <f t="shared" si="70"/>
        <v>0</v>
      </c>
    </row>
    <row r="337" spans="1:20" x14ac:dyDescent="0.25">
      <c r="A337" s="1">
        <v>41747</v>
      </c>
      <c r="B337">
        <v>1145</v>
      </c>
      <c r="C337">
        <v>1145</v>
      </c>
      <c r="D337">
        <v>1108.0999999999999</v>
      </c>
      <c r="E337">
        <v>1115</v>
      </c>
      <c r="F337">
        <v>942798</v>
      </c>
      <c r="G337" s="4">
        <f t="shared" si="71"/>
        <v>0</v>
      </c>
      <c r="H337" s="4">
        <f t="shared" si="72"/>
        <v>22.049999999999955</v>
      </c>
      <c r="I337" s="6">
        <f t="shared" ref="I337:I400" si="77">AVERAGE(G324:G337)</f>
        <v>6.2035714285714381</v>
      </c>
      <c r="J337" s="6">
        <f t="shared" ref="J337:J400" si="78">AVERAGE(H324:H337)</f>
        <v>12.996428571428575</v>
      </c>
      <c r="K337" s="4">
        <f t="shared" ref="K337:K400" si="79">I337/J337</f>
        <v>0.47732893652102282</v>
      </c>
      <c r="L337">
        <f t="shared" ref="L337:L400" si="80">100-(100/(K337+1))</f>
        <v>32.31026785714289</v>
      </c>
      <c r="M337" s="14" t="str">
        <f t="shared" si="73"/>
        <v/>
      </c>
      <c r="N337" s="7">
        <f t="shared" si="74"/>
        <v>0</v>
      </c>
      <c r="O337" s="7">
        <f t="shared" ref="O337:O400" si="81">IF(AND(N337="BUY",P336&lt;&gt;1),"BUY",IF(AND(N337="SELL",P336&lt;&gt;-1),"SELL",0))</f>
        <v>0</v>
      </c>
      <c r="P337" s="7">
        <f t="shared" ref="P337:P400" si="82">IF(O337="BUY",1,IF(O337="SELL",-1,P336))</f>
        <v>-1</v>
      </c>
      <c r="Q337" s="10" t="e">
        <f t="shared" si="75"/>
        <v>#N/A</v>
      </c>
      <c r="R337" s="10" t="e">
        <f t="shared" si="76"/>
        <v>#N/A</v>
      </c>
      <c r="S337" s="7">
        <f t="shared" ref="S337:S400" si="83">IF(O337&lt;&gt;0,E337,S336)</f>
        <v>1183.9000000000001</v>
      </c>
      <c r="T337" s="7">
        <f t="shared" si="70"/>
        <v>0</v>
      </c>
    </row>
    <row r="338" spans="1:20" x14ac:dyDescent="0.25">
      <c r="A338" s="1">
        <v>41750</v>
      </c>
      <c r="B338">
        <v>1120</v>
      </c>
      <c r="C338">
        <v>1153.5</v>
      </c>
      <c r="D338">
        <v>1119.75</v>
      </c>
      <c r="E338">
        <v>1148.95</v>
      </c>
      <c r="F338">
        <v>1202674</v>
      </c>
      <c r="G338" s="4">
        <f t="shared" si="71"/>
        <v>33.950000000000045</v>
      </c>
      <c r="H338" s="4">
        <f t="shared" si="72"/>
        <v>0</v>
      </c>
      <c r="I338" s="6">
        <f t="shared" si="77"/>
        <v>8.6285714285714423</v>
      </c>
      <c r="J338" s="6">
        <f t="shared" si="78"/>
        <v>11.660714285714302</v>
      </c>
      <c r="K338" s="4">
        <f t="shared" si="79"/>
        <v>0.73996937212863723</v>
      </c>
      <c r="L338">
        <f t="shared" si="80"/>
        <v>42.527723992254884</v>
      </c>
      <c r="M338" s="14" t="str">
        <f t="shared" si="73"/>
        <v/>
      </c>
      <c r="N338" s="7">
        <f t="shared" si="74"/>
        <v>0</v>
      </c>
      <c r="O338" s="7">
        <f t="shared" si="81"/>
        <v>0</v>
      </c>
      <c r="P338" s="7">
        <f t="shared" si="82"/>
        <v>-1</v>
      </c>
      <c r="Q338" s="10" t="e">
        <f t="shared" si="75"/>
        <v>#N/A</v>
      </c>
      <c r="R338" s="10" t="e">
        <f t="shared" si="76"/>
        <v>#N/A</v>
      </c>
      <c r="S338" s="7">
        <f t="shared" si="83"/>
        <v>1183.9000000000001</v>
      </c>
      <c r="T338" s="7">
        <f t="shared" si="70"/>
        <v>0</v>
      </c>
    </row>
    <row r="339" spans="1:20" x14ac:dyDescent="0.25">
      <c r="A339" s="1">
        <v>41751</v>
      </c>
      <c r="B339">
        <v>1150</v>
      </c>
      <c r="C339">
        <v>1151.95</v>
      </c>
      <c r="D339">
        <v>1124.5</v>
      </c>
      <c r="E339">
        <v>1135.55</v>
      </c>
      <c r="F339">
        <v>506116</v>
      </c>
      <c r="G339" s="4">
        <f t="shared" si="71"/>
        <v>0</v>
      </c>
      <c r="H339" s="4">
        <f t="shared" si="72"/>
        <v>13.400000000000091</v>
      </c>
      <c r="I339" s="6">
        <f t="shared" si="77"/>
        <v>8.6285714285714423</v>
      </c>
      <c r="J339" s="6">
        <f t="shared" si="78"/>
        <v>9.2750000000000092</v>
      </c>
      <c r="K339" s="4">
        <f t="shared" si="79"/>
        <v>0.9303041971505589</v>
      </c>
      <c r="L339">
        <f t="shared" si="80"/>
        <v>48.194693796130082</v>
      </c>
      <c r="M339" s="14" t="str">
        <f t="shared" si="73"/>
        <v/>
      </c>
      <c r="N339" s="7">
        <f t="shared" si="74"/>
        <v>0</v>
      </c>
      <c r="O339" s="7">
        <f t="shared" si="81"/>
        <v>0</v>
      </c>
      <c r="P339" s="7">
        <f t="shared" si="82"/>
        <v>-1</v>
      </c>
      <c r="Q339" s="10" t="e">
        <f t="shared" si="75"/>
        <v>#N/A</v>
      </c>
      <c r="R339" s="10" t="e">
        <f t="shared" si="76"/>
        <v>#N/A</v>
      </c>
      <c r="S339" s="7">
        <f t="shared" si="83"/>
        <v>1183.9000000000001</v>
      </c>
      <c r="T339" s="7">
        <f t="shared" si="70"/>
        <v>0</v>
      </c>
    </row>
    <row r="340" spans="1:20" x14ac:dyDescent="0.25">
      <c r="A340" s="1">
        <v>41752</v>
      </c>
      <c r="B340">
        <v>1133</v>
      </c>
      <c r="C340">
        <v>1159.95</v>
      </c>
      <c r="D340">
        <v>1128</v>
      </c>
      <c r="E340">
        <v>1139.9000000000001</v>
      </c>
      <c r="F340">
        <v>764579</v>
      </c>
      <c r="G340" s="4">
        <f t="shared" si="71"/>
        <v>4.3500000000001364</v>
      </c>
      <c r="H340" s="4">
        <f t="shared" si="72"/>
        <v>0</v>
      </c>
      <c r="I340" s="6">
        <f t="shared" si="77"/>
        <v>7.5035714285714414</v>
      </c>
      <c r="J340" s="6">
        <f t="shared" si="78"/>
        <v>9.2750000000000092</v>
      </c>
      <c r="K340" s="4">
        <f t="shared" si="79"/>
        <v>0.80901039661147534</v>
      </c>
      <c r="L340">
        <f t="shared" si="80"/>
        <v>44.721157939548768</v>
      </c>
      <c r="M340" s="14" t="str">
        <f t="shared" si="73"/>
        <v/>
      </c>
      <c r="N340" s="7">
        <f t="shared" si="74"/>
        <v>0</v>
      </c>
      <c r="O340" s="7">
        <f t="shared" si="81"/>
        <v>0</v>
      </c>
      <c r="P340" s="7">
        <f t="shared" si="82"/>
        <v>-1</v>
      </c>
      <c r="Q340" s="10" t="e">
        <f t="shared" si="75"/>
        <v>#N/A</v>
      </c>
      <c r="R340" s="10" t="e">
        <f t="shared" si="76"/>
        <v>#N/A</v>
      </c>
      <c r="S340" s="7">
        <f t="shared" si="83"/>
        <v>1183.9000000000001</v>
      </c>
      <c r="T340" s="7">
        <f t="shared" si="70"/>
        <v>0</v>
      </c>
    </row>
    <row r="341" spans="1:20" x14ac:dyDescent="0.25">
      <c r="A341" s="1">
        <v>41753</v>
      </c>
      <c r="B341">
        <v>1139</v>
      </c>
      <c r="C341">
        <v>1151.7</v>
      </c>
      <c r="D341">
        <v>1126.0999999999999</v>
      </c>
      <c r="E341">
        <v>1140.25</v>
      </c>
      <c r="F341">
        <v>730335</v>
      </c>
      <c r="G341" s="4">
        <f t="shared" si="71"/>
        <v>0.34999999999990905</v>
      </c>
      <c r="H341" s="4">
        <f t="shared" si="72"/>
        <v>0</v>
      </c>
      <c r="I341" s="6">
        <f t="shared" si="77"/>
        <v>3.6714285714285779</v>
      </c>
      <c r="J341" s="6">
        <f t="shared" si="78"/>
        <v>9.2750000000000092</v>
      </c>
      <c r="K341" s="4">
        <f t="shared" si="79"/>
        <v>0.39584135541008886</v>
      </c>
      <c r="L341">
        <f t="shared" si="80"/>
        <v>28.358620689655183</v>
      </c>
      <c r="M341" s="14" t="str">
        <f t="shared" si="73"/>
        <v>OVERSOLD</v>
      </c>
      <c r="N341" s="7" t="str">
        <f t="shared" si="74"/>
        <v>BUY</v>
      </c>
      <c r="O341" s="7" t="str">
        <f t="shared" si="81"/>
        <v>BUY</v>
      </c>
      <c r="P341" s="7">
        <f t="shared" si="82"/>
        <v>1</v>
      </c>
      <c r="Q341" s="10">
        <f t="shared" si="75"/>
        <v>1140.25</v>
      </c>
      <c r="R341" s="10" t="e">
        <f t="shared" si="76"/>
        <v>#N/A</v>
      </c>
      <c r="S341" s="7">
        <f t="shared" si="83"/>
        <v>1140.25</v>
      </c>
      <c r="T341" s="7">
        <f t="shared" si="70"/>
        <v>3.6869668046287767E-2</v>
      </c>
    </row>
    <row r="342" spans="1:20" x14ac:dyDescent="0.25">
      <c r="A342" s="1">
        <v>41754</v>
      </c>
      <c r="B342">
        <v>1133.9000000000001</v>
      </c>
      <c r="C342">
        <v>1133.9000000000001</v>
      </c>
      <c r="D342">
        <v>1108.3499999999999</v>
      </c>
      <c r="E342">
        <v>1111.75</v>
      </c>
      <c r="F342">
        <v>1270229</v>
      </c>
      <c r="G342" s="4">
        <f t="shared" si="71"/>
        <v>0</v>
      </c>
      <c r="H342" s="4">
        <f t="shared" si="72"/>
        <v>28.5</v>
      </c>
      <c r="I342" s="6">
        <f t="shared" si="77"/>
        <v>3.6714285714285779</v>
      </c>
      <c r="J342" s="6">
        <f t="shared" si="78"/>
        <v>9.4107142857142865</v>
      </c>
      <c r="K342" s="4">
        <f t="shared" si="79"/>
        <v>0.39013282732447885</v>
      </c>
      <c r="L342">
        <f t="shared" si="80"/>
        <v>28.0644280644281</v>
      </c>
      <c r="M342" s="14" t="str">
        <f t="shared" si="73"/>
        <v>OVERSOLD</v>
      </c>
      <c r="N342" s="7" t="str">
        <f t="shared" si="74"/>
        <v>BUY</v>
      </c>
      <c r="O342" s="7">
        <f t="shared" si="81"/>
        <v>0</v>
      </c>
      <c r="P342" s="7">
        <f t="shared" si="82"/>
        <v>1</v>
      </c>
      <c r="Q342" s="10" t="e">
        <f t="shared" si="75"/>
        <v>#N/A</v>
      </c>
      <c r="R342" s="10" t="e">
        <f t="shared" si="76"/>
        <v>#N/A</v>
      </c>
      <c r="S342" s="7">
        <f t="shared" si="83"/>
        <v>1140.25</v>
      </c>
      <c r="T342" s="7">
        <f t="shared" si="70"/>
        <v>0</v>
      </c>
    </row>
    <row r="343" spans="1:20" x14ac:dyDescent="0.25">
      <c r="A343" s="1">
        <v>41757</v>
      </c>
      <c r="B343">
        <v>1112</v>
      </c>
      <c r="C343">
        <v>1142.3</v>
      </c>
      <c r="D343">
        <v>1112</v>
      </c>
      <c r="E343">
        <v>1127.0999999999999</v>
      </c>
      <c r="F343">
        <v>1182744</v>
      </c>
      <c r="G343" s="4">
        <f t="shared" si="71"/>
        <v>15.349999999999909</v>
      </c>
      <c r="H343" s="4">
        <f t="shared" si="72"/>
        <v>0</v>
      </c>
      <c r="I343" s="6">
        <f t="shared" si="77"/>
        <v>4.3571428571428568</v>
      </c>
      <c r="J343" s="6">
        <f t="shared" si="78"/>
        <v>9.4107142857142865</v>
      </c>
      <c r="K343" s="4">
        <f t="shared" si="79"/>
        <v>0.46299810246679307</v>
      </c>
      <c r="L343">
        <f t="shared" si="80"/>
        <v>31.64721141374838</v>
      </c>
      <c r="M343" s="14" t="str">
        <f t="shared" si="73"/>
        <v/>
      </c>
      <c r="N343" s="7">
        <f t="shared" si="74"/>
        <v>0</v>
      </c>
      <c r="O343" s="7">
        <f t="shared" si="81"/>
        <v>0</v>
      </c>
      <c r="P343" s="7">
        <f t="shared" si="82"/>
        <v>1</v>
      </c>
      <c r="Q343" s="10" t="e">
        <f t="shared" si="75"/>
        <v>#N/A</v>
      </c>
      <c r="R343" s="10" t="e">
        <f t="shared" si="76"/>
        <v>#N/A</v>
      </c>
      <c r="S343" s="7">
        <f t="shared" si="83"/>
        <v>1140.25</v>
      </c>
      <c r="T343" s="7">
        <f t="shared" si="70"/>
        <v>0</v>
      </c>
    </row>
    <row r="344" spans="1:20" x14ac:dyDescent="0.25">
      <c r="A344" s="1">
        <v>41758</v>
      </c>
      <c r="B344">
        <v>1121</v>
      </c>
      <c r="C344">
        <v>1147.4000000000001</v>
      </c>
      <c r="D344">
        <v>1120</v>
      </c>
      <c r="E344">
        <v>1131.0999999999999</v>
      </c>
      <c r="F344">
        <v>1113684</v>
      </c>
      <c r="G344" s="4">
        <f t="shared" si="71"/>
        <v>4</v>
      </c>
      <c r="H344" s="4">
        <f t="shared" si="72"/>
        <v>0</v>
      </c>
      <c r="I344" s="6">
        <f t="shared" si="77"/>
        <v>4.6428571428571432</v>
      </c>
      <c r="J344" s="6">
        <f t="shared" si="78"/>
        <v>8.7785714285714356</v>
      </c>
      <c r="K344" s="4">
        <f t="shared" si="79"/>
        <v>0.52888527257933238</v>
      </c>
      <c r="L344">
        <f t="shared" si="80"/>
        <v>34.592868547099499</v>
      </c>
      <c r="M344" s="14" t="str">
        <f t="shared" si="73"/>
        <v/>
      </c>
      <c r="N344" s="7">
        <f t="shared" si="74"/>
        <v>0</v>
      </c>
      <c r="O344" s="7">
        <f t="shared" si="81"/>
        <v>0</v>
      </c>
      <c r="P344" s="7">
        <f t="shared" si="82"/>
        <v>1</v>
      </c>
      <c r="Q344" s="10" t="e">
        <f t="shared" si="75"/>
        <v>#N/A</v>
      </c>
      <c r="R344" s="10" t="e">
        <f t="shared" si="76"/>
        <v>#N/A</v>
      </c>
      <c r="S344" s="7">
        <f t="shared" si="83"/>
        <v>1140.25</v>
      </c>
      <c r="T344" s="7">
        <f t="shared" si="70"/>
        <v>0</v>
      </c>
    </row>
    <row r="345" spans="1:20" x14ac:dyDescent="0.25">
      <c r="A345" s="1">
        <v>41759</v>
      </c>
      <c r="B345">
        <v>1122.05</v>
      </c>
      <c r="C345">
        <v>1149.2</v>
      </c>
      <c r="D345">
        <v>1122.05</v>
      </c>
      <c r="E345">
        <v>1141.7</v>
      </c>
      <c r="F345">
        <v>695707</v>
      </c>
      <c r="G345" s="4">
        <f t="shared" si="71"/>
        <v>10.600000000000136</v>
      </c>
      <c r="H345" s="4">
        <f t="shared" si="72"/>
        <v>0</v>
      </c>
      <c r="I345" s="6">
        <f t="shared" si="77"/>
        <v>5.4000000000000101</v>
      </c>
      <c r="J345" s="6">
        <f t="shared" si="78"/>
        <v>8.1785714285714288</v>
      </c>
      <c r="K345" s="4">
        <f t="shared" si="79"/>
        <v>0.66026200873362573</v>
      </c>
      <c r="L345">
        <f t="shared" si="80"/>
        <v>39.768542872172588</v>
      </c>
      <c r="M345" s="14" t="str">
        <f t="shared" si="73"/>
        <v/>
      </c>
      <c r="N345" s="7">
        <f t="shared" si="74"/>
        <v>0</v>
      </c>
      <c r="O345" s="7">
        <f t="shared" si="81"/>
        <v>0</v>
      </c>
      <c r="P345" s="7">
        <f t="shared" si="82"/>
        <v>1</v>
      </c>
      <c r="Q345" s="10" t="e">
        <f t="shared" si="75"/>
        <v>#N/A</v>
      </c>
      <c r="R345" s="10" t="e">
        <f t="shared" si="76"/>
        <v>#N/A</v>
      </c>
      <c r="S345" s="7">
        <f t="shared" si="83"/>
        <v>1140.25</v>
      </c>
      <c r="T345" s="7">
        <f t="shared" si="70"/>
        <v>0</v>
      </c>
    </row>
    <row r="346" spans="1:20" x14ac:dyDescent="0.25">
      <c r="A346" s="1">
        <v>41760</v>
      </c>
      <c r="B346">
        <v>1142.25</v>
      </c>
      <c r="C346">
        <v>1161.5</v>
      </c>
      <c r="D346">
        <v>1142.25</v>
      </c>
      <c r="E346">
        <v>1155.05</v>
      </c>
      <c r="F346">
        <v>1112590</v>
      </c>
      <c r="G346" s="4">
        <f t="shared" si="71"/>
        <v>13.349999999999909</v>
      </c>
      <c r="H346" s="4">
        <f t="shared" si="72"/>
        <v>0</v>
      </c>
      <c r="I346" s="6">
        <f t="shared" si="77"/>
        <v>6.3535714285714322</v>
      </c>
      <c r="J346" s="6">
        <f t="shared" si="78"/>
        <v>6.6107142857142991</v>
      </c>
      <c r="K346" s="4">
        <f t="shared" si="79"/>
        <v>0.96110210696920439</v>
      </c>
      <c r="L346">
        <f t="shared" si="80"/>
        <v>49.008264462809883</v>
      </c>
      <c r="M346" s="14" t="str">
        <f t="shared" si="73"/>
        <v/>
      </c>
      <c r="N346" s="7">
        <f t="shared" si="74"/>
        <v>0</v>
      </c>
      <c r="O346" s="7">
        <f t="shared" si="81"/>
        <v>0</v>
      </c>
      <c r="P346" s="7">
        <f t="shared" si="82"/>
        <v>1</v>
      </c>
      <c r="Q346" s="10" t="e">
        <f t="shared" si="75"/>
        <v>#N/A</v>
      </c>
      <c r="R346" s="10" t="e">
        <f t="shared" si="76"/>
        <v>#N/A</v>
      </c>
      <c r="S346" s="7">
        <f t="shared" si="83"/>
        <v>1140.25</v>
      </c>
      <c r="T346" s="7">
        <f t="shared" ref="T346:T409" si="84">IF(O346="BUY",(S345-S346)/S345,IF(O346="SELL",(S346-S345)/S345,0))</f>
        <v>0</v>
      </c>
    </row>
    <row r="347" spans="1:20" x14ac:dyDescent="0.25">
      <c r="A347" s="1">
        <v>41761</v>
      </c>
      <c r="B347">
        <v>1165</v>
      </c>
      <c r="C347">
        <v>1170</v>
      </c>
      <c r="D347">
        <v>1156</v>
      </c>
      <c r="E347">
        <v>1164.8499999999999</v>
      </c>
      <c r="F347">
        <v>1025461</v>
      </c>
      <c r="G347" s="4">
        <f t="shared" si="71"/>
        <v>9.7999999999999545</v>
      </c>
      <c r="H347" s="4">
        <f t="shared" si="72"/>
        <v>0</v>
      </c>
      <c r="I347" s="6">
        <f t="shared" si="77"/>
        <v>6.5535714285714288</v>
      </c>
      <c r="J347" s="6">
        <f t="shared" si="78"/>
        <v>6.6107142857142991</v>
      </c>
      <c r="K347" s="4">
        <f t="shared" si="79"/>
        <v>0.99135602377093268</v>
      </c>
      <c r="L347">
        <f t="shared" si="80"/>
        <v>49.782962561041728</v>
      </c>
      <c r="M347" s="14" t="str">
        <f t="shared" si="73"/>
        <v/>
      </c>
      <c r="N347" s="7">
        <f t="shared" si="74"/>
        <v>0</v>
      </c>
      <c r="O347" s="7">
        <f t="shared" si="81"/>
        <v>0</v>
      </c>
      <c r="P347" s="7">
        <f t="shared" si="82"/>
        <v>1</v>
      </c>
      <c r="Q347" s="10" t="e">
        <f t="shared" si="75"/>
        <v>#N/A</v>
      </c>
      <c r="R347" s="10" t="e">
        <f t="shared" si="76"/>
        <v>#N/A</v>
      </c>
      <c r="S347" s="7">
        <f t="shared" si="83"/>
        <v>1140.25</v>
      </c>
      <c r="T347" s="7">
        <f t="shared" si="84"/>
        <v>0</v>
      </c>
    </row>
    <row r="348" spans="1:20" x14ac:dyDescent="0.25">
      <c r="A348" s="1">
        <v>41764</v>
      </c>
      <c r="B348">
        <v>1173.75</v>
      </c>
      <c r="C348">
        <v>1183.4000000000001</v>
      </c>
      <c r="D348">
        <v>1163.25</v>
      </c>
      <c r="E348">
        <v>1175</v>
      </c>
      <c r="F348">
        <v>1025300</v>
      </c>
      <c r="G348" s="4">
        <f t="shared" si="71"/>
        <v>10.150000000000091</v>
      </c>
      <c r="H348" s="4">
        <f t="shared" si="72"/>
        <v>0</v>
      </c>
      <c r="I348" s="6">
        <f t="shared" si="77"/>
        <v>7.2785714285714347</v>
      </c>
      <c r="J348" s="6">
        <f t="shared" si="78"/>
        <v>6.0964285714285813</v>
      </c>
      <c r="K348" s="4">
        <f t="shared" si="79"/>
        <v>1.1939074399531333</v>
      </c>
      <c r="L348">
        <f t="shared" si="80"/>
        <v>54.419225634178886</v>
      </c>
      <c r="M348" s="14" t="str">
        <f t="shared" si="73"/>
        <v/>
      </c>
      <c r="N348" s="7">
        <f t="shared" si="74"/>
        <v>0</v>
      </c>
      <c r="O348" s="7">
        <f t="shared" si="81"/>
        <v>0</v>
      </c>
      <c r="P348" s="7">
        <f t="shared" si="82"/>
        <v>1</v>
      </c>
      <c r="Q348" s="10" t="e">
        <f t="shared" si="75"/>
        <v>#N/A</v>
      </c>
      <c r="R348" s="10" t="e">
        <f t="shared" si="76"/>
        <v>#N/A</v>
      </c>
      <c r="S348" s="7">
        <f t="shared" si="83"/>
        <v>1140.25</v>
      </c>
      <c r="T348" s="7">
        <f t="shared" si="84"/>
        <v>0</v>
      </c>
    </row>
    <row r="349" spans="1:20" x14ac:dyDescent="0.25">
      <c r="A349" s="1">
        <v>41765</v>
      </c>
      <c r="B349">
        <v>1164</v>
      </c>
      <c r="C349">
        <v>1170.5</v>
      </c>
      <c r="D349">
        <v>1150</v>
      </c>
      <c r="E349">
        <v>1166.55</v>
      </c>
      <c r="F349">
        <v>1008642</v>
      </c>
      <c r="G349" s="4">
        <f t="shared" si="71"/>
        <v>0</v>
      </c>
      <c r="H349" s="4">
        <f t="shared" si="72"/>
        <v>8.4500000000000455</v>
      </c>
      <c r="I349" s="6">
        <f t="shared" si="77"/>
        <v>7.2785714285714347</v>
      </c>
      <c r="J349" s="6">
        <f t="shared" si="78"/>
        <v>5.2714285714285847</v>
      </c>
      <c r="K349" s="4">
        <f t="shared" si="79"/>
        <v>1.3807588075880737</v>
      </c>
      <c r="L349">
        <f t="shared" si="80"/>
        <v>57.996585088218517</v>
      </c>
      <c r="M349" s="14" t="str">
        <f t="shared" si="73"/>
        <v/>
      </c>
      <c r="N349" s="7">
        <f t="shared" si="74"/>
        <v>0</v>
      </c>
      <c r="O349" s="7">
        <f t="shared" si="81"/>
        <v>0</v>
      </c>
      <c r="P349" s="7">
        <f t="shared" si="82"/>
        <v>1</v>
      </c>
      <c r="Q349" s="10" t="e">
        <f t="shared" si="75"/>
        <v>#N/A</v>
      </c>
      <c r="R349" s="10" t="e">
        <f t="shared" si="76"/>
        <v>#N/A</v>
      </c>
      <c r="S349" s="7">
        <f t="shared" si="83"/>
        <v>1140.25</v>
      </c>
      <c r="T349" s="7">
        <f t="shared" si="84"/>
        <v>0</v>
      </c>
    </row>
    <row r="350" spans="1:20" x14ac:dyDescent="0.25">
      <c r="A350" s="1">
        <v>41766</v>
      </c>
      <c r="B350">
        <v>1162.6500000000001</v>
      </c>
      <c r="C350">
        <v>1172.8</v>
      </c>
      <c r="D350">
        <v>1139.1500000000001</v>
      </c>
      <c r="E350">
        <v>1149.9000000000001</v>
      </c>
      <c r="F350">
        <v>840997</v>
      </c>
      <c r="G350" s="4">
        <f t="shared" si="71"/>
        <v>0</v>
      </c>
      <c r="H350" s="4">
        <f t="shared" si="72"/>
        <v>16.649999999999864</v>
      </c>
      <c r="I350" s="6">
        <f t="shared" si="77"/>
        <v>7.2785714285714347</v>
      </c>
      <c r="J350" s="6">
        <f t="shared" si="78"/>
        <v>6.3607142857142822</v>
      </c>
      <c r="K350" s="4">
        <f t="shared" si="79"/>
        <v>1.1443009545199343</v>
      </c>
      <c r="L350">
        <f t="shared" si="80"/>
        <v>53.364755171510907</v>
      </c>
      <c r="M350" s="14" t="str">
        <f t="shared" si="73"/>
        <v/>
      </c>
      <c r="N350" s="7">
        <f t="shared" si="74"/>
        <v>0</v>
      </c>
      <c r="O350" s="7">
        <f t="shared" si="81"/>
        <v>0</v>
      </c>
      <c r="P350" s="7">
        <f t="shared" si="82"/>
        <v>1</v>
      </c>
      <c r="Q350" s="10" t="e">
        <f t="shared" si="75"/>
        <v>#N/A</v>
      </c>
      <c r="R350" s="10" t="e">
        <f t="shared" si="76"/>
        <v>#N/A</v>
      </c>
      <c r="S350" s="7">
        <f t="shared" si="83"/>
        <v>1140.25</v>
      </c>
      <c r="T350" s="7">
        <f t="shared" si="84"/>
        <v>0</v>
      </c>
    </row>
    <row r="351" spans="1:20" x14ac:dyDescent="0.25">
      <c r="A351" s="1">
        <v>41767</v>
      </c>
      <c r="B351">
        <v>1149.0999999999999</v>
      </c>
      <c r="C351">
        <v>1149.9000000000001</v>
      </c>
      <c r="D351">
        <v>1120</v>
      </c>
      <c r="E351">
        <v>1128.5999999999999</v>
      </c>
      <c r="F351">
        <v>933735</v>
      </c>
      <c r="G351" s="4">
        <f t="shared" si="71"/>
        <v>0</v>
      </c>
      <c r="H351" s="4">
        <f t="shared" si="72"/>
        <v>21.300000000000182</v>
      </c>
      <c r="I351" s="6">
        <f t="shared" si="77"/>
        <v>7.2785714285714347</v>
      </c>
      <c r="J351" s="6">
        <f t="shared" si="78"/>
        <v>6.3071428571428703</v>
      </c>
      <c r="K351" s="4">
        <f t="shared" si="79"/>
        <v>1.1540203850509612</v>
      </c>
      <c r="L351">
        <f t="shared" si="80"/>
        <v>53.575184016824359</v>
      </c>
      <c r="M351" s="14" t="str">
        <f t="shared" si="73"/>
        <v/>
      </c>
      <c r="N351" s="7">
        <f t="shared" si="74"/>
        <v>0</v>
      </c>
      <c r="O351" s="7">
        <f t="shared" si="81"/>
        <v>0</v>
      </c>
      <c r="P351" s="7">
        <f t="shared" si="82"/>
        <v>1</v>
      </c>
      <c r="Q351" s="10" t="e">
        <f t="shared" si="75"/>
        <v>#N/A</v>
      </c>
      <c r="R351" s="10" t="e">
        <f t="shared" si="76"/>
        <v>#N/A</v>
      </c>
      <c r="S351" s="7">
        <f t="shared" si="83"/>
        <v>1140.25</v>
      </c>
      <c r="T351" s="7">
        <f t="shared" si="84"/>
        <v>0</v>
      </c>
    </row>
    <row r="352" spans="1:20" x14ac:dyDescent="0.25">
      <c r="A352" s="1">
        <v>41768</v>
      </c>
      <c r="B352">
        <v>1139</v>
      </c>
      <c r="C352">
        <v>1143</v>
      </c>
      <c r="D352">
        <v>1120</v>
      </c>
      <c r="E352">
        <v>1135.75</v>
      </c>
      <c r="F352">
        <v>1030109</v>
      </c>
      <c r="G352" s="4">
        <f t="shared" si="71"/>
        <v>7.1500000000000909</v>
      </c>
      <c r="H352" s="4">
        <f t="shared" si="72"/>
        <v>0</v>
      </c>
      <c r="I352" s="6">
        <f t="shared" si="77"/>
        <v>5.3642857142857236</v>
      </c>
      <c r="J352" s="6">
        <f t="shared" si="78"/>
        <v>6.3071428571428703</v>
      </c>
      <c r="K352" s="4">
        <f t="shared" si="79"/>
        <v>0.85050962627406546</v>
      </c>
      <c r="L352">
        <f t="shared" si="80"/>
        <v>45.960832313341484</v>
      </c>
      <c r="M352" s="14" t="str">
        <f t="shared" si="73"/>
        <v/>
      </c>
      <c r="N352" s="7">
        <f t="shared" si="74"/>
        <v>0</v>
      </c>
      <c r="O352" s="7">
        <f t="shared" si="81"/>
        <v>0</v>
      </c>
      <c r="P352" s="7">
        <f t="shared" si="82"/>
        <v>1</v>
      </c>
      <c r="Q352" s="10" t="e">
        <f t="shared" si="75"/>
        <v>#N/A</v>
      </c>
      <c r="R352" s="10" t="e">
        <f t="shared" si="76"/>
        <v>#N/A</v>
      </c>
      <c r="S352" s="7">
        <f t="shared" si="83"/>
        <v>1140.25</v>
      </c>
      <c r="T352" s="7">
        <f t="shared" si="84"/>
        <v>0</v>
      </c>
    </row>
    <row r="353" spans="1:20" x14ac:dyDescent="0.25">
      <c r="A353" s="1">
        <v>41771</v>
      </c>
      <c r="B353">
        <v>1148.55</v>
      </c>
      <c r="C353">
        <v>1149.9000000000001</v>
      </c>
      <c r="D353">
        <v>1136.3</v>
      </c>
      <c r="E353">
        <v>1144.55</v>
      </c>
      <c r="F353">
        <v>643352</v>
      </c>
      <c r="G353" s="4">
        <f t="shared" si="71"/>
        <v>8.7999999999999545</v>
      </c>
      <c r="H353" s="4">
        <f t="shared" si="72"/>
        <v>0</v>
      </c>
      <c r="I353" s="6">
        <f t="shared" si="77"/>
        <v>5.9928571428571491</v>
      </c>
      <c r="J353" s="6">
        <f t="shared" si="78"/>
        <v>5.3500000000000068</v>
      </c>
      <c r="K353" s="4">
        <f t="shared" si="79"/>
        <v>1.1201602136181572</v>
      </c>
      <c r="L353">
        <f t="shared" si="80"/>
        <v>52.833753148614605</v>
      </c>
      <c r="M353" s="14" t="str">
        <f t="shared" si="73"/>
        <v/>
      </c>
      <c r="N353" s="7">
        <f t="shared" si="74"/>
        <v>0</v>
      </c>
      <c r="O353" s="7">
        <f t="shared" si="81"/>
        <v>0</v>
      </c>
      <c r="P353" s="7">
        <f t="shared" si="82"/>
        <v>1</v>
      </c>
      <c r="Q353" s="10" t="e">
        <f t="shared" si="75"/>
        <v>#N/A</v>
      </c>
      <c r="R353" s="10" t="e">
        <f t="shared" si="76"/>
        <v>#N/A</v>
      </c>
      <c r="S353" s="7">
        <f t="shared" si="83"/>
        <v>1140.25</v>
      </c>
      <c r="T353" s="7">
        <f t="shared" si="84"/>
        <v>0</v>
      </c>
    </row>
    <row r="354" spans="1:20" x14ac:dyDescent="0.25">
      <c r="A354" s="1">
        <v>41772</v>
      </c>
      <c r="B354">
        <v>1151</v>
      </c>
      <c r="C354">
        <v>1159.95</v>
      </c>
      <c r="D354">
        <v>1142.3</v>
      </c>
      <c r="E354">
        <v>1151.95</v>
      </c>
      <c r="F354">
        <v>570434</v>
      </c>
      <c r="G354" s="4">
        <f t="shared" si="71"/>
        <v>7.4000000000000909</v>
      </c>
      <c r="H354" s="4">
        <f t="shared" si="72"/>
        <v>0</v>
      </c>
      <c r="I354" s="6">
        <f t="shared" si="77"/>
        <v>6.210714285714289</v>
      </c>
      <c r="J354" s="6">
        <f t="shared" si="78"/>
        <v>5.3500000000000068</v>
      </c>
      <c r="K354" s="4">
        <f t="shared" si="79"/>
        <v>1.1608811748998655</v>
      </c>
      <c r="L354">
        <f t="shared" si="80"/>
        <v>53.722582638245271</v>
      </c>
      <c r="M354" s="14" t="str">
        <f t="shared" si="73"/>
        <v/>
      </c>
      <c r="N354" s="7">
        <f t="shared" si="74"/>
        <v>0</v>
      </c>
      <c r="O354" s="7">
        <f t="shared" si="81"/>
        <v>0</v>
      </c>
      <c r="P354" s="7">
        <f t="shared" si="82"/>
        <v>1</v>
      </c>
      <c r="Q354" s="10" t="e">
        <f t="shared" si="75"/>
        <v>#N/A</v>
      </c>
      <c r="R354" s="10" t="e">
        <f t="shared" si="76"/>
        <v>#N/A</v>
      </c>
      <c r="S354" s="7">
        <f t="shared" si="83"/>
        <v>1140.25</v>
      </c>
      <c r="T354" s="7">
        <f t="shared" si="84"/>
        <v>0</v>
      </c>
    </row>
    <row r="355" spans="1:20" x14ac:dyDescent="0.25">
      <c r="A355" s="1">
        <v>41773</v>
      </c>
      <c r="B355">
        <v>1155</v>
      </c>
      <c r="C355">
        <v>1177.7</v>
      </c>
      <c r="D355">
        <v>1150.0999999999999</v>
      </c>
      <c r="E355">
        <v>1157.1500000000001</v>
      </c>
      <c r="F355">
        <v>1322077</v>
      </c>
      <c r="G355" s="4">
        <f t="shared" si="71"/>
        <v>5.2000000000000455</v>
      </c>
      <c r="H355" s="4">
        <f t="shared" si="72"/>
        <v>0</v>
      </c>
      <c r="I355" s="6">
        <f t="shared" si="77"/>
        <v>6.5571428571428703</v>
      </c>
      <c r="J355" s="6">
        <f t="shared" si="78"/>
        <v>5.3500000000000068</v>
      </c>
      <c r="K355" s="4">
        <f t="shared" si="79"/>
        <v>1.2256341789052079</v>
      </c>
      <c r="L355">
        <f t="shared" si="80"/>
        <v>55.068986202759469</v>
      </c>
      <c r="M355" s="14" t="str">
        <f t="shared" si="73"/>
        <v/>
      </c>
      <c r="N355" s="7">
        <f t="shared" si="74"/>
        <v>0</v>
      </c>
      <c r="O355" s="7">
        <f t="shared" si="81"/>
        <v>0</v>
      </c>
      <c r="P355" s="7">
        <f t="shared" si="82"/>
        <v>1</v>
      </c>
      <c r="Q355" s="10" t="e">
        <f t="shared" si="75"/>
        <v>#N/A</v>
      </c>
      <c r="R355" s="10" t="e">
        <f t="shared" si="76"/>
        <v>#N/A</v>
      </c>
      <c r="S355" s="7">
        <f t="shared" si="83"/>
        <v>1140.25</v>
      </c>
      <c r="T355" s="7">
        <f t="shared" si="84"/>
        <v>0</v>
      </c>
    </row>
    <row r="356" spans="1:20" x14ac:dyDescent="0.25">
      <c r="A356" s="1">
        <v>41774</v>
      </c>
      <c r="B356">
        <v>1157</v>
      </c>
      <c r="C356">
        <v>1177</v>
      </c>
      <c r="D356">
        <v>1157</v>
      </c>
      <c r="E356">
        <v>1175.4000000000001</v>
      </c>
      <c r="F356">
        <v>491193</v>
      </c>
      <c r="G356" s="4">
        <f t="shared" si="71"/>
        <v>18.25</v>
      </c>
      <c r="H356" s="4">
        <f t="shared" si="72"/>
        <v>0</v>
      </c>
      <c r="I356" s="6">
        <f t="shared" si="77"/>
        <v>7.8607142857142991</v>
      </c>
      <c r="J356" s="6">
        <f t="shared" si="78"/>
        <v>3.3142857142857207</v>
      </c>
      <c r="K356" s="4">
        <f t="shared" si="79"/>
        <v>2.3717672413793096</v>
      </c>
      <c r="L356">
        <f t="shared" si="80"/>
        <v>70.341962288271006</v>
      </c>
      <c r="M356" s="14" t="str">
        <f t="shared" si="73"/>
        <v>OVERBOUGHT</v>
      </c>
      <c r="N356" s="7" t="str">
        <f t="shared" si="74"/>
        <v>SELL</v>
      </c>
      <c r="O356" s="7" t="str">
        <f t="shared" si="81"/>
        <v>SELL</v>
      </c>
      <c r="P356" s="7">
        <f t="shared" si="82"/>
        <v>-1</v>
      </c>
      <c r="Q356" s="10" t="e">
        <f t="shared" si="75"/>
        <v>#N/A</v>
      </c>
      <c r="R356" s="10">
        <f t="shared" si="76"/>
        <v>1175.4000000000001</v>
      </c>
      <c r="S356" s="7">
        <f t="shared" si="83"/>
        <v>1175.4000000000001</v>
      </c>
      <c r="T356" s="7">
        <f t="shared" si="84"/>
        <v>3.082657311992992E-2</v>
      </c>
    </row>
    <row r="357" spans="1:20" x14ac:dyDescent="0.25">
      <c r="A357" s="1">
        <v>41775</v>
      </c>
      <c r="B357">
        <v>1158.9000000000001</v>
      </c>
      <c r="C357">
        <v>1172</v>
      </c>
      <c r="D357">
        <v>1156.6500000000001</v>
      </c>
      <c r="E357">
        <v>1167.75</v>
      </c>
      <c r="F357">
        <v>848827</v>
      </c>
      <c r="G357" s="4">
        <f t="shared" si="71"/>
        <v>0</v>
      </c>
      <c r="H357" s="4">
        <f t="shared" si="72"/>
        <v>7.6500000000000909</v>
      </c>
      <c r="I357" s="6">
        <f t="shared" si="77"/>
        <v>6.7642857142857338</v>
      </c>
      <c r="J357" s="6">
        <f t="shared" si="78"/>
        <v>3.8607142857142986</v>
      </c>
      <c r="K357" s="4">
        <f t="shared" si="79"/>
        <v>1.752081406105457</v>
      </c>
      <c r="L357">
        <f t="shared" si="80"/>
        <v>63.663865546218481</v>
      </c>
      <c r="M357" s="14" t="str">
        <f t="shared" si="73"/>
        <v/>
      </c>
      <c r="N357" s="7">
        <f t="shared" si="74"/>
        <v>0</v>
      </c>
      <c r="O357" s="7">
        <f t="shared" si="81"/>
        <v>0</v>
      </c>
      <c r="P357" s="7">
        <f t="shared" si="82"/>
        <v>-1</v>
      </c>
      <c r="Q357" s="10" t="e">
        <f t="shared" si="75"/>
        <v>#N/A</v>
      </c>
      <c r="R357" s="10" t="e">
        <f t="shared" si="76"/>
        <v>#N/A</v>
      </c>
      <c r="S357" s="7">
        <f t="shared" si="83"/>
        <v>1175.4000000000001</v>
      </c>
      <c r="T357" s="7">
        <f t="shared" si="84"/>
        <v>0</v>
      </c>
    </row>
    <row r="358" spans="1:20" x14ac:dyDescent="0.25">
      <c r="A358" s="1">
        <v>41778</v>
      </c>
      <c r="B358">
        <v>1166</v>
      </c>
      <c r="C358">
        <v>1175</v>
      </c>
      <c r="D358">
        <v>1150</v>
      </c>
      <c r="E358">
        <v>1152.0999999999999</v>
      </c>
      <c r="F358">
        <v>683904</v>
      </c>
      <c r="G358" s="4">
        <f t="shared" si="71"/>
        <v>0</v>
      </c>
      <c r="H358" s="4">
        <f t="shared" si="72"/>
        <v>15.650000000000091</v>
      </c>
      <c r="I358" s="6">
        <f t="shared" si="77"/>
        <v>6.4785714285714482</v>
      </c>
      <c r="J358" s="6">
        <f t="shared" si="78"/>
        <v>4.9785714285714482</v>
      </c>
      <c r="K358" s="4">
        <f t="shared" si="79"/>
        <v>1.3012912482065986</v>
      </c>
      <c r="L358">
        <f t="shared" si="80"/>
        <v>56.546134663341618</v>
      </c>
      <c r="M358" s="14" t="str">
        <f t="shared" si="73"/>
        <v/>
      </c>
      <c r="N358" s="7">
        <f t="shared" si="74"/>
        <v>0</v>
      </c>
      <c r="O358" s="7">
        <f t="shared" si="81"/>
        <v>0</v>
      </c>
      <c r="P358" s="7">
        <f t="shared" si="82"/>
        <v>-1</v>
      </c>
      <c r="Q358" s="10" t="e">
        <f t="shared" si="75"/>
        <v>#N/A</v>
      </c>
      <c r="R358" s="10" t="e">
        <f t="shared" si="76"/>
        <v>#N/A</v>
      </c>
      <c r="S358" s="7">
        <f t="shared" si="83"/>
        <v>1175.4000000000001</v>
      </c>
      <c r="T358" s="7">
        <f t="shared" si="84"/>
        <v>0</v>
      </c>
    </row>
    <row r="359" spans="1:20" x14ac:dyDescent="0.25">
      <c r="A359" s="1">
        <v>41779</v>
      </c>
      <c r="B359">
        <v>1140</v>
      </c>
      <c r="C359">
        <v>1168</v>
      </c>
      <c r="D359">
        <v>1140</v>
      </c>
      <c r="E359">
        <v>1164.3499999999999</v>
      </c>
      <c r="F359">
        <v>678537</v>
      </c>
      <c r="G359" s="4">
        <f t="shared" si="71"/>
        <v>12.25</v>
      </c>
      <c r="H359" s="4">
        <f t="shared" si="72"/>
        <v>0</v>
      </c>
      <c r="I359" s="6">
        <f t="shared" si="77"/>
        <v>6.5964285714285813</v>
      </c>
      <c r="J359" s="6">
        <f t="shared" si="78"/>
        <v>4.9785714285714482</v>
      </c>
      <c r="K359" s="4">
        <f t="shared" si="79"/>
        <v>1.3249641319942578</v>
      </c>
      <c r="L359">
        <f t="shared" si="80"/>
        <v>56.98858377044116</v>
      </c>
      <c r="M359" s="14" t="str">
        <f t="shared" si="73"/>
        <v/>
      </c>
      <c r="N359" s="7">
        <f t="shared" si="74"/>
        <v>0</v>
      </c>
      <c r="O359" s="7">
        <f t="shared" si="81"/>
        <v>0</v>
      </c>
      <c r="P359" s="7">
        <f t="shared" si="82"/>
        <v>-1</v>
      </c>
      <c r="Q359" s="10" t="e">
        <f t="shared" si="75"/>
        <v>#N/A</v>
      </c>
      <c r="R359" s="10" t="e">
        <f t="shared" si="76"/>
        <v>#N/A</v>
      </c>
      <c r="S359" s="7">
        <f t="shared" si="83"/>
        <v>1175.4000000000001</v>
      </c>
      <c r="T359" s="7">
        <f t="shared" si="84"/>
        <v>0</v>
      </c>
    </row>
    <row r="360" spans="1:20" x14ac:dyDescent="0.25">
      <c r="A360" s="1">
        <v>41780</v>
      </c>
      <c r="B360">
        <v>1163</v>
      </c>
      <c r="C360">
        <v>1183.1500000000001</v>
      </c>
      <c r="D360">
        <v>1158</v>
      </c>
      <c r="E360">
        <v>1179.3</v>
      </c>
      <c r="F360">
        <v>918721</v>
      </c>
      <c r="G360" s="4">
        <f t="shared" si="71"/>
        <v>14.950000000000045</v>
      </c>
      <c r="H360" s="4">
        <f t="shared" si="72"/>
        <v>0</v>
      </c>
      <c r="I360" s="6">
        <f t="shared" si="77"/>
        <v>6.7107142857143049</v>
      </c>
      <c r="J360" s="6">
        <f t="shared" si="78"/>
        <v>4.9785714285714482</v>
      </c>
      <c r="K360" s="4">
        <f t="shared" si="79"/>
        <v>1.3479196556671436</v>
      </c>
      <c r="L360">
        <f t="shared" si="80"/>
        <v>57.409104796822469</v>
      </c>
      <c r="M360" s="14" t="str">
        <f t="shared" si="73"/>
        <v/>
      </c>
      <c r="N360" s="7">
        <f t="shared" si="74"/>
        <v>0</v>
      </c>
      <c r="O360" s="7">
        <f t="shared" si="81"/>
        <v>0</v>
      </c>
      <c r="P360" s="7">
        <f t="shared" si="82"/>
        <v>-1</v>
      </c>
      <c r="Q360" s="10" t="e">
        <f t="shared" si="75"/>
        <v>#N/A</v>
      </c>
      <c r="R360" s="10" t="e">
        <f t="shared" si="76"/>
        <v>#N/A</v>
      </c>
      <c r="S360" s="7">
        <f t="shared" si="83"/>
        <v>1175.4000000000001</v>
      </c>
      <c r="T360" s="7">
        <f t="shared" si="84"/>
        <v>0</v>
      </c>
    </row>
    <row r="361" spans="1:20" x14ac:dyDescent="0.25">
      <c r="A361" s="1">
        <v>41781</v>
      </c>
      <c r="B361">
        <v>1171.9000000000001</v>
      </c>
      <c r="C361">
        <v>1185</v>
      </c>
      <c r="D361">
        <v>1163.5</v>
      </c>
      <c r="E361">
        <v>1181.4000000000001</v>
      </c>
      <c r="F361">
        <v>1063835</v>
      </c>
      <c r="G361" s="4">
        <f t="shared" si="71"/>
        <v>2.1000000000001364</v>
      </c>
      <c r="H361" s="4">
        <f t="shared" si="72"/>
        <v>0</v>
      </c>
      <c r="I361" s="6">
        <f t="shared" si="77"/>
        <v>6.1607142857143185</v>
      </c>
      <c r="J361" s="6">
        <f t="shared" si="78"/>
        <v>4.9785714285714482</v>
      </c>
      <c r="K361" s="4">
        <f t="shared" si="79"/>
        <v>1.2374461979913933</v>
      </c>
      <c r="L361">
        <f t="shared" si="80"/>
        <v>55.306187880731038</v>
      </c>
      <c r="M361" s="14" t="str">
        <f t="shared" si="73"/>
        <v/>
      </c>
      <c r="N361" s="7">
        <f t="shared" si="74"/>
        <v>0</v>
      </c>
      <c r="O361" s="7">
        <f t="shared" si="81"/>
        <v>0</v>
      </c>
      <c r="P361" s="7">
        <f t="shared" si="82"/>
        <v>-1</v>
      </c>
      <c r="Q361" s="10" t="e">
        <f t="shared" si="75"/>
        <v>#N/A</v>
      </c>
      <c r="R361" s="10" t="e">
        <f t="shared" si="76"/>
        <v>#N/A</v>
      </c>
      <c r="S361" s="7">
        <f t="shared" si="83"/>
        <v>1175.4000000000001</v>
      </c>
      <c r="T361" s="7">
        <f t="shared" si="84"/>
        <v>0</v>
      </c>
    </row>
    <row r="362" spans="1:20" x14ac:dyDescent="0.25">
      <c r="A362" s="1">
        <v>41782</v>
      </c>
      <c r="B362">
        <v>1175</v>
      </c>
      <c r="C362">
        <v>1193.8</v>
      </c>
      <c r="D362">
        <v>1175</v>
      </c>
      <c r="E362">
        <v>1186.3499999999999</v>
      </c>
      <c r="F362">
        <v>1346983</v>
      </c>
      <c r="G362" s="4">
        <f t="shared" si="71"/>
        <v>4.9499999999998181</v>
      </c>
      <c r="H362" s="4">
        <f t="shared" si="72"/>
        <v>0</v>
      </c>
      <c r="I362" s="6">
        <f t="shared" si="77"/>
        <v>5.789285714285727</v>
      </c>
      <c r="J362" s="6">
        <f t="shared" si="78"/>
        <v>4.9785714285714482</v>
      </c>
      <c r="K362" s="4">
        <f t="shared" si="79"/>
        <v>1.1628407460545174</v>
      </c>
      <c r="L362">
        <f t="shared" si="80"/>
        <v>53.764510779436108</v>
      </c>
      <c r="M362" s="14" t="str">
        <f t="shared" si="73"/>
        <v/>
      </c>
      <c r="N362" s="7">
        <f t="shared" si="74"/>
        <v>0</v>
      </c>
      <c r="O362" s="7">
        <f t="shared" si="81"/>
        <v>0</v>
      </c>
      <c r="P362" s="7">
        <f t="shared" si="82"/>
        <v>-1</v>
      </c>
      <c r="Q362" s="10" t="e">
        <f t="shared" si="75"/>
        <v>#N/A</v>
      </c>
      <c r="R362" s="10" t="e">
        <f t="shared" si="76"/>
        <v>#N/A</v>
      </c>
      <c r="S362" s="7">
        <f t="shared" si="83"/>
        <v>1175.4000000000001</v>
      </c>
      <c r="T362" s="7">
        <f t="shared" si="84"/>
        <v>0</v>
      </c>
    </row>
    <row r="363" spans="1:20" x14ac:dyDescent="0.25">
      <c r="A363" s="1">
        <v>41785</v>
      </c>
      <c r="B363">
        <v>1186.55</v>
      </c>
      <c r="C363">
        <v>1197.5</v>
      </c>
      <c r="D363">
        <v>1185.0999999999999</v>
      </c>
      <c r="E363">
        <v>1189.2</v>
      </c>
      <c r="F363">
        <v>1887275</v>
      </c>
      <c r="G363" s="4">
        <f t="shared" si="71"/>
        <v>2.8500000000001364</v>
      </c>
      <c r="H363" s="4">
        <f t="shared" si="72"/>
        <v>0</v>
      </c>
      <c r="I363" s="6">
        <f t="shared" si="77"/>
        <v>5.992857142857166</v>
      </c>
      <c r="J363" s="6">
        <f t="shared" si="78"/>
        <v>4.375000000000016</v>
      </c>
      <c r="K363" s="4">
        <f t="shared" si="79"/>
        <v>1.3697959183673472</v>
      </c>
      <c r="L363">
        <f t="shared" si="80"/>
        <v>57.802273510161911</v>
      </c>
      <c r="M363" s="14" t="str">
        <f t="shared" si="73"/>
        <v/>
      </c>
      <c r="N363" s="7">
        <f t="shared" si="74"/>
        <v>0</v>
      </c>
      <c r="O363" s="7">
        <f t="shared" si="81"/>
        <v>0</v>
      </c>
      <c r="P363" s="7">
        <f t="shared" si="82"/>
        <v>-1</v>
      </c>
      <c r="Q363" s="10" t="e">
        <f t="shared" si="75"/>
        <v>#N/A</v>
      </c>
      <c r="R363" s="10" t="e">
        <f t="shared" si="76"/>
        <v>#N/A</v>
      </c>
      <c r="S363" s="7">
        <f t="shared" si="83"/>
        <v>1175.4000000000001</v>
      </c>
      <c r="T363" s="7">
        <f t="shared" si="84"/>
        <v>0</v>
      </c>
    </row>
    <row r="364" spans="1:20" x14ac:dyDescent="0.25">
      <c r="A364" s="1">
        <v>41786</v>
      </c>
      <c r="B364">
        <v>1189.2</v>
      </c>
      <c r="C364">
        <v>1190.5</v>
      </c>
      <c r="D364">
        <v>1172.55</v>
      </c>
      <c r="E364">
        <v>1175.3</v>
      </c>
      <c r="F364">
        <v>1614700</v>
      </c>
      <c r="G364" s="4">
        <f t="shared" si="71"/>
        <v>0</v>
      </c>
      <c r="H364" s="4">
        <f t="shared" si="72"/>
        <v>13.900000000000091</v>
      </c>
      <c r="I364" s="6">
        <f t="shared" si="77"/>
        <v>5.992857142857166</v>
      </c>
      <c r="J364" s="6">
        <f t="shared" si="78"/>
        <v>4.1785714285714608</v>
      </c>
      <c r="K364" s="4">
        <f t="shared" si="79"/>
        <v>1.4341880341880286</v>
      </c>
      <c r="L364">
        <f t="shared" si="80"/>
        <v>58.918539325842602</v>
      </c>
      <c r="M364" s="14" t="str">
        <f t="shared" si="73"/>
        <v/>
      </c>
      <c r="N364" s="7">
        <f t="shared" si="74"/>
        <v>0</v>
      </c>
      <c r="O364" s="7">
        <f t="shared" si="81"/>
        <v>0</v>
      </c>
      <c r="P364" s="7">
        <f t="shared" si="82"/>
        <v>-1</v>
      </c>
      <c r="Q364" s="10" t="e">
        <f t="shared" si="75"/>
        <v>#N/A</v>
      </c>
      <c r="R364" s="10" t="e">
        <f t="shared" si="76"/>
        <v>#N/A</v>
      </c>
      <c r="S364" s="7">
        <f t="shared" si="83"/>
        <v>1175.4000000000001</v>
      </c>
      <c r="T364" s="7">
        <f t="shared" si="84"/>
        <v>0</v>
      </c>
    </row>
    <row r="365" spans="1:20" x14ac:dyDescent="0.25">
      <c r="A365" s="1">
        <v>41787</v>
      </c>
      <c r="B365">
        <v>1178</v>
      </c>
      <c r="C365">
        <v>1194.9000000000001</v>
      </c>
      <c r="D365">
        <v>1178</v>
      </c>
      <c r="E365">
        <v>1191.05</v>
      </c>
      <c r="F365">
        <v>1062891</v>
      </c>
      <c r="G365" s="4">
        <f t="shared" si="71"/>
        <v>15.75</v>
      </c>
      <c r="H365" s="4">
        <f t="shared" si="72"/>
        <v>0</v>
      </c>
      <c r="I365" s="6">
        <f t="shared" si="77"/>
        <v>7.117857142857166</v>
      </c>
      <c r="J365" s="6">
        <f t="shared" si="78"/>
        <v>2.6571428571428766</v>
      </c>
      <c r="K365" s="4">
        <f t="shared" si="79"/>
        <v>2.6787634408602043</v>
      </c>
      <c r="L365">
        <f t="shared" si="80"/>
        <v>72.816952868103684</v>
      </c>
      <c r="M365" s="14" t="str">
        <f t="shared" si="73"/>
        <v>OVERBOUGHT</v>
      </c>
      <c r="N365" s="7" t="str">
        <f t="shared" si="74"/>
        <v>SELL</v>
      </c>
      <c r="O365" s="7">
        <f t="shared" si="81"/>
        <v>0</v>
      </c>
      <c r="P365" s="7">
        <f t="shared" si="82"/>
        <v>-1</v>
      </c>
      <c r="Q365" s="10" t="e">
        <f t="shared" si="75"/>
        <v>#N/A</v>
      </c>
      <c r="R365" s="10" t="e">
        <f t="shared" si="76"/>
        <v>#N/A</v>
      </c>
      <c r="S365" s="7">
        <f t="shared" si="83"/>
        <v>1175.4000000000001</v>
      </c>
      <c r="T365" s="7">
        <f t="shared" si="84"/>
        <v>0</v>
      </c>
    </row>
    <row r="366" spans="1:20" x14ac:dyDescent="0.25">
      <c r="A366" s="1">
        <v>41788</v>
      </c>
      <c r="B366">
        <v>1186</v>
      </c>
      <c r="C366">
        <v>1205</v>
      </c>
      <c r="D366">
        <v>1181.25</v>
      </c>
      <c r="E366">
        <v>1184.25</v>
      </c>
      <c r="F366">
        <v>1406191</v>
      </c>
      <c r="G366" s="4">
        <f t="shared" si="71"/>
        <v>0</v>
      </c>
      <c r="H366" s="4">
        <f t="shared" si="72"/>
        <v>6.7999999999999545</v>
      </c>
      <c r="I366" s="6">
        <f t="shared" si="77"/>
        <v>6.6071428571428736</v>
      </c>
      <c r="J366" s="6">
        <f t="shared" si="78"/>
        <v>3.1428571428571592</v>
      </c>
      <c r="K366" s="4">
        <f t="shared" si="79"/>
        <v>2.1022727272727217</v>
      </c>
      <c r="L366">
        <f t="shared" si="80"/>
        <v>67.76556776556771</v>
      </c>
      <c r="M366" s="14" t="str">
        <f t="shared" si="73"/>
        <v/>
      </c>
      <c r="N366" s="7">
        <f t="shared" si="74"/>
        <v>0</v>
      </c>
      <c r="O366" s="7">
        <f t="shared" si="81"/>
        <v>0</v>
      </c>
      <c r="P366" s="7">
        <f t="shared" si="82"/>
        <v>-1</v>
      </c>
      <c r="Q366" s="10" t="e">
        <f t="shared" si="75"/>
        <v>#N/A</v>
      </c>
      <c r="R366" s="10" t="e">
        <f t="shared" si="76"/>
        <v>#N/A</v>
      </c>
      <c r="S366" s="7">
        <f t="shared" si="83"/>
        <v>1175.4000000000001</v>
      </c>
      <c r="T366" s="7">
        <f t="shared" si="84"/>
        <v>0</v>
      </c>
    </row>
    <row r="367" spans="1:20" x14ac:dyDescent="0.25">
      <c r="A367" s="1">
        <v>41789</v>
      </c>
      <c r="B367">
        <v>1183</v>
      </c>
      <c r="C367">
        <v>1185.9000000000001</v>
      </c>
      <c r="D367">
        <v>1148.25</v>
      </c>
      <c r="E367">
        <v>1151.1500000000001</v>
      </c>
      <c r="F367">
        <v>1168760</v>
      </c>
      <c r="G367" s="4">
        <f t="shared" si="71"/>
        <v>0</v>
      </c>
      <c r="H367" s="4">
        <f t="shared" si="72"/>
        <v>33.099999999999909</v>
      </c>
      <c r="I367" s="6">
        <f t="shared" si="77"/>
        <v>5.9785714285714482</v>
      </c>
      <c r="J367" s="6">
        <f t="shared" si="78"/>
        <v>5.5071428571428669</v>
      </c>
      <c r="K367" s="4">
        <f t="shared" si="79"/>
        <v>1.0856031128404686</v>
      </c>
      <c r="L367">
        <f t="shared" si="80"/>
        <v>52.052238805970184</v>
      </c>
      <c r="M367" s="14" t="str">
        <f t="shared" si="73"/>
        <v/>
      </c>
      <c r="N367" s="7">
        <f t="shared" si="74"/>
        <v>0</v>
      </c>
      <c r="O367" s="7">
        <f t="shared" si="81"/>
        <v>0</v>
      </c>
      <c r="P367" s="7">
        <f t="shared" si="82"/>
        <v>-1</v>
      </c>
      <c r="Q367" s="10" t="e">
        <f t="shared" si="75"/>
        <v>#N/A</v>
      </c>
      <c r="R367" s="10" t="e">
        <f t="shared" si="76"/>
        <v>#N/A</v>
      </c>
      <c r="S367" s="7">
        <f t="shared" si="83"/>
        <v>1175.4000000000001</v>
      </c>
      <c r="T367" s="7">
        <f t="shared" si="84"/>
        <v>0</v>
      </c>
    </row>
    <row r="368" spans="1:20" x14ac:dyDescent="0.25">
      <c r="A368" s="1">
        <v>41792</v>
      </c>
      <c r="B368">
        <v>1155</v>
      </c>
      <c r="C368">
        <v>1157</v>
      </c>
      <c r="D368">
        <v>1104</v>
      </c>
      <c r="E368">
        <v>1109.2</v>
      </c>
      <c r="F368">
        <v>1894073</v>
      </c>
      <c r="G368" s="4">
        <f t="shared" si="71"/>
        <v>0</v>
      </c>
      <c r="H368" s="4">
        <f t="shared" si="72"/>
        <v>41.950000000000045</v>
      </c>
      <c r="I368" s="6">
        <f t="shared" si="77"/>
        <v>5.4500000000000126</v>
      </c>
      <c r="J368" s="6">
        <f t="shared" si="78"/>
        <v>8.5035714285714423</v>
      </c>
      <c r="K368" s="4">
        <f t="shared" si="79"/>
        <v>0.64090718185636331</v>
      </c>
      <c r="L368">
        <f t="shared" si="80"/>
        <v>39.058100844637842</v>
      </c>
      <c r="M368" s="14" t="str">
        <f t="shared" si="73"/>
        <v/>
      </c>
      <c r="N368" s="7">
        <f t="shared" si="74"/>
        <v>0</v>
      </c>
      <c r="O368" s="7">
        <f t="shared" si="81"/>
        <v>0</v>
      </c>
      <c r="P368" s="7">
        <f t="shared" si="82"/>
        <v>-1</v>
      </c>
      <c r="Q368" s="10" t="e">
        <f t="shared" si="75"/>
        <v>#N/A</v>
      </c>
      <c r="R368" s="10" t="e">
        <f t="shared" si="76"/>
        <v>#N/A</v>
      </c>
      <c r="S368" s="7">
        <f t="shared" si="83"/>
        <v>1175.4000000000001</v>
      </c>
      <c r="T368" s="7">
        <f t="shared" si="84"/>
        <v>0</v>
      </c>
    </row>
    <row r="369" spans="1:20" x14ac:dyDescent="0.25">
      <c r="A369" s="1">
        <v>41793</v>
      </c>
      <c r="B369">
        <v>1115</v>
      </c>
      <c r="C369">
        <v>1119</v>
      </c>
      <c r="D369">
        <v>1058</v>
      </c>
      <c r="E369">
        <v>1069.3</v>
      </c>
      <c r="F369">
        <v>2655204</v>
      </c>
      <c r="G369" s="4">
        <f t="shared" si="71"/>
        <v>0</v>
      </c>
      <c r="H369" s="4">
        <f t="shared" si="72"/>
        <v>39.900000000000091</v>
      </c>
      <c r="I369" s="6">
        <f t="shared" si="77"/>
        <v>5.0785714285714381</v>
      </c>
      <c r="J369" s="6">
        <f t="shared" si="78"/>
        <v>11.353571428571447</v>
      </c>
      <c r="K369" s="4">
        <f t="shared" si="79"/>
        <v>0.447310474992136</v>
      </c>
      <c r="L369">
        <f t="shared" si="80"/>
        <v>30.906324712019128</v>
      </c>
      <c r="M369" s="14" t="str">
        <f t="shared" si="73"/>
        <v/>
      </c>
      <c r="N369" s="7">
        <f t="shared" si="74"/>
        <v>0</v>
      </c>
      <c r="O369" s="7">
        <f t="shared" si="81"/>
        <v>0</v>
      </c>
      <c r="P369" s="7">
        <f t="shared" si="82"/>
        <v>-1</v>
      </c>
      <c r="Q369" s="10" t="e">
        <f t="shared" si="75"/>
        <v>#N/A</v>
      </c>
      <c r="R369" s="10" t="e">
        <f t="shared" si="76"/>
        <v>#N/A</v>
      </c>
      <c r="S369" s="7">
        <f t="shared" si="83"/>
        <v>1175.4000000000001</v>
      </c>
      <c r="T369" s="7">
        <f t="shared" si="84"/>
        <v>0</v>
      </c>
    </row>
    <row r="370" spans="1:20" x14ac:dyDescent="0.25">
      <c r="A370" s="1">
        <v>41794</v>
      </c>
      <c r="B370">
        <v>1075</v>
      </c>
      <c r="C370">
        <v>1110.7</v>
      </c>
      <c r="D370">
        <v>1063.2</v>
      </c>
      <c r="E370">
        <v>1106.75</v>
      </c>
      <c r="F370">
        <v>1712973</v>
      </c>
      <c r="G370" s="4">
        <f t="shared" si="71"/>
        <v>37.450000000000045</v>
      </c>
      <c r="H370" s="4">
        <f t="shared" si="72"/>
        <v>0</v>
      </c>
      <c r="I370" s="6">
        <f t="shared" si="77"/>
        <v>6.4500000000000126</v>
      </c>
      <c r="J370" s="6">
        <f t="shared" si="78"/>
        <v>11.353571428571447</v>
      </c>
      <c r="K370" s="4">
        <f t="shared" si="79"/>
        <v>0.56810317709971703</v>
      </c>
      <c r="L370">
        <f t="shared" si="80"/>
        <v>36.228686058174524</v>
      </c>
      <c r="M370" s="14" t="str">
        <f t="shared" si="73"/>
        <v/>
      </c>
      <c r="N370" s="7">
        <f t="shared" si="74"/>
        <v>0</v>
      </c>
      <c r="O370" s="7">
        <f t="shared" si="81"/>
        <v>0</v>
      </c>
      <c r="P370" s="7">
        <f t="shared" si="82"/>
        <v>-1</v>
      </c>
      <c r="Q370" s="10" t="e">
        <f t="shared" si="75"/>
        <v>#N/A</v>
      </c>
      <c r="R370" s="10" t="e">
        <f t="shared" si="76"/>
        <v>#N/A</v>
      </c>
      <c r="S370" s="7">
        <f t="shared" si="83"/>
        <v>1175.4000000000001</v>
      </c>
      <c r="T370" s="7">
        <f t="shared" si="84"/>
        <v>0</v>
      </c>
    </row>
    <row r="371" spans="1:20" x14ac:dyDescent="0.25">
      <c r="A371" s="1">
        <v>41795</v>
      </c>
      <c r="B371">
        <v>1116</v>
      </c>
      <c r="C371">
        <v>1116.9000000000001</v>
      </c>
      <c r="D371">
        <v>1080</v>
      </c>
      <c r="E371">
        <v>1083.5</v>
      </c>
      <c r="F371">
        <v>1785417</v>
      </c>
      <c r="G371" s="4">
        <f t="shared" si="71"/>
        <v>0</v>
      </c>
      <c r="H371" s="4">
        <f t="shared" si="72"/>
        <v>23.25</v>
      </c>
      <c r="I371" s="6">
        <f t="shared" si="77"/>
        <v>6.4500000000000126</v>
      </c>
      <c r="J371" s="6">
        <f t="shared" si="78"/>
        <v>12.467857142857156</v>
      </c>
      <c r="K371" s="4">
        <f t="shared" si="79"/>
        <v>0.51733027785734798</v>
      </c>
      <c r="L371">
        <f t="shared" si="80"/>
        <v>34.094770624882031</v>
      </c>
      <c r="M371" s="14" t="str">
        <f t="shared" si="73"/>
        <v/>
      </c>
      <c r="N371" s="7">
        <f t="shared" si="74"/>
        <v>0</v>
      </c>
      <c r="O371" s="7">
        <f t="shared" si="81"/>
        <v>0</v>
      </c>
      <c r="P371" s="7">
        <f t="shared" si="82"/>
        <v>-1</v>
      </c>
      <c r="Q371" s="10" t="e">
        <f t="shared" si="75"/>
        <v>#N/A</v>
      </c>
      <c r="R371" s="10" t="e">
        <f t="shared" si="76"/>
        <v>#N/A</v>
      </c>
      <c r="S371" s="7">
        <f t="shared" si="83"/>
        <v>1175.4000000000001</v>
      </c>
      <c r="T371" s="7">
        <f t="shared" si="84"/>
        <v>0</v>
      </c>
    </row>
    <row r="372" spans="1:20" x14ac:dyDescent="0.25">
      <c r="A372" s="1">
        <v>41796</v>
      </c>
      <c r="B372">
        <v>1081.8</v>
      </c>
      <c r="C372">
        <v>1101</v>
      </c>
      <c r="D372">
        <v>1070.0999999999999</v>
      </c>
      <c r="E372">
        <v>1097</v>
      </c>
      <c r="F372">
        <v>1214118</v>
      </c>
      <c r="G372" s="4">
        <f t="shared" si="71"/>
        <v>13.5</v>
      </c>
      <c r="H372" s="4">
        <f t="shared" si="72"/>
        <v>0</v>
      </c>
      <c r="I372" s="6">
        <f t="shared" si="77"/>
        <v>7.414285714285727</v>
      </c>
      <c r="J372" s="6">
        <f t="shared" si="78"/>
        <v>11.350000000000007</v>
      </c>
      <c r="K372" s="4">
        <f t="shared" si="79"/>
        <v>0.65324103209565842</v>
      </c>
      <c r="L372">
        <f t="shared" si="80"/>
        <v>39.512752188808562</v>
      </c>
      <c r="M372" s="14" t="str">
        <f t="shared" si="73"/>
        <v/>
      </c>
      <c r="N372" s="7">
        <f t="shared" si="74"/>
        <v>0</v>
      </c>
      <c r="O372" s="7">
        <f t="shared" si="81"/>
        <v>0</v>
      </c>
      <c r="P372" s="7">
        <f t="shared" si="82"/>
        <v>-1</v>
      </c>
      <c r="Q372" s="10" t="e">
        <f t="shared" si="75"/>
        <v>#N/A</v>
      </c>
      <c r="R372" s="10" t="e">
        <f t="shared" si="76"/>
        <v>#N/A</v>
      </c>
      <c r="S372" s="7">
        <f t="shared" si="83"/>
        <v>1175.4000000000001</v>
      </c>
      <c r="T372" s="7">
        <f t="shared" si="84"/>
        <v>0</v>
      </c>
    </row>
    <row r="373" spans="1:20" x14ac:dyDescent="0.25">
      <c r="A373" s="1">
        <v>41799</v>
      </c>
      <c r="B373">
        <v>1100</v>
      </c>
      <c r="C373">
        <v>1140.75</v>
      </c>
      <c r="D373">
        <v>1099</v>
      </c>
      <c r="E373">
        <v>1137.75</v>
      </c>
      <c r="F373">
        <v>2075794</v>
      </c>
      <c r="G373" s="4">
        <f t="shared" si="71"/>
        <v>40.75</v>
      </c>
      <c r="H373" s="4">
        <f t="shared" si="72"/>
        <v>0</v>
      </c>
      <c r="I373" s="6">
        <f t="shared" si="77"/>
        <v>9.4500000000000135</v>
      </c>
      <c r="J373" s="6">
        <f t="shared" si="78"/>
        <v>11.350000000000007</v>
      </c>
      <c r="K373" s="4">
        <f t="shared" si="79"/>
        <v>0.83259911894273197</v>
      </c>
      <c r="L373">
        <f t="shared" si="80"/>
        <v>45.432692307692328</v>
      </c>
      <c r="M373" s="14" t="str">
        <f t="shared" si="73"/>
        <v/>
      </c>
      <c r="N373" s="7">
        <f t="shared" si="74"/>
        <v>0</v>
      </c>
      <c r="O373" s="7">
        <f t="shared" si="81"/>
        <v>0</v>
      </c>
      <c r="P373" s="7">
        <f t="shared" si="82"/>
        <v>-1</v>
      </c>
      <c r="Q373" s="10" t="e">
        <f t="shared" si="75"/>
        <v>#N/A</v>
      </c>
      <c r="R373" s="10" t="e">
        <f t="shared" si="76"/>
        <v>#N/A</v>
      </c>
      <c r="S373" s="7">
        <f t="shared" si="83"/>
        <v>1175.4000000000001</v>
      </c>
      <c r="T373" s="7">
        <f t="shared" si="84"/>
        <v>0</v>
      </c>
    </row>
    <row r="374" spans="1:20" x14ac:dyDescent="0.25">
      <c r="A374" s="1">
        <v>41800</v>
      </c>
      <c r="B374">
        <v>1122</v>
      </c>
      <c r="C374">
        <v>1154.7</v>
      </c>
      <c r="D374">
        <v>1122</v>
      </c>
      <c r="E374">
        <v>1150.5999999999999</v>
      </c>
      <c r="F374">
        <v>1562609</v>
      </c>
      <c r="G374" s="4">
        <f t="shared" si="71"/>
        <v>12.849999999999909</v>
      </c>
      <c r="H374" s="4">
        <f t="shared" si="72"/>
        <v>0</v>
      </c>
      <c r="I374" s="6">
        <f t="shared" si="77"/>
        <v>9.3000000000000025</v>
      </c>
      <c r="J374" s="6">
        <f t="shared" si="78"/>
        <v>11.350000000000007</v>
      </c>
      <c r="K374" s="4">
        <f t="shared" si="79"/>
        <v>0.81938325991189398</v>
      </c>
      <c r="L374">
        <f t="shared" si="80"/>
        <v>45.036319612590788</v>
      </c>
      <c r="M374" s="14" t="str">
        <f t="shared" si="73"/>
        <v/>
      </c>
      <c r="N374" s="7">
        <f t="shared" si="74"/>
        <v>0</v>
      </c>
      <c r="O374" s="7">
        <f t="shared" si="81"/>
        <v>0</v>
      </c>
      <c r="P374" s="7">
        <f t="shared" si="82"/>
        <v>-1</v>
      </c>
      <c r="Q374" s="10" t="e">
        <f t="shared" si="75"/>
        <v>#N/A</v>
      </c>
      <c r="R374" s="10" t="e">
        <f t="shared" si="76"/>
        <v>#N/A</v>
      </c>
      <c r="S374" s="7">
        <f t="shared" si="83"/>
        <v>1175.4000000000001</v>
      </c>
      <c r="T374" s="7">
        <f t="shared" si="84"/>
        <v>0</v>
      </c>
    </row>
    <row r="375" spans="1:20" x14ac:dyDescent="0.25">
      <c r="A375" s="1">
        <v>41801</v>
      </c>
      <c r="B375">
        <v>1160</v>
      </c>
      <c r="C375">
        <v>1162</v>
      </c>
      <c r="D375">
        <v>1135.6500000000001</v>
      </c>
      <c r="E375">
        <v>1154</v>
      </c>
      <c r="F375">
        <v>1066666</v>
      </c>
      <c r="G375" s="4">
        <f t="shared" si="71"/>
        <v>3.4000000000000909</v>
      </c>
      <c r="H375" s="4">
        <f t="shared" si="72"/>
        <v>0</v>
      </c>
      <c r="I375" s="6">
        <f t="shared" si="77"/>
        <v>9.3928571428571423</v>
      </c>
      <c r="J375" s="6">
        <f t="shared" si="78"/>
        <v>11.350000000000007</v>
      </c>
      <c r="K375" s="4">
        <f t="shared" si="79"/>
        <v>0.82756450597860232</v>
      </c>
      <c r="L375">
        <f t="shared" si="80"/>
        <v>45.282369146005493</v>
      </c>
      <c r="M375" s="14" t="str">
        <f t="shared" si="73"/>
        <v/>
      </c>
      <c r="N375" s="7">
        <f t="shared" si="74"/>
        <v>0</v>
      </c>
      <c r="O375" s="7">
        <f t="shared" si="81"/>
        <v>0</v>
      </c>
      <c r="P375" s="7">
        <f t="shared" si="82"/>
        <v>-1</v>
      </c>
      <c r="Q375" s="10" t="e">
        <f t="shared" si="75"/>
        <v>#N/A</v>
      </c>
      <c r="R375" s="10" t="e">
        <f t="shared" si="76"/>
        <v>#N/A</v>
      </c>
      <c r="S375" s="7">
        <f t="shared" si="83"/>
        <v>1175.4000000000001</v>
      </c>
      <c r="T375" s="7">
        <f t="shared" si="84"/>
        <v>0</v>
      </c>
    </row>
    <row r="376" spans="1:20" x14ac:dyDescent="0.25">
      <c r="A376" s="1">
        <v>41802</v>
      </c>
      <c r="B376">
        <v>1154.7</v>
      </c>
      <c r="C376">
        <v>1178.9000000000001</v>
      </c>
      <c r="D376">
        <v>1154.7</v>
      </c>
      <c r="E376">
        <v>1169.8499999999999</v>
      </c>
      <c r="F376">
        <v>1479352</v>
      </c>
      <c r="G376" s="4">
        <f t="shared" si="71"/>
        <v>15.849999999999909</v>
      </c>
      <c r="H376" s="4">
        <f t="shared" si="72"/>
        <v>0</v>
      </c>
      <c r="I376" s="6">
        <f t="shared" si="77"/>
        <v>10.171428571428578</v>
      </c>
      <c r="J376" s="6">
        <f t="shared" si="78"/>
        <v>11.350000000000007</v>
      </c>
      <c r="K376" s="4">
        <f t="shared" si="79"/>
        <v>0.89616110761485213</v>
      </c>
      <c r="L376">
        <f t="shared" si="80"/>
        <v>47.261865250580819</v>
      </c>
      <c r="M376" s="14" t="str">
        <f t="shared" si="73"/>
        <v/>
      </c>
      <c r="N376" s="7">
        <f t="shared" si="74"/>
        <v>0</v>
      </c>
      <c r="O376" s="7">
        <f t="shared" si="81"/>
        <v>0</v>
      </c>
      <c r="P376" s="7">
        <f t="shared" si="82"/>
        <v>-1</v>
      </c>
      <c r="Q376" s="10" t="e">
        <f t="shared" si="75"/>
        <v>#N/A</v>
      </c>
      <c r="R376" s="10" t="e">
        <f t="shared" si="76"/>
        <v>#N/A</v>
      </c>
      <c r="S376" s="7">
        <f t="shared" si="83"/>
        <v>1175.4000000000001</v>
      </c>
      <c r="T376" s="7">
        <f t="shared" si="84"/>
        <v>0</v>
      </c>
    </row>
    <row r="377" spans="1:20" x14ac:dyDescent="0.25">
      <c r="A377" s="1">
        <v>41803</v>
      </c>
      <c r="B377">
        <v>1169.8</v>
      </c>
      <c r="C377">
        <v>1192</v>
      </c>
      <c r="D377">
        <v>1167</v>
      </c>
      <c r="E377">
        <v>1184.2</v>
      </c>
      <c r="F377">
        <v>2586458</v>
      </c>
      <c r="G377" s="4">
        <f t="shared" si="71"/>
        <v>14.350000000000136</v>
      </c>
      <c r="H377" s="4">
        <f t="shared" si="72"/>
        <v>0</v>
      </c>
      <c r="I377" s="6">
        <f t="shared" si="77"/>
        <v>10.992857142857149</v>
      </c>
      <c r="J377" s="6">
        <f t="shared" si="78"/>
        <v>11.350000000000007</v>
      </c>
      <c r="K377" s="4">
        <f t="shared" si="79"/>
        <v>0.96853366897419757</v>
      </c>
      <c r="L377">
        <f t="shared" si="80"/>
        <v>49.20076726342711</v>
      </c>
      <c r="M377" s="14" t="str">
        <f t="shared" si="73"/>
        <v/>
      </c>
      <c r="N377" s="7">
        <f t="shared" si="74"/>
        <v>0</v>
      </c>
      <c r="O377" s="7">
        <f t="shared" si="81"/>
        <v>0</v>
      </c>
      <c r="P377" s="7">
        <f t="shared" si="82"/>
        <v>-1</v>
      </c>
      <c r="Q377" s="10" t="e">
        <f t="shared" si="75"/>
        <v>#N/A</v>
      </c>
      <c r="R377" s="10" t="e">
        <f t="shared" si="76"/>
        <v>#N/A</v>
      </c>
      <c r="S377" s="7">
        <f t="shared" si="83"/>
        <v>1175.4000000000001</v>
      </c>
      <c r="T377" s="7">
        <f t="shared" si="84"/>
        <v>0</v>
      </c>
    </row>
    <row r="378" spans="1:20" x14ac:dyDescent="0.25">
      <c r="A378" s="1">
        <v>41806</v>
      </c>
      <c r="B378">
        <v>1198</v>
      </c>
      <c r="C378">
        <v>1198</v>
      </c>
      <c r="D378">
        <v>1179.7</v>
      </c>
      <c r="E378">
        <v>1191.9000000000001</v>
      </c>
      <c r="F378">
        <v>960420</v>
      </c>
      <c r="G378" s="4">
        <f t="shared" si="71"/>
        <v>7.7000000000000455</v>
      </c>
      <c r="H378" s="4">
        <f t="shared" si="72"/>
        <v>0</v>
      </c>
      <c r="I378" s="6">
        <f t="shared" si="77"/>
        <v>11.542857142857153</v>
      </c>
      <c r="J378" s="6">
        <f t="shared" si="78"/>
        <v>10.357142857142858</v>
      </c>
      <c r="K378" s="4">
        <f t="shared" si="79"/>
        <v>1.1144827586206907</v>
      </c>
      <c r="L378">
        <f t="shared" si="80"/>
        <v>52.707110241356837</v>
      </c>
      <c r="M378" s="14" t="str">
        <f t="shared" si="73"/>
        <v/>
      </c>
      <c r="N378" s="7">
        <f t="shared" si="74"/>
        <v>0</v>
      </c>
      <c r="O378" s="7">
        <f t="shared" si="81"/>
        <v>0</v>
      </c>
      <c r="P378" s="7">
        <f t="shared" si="82"/>
        <v>-1</v>
      </c>
      <c r="Q378" s="10" t="e">
        <f t="shared" si="75"/>
        <v>#N/A</v>
      </c>
      <c r="R378" s="10" t="e">
        <f t="shared" si="76"/>
        <v>#N/A</v>
      </c>
      <c r="S378" s="7">
        <f t="shared" si="83"/>
        <v>1175.4000000000001</v>
      </c>
      <c r="T378" s="7">
        <f t="shared" si="84"/>
        <v>0</v>
      </c>
    </row>
    <row r="379" spans="1:20" x14ac:dyDescent="0.25">
      <c r="A379" s="1">
        <v>41807</v>
      </c>
      <c r="B379">
        <v>1193</v>
      </c>
      <c r="C379">
        <v>1200</v>
      </c>
      <c r="D379">
        <v>1180</v>
      </c>
      <c r="E379">
        <v>1185.7</v>
      </c>
      <c r="F379">
        <v>801867</v>
      </c>
      <c r="G379" s="4">
        <f t="shared" si="71"/>
        <v>0</v>
      </c>
      <c r="H379" s="4">
        <f t="shared" si="72"/>
        <v>6.2000000000000455</v>
      </c>
      <c r="I379" s="6">
        <f t="shared" si="77"/>
        <v>10.417857142857153</v>
      </c>
      <c r="J379" s="6">
        <f t="shared" si="78"/>
        <v>10.800000000000002</v>
      </c>
      <c r="K379" s="4">
        <f t="shared" si="79"/>
        <v>0.96461640211640287</v>
      </c>
      <c r="L379">
        <f t="shared" si="80"/>
        <v>49.099478202322857</v>
      </c>
      <c r="M379" s="14" t="str">
        <f t="shared" si="73"/>
        <v/>
      </c>
      <c r="N379" s="7">
        <f t="shared" si="74"/>
        <v>0</v>
      </c>
      <c r="O379" s="7">
        <f t="shared" si="81"/>
        <v>0</v>
      </c>
      <c r="P379" s="7">
        <f t="shared" si="82"/>
        <v>-1</v>
      </c>
      <c r="Q379" s="10" t="e">
        <f t="shared" si="75"/>
        <v>#N/A</v>
      </c>
      <c r="R379" s="10" t="e">
        <f t="shared" si="76"/>
        <v>#N/A</v>
      </c>
      <c r="S379" s="7">
        <f t="shared" si="83"/>
        <v>1175.4000000000001</v>
      </c>
      <c r="T379" s="7">
        <f t="shared" si="84"/>
        <v>0</v>
      </c>
    </row>
    <row r="380" spans="1:20" x14ac:dyDescent="0.25">
      <c r="A380" s="1">
        <v>41808</v>
      </c>
      <c r="B380">
        <v>1189.8</v>
      </c>
      <c r="C380">
        <v>1191</v>
      </c>
      <c r="D380">
        <v>1173.4000000000001</v>
      </c>
      <c r="E380">
        <v>1179.45</v>
      </c>
      <c r="F380">
        <v>1030568</v>
      </c>
      <c r="G380" s="4">
        <f t="shared" si="71"/>
        <v>0</v>
      </c>
      <c r="H380" s="4">
        <f t="shared" si="72"/>
        <v>6.25</v>
      </c>
      <c r="I380" s="6">
        <f t="shared" si="77"/>
        <v>10.417857142857153</v>
      </c>
      <c r="J380" s="6">
        <f t="shared" si="78"/>
        <v>10.760714285714291</v>
      </c>
      <c r="K380" s="4">
        <f t="shared" si="79"/>
        <v>0.9681380683703954</v>
      </c>
      <c r="L380">
        <f t="shared" si="80"/>
        <v>49.190556492411474</v>
      </c>
      <c r="M380" s="14" t="str">
        <f t="shared" si="73"/>
        <v/>
      </c>
      <c r="N380" s="7">
        <f t="shared" si="74"/>
        <v>0</v>
      </c>
      <c r="O380" s="7">
        <f t="shared" si="81"/>
        <v>0</v>
      </c>
      <c r="P380" s="7">
        <f t="shared" si="82"/>
        <v>-1</v>
      </c>
      <c r="Q380" s="10" t="e">
        <f t="shared" si="75"/>
        <v>#N/A</v>
      </c>
      <c r="R380" s="10" t="e">
        <f t="shared" si="76"/>
        <v>#N/A</v>
      </c>
      <c r="S380" s="7">
        <f t="shared" si="83"/>
        <v>1175.4000000000001</v>
      </c>
      <c r="T380" s="7">
        <f t="shared" si="84"/>
        <v>0</v>
      </c>
    </row>
    <row r="381" spans="1:20" x14ac:dyDescent="0.25">
      <c r="A381" s="1">
        <v>41809</v>
      </c>
      <c r="B381">
        <v>1178.25</v>
      </c>
      <c r="C381">
        <v>1192.9000000000001</v>
      </c>
      <c r="D381">
        <v>1171.7</v>
      </c>
      <c r="E381">
        <v>1182.8</v>
      </c>
      <c r="F381">
        <v>745089</v>
      </c>
      <c r="G381" s="4">
        <f t="shared" si="71"/>
        <v>3.3499999999999091</v>
      </c>
      <c r="H381" s="4">
        <f t="shared" si="72"/>
        <v>0</v>
      </c>
      <c r="I381" s="6">
        <f t="shared" si="77"/>
        <v>10.65714285714286</v>
      </c>
      <c r="J381" s="6">
        <f t="shared" si="78"/>
        <v>8.3964285714285847</v>
      </c>
      <c r="K381" s="4">
        <f t="shared" si="79"/>
        <v>1.2692471288813254</v>
      </c>
      <c r="L381">
        <f t="shared" si="80"/>
        <v>55.932521087160225</v>
      </c>
      <c r="M381" s="14" t="str">
        <f t="shared" si="73"/>
        <v/>
      </c>
      <c r="N381" s="7">
        <f t="shared" si="74"/>
        <v>0</v>
      </c>
      <c r="O381" s="7">
        <f t="shared" si="81"/>
        <v>0</v>
      </c>
      <c r="P381" s="7">
        <f t="shared" si="82"/>
        <v>-1</v>
      </c>
      <c r="Q381" s="10" t="e">
        <f t="shared" si="75"/>
        <v>#N/A</v>
      </c>
      <c r="R381" s="10" t="e">
        <f t="shared" si="76"/>
        <v>#N/A</v>
      </c>
      <c r="S381" s="7">
        <f t="shared" si="83"/>
        <v>1175.4000000000001</v>
      </c>
      <c r="T381" s="7">
        <f t="shared" si="84"/>
        <v>0</v>
      </c>
    </row>
    <row r="382" spans="1:20" x14ac:dyDescent="0.25">
      <c r="A382" s="1">
        <v>41810</v>
      </c>
      <c r="B382">
        <v>1183.0999999999999</v>
      </c>
      <c r="C382">
        <v>1200</v>
      </c>
      <c r="D382">
        <v>1183.0999999999999</v>
      </c>
      <c r="E382">
        <v>1195.9000000000001</v>
      </c>
      <c r="F382">
        <v>1301317</v>
      </c>
      <c r="G382" s="4">
        <f t="shared" si="71"/>
        <v>13.100000000000136</v>
      </c>
      <c r="H382" s="4">
        <f t="shared" si="72"/>
        <v>0</v>
      </c>
      <c r="I382" s="6">
        <f t="shared" si="77"/>
        <v>11.592857142857156</v>
      </c>
      <c r="J382" s="6">
        <f t="shared" si="78"/>
        <v>5.4000000000000101</v>
      </c>
      <c r="K382" s="4">
        <f t="shared" si="79"/>
        <v>2.1468253968253954</v>
      </c>
      <c r="L382">
        <f t="shared" si="80"/>
        <v>68.221941992433784</v>
      </c>
      <c r="M382" s="14" t="str">
        <f t="shared" si="73"/>
        <v/>
      </c>
      <c r="N382" s="7">
        <f t="shared" si="74"/>
        <v>0</v>
      </c>
      <c r="O382" s="7">
        <f t="shared" si="81"/>
        <v>0</v>
      </c>
      <c r="P382" s="7">
        <f t="shared" si="82"/>
        <v>-1</v>
      </c>
      <c r="Q382" s="10" t="e">
        <f t="shared" si="75"/>
        <v>#N/A</v>
      </c>
      <c r="R382" s="10" t="e">
        <f t="shared" si="76"/>
        <v>#N/A</v>
      </c>
      <c r="S382" s="7">
        <f t="shared" si="83"/>
        <v>1175.4000000000001</v>
      </c>
      <c r="T382" s="7">
        <f t="shared" si="84"/>
        <v>0</v>
      </c>
    </row>
    <row r="383" spans="1:20" x14ac:dyDescent="0.25">
      <c r="A383" s="1">
        <v>41813</v>
      </c>
      <c r="B383">
        <v>1196</v>
      </c>
      <c r="C383">
        <v>1205</v>
      </c>
      <c r="D383">
        <v>1169.25</v>
      </c>
      <c r="E383">
        <v>1171.6500000000001</v>
      </c>
      <c r="F383">
        <v>1706030</v>
      </c>
      <c r="G383" s="4">
        <f t="shared" si="71"/>
        <v>0</v>
      </c>
      <c r="H383" s="4">
        <f t="shared" si="72"/>
        <v>24.25</v>
      </c>
      <c r="I383" s="6">
        <f t="shared" si="77"/>
        <v>11.592857142857156</v>
      </c>
      <c r="J383" s="6">
        <f t="shared" si="78"/>
        <v>4.2821428571428601</v>
      </c>
      <c r="K383" s="4">
        <f t="shared" si="79"/>
        <v>2.7072560467055893</v>
      </c>
      <c r="L383">
        <f t="shared" si="80"/>
        <v>73.025871766029255</v>
      </c>
      <c r="M383" s="14" t="str">
        <f t="shared" si="73"/>
        <v>OVERBOUGHT</v>
      </c>
      <c r="N383" s="7" t="str">
        <f t="shared" si="74"/>
        <v>SELL</v>
      </c>
      <c r="O383" s="7">
        <f t="shared" si="81"/>
        <v>0</v>
      </c>
      <c r="P383" s="7">
        <f t="shared" si="82"/>
        <v>-1</v>
      </c>
      <c r="Q383" s="10" t="e">
        <f t="shared" si="75"/>
        <v>#N/A</v>
      </c>
      <c r="R383" s="10" t="e">
        <f t="shared" si="76"/>
        <v>#N/A</v>
      </c>
      <c r="S383" s="7">
        <f t="shared" si="83"/>
        <v>1175.4000000000001</v>
      </c>
      <c r="T383" s="7">
        <f t="shared" si="84"/>
        <v>0</v>
      </c>
    </row>
    <row r="384" spans="1:20" x14ac:dyDescent="0.25">
      <c r="A384" s="1">
        <v>41814</v>
      </c>
      <c r="B384">
        <v>1170</v>
      </c>
      <c r="C384">
        <v>1177.8</v>
      </c>
      <c r="D384">
        <v>1146.5999999999999</v>
      </c>
      <c r="E384">
        <v>1156.6500000000001</v>
      </c>
      <c r="F384">
        <v>911252</v>
      </c>
      <c r="G384" s="4">
        <f t="shared" si="71"/>
        <v>0</v>
      </c>
      <c r="H384" s="4">
        <f t="shared" si="72"/>
        <v>15</v>
      </c>
      <c r="I384" s="6">
        <f t="shared" si="77"/>
        <v>8.9178571428571534</v>
      </c>
      <c r="J384" s="6">
        <f t="shared" si="78"/>
        <v>5.3535714285714322</v>
      </c>
      <c r="K384" s="4">
        <f t="shared" si="79"/>
        <v>1.6657771847898608</v>
      </c>
      <c r="L384">
        <f t="shared" si="80"/>
        <v>62.487487487487506</v>
      </c>
      <c r="M384" s="14" t="str">
        <f t="shared" si="73"/>
        <v/>
      </c>
      <c r="N384" s="7">
        <f t="shared" si="74"/>
        <v>0</v>
      </c>
      <c r="O384" s="7">
        <f t="shared" si="81"/>
        <v>0</v>
      </c>
      <c r="P384" s="7">
        <f t="shared" si="82"/>
        <v>-1</v>
      </c>
      <c r="Q384" s="10" t="e">
        <f t="shared" si="75"/>
        <v>#N/A</v>
      </c>
      <c r="R384" s="10" t="e">
        <f t="shared" si="76"/>
        <v>#N/A</v>
      </c>
      <c r="S384" s="7">
        <f t="shared" si="83"/>
        <v>1175.4000000000001</v>
      </c>
      <c r="T384" s="7">
        <f t="shared" si="84"/>
        <v>0</v>
      </c>
    </row>
    <row r="385" spans="1:20" x14ac:dyDescent="0.25">
      <c r="A385" s="1">
        <v>41815</v>
      </c>
      <c r="B385">
        <v>1135.7</v>
      </c>
      <c r="C385">
        <v>1148.8</v>
      </c>
      <c r="D385">
        <v>1112.0999999999999</v>
      </c>
      <c r="E385">
        <v>1145.3499999999999</v>
      </c>
      <c r="F385">
        <v>2039702</v>
      </c>
      <c r="G385" s="4">
        <f t="shared" si="71"/>
        <v>0</v>
      </c>
      <c r="H385" s="4">
        <f t="shared" si="72"/>
        <v>11.300000000000182</v>
      </c>
      <c r="I385" s="6">
        <f t="shared" si="77"/>
        <v>8.9178571428571534</v>
      </c>
      <c r="J385" s="6">
        <f t="shared" si="78"/>
        <v>4.500000000000016</v>
      </c>
      <c r="K385" s="4">
        <f t="shared" si="79"/>
        <v>1.9817460317460271</v>
      </c>
      <c r="L385">
        <f t="shared" si="80"/>
        <v>66.462603140803793</v>
      </c>
      <c r="M385" s="14" t="str">
        <f t="shared" si="73"/>
        <v/>
      </c>
      <c r="N385" s="7">
        <f t="shared" si="74"/>
        <v>0</v>
      </c>
      <c r="O385" s="7">
        <f t="shared" si="81"/>
        <v>0</v>
      </c>
      <c r="P385" s="7">
        <f t="shared" si="82"/>
        <v>-1</v>
      </c>
      <c r="Q385" s="10" t="e">
        <f t="shared" si="75"/>
        <v>#N/A</v>
      </c>
      <c r="R385" s="10" t="e">
        <f t="shared" si="76"/>
        <v>#N/A</v>
      </c>
      <c r="S385" s="7">
        <f t="shared" si="83"/>
        <v>1175.4000000000001</v>
      </c>
      <c r="T385" s="7">
        <f t="shared" si="84"/>
        <v>0</v>
      </c>
    </row>
    <row r="386" spans="1:20" x14ac:dyDescent="0.25">
      <c r="A386" s="1">
        <v>41816</v>
      </c>
      <c r="B386">
        <v>1150</v>
      </c>
      <c r="C386">
        <v>1168</v>
      </c>
      <c r="D386">
        <v>1131</v>
      </c>
      <c r="E386">
        <v>1149.05</v>
      </c>
      <c r="F386">
        <v>1976300</v>
      </c>
      <c r="G386" s="4">
        <f t="shared" si="71"/>
        <v>3.7000000000000455</v>
      </c>
      <c r="H386" s="4">
        <f t="shared" si="72"/>
        <v>0</v>
      </c>
      <c r="I386" s="6">
        <f t="shared" si="77"/>
        <v>8.2178571428571558</v>
      </c>
      <c r="J386" s="6">
        <f t="shared" si="78"/>
        <v>4.500000000000016</v>
      </c>
      <c r="K386" s="4">
        <f t="shared" si="79"/>
        <v>1.8261904761904726</v>
      </c>
      <c r="L386">
        <f t="shared" si="80"/>
        <v>64.616680707666347</v>
      </c>
      <c r="M386" s="14" t="str">
        <f t="shared" si="73"/>
        <v/>
      </c>
      <c r="N386" s="7">
        <f t="shared" si="74"/>
        <v>0</v>
      </c>
      <c r="O386" s="7">
        <f t="shared" si="81"/>
        <v>0</v>
      </c>
      <c r="P386" s="7">
        <f t="shared" si="82"/>
        <v>-1</v>
      </c>
      <c r="Q386" s="10" t="e">
        <f t="shared" si="75"/>
        <v>#N/A</v>
      </c>
      <c r="R386" s="10" t="e">
        <f t="shared" si="76"/>
        <v>#N/A</v>
      </c>
      <c r="S386" s="7">
        <f t="shared" si="83"/>
        <v>1175.4000000000001</v>
      </c>
      <c r="T386" s="7">
        <f t="shared" si="84"/>
        <v>0</v>
      </c>
    </row>
    <row r="387" spans="1:20" x14ac:dyDescent="0.25">
      <c r="A387" s="1">
        <v>41817</v>
      </c>
      <c r="B387">
        <v>1150</v>
      </c>
      <c r="C387">
        <v>1158.5999999999999</v>
      </c>
      <c r="D387">
        <v>1119.0999999999999</v>
      </c>
      <c r="E387">
        <v>1123.7</v>
      </c>
      <c r="F387">
        <v>3468922</v>
      </c>
      <c r="G387" s="4">
        <f t="shared" si="71"/>
        <v>0</v>
      </c>
      <c r="H387" s="4">
        <f t="shared" si="72"/>
        <v>25.349999999999909</v>
      </c>
      <c r="I387" s="6">
        <f t="shared" si="77"/>
        <v>5.3071428571428703</v>
      </c>
      <c r="J387" s="6">
        <f t="shared" si="78"/>
        <v>6.3107142857142957</v>
      </c>
      <c r="K387" s="4">
        <f t="shared" si="79"/>
        <v>0.84097340124504882</v>
      </c>
      <c r="L387">
        <f t="shared" si="80"/>
        <v>45.68090992929605</v>
      </c>
      <c r="M387" s="14" t="str">
        <f t="shared" si="73"/>
        <v/>
      </c>
      <c r="N387" s="7">
        <f t="shared" si="74"/>
        <v>0</v>
      </c>
      <c r="O387" s="7">
        <f t="shared" si="81"/>
        <v>0</v>
      </c>
      <c r="P387" s="7">
        <f t="shared" si="82"/>
        <v>-1</v>
      </c>
      <c r="Q387" s="10" t="e">
        <f t="shared" si="75"/>
        <v>#N/A</v>
      </c>
      <c r="R387" s="10" t="e">
        <f t="shared" si="76"/>
        <v>#N/A</v>
      </c>
      <c r="S387" s="7">
        <f t="shared" si="83"/>
        <v>1175.4000000000001</v>
      </c>
      <c r="T387" s="7">
        <f t="shared" si="84"/>
        <v>0</v>
      </c>
    </row>
    <row r="388" spans="1:20" x14ac:dyDescent="0.25">
      <c r="A388" s="1">
        <v>41820</v>
      </c>
      <c r="B388">
        <v>1168</v>
      </c>
      <c r="C388">
        <v>1177.9000000000001</v>
      </c>
      <c r="D388">
        <v>1141.0999999999999</v>
      </c>
      <c r="E388">
        <v>1146.05</v>
      </c>
      <c r="F388">
        <v>3639850</v>
      </c>
      <c r="G388" s="4">
        <f t="shared" ref="G388:G451" si="85">IF(E388&gt;E387,E388-E387,0)</f>
        <v>22.349999999999909</v>
      </c>
      <c r="H388" s="4">
        <f t="shared" ref="H388:H451" si="86">IF(E388&lt;E387,E387-E388,0)</f>
        <v>0</v>
      </c>
      <c r="I388" s="6">
        <f t="shared" si="77"/>
        <v>5.9857142857142991</v>
      </c>
      <c r="J388" s="6">
        <f t="shared" si="78"/>
        <v>6.3107142857142957</v>
      </c>
      <c r="K388" s="4">
        <f t="shared" si="79"/>
        <v>0.94850028296547884</v>
      </c>
      <c r="L388">
        <f t="shared" si="80"/>
        <v>48.678478071449334</v>
      </c>
      <c r="M388" s="14" t="str">
        <f t="shared" si="73"/>
        <v/>
      </c>
      <c r="N388" s="7">
        <f t="shared" si="74"/>
        <v>0</v>
      </c>
      <c r="O388" s="7">
        <f t="shared" si="81"/>
        <v>0</v>
      </c>
      <c r="P388" s="7">
        <f t="shared" si="82"/>
        <v>-1</v>
      </c>
      <c r="Q388" s="10" t="e">
        <f t="shared" si="75"/>
        <v>#N/A</v>
      </c>
      <c r="R388" s="10" t="e">
        <f t="shared" si="76"/>
        <v>#N/A</v>
      </c>
      <c r="S388" s="7">
        <f t="shared" si="83"/>
        <v>1175.4000000000001</v>
      </c>
      <c r="T388" s="7">
        <f t="shared" si="84"/>
        <v>0</v>
      </c>
    </row>
    <row r="389" spans="1:20" x14ac:dyDescent="0.25">
      <c r="A389" s="1">
        <v>41821</v>
      </c>
      <c r="B389">
        <v>1148</v>
      </c>
      <c r="C389">
        <v>1152</v>
      </c>
      <c r="D389">
        <v>1122.3</v>
      </c>
      <c r="E389">
        <v>1125.05</v>
      </c>
      <c r="F389">
        <v>1562604</v>
      </c>
      <c r="G389" s="4">
        <f t="shared" si="85"/>
        <v>0</v>
      </c>
      <c r="H389" s="4">
        <f t="shared" si="86"/>
        <v>21</v>
      </c>
      <c r="I389" s="6">
        <f t="shared" si="77"/>
        <v>5.7428571428571491</v>
      </c>
      <c r="J389" s="6">
        <f t="shared" si="78"/>
        <v>7.8107142857142957</v>
      </c>
      <c r="K389" s="4">
        <f t="shared" si="79"/>
        <v>0.73525377229080924</v>
      </c>
      <c r="L389">
        <f t="shared" si="80"/>
        <v>42.371541501976282</v>
      </c>
      <c r="M389" s="14" t="str">
        <f t="shared" si="73"/>
        <v/>
      </c>
      <c r="N389" s="7">
        <f t="shared" si="74"/>
        <v>0</v>
      </c>
      <c r="O389" s="7">
        <f t="shared" si="81"/>
        <v>0</v>
      </c>
      <c r="P389" s="7">
        <f t="shared" si="82"/>
        <v>-1</v>
      </c>
      <c r="Q389" s="10" t="e">
        <f t="shared" si="75"/>
        <v>#N/A</v>
      </c>
      <c r="R389" s="10" t="e">
        <f t="shared" si="76"/>
        <v>#N/A</v>
      </c>
      <c r="S389" s="7">
        <f t="shared" si="83"/>
        <v>1175.4000000000001</v>
      </c>
      <c r="T389" s="7">
        <f t="shared" si="84"/>
        <v>0</v>
      </c>
    </row>
    <row r="390" spans="1:20" x14ac:dyDescent="0.25">
      <c r="A390" s="1">
        <v>41822</v>
      </c>
      <c r="B390">
        <v>1121.5999999999999</v>
      </c>
      <c r="C390">
        <v>1148.1500000000001</v>
      </c>
      <c r="D390">
        <v>1120.25</v>
      </c>
      <c r="E390">
        <v>1140.05</v>
      </c>
      <c r="F390">
        <v>1097646</v>
      </c>
      <c r="G390" s="4">
        <f t="shared" si="85"/>
        <v>15</v>
      </c>
      <c r="H390" s="4">
        <f t="shared" si="86"/>
        <v>0</v>
      </c>
      <c r="I390" s="6">
        <f t="shared" si="77"/>
        <v>5.6821428571428703</v>
      </c>
      <c r="J390" s="6">
        <f t="shared" si="78"/>
        <v>7.8107142857142957</v>
      </c>
      <c r="K390" s="4">
        <f t="shared" si="79"/>
        <v>0.72748056698674057</v>
      </c>
      <c r="L390">
        <f t="shared" si="80"/>
        <v>42.112228692429881</v>
      </c>
      <c r="M390" s="14" t="str">
        <f t="shared" si="73"/>
        <v/>
      </c>
      <c r="N390" s="7">
        <f t="shared" si="74"/>
        <v>0</v>
      </c>
      <c r="O390" s="7">
        <f t="shared" si="81"/>
        <v>0</v>
      </c>
      <c r="P390" s="7">
        <f t="shared" si="82"/>
        <v>-1</v>
      </c>
      <c r="Q390" s="10" t="e">
        <f t="shared" si="75"/>
        <v>#N/A</v>
      </c>
      <c r="R390" s="10" t="e">
        <f t="shared" si="76"/>
        <v>#N/A</v>
      </c>
      <c r="S390" s="7">
        <f t="shared" si="83"/>
        <v>1175.4000000000001</v>
      </c>
      <c r="T390" s="7">
        <f t="shared" si="84"/>
        <v>0</v>
      </c>
    </row>
    <row r="391" spans="1:20" x14ac:dyDescent="0.25">
      <c r="A391" s="1">
        <v>41823</v>
      </c>
      <c r="B391">
        <v>1150</v>
      </c>
      <c r="C391">
        <v>1151.8</v>
      </c>
      <c r="D391">
        <v>1125</v>
      </c>
      <c r="E391">
        <v>1132.45</v>
      </c>
      <c r="F391">
        <v>1403873</v>
      </c>
      <c r="G391" s="4">
        <f t="shared" si="85"/>
        <v>0</v>
      </c>
      <c r="H391" s="4">
        <f t="shared" si="86"/>
        <v>7.5999999999999091</v>
      </c>
      <c r="I391" s="6">
        <f t="shared" si="77"/>
        <v>4.6571428571428601</v>
      </c>
      <c r="J391" s="6">
        <f t="shared" si="78"/>
        <v>8.3535714285714313</v>
      </c>
      <c r="K391" s="4">
        <f t="shared" si="79"/>
        <v>0.55750320649850382</v>
      </c>
      <c r="L391">
        <f t="shared" si="80"/>
        <v>35.79467471863849</v>
      </c>
      <c r="M391" s="14" t="str">
        <f t="shared" si="73"/>
        <v/>
      </c>
      <c r="N391" s="7">
        <f t="shared" si="74"/>
        <v>0</v>
      </c>
      <c r="O391" s="7">
        <f t="shared" si="81"/>
        <v>0</v>
      </c>
      <c r="P391" s="7">
        <f t="shared" si="82"/>
        <v>-1</v>
      </c>
      <c r="Q391" s="10" t="e">
        <f t="shared" si="75"/>
        <v>#N/A</v>
      </c>
      <c r="R391" s="10" t="e">
        <f t="shared" si="76"/>
        <v>#N/A</v>
      </c>
      <c r="S391" s="7">
        <f t="shared" si="83"/>
        <v>1175.4000000000001</v>
      </c>
      <c r="T391" s="7">
        <f t="shared" si="84"/>
        <v>0</v>
      </c>
    </row>
    <row r="392" spans="1:20" x14ac:dyDescent="0.25">
      <c r="A392" s="1">
        <v>41824</v>
      </c>
      <c r="B392">
        <v>1132</v>
      </c>
      <c r="C392">
        <v>1132.5</v>
      </c>
      <c r="D392">
        <v>1120.05</v>
      </c>
      <c r="E392">
        <v>1122.55</v>
      </c>
      <c r="F392">
        <v>925312</v>
      </c>
      <c r="G392" s="4">
        <f t="shared" si="85"/>
        <v>0</v>
      </c>
      <c r="H392" s="4">
        <f t="shared" si="86"/>
        <v>9.9000000000000909</v>
      </c>
      <c r="I392" s="6">
        <f t="shared" si="77"/>
        <v>4.1071428571428568</v>
      </c>
      <c r="J392" s="6">
        <f t="shared" si="78"/>
        <v>9.0607142857142957</v>
      </c>
      <c r="K392" s="4">
        <f t="shared" si="79"/>
        <v>0.45329128892392534</v>
      </c>
      <c r="L392">
        <f t="shared" si="80"/>
        <v>31.190669921345247</v>
      </c>
      <c r="M392" s="14" t="str">
        <f t="shared" si="73"/>
        <v/>
      </c>
      <c r="N392" s="7">
        <f t="shared" si="74"/>
        <v>0</v>
      </c>
      <c r="O392" s="7">
        <f t="shared" si="81"/>
        <v>0</v>
      </c>
      <c r="P392" s="7">
        <f t="shared" si="82"/>
        <v>-1</v>
      </c>
      <c r="Q392" s="10" t="e">
        <f t="shared" si="75"/>
        <v>#N/A</v>
      </c>
      <c r="R392" s="10" t="e">
        <f t="shared" si="76"/>
        <v>#N/A</v>
      </c>
      <c r="S392" s="7">
        <f t="shared" si="83"/>
        <v>1175.4000000000001</v>
      </c>
      <c r="T392" s="7">
        <f t="shared" si="84"/>
        <v>0</v>
      </c>
    </row>
    <row r="393" spans="1:20" x14ac:dyDescent="0.25">
      <c r="A393" s="1">
        <v>41827</v>
      </c>
      <c r="B393">
        <v>1126.75</v>
      </c>
      <c r="C393">
        <v>1141.3</v>
      </c>
      <c r="D393">
        <v>1126.5</v>
      </c>
      <c r="E393">
        <v>1133.4000000000001</v>
      </c>
      <c r="F393">
        <v>1045221</v>
      </c>
      <c r="G393" s="4">
        <f t="shared" si="85"/>
        <v>10.850000000000136</v>
      </c>
      <c r="H393" s="4">
        <f t="shared" si="86"/>
        <v>0</v>
      </c>
      <c r="I393" s="6">
        <f t="shared" si="77"/>
        <v>4.8821428571428669</v>
      </c>
      <c r="J393" s="6">
        <f t="shared" si="78"/>
        <v>8.6178571428571491</v>
      </c>
      <c r="K393" s="4">
        <f t="shared" si="79"/>
        <v>0.56651471197679304</v>
      </c>
      <c r="L393">
        <f t="shared" si="80"/>
        <v>36.164021164021193</v>
      </c>
      <c r="M393" s="14" t="str">
        <f t="shared" si="73"/>
        <v/>
      </c>
      <c r="N393" s="7">
        <f t="shared" si="74"/>
        <v>0</v>
      </c>
      <c r="O393" s="7">
        <f t="shared" si="81"/>
        <v>0</v>
      </c>
      <c r="P393" s="7">
        <f t="shared" si="82"/>
        <v>-1</v>
      </c>
      <c r="Q393" s="10" t="e">
        <f t="shared" si="75"/>
        <v>#N/A</v>
      </c>
      <c r="R393" s="10" t="e">
        <f t="shared" si="76"/>
        <v>#N/A</v>
      </c>
      <c r="S393" s="7">
        <f t="shared" si="83"/>
        <v>1175.4000000000001</v>
      </c>
      <c r="T393" s="7">
        <f t="shared" si="84"/>
        <v>0</v>
      </c>
    </row>
    <row r="394" spans="1:20" x14ac:dyDescent="0.25">
      <c r="A394" s="1">
        <v>41828</v>
      </c>
      <c r="B394">
        <v>1135</v>
      </c>
      <c r="C394">
        <v>1144</v>
      </c>
      <c r="D394">
        <v>1123.1500000000001</v>
      </c>
      <c r="E394">
        <v>1139.9000000000001</v>
      </c>
      <c r="F394">
        <v>2370357</v>
      </c>
      <c r="G394" s="4">
        <f t="shared" si="85"/>
        <v>6.5</v>
      </c>
      <c r="H394" s="4">
        <f t="shared" si="86"/>
        <v>0</v>
      </c>
      <c r="I394" s="6">
        <f t="shared" si="77"/>
        <v>5.3464285714285813</v>
      </c>
      <c r="J394" s="6">
        <f t="shared" si="78"/>
        <v>8.1714285714285779</v>
      </c>
      <c r="K394" s="4">
        <f t="shared" si="79"/>
        <v>0.65428321678321744</v>
      </c>
      <c r="L394">
        <f t="shared" si="80"/>
        <v>39.550858652575982</v>
      </c>
      <c r="M394" s="14" t="str">
        <f t="shared" si="73"/>
        <v/>
      </c>
      <c r="N394" s="7">
        <f t="shared" si="74"/>
        <v>0</v>
      </c>
      <c r="O394" s="7">
        <f t="shared" si="81"/>
        <v>0</v>
      </c>
      <c r="P394" s="7">
        <f t="shared" si="82"/>
        <v>-1</v>
      </c>
      <c r="Q394" s="10" t="e">
        <f t="shared" si="75"/>
        <v>#N/A</v>
      </c>
      <c r="R394" s="10" t="e">
        <f t="shared" si="76"/>
        <v>#N/A</v>
      </c>
      <c r="S394" s="7">
        <f t="shared" si="83"/>
        <v>1175.4000000000001</v>
      </c>
      <c r="T394" s="7">
        <f t="shared" si="84"/>
        <v>0</v>
      </c>
    </row>
    <row r="395" spans="1:20" x14ac:dyDescent="0.25">
      <c r="A395" s="1">
        <v>41829</v>
      </c>
      <c r="B395">
        <v>1139.8</v>
      </c>
      <c r="C395">
        <v>1151.95</v>
      </c>
      <c r="D395">
        <v>1127.25</v>
      </c>
      <c r="E395">
        <v>1144.6500000000001</v>
      </c>
      <c r="F395">
        <v>1984361</v>
      </c>
      <c r="G395" s="4">
        <f t="shared" si="85"/>
        <v>4.75</v>
      </c>
      <c r="H395" s="4">
        <f t="shared" si="86"/>
        <v>0</v>
      </c>
      <c r="I395" s="6">
        <f t="shared" si="77"/>
        <v>5.4464285714285881</v>
      </c>
      <c r="J395" s="6">
        <f t="shared" si="78"/>
        <v>8.1714285714285779</v>
      </c>
      <c r="K395" s="4">
        <f t="shared" si="79"/>
        <v>0.66652097902098051</v>
      </c>
      <c r="L395">
        <f t="shared" si="80"/>
        <v>39.994754786257595</v>
      </c>
      <c r="M395" s="14" t="str">
        <f t="shared" si="73"/>
        <v/>
      </c>
      <c r="N395" s="7">
        <f t="shared" si="74"/>
        <v>0</v>
      </c>
      <c r="O395" s="7">
        <f t="shared" si="81"/>
        <v>0</v>
      </c>
      <c r="P395" s="7">
        <f t="shared" si="82"/>
        <v>-1</v>
      </c>
      <c r="Q395" s="10" t="e">
        <f t="shared" si="75"/>
        <v>#N/A</v>
      </c>
      <c r="R395" s="10" t="e">
        <f t="shared" si="76"/>
        <v>#N/A</v>
      </c>
      <c r="S395" s="7">
        <f t="shared" si="83"/>
        <v>1175.4000000000001</v>
      </c>
      <c r="T395" s="7">
        <f t="shared" si="84"/>
        <v>0</v>
      </c>
    </row>
    <row r="396" spans="1:20" x14ac:dyDescent="0.25">
      <c r="A396" s="1">
        <v>41830</v>
      </c>
      <c r="B396">
        <v>1148.95</v>
      </c>
      <c r="C396">
        <v>1154.6500000000001</v>
      </c>
      <c r="D396">
        <v>1138.1500000000001</v>
      </c>
      <c r="E396">
        <v>1147.1500000000001</v>
      </c>
      <c r="F396">
        <v>1012145</v>
      </c>
      <c r="G396" s="4">
        <f t="shared" si="85"/>
        <v>2.5</v>
      </c>
      <c r="H396" s="4">
        <f t="shared" si="86"/>
        <v>0</v>
      </c>
      <c r="I396" s="6">
        <f t="shared" si="77"/>
        <v>4.6892857142857212</v>
      </c>
      <c r="J396" s="6">
        <f t="shared" si="78"/>
        <v>8.1714285714285779</v>
      </c>
      <c r="K396" s="4">
        <f t="shared" si="79"/>
        <v>0.5738636363636368</v>
      </c>
      <c r="L396">
        <f t="shared" si="80"/>
        <v>36.462093862815898</v>
      </c>
      <c r="M396" s="14" t="str">
        <f t="shared" si="73"/>
        <v/>
      </c>
      <c r="N396" s="7">
        <f t="shared" si="74"/>
        <v>0</v>
      </c>
      <c r="O396" s="7">
        <f t="shared" si="81"/>
        <v>0</v>
      </c>
      <c r="P396" s="7">
        <f t="shared" si="82"/>
        <v>-1</v>
      </c>
      <c r="Q396" s="10" t="e">
        <f t="shared" si="75"/>
        <v>#N/A</v>
      </c>
      <c r="R396" s="10" t="e">
        <f t="shared" si="76"/>
        <v>#N/A</v>
      </c>
      <c r="S396" s="7">
        <f t="shared" si="83"/>
        <v>1175.4000000000001</v>
      </c>
      <c r="T396" s="7">
        <f t="shared" si="84"/>
        <v>0</v>
      </c>
    </row>
    <row r="397" spans="1:20" x14ac:dyDescent="0.25">
      <c r="A397" s="1">
        <v>41831</v>
      </c>
      <c r="B397">
        <v>1140</v>
      </c>
      <c r="C397">
        <v>1144.9000000000001</v>
      </c>
      <c r="D397">
        <v>1120.3</v>
      </c>
      <c r="E397">
        <v>1129.55</v>
      </c>
      <c r="F397">
        <v>2046907</v>
      </c>
      <c r="G397" s="4">
        <f t="shared" si="85"/>
        <v>0</v>
      </c>
      <c r="H397" s="4">
        <f t="shared" si="86"/>
        <v>17.600000000000136</v>
      </c>
      <c r="I397" s="6">
        <f t="shared" si="77"/>
        <v>4.6892857142857212</v>
      </c>
      <c r="J397" s="6">
        <f t="shared" si="78"/>
        <v>7.6964285714285881</v>
      </c>
      <c r="K397" s="4">
        <f t="shared" si="79"/>
        <v>0.60928074245939634</v>
      </c>
      <c r="L397">
        <f t="shared" si="80"/>
        <v>37.860438292964226</v>
      </c>
      <c r="M397" s="14" t="str">
        <f t="shared" si="73"/>
        <v/>
      </c>
      <c r="N397" s="7">
        <f t="shared" si="74"/>
        <v>0</v>
      </c>
      <c r="O397" s="7">
        <f t="shared" si="81"/>
        <v>0</v>
      </c>
      <c r="P397" s="7">
        <f t="shared" si="82"/>
        <v>-1</v>
      </c>
      <c r="Q397" s="10" t="e">
        <f t="shared" si="75"/>
        <v>#N/A</v>
      </c>
      <c r="R397" s="10" t="e">
        <f t="shared" si="76"/>
        <v>#N/A</v>
      </c>
      <c r="S397" s="7">
        <f t="shared" si="83"/>
        <v>1175.4000000000001</v>
      </c>
      <c r="T397" s="7">
        <f t="shared" si="84"/>
        <v>0</v>
      </c>
    </row>
    <row r="398" spans="1:20" x14ac:dyDescent="0.25">
      <c r="A398" s="1">
        <v>41834</v>
      </c>
      <c r="B398">
        <v>1133</v>
      </c>
      <c r="C398">
        <v>1142</v>
      </c>
      <c r="D398">
        <v>1121.6500000000001</v>
      </c>
      <c r="E398">
        <v>1137</v>
      </c>
      <c r="F398">
        <v>859569</v>
      </c>
      <c r="G398" s="4">
        <f t="shared" si="85"/>
        <v>7.4500000000000455</v>
      </c>
      <c r="H398" s="4">
        <f t="shared" si="86"/>
        <v>0</v>
      </c>
      <c r="I398" s="6">
        <f t="shared" si="77"/>
        <v>5.2214285714285813</v>
      </c>
      <c r="J398" s="6">
        <f t="shared" si="78"/>
        <v>6.625000000000016</v>
      </c>
      <c r="K398" s="4">
        <f t="shared" si="79"/>
        <v>0.78814016172506696</v>
      </c>
      <c r="L398">
        <f t="shared" si="80"/>
        <v>44.075972264094048</v>
      </c>
      <c r="M398" s="14" t="str">
        <f t="shared" si="73"/>
        <v/>
      </c>
      <c r="N398" s="7">
        <f t="shared" si="74"/>
        <v>0</v>
      </c>
      <c r="O398" s="7">
        <f t="shared" si="81"/>
        <v>0</v>
      </c>
      <c r="P398" s="7">
        <f t="shared" si="82"/>
        <v>-1</v>
      </c>
      <c r="Q398" s="10" t="e">
        <f t="shared" si="75"/>
        <v>#N/A</v>
      </c>
      <c r="R398" s="10" t="e">
        <f t="shared" si="76"/>
        <v>#N/A</v>
      </c>
      <c r="S398" s="7">
        <f t="shared" si="83"/>
        <v>1175.4000000000001</v>
      </c>
      <c r="T398" s="7">
        <f t="shared" si="84"/>
        <v>0</v>
      </c>
    </row>
    <row r="399" spans="1:20" x14ac:dyDescent="0.25">
      <c r="A399" s="1">
        <v>41835</v>
      </c>
      <c r="B399">
        <v>1142.4000000000001</v>
      </c>
      <c r="C399">
        <v>1149.9000000000001</v>
      </c>
      <c r="D399">
        <v>1125.0999999999999</v>
      </c>
      <c r="E399">
        <v>1135.25</v>
      </c>
      <c r="F399">
        <v>991173</v>
      </c>
      <c r="G399" s="4">
        <f t="shared" si="85"/>
        <v>0</v>
      </c>
      <c r="H399" s="4">
        <f t="shared" si="86"/>
        <v>1.75</v>
      </c>
      <c r="I399" s="6">
        <f t="shared" si="77"/>
        <v>5.2214285714285813</v>
      </c>
      <c r="J399" s="6">
        <f t="shared" si="78"/>
        <v>5.9428571428571457</v>
      </c>
      <c r="K399" s="4">
        <f t="shared" si="79"/>
        <v>0.87860576923077049</v>
      </c>
      <c r="L399">
        <f t="shared" si="80"/>
        <v>46.769033909149108</v>
      </c>
      <c r="M399" s="14" t="str">
        <f t="shared" si="73"/>
        <v/>
      </c>
      <c r="N399" s="7">
        <f t="shared" si="74"/>
        <v>0</v>
      </c>
      <c r="O399" s="7">
        <f t="shared" si="81"/>
        <v>0</v>
      </c>
      <c r="P399" s="7">
        <f t="shared" si="82"/>
        <v>-1</v>
      </c>
      <c r="Q399" s="10" t="e">
        <f t="shared" si="75"/>
        <v>#N/A</v>
      </c>
      <c r="R399" s="10" t="e">
        <f t="shared" si="76"/>
        <v>#N/A</v>
      </c>
      <c r="S399" s="7">
        <f t="shared" si="83"/>
        <v>1175.4000000000001</v>
      </c>
      <c r="T399" s="7">
        <f t="shared" si="84"/>
        <v>0</v>
      </c>
    </row>
    <row r="400" spans="1:20" x14ac:dyDescent="0.25">
      <c r="A400" s="1">
        <v>41836</v>
      </c>
      <c r="B400">
        <v>1130.5</v>
      </c>
      <c r="C400">
        <v>1134</v>
      </c>
      <c r="D400">
        <v>1122.25</v>
      </c>
      <c r="E400">
        <v>1130.6500000000001</v>
      </c>
      <c r="F400">
        <v>1012646</v>
      </c>
      <c r="G400" s="4">
        <f t="shared" si="85"/>
        <v>0</v>
      </c>
      <c r="H400" s="4">
        <f t="shared" si="86"/>
        <v>4.5999999999999091</v>
      </c>
      <c r="I400" s="6">
        <f t="shared" si="77"/>
        <v>4.9571428571428635</v>
      </c>
      <c r="J400" s="6">
        <f t="shared" si="78"/>
        <v>6.2714285714285678</v>
      </c>
      <c r="K400" s="4">
        <f t="shared" si="79"/>
        <v>0.79043280182232489</v>
      </c>
      <c r="L400">
        <f t="shared" si="80"/>
        <v>44.147582697201067</v>
      </c>
      <c r="M400" s="14" t="str">
        <f t="shared" ref="M400:M463" si="87">IF(L400&gt;RSI_Overbought,"OVERBOUGHT",IF(L400&lt;RSI_Oversold,"OVERSOLD",""))</f>
        <v/>
      </c>
      <c r="N400" s="7">
        <f t="shared" ref="N400:N463" si="88">IF(L400&gt;RSI_Overbought,"SELL",IF(L400&lt;RSI_Oversold,"BUY",0))</f>
        <v>0</v>
      </c>
      <c r="O400" s="7">
        <f t="shared" si="81"/>
        <v>0</v>
      </c>
      <c r="P400" s="7">
        <f t="shared" si="82"/>
        <v>-1</v>
      </c>
      <c r="Q400" s="10" t="e">
        <f t="shared" ref="Q400:Q463" si="89">IF($O400="BUY",$E400,NA())</f>
        <v>#N/A</v>
      </c>
      <c r="R400" s="10" t="e">
        <f t="shared" ref="R400:R463" si="90">IF($O400="SELL",$E400,NA())</f>
        <v>#N/A</v>
      </c>
      <c r="S400" s="7">
        <f t="shared" si="83"/>
        <v>1175.4000000000001</v>
      </c>
      <c r="T400" s="7">
        <f t="shared" si="84"/>
        <v>0</v>
      </c>
    </row>
    <row r="401" spans="1:20" x14ac:dyDescent="0.25">
      <c r="A401" s="1">
        <v>41837</v>
      </c>
      <c r="B401">
        <v>1120</v>
      </c>
      <c r="C401">
        <v>1125.7</v>
      </c>
      <c r="D401">
        <v>1095.3499999999999</v>
      </c>
      <c r="E401">
        <v>1110.3499999999999</v>
      </c>
      <c r="F401">
        <v>1532123</v>
      </c>
      <c r="G401" s="4">
        <f t="shared" si="85"/>
        <v>0</v>
      </c>
      <c r="H401" s="4">
        <f t="shared" si="86"/>
        <v>20.300000000000182</v>
      </c>
      <c r="I401" s="6">
        <f t="shared" ref="I401:I464" si="91">AVERAGE(G388:G401)</f>
        <v>4.9571428571428635</v>
      </c>
      <c r="J401" s="6">
        <f t="shared" ref="J401:J464" si="92">AVERAGE(H388:H401)</f>
        <v>5.9107142857143016</v>
      </c>
      <c r="K401" s="4">
        <f t="shared" ref="K401:K464" si="93">I401/J401</f>
        <v>0.83867069486404722</v>
      </c>
      <c r="L401">
        <f t="shared" ref="L401:L464" si="94">100-(100/(K401+1))</f>
        <v>45.612882024318075</v>
      </c>
      <c r="M401" s="14" t="str">
        <f t="shared" si="87"/>
        <v/>
      </c>
      <c r="N401" s="7">
        <f t="shared" si="88"/>
        <v>0</v>
      </c>
      <c r="O401" s="7">
        <f t="shared" ref="O401:O464" si="95">IF(AND(N401="BUY",P400&lt;&gt;1),"BUY",IF(AND(N401="SELL",P400&lt;&gt;-1),"SELL",0))</f>
        <v>0</v>
      </c>
      <c r="P401" s="7">
        <f t="shared" ref="P401:P464" si="96">IF(O401="BUY",1,IF(O401="SELL",-1,P400))</f>
        <v>-1</v>
      </c>
      <c r="Q401" s="10" t="e">
        <f t="shared" si="89"/>
        <v>#N/A</v>
      </c>
      <c r="R401" s="10" t="e">
        <f t="shared" si="90"/>
        <v>#N/A</v>
      </c>
      <c r="S401" s="7">
        <f t="shared" ref="S401:S464" si="97">IF(O401&lt;&gt;0,E401,S400)</f>
        <v>1175.4000000000001</v>
      </c>
      <c r="T401" s="7">
        <f t="shared" si="84"/>
        <v>0</v>
      </c>
    </row>
    <row r="402" spans="1:20" x14ac:dyDescent="0.25">
      <c r="A402" s="1">
        <v>41838</v>
      </c>
      <c r="B402">
        <v>1110.05</v>
      </c>
      <c r="C402">
        <v>1119.5</v>
      </c>
      <c r="D402">
        <v>1091.0999999999999</v>
      </c>
      <c r="E402">
        <v>1095.8499999999999</v>
      </c>
      <c r="F402">
        <v>1524647</v>
      </c>
      <c r="G402" s="4">
        <f t="shared" si="85"/>
        <v>0</v>
      </c>
      <c r="H402" s="4">
        <f t="shared" si="86"/>
        <v>14.5</v>
      </c>
      <c r="I402" s="6">
        <f t="shared" si="91"/>
        <v>3.3607142857142986</v>
      </c>
      <c r="J402" s="6">
        <f t="shared" si="92"/>
        <v>6.9464285714285881</v>
      </c>
      <c r="K402" s="4">
        <f t="shared" si="93"/>
        <v>0.48380462724935802</v>
      </c>
      <c r="L402">
        <f t="shared" si="94"/>
        <v>32.605682605682631</v>
      </c>
      <c r="M402" s="14" t="str">
        <f t="shared" si="87"/>
        <v/>
      </c>
      <c r="N402" s="7">
        <f t="shared" si="88"/>
        <v>0</v>
      </c>
      <c r="O402" s="7">
        <f t="shared" si="95"/>
        <v>0</v>
      </c>
      <c r="P402" s="7">
        <f t="shared" si="96"/>
        <v>-1</v>
      </c>
      <c r="Q402" s="10" t="e">
        <f t="shared" si="89"/>
        <v>#N/A</v>
      </c>
      <c r="R402" s="10" t="e">
        <f t="shared" si="90"/>
        <v>#N/A</v>
      </c>
      <c r="S402" s="7">
        <f t="shared" si="97"/>
        <v>1175.4000000000001</v>
      </c>
      <c r="T402" s="7">
        <f t="shared" si="84"/>
        <v>0</v>
      </c>
    </row>
    <row r="403" spans="1:20" x14ac:dyDescent="0.25">
      <c r="A403" s="1">
        <v>41841</v>
      </c>
      <c r="B403">
        <v>1073.1500000000001</v>
      </c>
      <c r="C403">
        <v>1074</v>
      </c>
      <c r="D403">
        <v>1028</v>
      </c>
      <c r="E403">
        <v>1057.95</v>
      </c>
      <c r="F403">
        <v>2634694</v>
      </c>
      <c r="G403" s="4">
        <f t="shared" si="85"/>
        <v>0</v>
      </c>
      <c r="H403" s="4">
        <f t="shared" si="86"/>
        <v>37.899999999999864</v>
      </c>
      <c r="I403" s="6">
        <f t="shared" si="91"/>
        <v>3.3607142857142986</v>
      </c>
      <c r="J403" s="6">
        <f t="shared" si="92"/>
        <v>8.1535714285714356</v>
      </c>
      <c r="K403" s="4">
        <f t="shared" si="93"/>
        <v>0.41217696014016769</v>
      </c>
      <c r="L403">
        <f t="shared" si="94"/>
        <v>29.187344913151421</v>
      </c>
      <c r="M403" s="14" t="str">
        <f t="shared" si="87"/>
        <v>OVERSOLD</v>
      </c>
      <c r="N403" s="7" t="str">
        <f t="shared" si="88"/>
        <v>BUY</v>
      </c>
      <c r="O403" s="7" t="str">
        <f t="shared" si="95"/>
        <v>BUY</v>
      </c>
      <c r="P403" s="7">
        <f t="shared" si="96"/>
        <v>1</v>
      </c>
      <c r="Q403" s="10">
        <f t="shared" si="89"/>
        <v>1057.95</v>
      </c>
      <c r="R403" s="10" t="e">
        <f t="shared" si="90"/>
        <v>#N/A</v>
      </c>
      <c r="S403" s="7">
        <f t="shared" si="97"/>
        <v>1057.95</v>
      </c>
      <c r="T403" s="7">
        <f t="shared" si="84"/>
        <v>9.9923430321592677E-2</v>
      </c>
    </row>
    <row r="404" spans="1:20" x14ac:dyDescent="0.25">
      <c r="A404" s="1">
        <v>41842</v>
      </c>
      <c r="B404">
        <v>1011.2</v>
      </c>
      <c r="C404">
        <v>1033.3499999999999</v>
      </c>
      <c r="D404">
        <v>996.6</v>
      </c>
      <c r="E404">
        <v>1005.35</v>
      </c>
      <c r="F404">
        <v>3274653</v>
      </c>
      <c r="G404" s="4">
        <f t="shared" si="85"/>
        <v>0</v>
      </c>
      <c r="H404" s="4">
        <f t="shared" si="86"/>
        <v>52.600000000000023</v>
      </c>
      <c r="I404" s="6">
        <f t="shared" si="91"/>
        <v>2.2892857142857275</v>
      </c>
      <c r="J404" s="6">
        <f t="shared" si="92"/>
        <v>11.910714285714294</v>
      </c>
      <c r="K404" s="4">
        <f t="shared" si="93"/>
        <v>0.19220389805097549</v>
      </c>
      <c r="L404">
        <f t="shared" si="94"/>
        <v>16.121730382293833</v>
      </c>
      <c r="M404" s="14" t="str">
        <f t="shared" si="87"/>
        <v>OVERSOLD</v>
      </c>
      <c r="N404" s="7" t="str">
        <f t="shared" si="88"/>
        <v>BUY</v>
      </c>
      <c r="O404" s="7">
        <f t="shared" si="95"/>
        <v>0</v>
      </c>
      <c r="P404" s="7">
        <f t="shared" si="96"/>
        <v>1</v>
      </c>
      <c r="Q404" s="10" t="e">
        <f t="shared" si="89"/>
        <v>#N/A</v>
      </c>
      <c r="R404" s="10" t="e">
        <f t="shared" si="90"/>
        <v>#N/A</v>
      </c>
      <c r="S404" s="7">
        <f t="shared" si="97"/>
        <v>1057.95</v>
      </c>
      <c r="T404" s="7">
        <f t="shared" si="84"/>
        <v>0</v>
      </c>
    </row>
    <row r="405" spans="1:20" x14ac:dyDescent="0.25">
      <c r="A405" s="1">
        <v>41843</v>
      </c>
      <c r="B405">
        <v>965</v>
      </c>
      <c r="C405">
        <v>985.2</v>
      </c>
      <c r="D405">
        <v>947.7</v>
      </c>
      <c r="E405">
        <v>964.8</v>
      </c>
      <c r="F405">
        <v>4079635</v>
      </c>
      <c r="G405" s="4">
        <f t="shared" si="85"/>
        <v>0</v>
      </c>
      <c r="H405" s="4">
        <f t="shared" si="86"/>
        <v>40.550000000000068</v>
      </c>
      <c r="I405" s="6">
        <f t="shared" si="91"/>
        <v>2.2892857142857275</v>
      </c>
      <c r="J405" s="6">
        <f t="shared" si="92"/>
        <v>14.264285714285734</v>
      </c>
      <c r="K405" s="4">
        <f t="shared" si="93"/>
        <v>0.16049073610415693</v>
      </c>
      <c r="L405">
        <f t="shared" si="94"/>
        <v>13.829557713052921</v>
      </c>
      <c r="M405" s="14" t="str">
        <f t="shared" si="87"/>
        <v>OVERSOLD</v>
      </c>
      <c r="N405" s="7" t="str">
        <f t="shared" si="88"/>
        <v>BUY</v>
      </c>
      <c r="O405" s="7">
        <f t="shared" si="95"/>
        <v>0</v>
      </c>
      <c r="P405" s="7">
        <f t="shared" si="96"/>
        <v>1</v>
      </c>
      <c r="Q405" s="10" t="e">
        <f t="shared" si="89"/>
        <v>#N/A</v>
      </c>
      <c r="R405" s="10" t="e">
        <f t="shared" si="90"/>
        <v>#N/A</v>
      </c>
      <c r="S405" s="7">
        <f t="shared" si="97"/>
        <v>1057.95</v>
      </c>
      <c r="T405" s="7">
        <f t="shared" si="84"/>
        <v>0</v>
      </c>
    </row>
    <row r="406" spans="1:20" x14ac:dyDescent="0.25">
      <c r="A406" s="1">
        <v>41844</v>
      </c>
      <c r="B406">
        <v>999</v>
      </c>
      <c r="C406">
        <v>1012</v>
      </c>
      <c r="D406">
        <v>973.8</v>
      </c>
      <c r="E406">
        <v>984.05</v>
      </c>
      <c r="F406">
        <v>2974540</v>
      </c>
      <c r="G406" s="4">
        <f t="shared" si="85"/>
        <v>19.25</v>
      </c>
      <c r="H406" s="4">
        <f t="shared" si="86"/>
        <v>0</v>
      </c>
      <c r="I406" s="6">
        <f t="shared" si="91"/>
        <v>3.6642857142857275</v>
      </c>
      <c r="J406" s="6">
        <f t="shared" si="92"/>
        <v>13.557142857142869</v>
      </c>
      <c r="K406" s="4">
        <f t="shared" si="93"/>
        <v>0.27028451001053816</v>
      </c>
      <c r="L406">
        <f t="shared" si="94"/>
        <v>21.277478224803033</v>
      </c>
      <c r="M406" s="14" t="str">
        <f t="shared" si="87"/>
        <v>OVERSOLD</v>
      </c>
      <c r="N406" s="7" t="str">
        <f t="shared" si="88"/>
        <v>BUY</v>
      </c>
      <c r="O406" s="7">
        <f t="shared" si="95"/>
        <v>0</v>
      </c>
      <c r="P406" s="7">
        <f t="shared" si="96"/>
        <v>1</v>
      </c>
      <c r="Q406" s="10" t="e">
        <f t="shared" si="89"/>
        <v>#N/A</v>
      </c>
      <c r="R406" s="10" t="e">
        <f t="shared" si="90"/>
        <v>#N/A</v>
      </c>
      <c r="S406" s="7">
        <f t="shared" si="97"/>
        <v>1057.95</v>
      </c>
      <c r="T406" s="7">
        <f t="shared" si="84"/>
        <v>0</v>
      </c>
    </row>
    <row r="407" spans="1:20" x14ac:dyDescent="0.25">
      <c r="A407" s="1">
        <v>41845</v>
      </c>
      <c r="B407">
        <v>980</v>
      </c>
      <c r="C407">
        <v>983.4</v>
      </c>
      <c r="D407">
        <v>963</v>
      </c>
      <c r="E407">
        <v>978.35</v>
      </c>
      <c r="F407">
        <v>1450232</v>
      </c>
      <c r="G407" s="4">
        <f t="shared" si="85"/>
        <v>0</v>
      </c>
      <c r="H407" s="4">
        <f t="shared" si="86"/>
        <v>5.6999999999999318</v>
      </c>
      <c r="I407" s="6">
        <f t="shared" si="91"/>
        <v>2.8892857142857173</v>
      </c>
      <c r="J407" s="6">
        <f t="shared" si="92"/>
        <v>13.964285714285722</v>
      </c>
      <c r="K407" s="4">
        <f t="shared" si="93"/>
        <v>0.20690537084398986</v>
      </c>
      <c r="L407">
        <f t="shared" si="94"/>
        <v>17.143462598008057</v>
      </c>
      <c r="M407" s="14" t="str">
        <f t="shared" si="87"/>
        <v>OVERSOLD</v>
      </c>
      <c r="N407" s="7" t="str">
        <f t="shared" si="88"/>
        <v>BUY</v>
      </c>
      <c r="O407" s="7">
        <f t="shared" si="95"/>
        <v>0</v>
      </c>
      <c r="P407" s="7">
        <f t="shared" si="96"/>
        <v>1</v>
      </c>
      <c r="Q407" s="10" t="e">
        <f t="shared" si="89"/>
        <v>#N/A</v>
      </c>
      <c r="R407" s="10" t="e">
        <f t="shared" si="90"/>
        <v>#N/A</v>
      </c>
      <c r="S407" s="7">
        <f t="shared" si="97"/>
        <v>1057.95</v>
      </c>
      <c r="T407" s="7">
        <f t="shared" si="84"/>
        <v>0</v>
      </c>
    </row>
    <row r="408" spans="1:20" x14ac:dyDescent="0.25">
      <c r="A408" s="1">
        <v>41848</v>
      </c>
      <c r="B408">
        <v>990.55</v>
      </c>
      <c r="C408">
        <v>991.9</v>
      </c>
      <c r="D408">
        <v>937.5</v>
      </c>
      <c r="E408">
        <v>947.15</v>
      </c>
      <c r="F408">
        <v>2084542</v>
      </c>
      <c r="G408" s="4">
        <f t="shared" si="85"/>
        <v>0</v>
      </c>
      <c r="H408" s="4">
        <f t="shared" si="86"/>
        <v>31.200000000000045</v>
      </c>
      <c r="I408" s="6">
        <f t="shared" si="91"/>
        <v>2.4250000000000034</v>
      </c>
      <c r="J408" s="6">
        <f t="shared" si="92"/>
        <v>16.192857142857154</v>
      </c>
      <c r="K408" s="4">
        <f t="shared" si="93"/>
        <v>0.14975738861932081</v>
      </c>
      <c r="L408">
        <f t="shared" si="94"/>
        <v>13.025129483982369</v>
      </c>
      <c r="M408" s="14" t="str">
        <f t="shared" si="87"/>
        <v>OVERSOLD</v>
      </c>
      <c r="N408" s="7" t="str">
        <f t="shared" si="88"/>
        <v>BUY</v>
      </c>
      <c r="O408" s="7">
        <f t="shared" si="95"/>
        <v>0</v>
      </c>
      <c r="P408" s="7">
        <f t="shared" si="96"/>
        <v>1</v>
      </c>
      <c r="Q408" s="10" t="e">
        <f t="shared" si="89"/>
        <v>#N/A</v>
      </c>
      <c r="R408" s="10" t="e">
        <f t="shared" si="90"/>
        <v>#N/A</v>
      </c>
      <c r="S408" s="7">
        <f t="shared" si="97"/>
        <v>1057.95</v>
      </c>
      <c r="T408" s="7">
        <f t="shared" si="84"/>
        <v>0</v>
      </c>
    </row>
    <row r="409" spans="1:20" x14ac:dyDescent="0.25">
      <c r="A409" s="1">
        <v>41849</v>
      </c>
      <c r="B409">
        <v>967</v>
      </c>
      <c r="C409">
        <v>978.35</v>
      </c>
      <c r="D409">
        <v>956.05</v>
      </c>
      <c r="E409">
        <v>973.6</v>
      </c>
      <c r="F409">
        <v>1491784</v>
      </c>
      <c r="G409" s="4">
        <f t="shared" si="85"/>
        <v>26.450000000000045</v>
      </c>
      <c r="H409" s="4">
        <f t="shared" si="86"/>
        <v>0</v>
      </c>
      <c r="I409" s="6">
        <f t="shared" si="91"/>
        <v>3.9750000000000063</v>
      </c>
      <c r="J409" s="6">
        <f t="shared" si="92"/>
        <v>16.192857142857154</v>
      </c>
      <c r="K409" s="4">
        <f t="shared" si="93"/>
        <v>0.24547860608734032</v>
      </c>
      <c r="L409">
        <f t="shared" si="94"/>
        <v>19.709580308128224</v>
      </c>
      <c r="M409" s="14" t="str">
        <f t="shared" si="87"/>
        <v>OVERSOLD</v>
      </c>
      <c r="N409" s="7" t="str">
        <f t="shared" si="88"/>
        <v>BUY</v>
      </c>
      <c r="O409" s="7">
        <f t="shared" si="95"/>
        <v>0</v>
      </c>
      <c r="P409" s="7">
        <f t="shared" si="96"/>
        <v>1</v>
      </c>
      <c r="Q409" s="10" t="e">
        <f t="shared" si="89"/>
        <v>#N/A</v>
      </c>
      <c r="R409" s="10" t="e">
        <f t="shared" si="90"/>
        <v>#N/A</v>
      </c>
      <c r="S409" s="7">
        <f t="shared" si="97"/>
        <v>1057.95</v>
      </c>
      <c r="T409" s="7">
        <f t="shared" si="84"/>
        <v>0</v>
      </c>
    </row>
    <row r="410" spans="1:20" x14ac:dyDescent="0.25">
      <c r="A410" s="1">
        <v>41850</v>
      </c>
      <c r="B410">
        <v>974.5</v>
      </c>
      <c r="C410">
        <v>1009.4</v>
      </c>
      <c r="D410">
        <v>970</v>
      </c>
      <c r="E410">
        <v>999.9</v>
      </c>
      <c r="F410">
        <v>2278946</v>
      </c>
      <c r="G410" s="4">
        <f t="shared" si="85"/>
        <v>26.299999999999955</v>
      </c>
      <c r="H410" s="4">
        <f t="shared" si="86"/>
        <v>0</v>
      </c>
      <c r="I410" s="6">
        <f t="shared" si="91"/>
        <v>5.6750000000000034</v>
      </c>
      <c r="J410" s="6">
        <f t="shared" si="92"/>
        <v>16.192857142857154</v>
      </c>
      <c r="K410" s="4">
        <f t="shared" si="93"/>
        <v>0.35046316718129683</v>
      </c>
      <c r="L410">
        <f t="shared" si="94"/>
        <v>25.95133104687244</v>
      </c>
      <c r="M410" s="14" t="str">
        <f t="shared" si="87"/>
        <v>OVERSOLD</v>
      </c>
      <c r="N410" s="7" t="str">
        <f t="shared" si="88"/>
        <v>BUY</v>
      </c>
      <c r="O410" s="7">
        <f t="shared" si="95"/>
        <v>0</v>
      </c>
      <c r="P410" s="7">
        <f t="shared" si="96"/>
        <v>1</v>
      </c>
      <c r="Q410" s="10" t="e">
        <f t="shared" si="89"/>
        <v>#N/A</v>
      </c>
      <c r="R410" s="10" t="e">
        <f t="shared" si="90"/>
        <v>#N/A</v>
      </c>
      <c r="S410" s="7">
        <f t="shared" si="97"/>
        <v>1057.95</v>
      </c>
      <c r="T410" s="7">
        <f t="shared" ref="T410:T473" si="98">IF(O410="BUY",(S409-S410)/S409,IF(O410="SELL",(S410-S409)/S409,0))</f>
        <v>0</v>
      </c>
    </row>
    <row r="411" spans="1:20" x14ac:dyDescent="0.25">
      <c r="A411" s="1">
        <v>41851</v>
      </c>
      <c r="B411">
        <v>1005.9</v>
      </c>
      <c r="C411">
        <v>1009.3</v>
      </c>
      <c r="D411">
        <v>958</v>
      </c>
      <c r="E411">
        <v>962.35</v>
      </c>
      <c r="F411">
        <v>1809948</v>
      </c>
      <c r="G411" s="4">
        <f t="shared" si="85"/>
        <v>0</v>
      </c>
      <c r="H411" s="4">
        <f t="shared" si="86"/>
        <v>37.549999999999955</v>
      </c>
      <c r="I411" s="6">
        <f t="shared" si="91"/>
        <v>5.6750000000000034</v>
      </c>
      <c r="J411" s="6">
        <f t="shared" si="92"/>
        <v>17.61785714285714</v>
      </c>
      <c r="K411" s="4">
        <f t="shared" si="93"/>
        <v>0.3221163592134606</v>
      </c>
      <c r="L411">
        <f t="shared" si="94"/>
        <v>24.363692118981916</v>
      </c>
      <c r="M411" s="14" t="str">
        <f t="shared" si="87"/>
        <v>OVERSOLD</v>
      </c>
      <c r="N411" s="7" t="str">
        <f t="shared" si="88"/>
        <v>BUY</v>
      </c>
      <c r="O411" s="7">
        <f t="shared" si="95"/>
        <v>0</v>
      </c>
      <c r="P411" s="7">
        <f t="shared" si="96"/>
        <v>1</v>
      </c>
      <c r="Q411" s="10" t="e">
        <f t="shared" si="89"/>
        <v>#N/A</v>
      </c>
      <c r="R411" s="10" t="e">
        <f t="shared" si="90"/>
        <v>#N/A</v>
      </c>
      <c r="S411" s="7">
        <f t="shared" si="97"/>
        <v>1057.95</v>
      </c>
      <c r="T411" s="7">
        <f t="shared" si="98"/>
        <v>0</v>
      </c>
    </row>
    <row r="412" spans="1:20" x14ac:dyDescent="0.25">
      <c r="A412" s="1">
        <v>41852</v>
      </c>
      <c r="B412">
        <v>943</v>
      </c>
      <c r="C412">
        <v>946.95</v>
      </c>
      <c r="D412">
        <v>905</v>
      </c>
      <c r="E412">
        <v>928.95</v>
      </c>
      <c r="F412">
        <v>2721807</v>
      </c>
      <c r="G412" s="4">
        <f t="shared" si="85"/>
        <v>0</v>
      </c>
      <c r="H412" s="4">
        <f t="shared" si="86"/>
        <v>33.399999999999977</v>
      </c>
      <c r="I412" s="6">
        <f t="shared" si="91"/>
        <v>5.1428571428571432</v>
      </c>
      <c r="J412" s="6">
        <f t="shared" si="92"/>
        <v>20.003571428571426</v>
      </c>
      <c r="K412" s="4">
        <f t="shared" si="93"/>
        <v>0.25709694697375474</v>
      </c>
      <c r="L412">
        <f t="shared" si="94"/>
        <v>20.451640391989784</v>
      </c>
      <c r="M412" s="14" t="str">
        <f t="shared" si="87"/>
        <v>OVERSOLD</v>
      </c>
      <c r="N412" s="7" t="str">
        <f t="shared" si="88"/>
        <v>BUY</v>
      </c>
      <c r="O412" s="7">
        <f t="shared" si="95"/>
        <v>0</v>
      </c>
      <c r="P412" s="7">
        <f t="shared" si="96"/>
        <v>1</v>
      </c>
      <c r="Q412" s="10" t="e">
        <f t="shared" si="89"/>
        <v>#N/A</v>
      </c>
      <c r="R412" s="10" t="e">
        <f t="shared" si="90"/>
        <v>#N/A</v>
      </c>
      <c r="S412" s="7">
        <f t="shared" si="97"/>
        <v>1057.95</v>
      </c>
      <c r="T412" s="7">
        <f t="shared" si="98"/>
        <v>0</v>
      </c>
    </row>
    <row r="413" spans="1:20" x14ac:dyDescent="0.25">
      <c r="A413" s="1">
        <v>41855</v>
      </c>
      <c r="B413">
        <v>929</v>
      </c>
      <c r="C413">
        <v>930</v>
      </c>
      <c r="D413">
        <v>902</v>
      </c>
      <c r="E413">
        <v>918.05</v>
      </c>
      <c r="F413">
        <v>1764461</v>
      </c>
      <c r="G413" s="4">
        <f t="shared" si="85"/>
        <v>0</v>
      </c>
      <c r="H413" s="4">
        <f t="shared" si="86"/>
        <v>10.900000000000091</v>
      </c>
      <c r="I413" s="6">
        <f t="shared" si="91"/>
        <v>5.1428571428571432</v>
      </c>
      <c r="J413" s="6">
        <f t="shared" si="92"/>
        <v>20.657142857142862</v>
      </c>
      <c r="K413" s="4">
        <f t="shared" si="93"/>
        <v>0.2489626556016597</v>
      </c>
      <c r="L413">
        <f t="shared" si="94"/>
        <v>19.933554817275748</v>
      </c>
      <c r="M413" s="14" t="str">
        <f t="shared" si="87"/>
        <v>OVERSOLD</v>
      </c>
      <c r="N413" s="7" t="str">
        <f t="shared" si="88"/>
        <v>BUY</v>
      </c>
      <c r="O413" s="7">
        <f t="shared" si="95"/>
        <v>0</v>
      </c>
      <c r="P413" s="7">
        <f t="shared" si="96"/>
        <v>1</v>
      </c>
      <c r="Q413" s="10" t="e">
        <f t="shared" si="89"/>
        <v>#N/A</v>
      </c>
      <c r="R413" s="10" t="e">
        <f t="shared" si="90"/>
        <v>#N/A</v>
      </c>
      <c r="S413" s="7">
        <f t="shared" si="97"/>
        <v>1057.95</v>
      </c>
      <c r="T413" s="7">
        <f t="shared" si="98"/>
        <v>0</v>
      </c>
    </row>
    <row r="414" spans="1:20" x14ac:dyDescent="0.25">
      <c r="A414" s="1">
        <v>41856</v>
      </c>
      <c r="B414">
        <v>920.85</v>
      </c>
      <c r="C414">
        <v>988</v>
      </c>
      <c r="D414">
        <v>920.35</v>
      </c>
      <c r="E414">
        <v>981.6</v>
      </c>
      <c r="F414">
        <v>2437335</v>
      </c>
      <c r="G414" s="4">
        <f t="shared" si="85"/>
        <v>63.550000000000068</v>
      </c>
      <c r="H414" s="4">
        <f t="shared" si="86"/>
        <v>0</v>
      </c>
      <c r="I414" s="6">
        <f t="shared" si="91"/>
        <v>9.6821428571428623</v>
      </c>
      <c r="J414" s="6">
        <f t="shared" si="92"/>
        <v>20.32857142857144</v>
      </c>
      <c r="K414" s="4">
        <f t="shared" si="93"/>
        <v>0.47628250175685172</v>
      </c>
      <c r="L414">
        <f t="shared" si="94"/>
        <v>32.262287278352971</v>
      </c>
      <c r="M414" s="14" t="str">
        <f t="shared" si="87"/>
        <v/>
      </c>
      <c r="N414" s="7">
        <f t="shared" si="88"/>
        <v>0</v>
      </c>
      <c r="O414" s="7">
        <f t="shared" si="95"/>
        <v>0</v>
      </c>
      <c r="P414" s="7">
        <f t="shared" si="96"/>
        <v>1</v>
      </c>
      <c r="Q414" s="10" t="e">
        <f t="shared" si="89"/>
        <v>#N/A</v>
      </c>
      <c r="R414" s="10" t="e">
        <f t="shared" si="90"/>
        <v>#N/A</v>
      </c>
      <c r="S414" s="7">
        <f t="shared" si="97"/>
        <v>1057.95</v>
      </c>
      <c r="T414" s="7">
        <f t="shared" si="98"/>
        <v>0</v>
      </c>
    </row>
    <row r="415" spans="1:20" x14ac:dyDescent="0.25">
      <c r="A415" s="1">
        <v>41857</v>
      </c>
      <c r="B415">
        <v>978</v>
      </c>
      <c r="C415">
        <v>978</v>
      </c>
      <c r="D415">
        <v>955</v>
      </c>
      <c r="E415">
        <v>962.6</v>
      </c>
      <c r="F415">
        <v>1597395</v>
      </c>
      <c r="G415" s="4">
        <f t="shared" si="85"/>
        <v>0</v>
      </c>
      <c r="H415" s="4">
        <f t="shared" si="86"/>
        <v>19</v>
      </c>
      <c r="I415" s="6">
        <f t="shared" si="91"/>
        <v>9.6821428571428623</v>
      </c>
      <c r="J415" s="6">
        <f t="shared" si="92"/>
        <v>20.235714285714284</v>
      </c>
      <c r="K415" s="4">
        <f t="shared" si="93"/>
        <v>0.4784680550653021</v>
      </c>
      <c r="L415">
        <f t="shared" si="94"/>
        <v>32.362420914408503</v>
      </c>
      <c r="M415" s="14" t="str">
        <f t="shared" si="87"/>
        <v/>
      </c>
      <c r="N415" s="7">
        <f t="shared" si="88"/>
        <v>0</v>
      </c>
      <c r="O415" s="7">
        <f t="shared" si="95"/>
        <v>0</v>
      </c>
      <c r="P415" s="7">
        <f t="shared" si="96"/>
        <v>1</v>
      </c>
      <c r="Q415" s="10" t="e">
        <f t="shared" si="89"/>
        <v>#N/A</v>
      </c>
      <c r="R415" s="10" t="e">
        <f t="shared" si="90"/>
        <v>#N/A</v>
      </c>
      <c r="S415" s="7">
        <f t="shared" si="97"/>
        <v>1057.95</v>
      </c>
      <c r="T415" s="7">
        <f t="shared" si="98"/>
        <v>0</v>
      </c>
    </row>
    <row r="416" spans="1:20" x14ac:dyDescent="0.25">
      <c r="A416" s="1">
        <v>41858</v>
      </c>
      <c r="B416">
        <v>969.7</v>
      </c>
      <c r="C416">
        <v>973</v>
      </c>
      <c r="D416">
        <v>938</v>
      </c>
      <c r="E416">
        <v>950.4</v>
      </c>
      <c r="F416">
        <v>2222744</v>
      </c>
      <c r="G416" s="4">
        <f t="shared" si="85"/>
        <v>0</v>
      </c>
      <c r="H416" s="4">
        <f t="shared" si="86"/>
        <v>12.200000000000045</v>
      </c>
      <c r="I416" s="6">
        <f t="shared" si="91"/>
        <v>9.6821428571428623</v>
      </c>
      <c r="J416" s="6">
        <f t="shared" si="92"/>
        <v>20.071428571428573</v>
      </c>
      <c r="K416" s="4">
        <f t="shared" si="93"/>
        <v>0.48238434163701088</v>
      </c>
      <c r="L416">
        <f t="shared" si="94"/>
        <v>32.54111151122315</v>
      </c>
      <c r="M416" s="14" t="str">
        <f t="shared" si="87"/>
        <v/>
      </c>
      <c r="N416" s="7">
        <f t="shared" si="88"/>
        <v>0</v>
      </c>
      <c r="O416" s="7">
        <f t="shared" si="95"/>
        <v>0</v>
      </c>
      <c r="P416" s="7">
        <f t="shared" si="96"/>
        <v>1</v>
      </c>
      <c r="Q416" s="10" t="e">
        <f t="shared" si="89"/>
        <v>#N/A</v>
      </c>
      <c r="R416" s="10" t="e">
        <f t="shared" si="90"/>
        <v>#N/A</v>
      </c>
      <c r="S416" s="7">
        <f t="shared" si="97"/>
        <v>1057.95</v>
      </c>
      <c r="T416" s="7">
        <f t="shared" si="98"/>
        <v>0</v>
      </c>
    </row>
    <row r="417" spans="1:20" x14ac:dyDescent="0.25">
      <c r="A417" s="1">
        <v>41859</v>
      </c>
      <c r="B417">
        <v>951.1</v>
      </c>
      <c r="C417">
        <v>969.5</v>
      </c>
      <c r="D417">
        <v>940</v>
      </c>
      <c r="E417">
        <v>948.45</v>
      </c>
      <c r="F417">
        <v>1792455</v>
      </c>
      <c r="G417" s="4">
        <f t="shared" si="85"/>
        <v>0</v>
      </c>
      <c r="H417" s="4">
        <f t="shared" si="86"/>
        <v>1.9499999999999318</v>
      </c>
      <c r="I417" s="6">
        <f t="shared" si="91"/>
        <v>9.6821428571428623</v>
      </c>
      <c r="J417" s="6">
        <f t="shared" si="92"/>
        <v>17.503571428571433</v>
      </c>
      <c r="K417" s="4">
        <f t="shared" si="93"/>
        <v>0.55315241787390346</v>
      </c>
      <c r="L417">
        <f t="shared" si="94"/>
        <v>35.614818707304252</v>
      </c>
      <c r="M417" s="14" t="str">
        <f t="shared" si="87"/>
        <v/>
      </c>
      <c r="N417" s="7">
        <f t="shared" si="88"/>
        <v>0</v>
      </c>
      <c r="O417" s="7">
        <f t="shared" si="95"/>
        <v>0</v>
      </c>
      <c r="P417" s="7">
        <f t="shared" si="96"/>
        <v>1</v>
      </c>
      <c r="Q417" s="10" t="e">
        <f t="shared" si="89"/>
        <v>#N/A</v>
      </c>
      <c r="R417" s="10" t="e">
        <f t="shared" si="90"/>
        <v>#N/A</v>
      </c>
      <c r="S417" s="7">
        <f t="shared" si="97"/>
        <v>1057.95</v>
      </c>
      <c r="T417" s="7">
        <f t="shared" si="98"/>
        <v>0</v>
      </c>
    </row>
    <row r="418" spans="1:20" x14ac:dyDescent="0.25">
      <c r="A418" s="1">
        <v>41862</v>
      </c>
      <c r="B418">
        <v>964.1</v>
      </c>
      <c r="C418">
        <v>1024</v>
      </c>
      <c r="D418">
        <v>964.1</v>
      </c>
      <c r="E418">
        <v>1019.6</v>
      </c>
      <c r="F418">
        <v>2795222</v>
      </c>
      <c r="G418" s="4">
        <f t="shared" si="85"/>
        <v>71.149999999999977</v>
      </c>
      <c r="H418" s="4">
        <f t="shared" si="86"/>
        <v>0</v>
      </c>
      <c r="I418" s="6">
        <f t="shared" si="91"/>
        <v>14.764285714285718</v>
      </c>
      <c r="J418" s="6">
        <f t="shared" si="92"/>
        <v>13.746428571428575</v>
      </c>
      <c r="K418" s="4">
        <f t="shared" si="93"/>
        <v>1.0740452065471551</v>
      </c>
      <c r="L418">
        <f t="shared" si="94"/>
        <v>51.785043216835781</v>
      </c>
      <c r="M418" s="14" t="str">
        <f t="shared" si="87"/>
        <v/>
      </c>
      <c r="N418" s="7">
        <f t="shared" si="88"/>
        <v>0</v>
      </c>
      <c r="O418" s="7">
        <f t="shared" si="95"/>
        <v>0</v>
      </c>
      <c r="P418" s="7">
        <f t="shared" si="96"/>
        <v>1</v>
      </c>
      <c r="Q418" s="10" t="e">
        <f t="shared" si="89"/>
        <v>#N/A</v>
      </c>
      <c r="R418" s="10" t="e">
        <f t="shared" si="90"/>
        <v>#N/A</v>
      </c>
      <c r="S418" s="7">
        <f t="shared" si="97"/>
        <v>1057.95</v>
      </c>
      <c r="T418" s="7">
        <f t="shared" si="98"/>
        <v>0</v>
      </c>
    </row>
    <row r="419" spans="1:20" x14ac:dyDescent="0.25">
      <c r="A419" s="1">
        <v>41863</v>
      </c>
      <c r="B419">
        <v>1030</v>
      </c>
      <c r="C419">
        <v>1050.3</v>
      </c>
      <c r="D419">
        <v>1024.1500000000001</v>
      </c>
      <c r="E419">
        <v>1042.4000000000001</v>
      </c>
      <c r="F419">
        <v>2983341</v>
      </c>
      <c r="G419" s="4">
        <f t="shared" si="85"/>
        <v>22.800000000000068</v>
      </c>
      <c r="H419" s="4">
        <f t="shared" si="86"/>
        <v>0</v>
      </c>
      <c r="I419" s="6">
        <f t="shared" si="91"/>
        <v>16.392857142857149</v>
      </c>
      <c r="J419" s="6">
        <f t="shared" si="92"/>
        <v>10.849999999999998</v>
      </c>
      <c r="K419" s="4">
        <f t="shared" si="93"/>
        <v>1.5108624094799219</v>
      </c>
      <c r="L419">
        <f t="shared" si="94"/>
        <v>60.17304667016257</v>
      </c>
      <c r="M419" s="14" t="str">
        <f t="shared" si="87"/>
        <v/>
      </c>
      <c r="N419" s="7">
        <f t="shared" si="88"/>
        <v>0</v>
      </c>
      <c r="O419" s="7">
        <f t="shared" si="95"/>
        <v>0</v>
      </c>
      <c r="P419" s="7">
        <f t="shared" si="96"/>
        <v>1</v>
      </c>
      <c r="Q419" s="10" t="e">
        <f t="shared" si="89"/>
        <v>#N/A</v>
      </c>
      <c r="R419" s="10" t="e">
        <f t="shared" si="90"/>
        <v>#N/A</v>
      </c>
      <c r="S419" s="7">
        <f t="shared" si="97"/>
        <v>1057.95</v>
      </c>
      <c r="T419" s="7">
        <f t="shared" si="98"/>
        <v>0</v>
      </c>
    </row>
    <row r="420" spans="1:20" x14ac:dyDescent="0.25">
      <c r="A420" s="1">
        <v>41864</v>
      </c>
      <c r="B420">
        <v>1073</v>
      </c>
      <c r="C420">
        <v>1074.75</v>
      </c>
      <c r="D420">
        <v>1012</v>
      </c>
      <c r="E420">
        <v>1022.1</v>
      </c>
      <c r="F420">
        <v>2206753</v>
      </c>
      <c r="G420" s="4">
        <f t="shared" si="85"/>
        <v>0</v>
      </c>
      <c r="H420" s="4">
        <f t="shared" si="86"/>
        <v>20.300000000000068</v>
      </c>
      <c r="I420" s="6">
        <f t="shared" si="91"/>
        <v>15.017857142857151</v>
      </c>
      <c r="J420" s="6">
        <f t="shared" si="92"/>
        <v>12.300000000000002</v>
      </c>
      <c r="K420" s="4">
        <f t="shared" si="93"/>
        <v>1.2209639953542397</v>
      </c>
      <c r="L420">
        <f t="shared" si="94"/>
        <v>54.974506471434182</v>
      </c>
      <c r="M420" s="14" t="str">
        <f t="shared" si="87"/>
        <v/>
      </c>
      <c r="N420" s="7">
        <f t="shared" si="88"/>
        <v>0</v>
      </c>
      <c r="O420" s="7">
        <f t="shared" si="95"/>
        <v>0</v>
      </c>
      <c r="P420" s="7">
        <f t="shared" si="96"/>
        <v>1</v>
      </c>
      <c r="Q420" s="10" t="e">
        <f t="shared" si="89"/>
        <v>#N/A</v>
      </c>
      <c r="R420" s="10" t="e">
        <f t="shared" si="90"/>
        <v>#N/A</v>
      </c>
      <c r="S420" s="7">
        <f t="shared" si="97"/>
        <v>1057.95</v>
      </c>
      <c r="T420" s="7">
        <f t="shared" si="98"/>
        <v>0</v>
      </c>
    </row>
    <row r="421" spans="1:20" x14ac:dyDescent="0.25">
      <c r="A421" s="1">
        <v>41865</v>
      </c>
      <c r="B421">
        <v>1015.8</v>
      </c>
      <c r="C421">
        <v>1033.2</v>
      </c>
      <c r="D421">
        <v>998.45</v>
      </c>
      <c r="E421">
        <v>1027.7</v>
      </c>
      <c r="F421">
        <v>1894829</v>
      </c>
      <c r="G421" s="4">
        <f t="shared" si="85"/>
        <v>5.6000000000000227</v>
      </c>
      <c r="H421" s="4">
        <f t="shared" si="86"/>
        <v>0</v>
      </c>
      <c r="I421" s="6">
        <f t="shared" si="91"/>
        <v>15.417857142857153</v>
      </c>
      <c r="J421" s="6">
        <f t="shared" si="92"/>
        <v>11.892857142857151</v>
      </c>
      <c r="K421" s="4">
        <f t="shared" si="93"/>
        <v>1.2963963963963965</v>
      </c>
      <c r="L421">
        <f t="shared" si="94"/>
        <v>56.453511180855237</v>
      </c>
      <c r="M421" s="14" t="str">
        <f t="shared" si="87"/>
        <v/>
      </c>
      <c r="N421" s="7">
        <f t="shared" si="88"/>
        <v>0</v>
      </c>
      <c r="O421" s="7">
        <f t="shared" si="95"/>
        <v>0</v>
      </c>
      <c r="P421" s="7">
        <f t="shared" si="96"/>
        <v>1</v>
      </c>
      <c r="Q421" s="10" t="e">
        <f t="shared" si="89"/>
        <v>#N/A</v>
      </c>
      <c r="R421" s="10" t="e">
        <f t="shared" si="90"/>
        <v>#N/A</v>
      </c>
      <c r="S421" s="7">
        <f t="shared" si="97"/>
        <v>1057.95</v>
      </c>
      <c r="T421" s="7">
        <f t="shared" si="98"/>
        <v>0</v>
      </c>
    </row>
    <row r="422" spans="1:20" x14ac:dyDescent="0.25">
      <c r="A422" s="1">
        <v>41866</v>
      </c>
      <c r="B422">
        <v>1018</v>
      </c>
      <c r="C422">
        <v>1042</v>
      </c>
      <c r="D422">
        <v>1005</v>
      </c>
      <c r="E422">
        <v>1033.9000000000001</v>
      </c>
      <c r="F422">
        <v>2381646</v>
      </c>
      <c r="G422" s="4">
        <f t="shared" si="85"/>
        <v>6.2000000000000455</v>
      </c>
      <c r="H422" s="4">
        <f t="shared" si="86"/>
        <v>0</v>
      </c>
      <c r="I422" s="6">
        <f t="shared" si="91"/>
        <v>15.860714285714298</v>
      </c>
      <c r="J422" s="6">
        <f t="shared" si="92"/>
        <v>9.6642857142857199</v>
      </c>
      <c r="K422" s="4">
        <f t="shared" si="93"/>
        <v>1.6411677753141172</v>
      </c>
      <c r="L422">
        <f t="shared" si="94"/>
        <v>62.137959983209747</v>
      </c>
      <c r="M422" s="14" t="str">
        <f t="shared" si="87"/>
        <v/>
      </c>
      <c r="N422" s="7">
        <f t="shared" si="88"/>
        <v>0</v>
      </c>
      <c r="O422" s="7">
        <f t="shared" si="95"/>
        <v>0</v>
      </c>
      <c r="P422" s="7">
        <f t="shared" si="96"/>
        <v>1</v>
      </c>
      <c r="Q422" s="10" t="e">
        <f t="shared" si="89"/>
        <v>#N/A</v>
      </c>
      <c r="R422" s="10" t="e">
        <f t="shared" si="90"/>
        <v>#N/A</v>
      </c>
      <c r="S422" s="7">
        <f t="shared" si="97"/>
        <v>1057.95</v>
      </c>
      <c r="T422" s="7">
        <f t="shared" si="98"/>
        <v>0</v>
      </c>
    </row>
    <row r="423" spans="1:20" x14ac:dyDescent="0.25">
      <c r="A423" s="1">
        <v>41869</v>
      </c>
      <c r="B423">
        <v>1034.0999999999999</v>
      </c>
      <c r="C423">
        <v>1050</v>
      </c>
      <c r="D423">
        <v>1025</v>
      </c>
      <c r="E423">
        <v>1031</v>
      </c>
      <c r="F423">
        <v>2216078</v>
      </c>
      <c r="G423" s="4">
        <f t="shared" si="85"/>
        <v>0</v>
      </c>
      <c r="H423" s="4">
        <f t="shared" si="86"/>
        <v>2.9000000000000909</v>
      </c>
      <c r="I423" s="6">
        <f t="shared" si="91"/>
        <v>13.97142857142858</v>
      </c>
      <c r="J423" s="6">
        <f t="shared" si="92"/>
        <v>9.8714285714285825</v>
      </c>
      <c r="K423" s="4">
        <f t="shared" si="93"/>
        <v>1.4153400868306796</v>
      </c>
      <c r="L423">
        <f t="shared" si="94"/>
        <v>58.597962852007178</v>
      </c>
      <c r="M423" s="14" t="str">
        <f t="shared" si="87"/>
        <v/>
      </c>
      <c r="N423" s="7">
        <f t="shared" si="88"/>
        <v>0</v>
      </c>
      <c r="O423" s="7">
        <f t="shared" si="95"/>
        <v>0</v>
      </c>
      <c r="P423" s="7">
        <f t="shared" si="96"/>
        <v>1</v>
      </c>
      <c r="Q423" s="10" t="e">
        <f t="shared" si="89"/>
        <v>#N/A</v>
      </c>
      <c r="R423" s="10" t="e">
        <f t="shared" si="90"/>
        <v>#N/A</v>
      </c>
      <c r="S423" s="7">
        <f t="shared" si="97"/>
        <v>1057.95</v>
      </c>
      <c r="T423" s="7">
        <f t="shared" si="98"/>
        <v>0</v>
      </c>
    </row>
    <row r="424" spans="1:20" x14ac:dyDescent="0.25">
      <c r="A424" s="1">
        <v>41870</v>
      </c>
      <c r="B424">
        <v>1033</v>
      </c>
      <c r="C424">
        <v>1054.95</v>
      </c>
      <c r="D424">
        <v>1029</v>
      </c>
      <c r="E424">
        <v>1036.05</v>
      </c>
      <c r="F424">
        <v>2446331</v>
      </c>
      <c r="G424" s="4">
        <f t="shared" si="85"/>
        <v>5.0499999999999545</v>
      </c>
      <c r="H424" s="4">
        <f t="shared" si="86"/>
        <v>0</v>
      </c>
      <c r="I424" s="6">
        <f t="shared" si="91"/>
        <v>12.453571428571438</v>
      </c>
      <c r="J424" s="6">
        <f t="shared" si="92"/>
        <v>9.8714285714285825</v>
      </c>
      <c r="K424" s="4">
        <f t="shared" si="93"/>
        <v>1.2615774240231543</v>
      </c>
      <c r="L424">
        <f t="shared" si="94"/>
        <v>55.783074708046705</v>
      </c>
      <c r="M424" s="14" t="str">
        <f t="shared" si="87"/>
        <v/>
      </c>
      <c r="N424" s="7">
        <f t="shared" si="88"/>
        <v>0</v>
      </c>
      <c r="O424" s="7">
        <f t="shared" si="95"/>
        <v>0</v>
      </c>
      <c r="P424" s="7">
        <f t="shared" si="96"/>
        <v>1</v>
      </c>
      <c r="Q424" s="10" t="e">
        <f t="shared" si="89"/>
        <v>#N/A</v>
      </c>
      <c r="R424" s="10" t="e">
        <f t="shared" si="90"/>
        <v>#N/A</v>
      </c>
      <c r="S424" s="7">
        <f t="shared" si="97"/>
        <v>1057.95</v>
      </c>
      <c r="T424" s="7">
        <f t="shared" si="98"/>
        <v>0</v>
      </c>
    </row>
    <row r="425" spans="1:20" x14ac:dyDescent="0.25">
      <c r="A425" s="1">
        <v>41871</v>
      </c>
      <c r="B425">
        <v>1040</v>
      </c>
      <c r="C425">
        <v>1051.5999999999999</v>
      </c>
      <c r="D425">
        <v>1010.65</v>
      </c>
      <c r="E425">
        <v>1016.05</v>
      </c>
      <c r="F425">
        <v>2531325</v>
      </c>
      <c r="G425" s="4">
        <f t="shared" si="85"/>
        <v>0</v>
      </c>
      <c r="H425" s="4">
        <f t="shared" si="86"/>
        <v>20</v>
      </c>
      <c r="I425" s="6">
        <f t="shared" si="91"/>
        <v>12.453571428571438</v>
      </c>
      <c r="J425" s="6">
        <f t="shared" si="92"/>
        <v>8.617857142857158</v>
      </c>
      <c r="K425" s="4">
        <f t="shared" si="93"/>
        <v>1.4450891007045157</v>
      </c>
      <c r="L425">
        <f t="shared" si="94"/>
        <v>59.101694915254214</v>
      </c>
      <c r="M425" s="14" t="str">
        <f t="shared" si="87"/>
        <v/>
      </c>
      <c r="N425" s="7">
        <f t="shared" si="88"/>
        <v>0</v>
      </c>
      <c r="O425" s="7">
        <f t="shared" si="95"/>
        <v>0</v>
      </c>
      <c r="P425" s="7">
        <f t="shared" si="96"/>
        <v>1</v>
      </c>
      <c r="Q425" s="10" t="e">
        <f t="shared" si="89"/>
        <v>#N/A</v>
      </c>
      <c r="R425" s="10" t="e">
        <f t="shared" si="90"/>
        <v>#N/A</v>
      </c>
      <c r="S425" s="7">
        <f t="shared" si="97"/>
        <v>1057.95</v>
      </c>
      <c r="T425" s="7">
        <f t="shared" si="98"/>
        <v>0</v>
      </c>
    </row>
    <row r="426" spans="1:20" x14ac:dyDescent="0.25">
      <c r="A426" s="1">
        <v>41872</v>
      </c>
      <c r="B426">
        <v>1000</v>
      </c>
      <c r="C426">
        <v>1003.85</v>
      </c>
      <c r="D426">
        <v>978.65</v>
      </c>
      <c r="E426">
        <v>985.7</v>
      </c>
      <c r="F426">
        <v>1648585</v>
      </c>
      <c r="G426" s="4">
        <f t="shared" si="85"/>
        <v>0</v>
      </c>
      <c r="H426" s="4">
        <f t="shared" si="86"/>
        <v>30.349999999999909</v>
      </c>
      <c r="I426" s="6">
        <f t="shared" si="91"/>
        <v>12.453571428571438</v>
      </c>
      <c r="J426" s="6">
        <f t="shared" si="92"/>
        <v>8.4000000000000092</v>
      </c>
      <c r="K426" s="4">
        <f t="shared" si="93"/>
        <v>1.4825680272108839</v>
      </c>
      <c r="L426">
        <f t="shared" si="94"/>
        <v>59.719129988011638</v>
      </c>
      <c r="M426" s="14" t="str">
        <f t="shared" si="87"/>
        <v/>
      </c>
      <c r="N426" s="7">
        <f t="shared" si="88"/>
        <v>0</v>
      </c>
      <c r="O426" s="7">
        <f t="shared" si="95"/>
        <v>0</v>
      </c>
      <c r="P426" s="7">
        <f t="shared" si="96"/>
        <v>1</v>
      </c>
      <c r="Q426" s="10" t="e">
        <f t="shared" si="89"/>
        <v>#N/A</v>
      </c>
      <c r="R426" s="10" t="e">
        <f t="shared" si="90"/>
        <v>#N/A</v>
      </c>
      <c r="S426" s="7">
        <f t="shared" si="97"/>
        <v>1057.95</v>
      </c>
      <c r="T426" s="7">
        <f t="shared" si="98"/>
        <v>0</v>
      </c>
    </row>
    <row r="427" spans="1:20" x14ac:dyDescent="0.25">
      <c r="A427" s="1">
        <v>41873</v>
      </c>
      <c r="B427">
        <v>997.8</v>
      </c>
      <c r="C427">
        <v>1024</v>
      </c>
      <c r="D427">
        <v>988.75</v>
      </c>
      <c r="E427">
        <v>993.75</v>
      </c>
      <c r="F427">
        <v>1899102</v>
      </c>
      <c r="G427" s="4">
        <f t="shared" si="85"/>
        <v>8.0499999999999545</v>
      </c>
      <c r="H427" s="4">
        <f t="shared" si="86"/>
        <v>0</v>
      </c>
      <c r="I427" s="6">
        <f t="shared" si="91"/>
        <v>13.028571428571436</v>
      </c>
      <c r="J427" s="6">
        <f t="shared" si="92"/>
        <v>7.6214285714285745</v>
      </c>
      <c r="K427" s="4">
        <f t="shared" si="93"/>
        <v>1.7094657919400189</v>
      </c>
      <c r="L427">
        <f t="shared" si="94"/>
        <v>63.092355586302325</v>
      </c>
      <c r="M427" s="14" t="str">
        <f t="shared" si="87"/>
        <v/>
      </c>
      <c r="N427" s="7">
        <f t="shared" si="88"/>
        <v>0</v>
      </c>
      <c r="O427" s="7">
        <f t="shared" si="95"/>
        <v>0</v>
      </c>
      <c r="P427" s="7">
        <f t="shared" si="96"/>
        <v>1</v>
      </c>
      <c r="Q427" s="10" t="e">
        <f t="shared" si="89"/>
        <v>#N/A</v>
      </c>
      <c r="R427" s="10" t="e">
        <f t="shared" si="90"/>
        <v>#N/A</v>
      </c>
      <c r="S427" s="7">
        <f t="shared" si="97"/>
        <v>1057.95</v>
      </c>
      <c r="T427" s="7">
        <f t="shared" si="98"/>
        <v>0</v>
      </c>
    </row>
    <row r="428" spans="1:20" x14ac:dyDescent="0.25">
      <c r="A428" s="1">
        <v>41876</v>
      </c>
      <c r="B428">
        <v>1001</v>
      </c>
      <c r="C428">
        <v>1029</v>
      </c>
      <c r="D428">
        <v>993.75</v>
      </c>
      <c r="E428">
        <v>1015.1</v>
      </c>
      <c r="F428">
        <v>2372816</v>
      </c>
      <c r="G428" s="4">
        <f t="shared" si="85"/>
        <v>21.350000000000023</v>
      </c>
      <c r="H428" s="4">
        <f t="shared" si="86"/>
        <v>0</v>
      </c>
      <c r="I428" s="6">
        <f t="shared" si="91"/>
        <v>10.014285714285718</v>
      </c>
      <c r="J428" s="6">
        <f t="shared" si="92"/>
        <v>7.6214285714285745</v>
      </c>
      <c r="K428" s="4">
        <f t="shared" si="93"/>
        <v>1.3139643861293344</v>
      </c>
      <c r="L428">
        <f t="shared" si="94"/>
        <v>56.784123126771966</v>
      </c>
      <c r="M428" s="14" t="str">
        <f t="shared" si="87"/>
        <v/>
      </c>
      <c r="N428" s="7">
        <f t="shared" si="88"/>
        <v>0</v>
      </c>
      <c r="O428" s="7">
        <f t="shared" si="95"/>
        <v>0</v>
      </c>
      <c r="P428" s="7">
        <f t="shared" si="96"/>
        <v>1</v>
      </c>
      <c r="Q428" s="10" t="e">
        <f t="shared" si="89"/>
        <v>#N/A</v>
      </c>
      <c r="R428" s="10" t="e">
        <f t="shared" si="90"/>
        <v>#N/A</v>
      </c>
      <c r="S428" s="7">
        <f t="shared" si="97"/>
        <v>1057.95</v>
      </c>
      <c r="T428" s="7">
        <f t="shared" si="98"/>
        <v>0</v>
      </c>
    </row>
    <row r="429" spans="1:20" x14ac:dyDescent="0.25">
      <c r="A429" s="1">
        <v>41877</v>
      </c>
      <c r="B429">
        <v>1028</v>
      </c>
      <c r="C429">
        <v>1045.8</v>
      </c>
      <c r="D429">
        <v>1010</v>
      </c>
      <c r="E429">
        <v>1041.75</v>
      </c>
      <c r="F429">
        <v>1926119</v>
      </c>
      <c r="G429" s="4">
        <f t="shared" si="85"/>
        <v>26.649999999999977</v>
      </c>
      <c r="H429" s="4">
        <f t="shared" si="86"/>
        <v>0</v>
      </c>
      <c r="I429" s="6">
        <f t="shared" si="91"/>
        <v>11.917857142857144</v>
      </c>
      <c r="J429" s="6">
        <f t="shared" si="92"/>
        <v>6.2642857142857178</v>
      </c>
      <c r="K429" s="4">
        <f t="shared" si="93"/>
        <v>1.9025085518814131</v>
      </c>
      <c r="L429">
        <f t="shared" si="94"/>
        <v>65.547043802789233</v>
      </c>
      <c r="M429" s="14" t="str">
        <f t="shared" si="87"/>
        <v/>
      </c>
      <c r="N429" s="7">
        <f t="shared" si="88"/>
        <v>0</v>
      </c>
      <c r="O429" s="7">
        <f t="shared" si="95"/>
        <v>0</v>
      </c>
      <c r="P429" s="7">
        <f t="shared" si="96"/>
        <v>1</v>
      </c>
      <c r="Q429" s="10" t="e">
        <f t="shared" si="89"/>
        <v>#N/A</v>
      </c>
      <c r="R429" s="10" t="e">
        <f t="shared" si="90"/>
        <v>#N/A</v>
      </c>
      <c r="S429" s="7">
        <f t="shared" si="97"/>
        <v>1057.95</v>
      </c>
      <c r="T429" s="7">
        <f t="shared" si="98"/>
        <v>0</v>
      </c>
    </row>
    <row r="430" spans="1:20" x14ac:dyDescent="0.25">
      <c r="A430" s="1">
        <v>41878</v>
      </c>
      <c r="B430">
        <v>1048</v>
      </c>
      <c r="C430">
        <v>1072.4000000000001</v>
      </c>
      <c r="D430">
        <v>1021.3</v>
      </c>
      <c r="E430">
        <v>1027.75</v>
      </c>
      <c r="F430">
        <v>2328252</v>
      </c>
      <c r="G430" s="4">
        <f t="shared" si="85"/>
        <v>0</v>
      </c>
      <c r="H430" s="4">
        <f t="shared" si="86"/>
        <v>14</v>
      </c>
      <c r="I430" s="6">
        <f t="shared" si="91"/>
        <v>11.917857142857144</v>
      </c>
      <c r="J430" s="6">
        <f t="shared" si="92"/>
        <v>6.3928571428571432</v>
      </c>
      <c r="K430" s="4">
        <f t="shared" si="93"/>
        <v>1.8642458100558661</v>
      </c>
      <c r="L430">
        <f t="shared" si="94"/>
        <v>65.086795396918291</v>
      </c>
      <c r="M430" s="14" t="str">
        <f t="shared" si="87"/>
        <v/>
      </c>
      <c r="N430" s="7">
        <f t="shared" si="88"/>
        <v>0</v>
      </c>
      <c r="O430" s="7">
        <f t="shared" si="95"/>
        <v>0</v>
      </c>
      <c r="P430" s="7">
        <f t="shared" si="96"/>
        <v>1</v>
      </c>
      <c r="Q430" s="10" t="e">
        <f t="shared" si="89"/>
        <v>#N/A</v>
      </c>
      <c r="R430" s="10" t="e">
        <f t="shared" si="90"/>
        <v>#N/A</v>
      </c>
      <c r="S430" s="7">
        <f t="shared" si="97"/>
        <v>1057.95</v>
      </c>
      <c r="T430" s="7">
        <f t="shared" si="98"/>
        <v>0</v>
      </c>
    </row>
    <row r="431" spans="1:20" x14ac:dyDescent="0.25">
      <c r="A431" s="1">
        <v>41879</v>
      </c>
      <c r="B431">
        <v>1021.5</v>
      </c>
      <c r="C431">
        <v>1032.5</v>
      </c>
      <c r="D431">
        <v>1012.5</v>
      </c>
      <c r="E431">
        <v>1018.05</v>
      </c>
      <c r="F431">
        <v>1120117</v>
      </c>
      <c r="G431" s="4">
        <f t="shared" si="85"/>
        <v>0</v>
      </c>
      <c r="H431" s="4">
        <f t="shared" si="86"/>
        <v>9.7000000000000455</v>
      </c>
      <c r="I431" s="6">
        <f t="shared" si="91"/>
        <v>11.917857142857144</v>
      </c>
      <c r="J431" s="6">
        <f t="shared" si="92"/>
        <v>6.9464285714285792</v>
      </c>
      <c r="K431" s="4">
        <f t="shared" si="93"/>
        <v>1.7156812339331602</v>
      </c>
      <c r="L431">
        <f t="shared" si="94"/>
        <v>63.17682695948502</v>
      </c>
      <c r="M431" s="14" t="str">
        <f t="shared" si="87"/>
        <v/>
      </c>
      <c r="N431" s="7">
        <f t="shared" si="88"/>
        <v>0</v>
      </c>
      <c r="O431" s="7">
        <f t="shared" si="95"/>
        <v>0</v>
      </c>
      <c r="P431" s="7">
        <f t="shared" si="96"/>
        <v>1</v>
      </c>
      <c r="Q431" s="10" t="e">
        <f t="shared" si="89"/>
        <v>#N/A</v>
      </c>
      <c r="R431" s="10" t="e">
        <f t="shared" si="90"/>
        <v>#N/A</v>
      </c>
      <c r="S431" s="7">
        <f t="shared" si="97"/>
        <v>1057.95</v>
      </c>
      <c r="T431" s="7">
        <f t="shared" si="98"/>
        <v>0</v>
      </c>
    </row>
    <row r="432" spans="1:20" x14ac:dyDescent="0.25">
      <c r="A432" s="1">
        <v>41880</v>
      </c>
      <c r="B432">
        <v>1022.1</v>
      </c>
      <c r="C432">
        <v>1064</v>
      </c>
      <c r="D432">
        <v>1022.1</v>
      </c>
      <c r="E432">
        <v>1057.95</v>
      </c>
      <c r="F432">
        <v>1743993</v>
      </c>
      <c r="G432" s="4">
        <f t="shared" si="85"/>
        <v>39.900000000000091</v>
      </c>
      <c r="H432" s="4">
        <f t="shared" si="86"/>
        <v>0</v>
      </c>
      <c r="I432" s="6">
        <f t="shared" si="91"/>
        <v>9.6857142857142957</v>
      </c>
      <c r="J432" s="6">
        <f t="shared" si="92"/>
        <v>6.9464285714285792</v>
      </c>
      <c r="K432" s="4">
        <f t="shared" si="93"/>
        <v>1.3943444730077119</v>
      </c>
      <c r="L432">
        <f t="shared" si="94"/>
        <v>58.234915181447278</v>
      </c>
      <c r="M432" s="14" t="str">
        <f t="shared" si="87"/>
        <v/>
      </c>
      <c r="N432" s="7">
        <f t="shared" si="88"/>
        <v>0</v>
      </c>
      <c r="O432" s="7">
        <f t="shared" si="95"/>
        <v>0</v>
      </c>
      <c r="P432" s="7">
        <f t="shared" si="96"/>
        <v>1</v>
      </c>
      <c r="Q432" s="10" t="e">
        <f t="shared" si="89"/>
        <v>#N/A</v>
      </c>
      <c r="R432" s="10" t="e">
        <f t="shared" si="90"/>
        <v>#N/A</v>
      </c>
      <c r="S432" s="7">
        <f t="shared" si="97"/>
        <v>1057.95</v>
      </c>
      <c r="T432" s="7">
        <f t="shared" si="98"/>
        <v>0</v>
      </c>
    </row>
    <row r="433" spans="1:20" x14ac:dyDescent="0.25">
      <c r="A433" s="1">
        <v>41883</v>
      </c>
      <c r="B433">
        <v>1067.95</v>
      </c>
      <c r="C433">
        <v>1067.95</v>
      </c>
      <c r="D433">
        <v>1036.9000000000001</v>
      </c>
      <c r="E433">
        <v>1043.5</v>
      </c>
      <c r="F433">
        <v>1370380</v>
      </c>
      <c r="G433" s="4">
        <f t="shared" si="85"/>
        <v>0</v>
      </c>
      <c r="H433" s="4">
        <f t="shared" si="86"/>
        <v>14.450000000000045</v>
      </c>
      <c r="I433" s="6">
        <f t="shared" si="91"/>
        <v>8.0571428571428623</v>
      </c>
      <c r="J433" s="6">
        <f t="shared" si="92"/>
        <v>7.9785714285714402</v>
      </c>
      <c r="K433" s="4">
        <f t="shared" si="93"/>
        <v>1.0098478066248873</v>
      </c>
      <c r="L433">
        <f t="shared" si="94"/>
        <v>50.244988864142528</v>
      </c>
      <c r="M433" s="14" t="str">
        <f t="shared" si="87"/>
        <v/>
      </c>
      <c r="N433" s="7">
        <f t="shared" si="88"/>
        <v>0</v>
      </c>
      <c r="O433" s="7">
        <f t="shared" si="95"/>
        <v>0</v>
      </c>
      <c r="P433" s="7">
        <f t="shared" si="96"/>
        <v>1</v>
      </c>
      <c r="Q433" s="10" t="e">
        <f t="shared" si="89"/>
        <v>#N/A</v>
      </c>
      <c r="R433" s="10" t="e">
        <f t="shared" si="90"/>
        <v>#N/A</v>
      </c>
      <c r="S433" s="7">
        <f t="shared" si="97"/>
        <v>1057.95</v>
      </c>
      <c r="T433" s="7">
        <f t="shared" si="98"/>
        <v>0</v>
      </c>
    </row>
    <row r="434" spans="1:20" x14ac:dyDescent="0.25">
      <c r="A434" s="1">
        <v>41884</v>
      </c>
      <c r="B434">
        <v>1023</v>
      </c>
      <c r="C434">
        <v>1034</v>
      </c>
      <c r="D434">
        <v>986.2</v>
      </c>
      <c r="E434">
        <v>994.4</v>
      </c>
      <c r="F434">
        <v>1570785</v>
      </c>
      <c r="G434" s="4">
        <f t="shared" si="85"/>
        <v>0</v>
      </c>
      <c r="H434" s="4">
        <f t="shared" si="86"/>
        <v>49.100000000000023</v>
      </c>
      <c r="I434" s="6">
        <f t="shared" si="91"/>
        <v>8.0571428571428623</v>
      </c>
      <c r="J434" s="6">
        <f t="shared" si="92"/>
        <v>10.035714285714294</v>
      </c>
      <c r="K434" s="4">
        <f t="shared" si="93"/>
        <v>0.80284697508896785</v>
      </c>
      <c r="L434">
        <f t="shared" si="94"/>
        <v>44.532175286221872</v>
      </c>
      <c r="M434" s="14" t="str">
        <f t="shared" si="87"/>
        <v/>
      </c>
      <c r="N434" s="7">
        <f t="shared" si="88"/>
        <v>0</v>
      </c>
      <c r="O434" s="7">
        <f t="shared" si="95"/>
        <v>0</v>
      </c>
      <c r="P434" s="7">
        <f t="shared" si="96"/>
        <v>1</v>
      </c>
      <c r="Q434" s="10" t="e">
        <f t="shared" si="89"/>
        <v>#N/A</v>
      </c>
      <c r="R434" s="10" t="e">
        <f t="shared" si="90"/>
        <v>#N/A</v>
      </c>
      <c r="S434" s="7">
        <f t="shared" si="97"/>
        <v>1057.95</v>
      </c>
      <c r="T434" s="7">
        <f t="shared" si="98"/>
        <v>0</v>
      </c>
    </row>
    <row r="435" spans="1:20" x14ac:dyDescent="0.25">
      <c r="A435" s="1">
        <v>41885</v>
      </c>
      <c r="B435">
        <v>988</v>
      </c>
      <c r="C435">
        <v>1015</v>
      </c>
      <c r="D435">
        <v>982.25</v>
      </c>
      <c r="E435">
        <v>990.3</v>
      </c>
      <c r="F435">
        <v>2282116</v>
      </c>
      <c r="G435" s="4">
        <f t="shared" si="85"/>
        <v>0</v>
      </c>
      <c r="H435" s="4">
        <f t="shared" si="86"/>
        <v>4.1000000000000227</v>
      </c>
      <c r="I435" s="6">
        <f t="shared" si="91"/>
        <v>7.6571428571428601</v>
      </c>
      <c r="J435" s="6">
        <f t="shared" si="92"/>
        <v>10.328571428571438</v>
      </c>
      <c r="K435" s="4">
        <f t="shared" si="93"/>
        <v>0.74135546334716418</v>
      </c>
      <c r="L435">
        <f t="shared" si="94"/>
        <v>42.57347100873708</v>
      </c>
      <c r="M435" s="14" t="str">
        <f t="shared" si="87"/>
        <v/>
      </c>
      <c r="N435" s="7">
        <f t="shared" si="88"/>
        <v>0</v>
      </c>
      <c r="O435" s="7">
        <f t="shared" si="95"/>
        <v>0</v>
      </c>
      <c r="P435" s="7">
        <f t="shared" si="96"/>
        <v>1</v>
      </c>
      <c r="Q435" s="10" t="e">
        <f t="shared" si="89"/>
        <v>#N/A</v>
      </c>
      <c r="R435" s="10" t="e">
        <f t="shared" si="90"/>
        <v>#N/A</v>
      </c>
      <c r="S435" s="7">
        <f t="shared" si="97"/>
        <v>1057.95</v>
      </c>
      <c r="T435" s="7">
        <f t="shared" si="98"/>
        <v>0</v>
      </c>
    </row>
    <row r="436" spans="1:20" x14ac:dyDescent="0.25">
      <c r="A436" s="1">
        <v>41886</v>
      </c>
      <c r="B436">
        <v>996</v>
      </c>
      <c r="C436">
        <v>1008</v>
      </c>
      <c r="D436">
        <v>969</v>
      </c>
      <c r="E436">
        <v>996.95</v>
      </c>
      <c r="F436">
        <v>1694239</v>
      </c>
      <c r="G436" s="4">
        <f t="shared" si="85"/>
        <v>6.6500000000000909</v>
      </c>
      <c r="H436" s="4">
        <f t="shared" si="86"/>
        <v>0</v>
      </c>
      <c r="I436" s="6">
        <f t="shared" si="91"/>
        <v>7.6892857142857212</v>
      </c>
      <c r="J436" s="6">
        <f t="shared" si="92"/>
        <v>10.328571428571438</v>
      </c>
      <c r="K436" s="4">
        <f t="shared" si="93"/>
        <v>0.74446749654218536</v>
      </c>
      <c r="L436">
        <f t="shared" si="94"/>
        <v>42.675916749256693</v>
      </c>
      <c r="M436" s="14" t="str">
        <f t="shared" si="87"/>
        <v/>
      </c>
      <c r="N436" s="7">
        <f t="shared" si="88"/>
        <v>0</v>
      </c>
      <c r="O436" s="7">
        <f t="shared" si="95"/>
        <v>0</v>
      </c>
      <c r="P436" s="7">
        <f t="shared" si="96"/>
        <v>1</v>
      </c>
      <c r="Q436" s="10" t="e">
        <f t="shared" si="89"/>
        <v>#N/A</v>
      </c>
      <c r="R436" s="10" t="e">
        <f t="shared" si="90"/>
        <v>#N/A</v>
      </c>
      <c r="S436" s="7">
        <f t="shared" si="97"/>
        <v>1057.95</v>
      </c>
      <c r="T436" s="7">
        <f t="shared" si="98"/>
        <v>0</v>
      </c>
    </row>
    <row r="437" spans="1:20" x14ac:dyDescent="0.25">
      <c r="A437" s="1">
        <v>41887</v>
      </c>
      <c r="B437">
        <v>1013.8</v>
      </c>
      <c r="C437">
        <v>1045</v>
      </c>
      <c r="D437">
        <v>1006</v>
      </c>
      <c r="E437">
        <v>1040.55</v>
      </c>
      <c r="F437">
        <v>1982289</v>
      </c>
      <c r="G437" s="4">
        <f t="shared" si="85"/>
        <v>43.599999999999909</v>
      </c>
      <c r="H437" s="4">
        <f t="shared" si="86"/>
        <v>0</v>
      </c>
      <c r="I437" s="6">
        <f t="shared" si="91"/>
        <v>10.803571428571429</v>
      </c>
      <c r="J437" s="6">
        <f t="shared" si="92"/>
        <v>10.121428571428575</v>
      </c>
      <c r="K437" s="4">
        <f t="shared" si="93"/>
        <v>1.0673959068454477</v>
      </c>
      <c r="L437">
        <f t="shared" si="94"/>
        <v>51.629970984809688</v>
      </c>
      <c r="M437" s="14" t="str">
        <f t="shared" si="87"/>
        <v/>
      </c>
      <c r="N437" s="7">
        <f t="shared" si="88"/>
        <v>0</v>
      </c>
      <c r="O437" s="7">
        <f t="shared" si="95"/>
        <v>0</v>
      </c>
      <c r="P437" s="7">
        <f t="shared" si="96"/>
        <v>1</v>
      </c>
      <c r="Q437" s="10" t="e">
        <f t="shared" si="89"/>
        <v>#N/A</v>
      </c>
      <c r="R437" s="10" t="e">
        <f t="shared" si="90"/>
        <v>#N/A</v>
      </c>
      <c r="S437" s="7">
        <f t="shared" si="97"/>
        <v>1057.95</v>
      </c>
      <c r="T437" s="7">
        <f t="shared" si="98"/>
        <v>0</v>
      </c>
    </row>
    <row r="438" spans="1:20" x14ac:dyDescent="0.25">
      <c r="A438" s="1">
        <v>41890</v>
      </c>
      <c r="B438">
        <v>1048.5</v>
      </c>
      <c r="C438">
        <v>1064.7</v>
      </c>
      <c r="D438">
        <v>1037</v>
      </c>
      <c r="E438">
        <v>1047.9000000000001</v>
      </c>
      <c r="F438">
        <v>2212595</v>
      </c>
      <c r="G438" s="4">
        <f t="shared" si="85"/>
        <v>7.3500000000001364</v>
      </c>
      <c r="H438" s="4">
        <f t="shared" si="86"/>
        <v>0</v>
      </c>
      <c r="I438" s="6">
        <f t="shared" si="91"/>
        <v>10.967857142857156</v>
      </c>
      <c r="J438" s="6">
        <f t="shared" si="92"/>
        <v>10.121428571428575</v>
      </c>
      <c r="K438" s="4">
        <f t="shared" si="93"/>
        <v>1.0836273817925202</v>
      </c>
      <c r="L438">
        <f t="shared" si="94"/>
        <v>52.006773920406452</v>
      </c>
      <c r="M438" s="14" t="str">
        <f t="shared" si="87"/>
        <v/>
      </c>
      <c r="N438" s="7">
        <f t="shared" si="88"/>
        <v>0</v>
      </c>
      <c r="O438" s="7">
        <f t="shared" si="95"/>
        <v>0</v>
      </c>
      <c r="P438" s="7">
        <f t="shared" si="96"/>
        <v>1</v>
      </c>
      <c r="Q438" s="10" t="e">
        <f t="shared" si="89"/>
        <v>#N/A</v>
      </c>
      <c r="R438" s="10" t="e">
        <f t="shared" si="90"/>
        <v>#N/A</v>
      </c>
      <c r="S438" s="7">
        <f t="shared" si="97"/>
        <v>1057.95</v>
      </c>
      <c r="T438" s="7">
        <f t="shared" si="98"/>
        <v>0</v>
      </c>
    </row>
    <row r="439" spans="1:20" x14ac:dyDescent="0.25">
      <c r="A439" s="1">
        <v>41891</v>
      </c>
      <c r="B439">
        <v>1043.25</v>
      </c>
      <c r="C439">
        <v>1068</v>
      </c>
      <c r="D439">
        <v>1035.7</v>
      </c>
      <c r="E439">
        <v>1061.45</v>
      </c>
      <c r="F439">
        <v>2690175</v>
      </c>
      <c r="G439" s="4">
        <f t="shared" si="85"/>
        <v>13.549999999999955</v>
      </c>
      <c r="H439" s="4">
        <f t="shared" si="86"/>
        <v>0</v>
      </c>
      <c r="I439" s="6">
        <f t="shared" si="91"/>
        <v>11.935714285714296</v>
      </c>
      <c r="J439" s="6">
        <f t="shared" si="92"/>
        <v>8.6928571428571466</v>
      </c>
      <c r="K439" s="4">
        <f t="shared" si="93"/>
        <v>1.3730484798685296</v>
      </c>
      <c r="L439">
        <f t="shared" si="94"/>
        <v>57.860110803324105</v>
      </c>
      <c r="M439" s="14" t="str">
        <f t="shared" si="87"/>
        <v/>
      </c>
      <c r="N439" s="7">
        <f t="shared" si="88"/>
        <v>0</v>
      </c>
      <c r="O439" s="7">
        <f t="shared" si="95"/>
        <v>0</v>
      </c>
      <c r="P439" s="7">
        <f t="shared" si="96"/>
        <v>1</v>
      </c>
      <c r="Q439" s="10" t="e">
        <f t="shared" si="89"/>
        <v>#N/A</v>
      </c>
      <c r="R439" s="10" t="e">
        <f t="shared" si="90"/>
        <v>#N/A</v>
      </c>
      <c r="S439" s="7">
        <f t="shared" si="97"/>
        <v>1057.95</v>
      </c>
      <c r="T439" s="7">
        <f t="shared" si="98"/>
        <v>0</v>
      </c>
    </row>
    <row r="440" spans="1:20" x14ac:dyDescent="0.25">
      <c r="A440" s="1">
        <v>41892</v>
      </c>
      <c r="B440">
        <v>1049.9000000000001</v>
      </c>
      <c r="C440">
        <v>1064</v>
      </c>
      <c r="D440">
        <v>1033.0999999999999</v>
      </c>
      <c r="E440">
        <v>1037.3</v>
      </c>
      <c r="F440">
        <v>1345509</v>
      </c>
      <c r="G440" s="4">
        <f t="shared" si="85"/>
        <v>0</v>
      </c>
      <c r="H440" s="4">
        <f t="shared" si="86"/>
        <v>24.150000000000091</v>
      </c>
      <c r="I440" s="6">
        <f t="shared" si="91"/>
        <v>11.935714285714296</v>
      </c>
      <c r="J440" s="6">
        <f t="shared" si="92"/>
        <v>8.250000000000016</v>
      </c>
      <c r="K440" s="4">
        <f t="shared" si="93"/>
        <v>1.4467532467532451</v>
      </c>
      <c r="L440">
        <f t="shared" si="94"/>
        <v>59.129511677282352</v>
      </c>
      <c r="M440" s="14" t="str">
        <f t="shared" si="87"/>
        <v/>
      </c>
      <c r="N440" s="7">
        <f t="shared" si="88"/>
        <v>0</v>
      </c>
      <c r="O440" s="7">
        <f t="shared" si="95"/>
        <v>0</v>
      </c>
      <c r="P440" s="7">
        <f t="shared" si="96"/>
        <v>1</v>
      </c>
      <c r="Q440" s="10" t="e">
        <f t="shared" si="89"/>
        <v>#N/A</v>
      </c>
      <c r="R440" s="10" t="e">
        <f t="shared" si="90"/>
        <v>#N/A</v>
      </c>
      <c r="S440" s="7">
        <f t="shared" si="97"/>
        <v>1057.95</v>
      </c>
      <c r="T440" s="7">
        <f t="shared" si="98"/>
        <v>0</v>
      </c>
    </row>
    <row r="441" spans="1:20" x14ac:dyDescent="0.25">
      <c r="A441" s="1">
        <v>41893</v>
      </c>
      <c r="B441">
        <v>1020</v>
      </c>
      <c r="C441">
        <v>1049.9000000000001</v>
      </c>
      <c r="D441">
        <v>1015.3</v>
      </c>
      <c r="E441">
        <v>1043.3</v>
      </c>
      <c r="F441">
        <v>1974632</v>
      </c>
      <c r="G441" s="4">
        <f t="shared" si="85"/>
        <v>6</v>
      </c>
      <c r="H441" s="4">
        <f t="shared" si="86"/>
        <v>0</v>
      </c>
      <c r="I441" s="6">
        <f t="shared" si="91"/>
        <v>11.789285714285727</v>
      </c>
      <c r="J441" s="6">
        <f t="shared" si="92"/>
        <v>8.250000000000016</v>
      </c>
      <c r="K441" s="4">
        <f t="shared" si="93"/>
        <v>1.4290043290043277</v>
      </c>
      <c r="L441">
        <f t="shared" si="94"/>
        <v>58.830867937978951</v>
      </c>
      <c r="M441" s="14" t="str">
        <f t="shared" si="87"/>
        <v/>
      </c>
      <c r="N441" s="7">
        <f t="shared" si="88"/>
        <v>0</v>
      </c>
      <c r="O441" s="7">
        <f t="shared" si="95"/>
        <v>0</v>
      </c>
      <c r="P441" s="7">
        <f t="shared" si="96"/>
        <v>1</v>
      </c>
      <c r="Q441" s="10" t="e">
        <f t="shared" si="89"/>
        <v>#N/A</v>
      </c>
      <c r="R441" s="10" t="e">
        <f t="shared" si="90"/>
        <v>#N/A</v>
      </c>
      <c r="S441" s="7">
        <f t="shared" si="97"/>
        <v>1057.95</v>
      </c>
      <c r="T441" s="7">
        <f t="shared" si="98"/>
        <v>0</v>
      </c>
    </row>
    <row r="442" spans="1:20" x14ac:dyDescent="0.25">
      <c r="A442" s="1">
        <v>41894</v>
      </c>
      <c r="B442">
        <v>1038.4000000000001</v>
      </c>
      <c r="C442">
        <v>1059</v>
      </c>
      <c r="D442">
        <v>1029.0999999999999</v>
      </c>
      <c r="E442">
        <v>1045.95</v>
      </c>
      <c r="F442">
        <v>2359112</v>
      </c>
      <c r="G442" s="4">
        <f t="shared" si="85"/>
        <v>2.6500000000000909</v>
      </c>
      <c r="H442" s="4">
        <f t="shared" si="86"/>
        <v>0</v>
      </c>
      <c r="I442" s="6">
        <f t="shared" si="91"/>
        <v>10.453571428571447</v>
      </c>
      <c r="J442" s="6">
        <f t="shared" si="92"/>
        <v>8.250000000000016</v>
      </c>
      <c r="K442" s="4">
        <f t="shared" si="93"/>
        <v>1.2670995670995668</v>
      </c>
      <c r="L442">
        <f t="shared" si="94"/>
        <v>55.890777162497606</v>
      </c>
      <c r="M442" s="14" t="str">
        <f t="shared" si="87"/>
        <v/>
      </c>
      <c r="N442" s="7">
        <f t="shared" si="88"/>
        <v>0</v>
      </c>
      <c r="O442" s="7">
        <f t="shared" si="95"/>
        <v>0</v>
      </c>
      <c r="P442" s="7">
        <f t="shared" si="96"/>
        <v>1</v>
      </c>
      <c r="Q442" s="10" t="e">
        <f t="shared" si="89"/>
        <v>#N/A</v>
      </c>
      <c r="R442" s="10" t="e">
        <f t="shared" si="90"/>
        <v>#N/A</v>
      </c>
      <c r="S442" s="7">
        <f t="shared" si="97"/>
        <v>1057.95</v>
      </c>
      <c r="T442" s="7">
        <f t="shared" si="98"/>
        <v>0</v>
      </c>
    </row>
    <row r="443" spans="1:20" x14ac:dyDescent="0.25">
      <c r="A443" s="1">
        <v>41897</v>
      </c>
      <c r="B443">
        <v>1054.5</v>
      </c>
      <c r="C443">
        <v>1063</v>
      </c>
      <c r="D443">
        <v>1041</v>
      </c>
      <c r="E443">
        <v>1043.55</v>
      </c>
      <c r="F443">
        <v>1707631</v>
      </c>
      <c r="G443" s="4">
        <f t="shared" si="85"/>
        <v>0</v>
      </c>
      <c r="H443" s="4">
        <f t="shared" si="86"/>
        <v>2.4000000000000909</v>
      </c>
      <c r="I443" s="6">
        <f t="shared" si="91"/>
        <v>8.5500000000000203</v>
      </c>
      <c r="J443" s="6">
        <f t="shared" si="92"/>
        <v>8.4214285714285939</v>
      </c>
      <c r="K443" s="4">
        <f t="shared" si="93"/>
        <v>1.0152671755725189</v>
      </c>
      <c r="L443">
        <f t="shared" si="94"/>
        <v>50.378787878787875</v>
      </c>
      <c r="M443" s="14" t="str">
        <f t="shared" si="87"/>
        <v/>
      </c>
      <c r="N443" s="7">
        <f t="shared" si="88"/>
        <v>0</v>
      </c>
      <c r="O443" s="7">
        <f t="shared" si="95"/>
        <v>0</v>
      </c>
      <c r="P443" s="7">
        <f t="shared" si="96"/>
        <v>1</v>
      </c>
      <c r="Q443" s="10" t="e">
        <f t="shared" si="89"/>
        <v>#N/A</v>
      </c>
      <c r="R443" s="10" t="e">
        <f t="shared" si="90"/>
        <v>#N/A</v>
      </c>
      <c r="S443" s="7">
        <f t="shared" si="97"/>
        <v>1057.95</v>
      </c>
      <c r="T443" s="7">
        <f t="shared" si="98"/>
        <v>0</v>
      </c>
    </row>
    <row r="444" spans="1:20" x14ac:dyDescent="0.25">
      <c r="A444" s="1">
        <v>41898</v>
      </c>
      <c r="B444">
        <v>1075.0999999999999</v>
      </c>
      <c r="C444">
        <v>1077.8</v>
      </c>
      <c r="D444">
        <v>1037.5</v>
      </c>
      <c r="E444">
        <v>1048.55</v>
      </c>
      <c r="F444">
        <v>2542904</v>
      </c>
      <c r="G444" s="4">
        <f t="shared" si="85"/>
        <v>5</v>
      </c>
      <c r="H444" s="4">
        <f t="shared" si="86"/>
        <v>0</v>
      </c>
      <c r="I444" s="6">
        <f t="shared" si="91"/>
        <v>8.9071428571428761</v>
      </c>
      <c r="J444" s="6">
        <f t="shared" si="92"/>
        <v>7.4214285714285939</v>
      </c>
      <c r="K444" s="4">
        <f t="shared" si="93"/>
        <v>1.2001924927815195</v>
      </c>
      <c r="L444">
        <f t="shared" si="94"/>
        <v>54.549431321084839</v>
      </c>
      <c r="M444" s="14" t="str">
        <f t="shared" si="87"/>
        <v/>
      </c>
      <c r="N444" s="7">
        <f t="shared" si="88"/>
        <v>0</v>
      </c>
      <c r="O444" s="7">
        <f t="shared" si="95"/>
        <v>0</v>
      </c>
      <c r="P444" s="7">
        <f t="shared" si="96"/>
        <v>1</v>
      </c>
      <c r="Q444" s="10" t="e">
        <f t="shared" si="89"/>
        <v>#N/A</v>
      </c>
      <c r="R444" s="10" t="e">
        <f t="shared" si="90"/>
        <v>#N/A</v>
      </c>
      <c r="S444" s="7">
        <f t="shared" si="97"/>
        <v>1057.95</v>
      </c>
      <c r="T444" s="7">
        <f t="shared" si="98"/>
        <v>0</v>
      </c>
    </row>
    <row r="445" spans="1:20" x14ac:dyDescent="0.25">
      <c r="A445" s="1">
        <v>41899</v>
      </c>
      <c r="B445">
        <v>1048</v>
      </c>
      <c r="C445">
        <v>1074</v>
      </c>
      <c r="D445">
        <v>1048</v>
      </c>
      <c r="E445">
        <v>1064.7</v>
      </c>
      <c r="F445">
        <v>1927407</v>
      </c>
      <c r="G445" s="4">
        <f t="shared" si="85"/>
        <v>16.150000000000091</v>
      </c>
      <c r="H445" s="4">
        <f t="shared" si="86"/>
        <v>0</v>
      </c>
      <c r="I445" s="6">
        <f t="shared" si="91"/>
        <v>10.060714285714312</v>
      </c>
      <c r="J445" s="6">
        <f t="shared" si="92"/>
        <v>6.7285714285714482</v>
      </c>
      <c r="K445" s="4">
        <f t="shared" si="93"/>
        <v>1.4952229299363053</v>
      </c>
      <c r="L445">
        <f t="shared" si="94"/>
        <v>59.923420548819394</v>
      </c>
      <c r="M445" s="14" t="str">
        <f t="shared" si="87"/>
        <v/>
      </c>
      <c r="N445" s="7">
        <f t="shared" si="88"/>
        <v>0</v>
      </c>
      <c r="O445" s="7">
        <f t="shared" si="95"/>
        <v>0</v>
      </c>
      <c r="P445" s="7">
        <f t="shared" si="96"/>
        <v>1</v>
      </c>
      <c r="Q445" s="10" t="e">
        <f t="shared" si="89"/>
        <v>#N/A</v>
      </c>
      <c r="R445" s="10" t="e">
        <f t="shared" si="90"/>
        <v>#N/A</v>
      </c>
      <c r="S445" s="7">
        <f t="shared" si="97"/>
        <v>1057.95</v>
      </c>
      <c r="T445" s="7">
        <f t="shared" si="98"/>
        <v>0</v>
      </c>
    </row>
    <row r="446" spans="1:20" x14ac:dyDescent="0.25">
      <c r="A446" s="1">
        <v>41900</v>
      </c>
      <c r="B446">
        <v>1075</v>
      </c>
      <c r="C446">
        <v>1078</v>
      </c>
      <c r="D446">
        <v>1034.5</v>
      </c>
      <c r="E446">
        <v>1040.8499999999999</v>
      </c>
      <c r="F446">
        <v>2238187</v>
      </c>
      <c r="G446" s="4">
        <f t="shared" si="85"/>
        <v>0</v>
      </c>
      <c r="H446" s="4">
        <f t="shared" si="86"/>
        <v>23.850000000000136</v>
      </c>
      <c r="I446" s="6">
        <f t="shared" si="91"/>
        <v>7.2107142857143049</v>
      </c>
      <c r="J446" s="6">
        <f t="shared" si="92"/>
        <v>8.4321428571428871</v>
      </c>
      <c r="K446" s="4">
        <f t="shared" si="93"/>
        <v>0.85514612452350625</v>
      </c>
      <c r="L446">
        <f t="shared" si="94"/>
        <v>46.09589041095888</v>
      </c>
      <c r="M446" s="14" t="str">
        <f t="shared" si="87"/>
        <v/>
      </c>
      <c r="N446" s="7">
        <f t="shared" si="88"/>
        <v>0</v>
      </c>
      <c r="O446" s="7">
        <f t="shared" si="95"/>
        <v>0</v>
      </c>
      <c r="P446" s="7">
        <f t="shared" si="96"/>
        <v>1</v>
      </c>
      <c r="Q446" s="10" t="e">
        <f t="shared" si="89"/>
        <v>#N/A</v>
      </c>
      <c r="R446" s="10" t="e">
        <f t="shared" si="90"/>
        <v>#N/A</v>
      </c>
      <c r="S446" s="7">
        <f t="shared" si="97"/>
        <v>1057.95</v>
      </c>
      <c r="T446" s="7">
        <f t="shared" si="98"/>
        <v>0</v>
      </c>
    </row>
    <row r="447" spans="1:20" x14ac:dyDescent="0.25">
      <c r="A447" s="1">
        <v>41901</v>
      </c>
      <c r="B447">
        <v>1066</v>
      </c>
      <c r="C447">
        <v>1089.4000000000001</v>
      </c>
      <c r="D447">
        <v>1062</v>
      </c>
      <c r="E447">
        <v>1079.05</v>
      </c>
      <c r="F447">
        <v>2935831</v>
      </c>
      <c r="G447" s="4">
        <f t="shared" si="85"/>
        <v>38.200000000000045</v>
      </c>
      <c r="H447" s="4">
        <f t="shared" si="86"/>
        <v>0</v>
      </c>
      <c r="I447" s="6">
        <f t="shared" si="91"/>
        <v>9.9392857142857363</v>
      </c>
      <c r="J447" s="6">
        <f t="shared" si="92"/>
        <v>7.4000000000000261</v>
      </c>
      <c r="K447" s="4">
        <f t="shared" si="93"/>
        <v>1.3431467181467163</v>
      </c>
      <c r="L447">
        <f t="shared" si="94"/>
        <v>57.322348094747646</v>
      </c>
      <c r="M447" s="14" t="str">
        <f t="shared" si="87"/>
        <v/>
      </c>
      <c r="N447" s="7">
        <f t="shared" si="88"/>
        <v>0</v>
      </c>
      <c r="O447" s="7">
        <f t="shared" si="95"/>
        <v>0</v>
      </c>
      <c r="P447" s="7">
        <f t="shared" si="96"/>
        <v>1</v>
      </c>
      <c r="Q447" s="10" t="e">
        <f t="shared" si="89"/>
        <v>#N/A</v>
      </c>
      <c r="R447" s="10" t="e">
        <f t="shared" si="90"/>
        <v>#N/A</v>
      </c>
      <c r="S447" s="7">
        <f t="shared" si="97"/>
        <v>1057.95</v>
      </c>
      <c r="T447" s="7">
        <f t="shared" si="98"/>
        <v>0</v>
      </c>
    </row>
    <row r="448" spans="1:20" x14ac:dyDescent="0.25">
      <c r="A448" s="1">
        <v>41904</v>
      </c>
      <c r="B448">
        <v>1096.5</v>
      </c>
      <c r="C448">
        <v>1104.95</v>
      </c>
      <c r="D448">
        <v>1080.0999999999999</v>
      </c>
      <c r="E448">
        <v>1092.75</v>
      </c>
      <c r="F448">
        <v>2704459</v>
      </c>
      <c r="G448" s="4">
        <f t="shared" si="85"/>
        <v>13.700000000000045</v>
      </c>
      <c r="H448" s="4">
        <f t="shared" si="86"/>
        <v>0</v>
      </c>
      <c r="I448" s="6">
        <f t="shared" si="91"/>
        <v>10.917857142857169</v>
      </c>
      <c r="J448" s="6">
        <f t="shared" si="92"/>
        <v>3.8928571428571672</v>
      </c>
      <c r="K448" s="4">
        <f t="shared" si="93"/>
        <v>2.8045871559632922</v>
      </c>
      <c r="L448">
        <f t="shared" si="94"/>
        <v>73.715939233180535</v>
      </c>
      <c r="M448" s="14" t="str">
        <f t="shared" si="87"/>
        <v>OVERBOUGHT</v>
      </c>
      <c r="N448" s="7" t="str">
        <f t="shared" si="88"/>
        <v>SELL</v>
      </c>
      <c r="O448" s="7" t="str">
        <f t="shared" si="95"/>
        <v>SELL</v>
      </c>
      <c r="P448" s="7">
        <f t="shared" si="96"/>
        <v>-1</v>
      </c>
      <c r="Q448" s="10" t="e">
        <f t="shared" si="89"/>
        <v>#N/A</v>
      </c>
      <c r="R448" s="10">
        <f t="shared" si="90"/>
        <v>1092.75</v>
      </c>
      <c r="S448" s="7">
        <f t="shared" si="97"/>
        <v>1092.75</v>
      </c>
      <c r="T448" s="7">
        <f t="shared" si="98"/>
        <v>3.2893804055012008E-2</v>
      </c>
    </row>
    <row r="449" spans="1:20" x14ac:dyDescent="0.25">
      <c r="A449" s="1">
        <v>41905</v>
      </c>
      <c r="B449">
        <v>1089.4000000000001</v>
      </c>
      <c r="C449">
        <v>1140.75</v>
      </c>
      <c r="D449">
        <v>1088.9000000000001</v>
      </c>
      <c r="E449">
        <v>1134.25</v>
      </c>
      <c r="F449">
        <v>3355066</v>
      </c>
      <c r="G449" s="4">
        <f t="shared" si="85"/>
        <v>41.5</v>
      </c>
      <c r="H449" s="4">
        <f t="shared" si="86"/>
        <v>0</v>
      </c>
      <c r="I449" s="6">
        <f t="shared" si="91"/>
        <v>13.882142857142883</v>
      </c>
      <c r="J449" s="6">
        <f t="shared" si="92"/>
        <v>3.6000000000000227</v>
      </c>
      <c r="K449" s="4">
        <f t="shared" si="93"/>
        <v>3.8561507936507766</v>
      </c>
      <c r="L449">
        <f t="shared" si="94"/>
        <v>79.407558733401359</v>
      </c>
      <c r="M449" s="14" t="str">
        <f t="shared" si="87"/>
        <v>OVERBOUGHT</v>
      </c>
      <c r="N449" s="7" t="str">
        <f t="shared" si="88"/>
        <v>SELL</v>
      </c>
      <c r="O449" s="7">
        <f t="shared" si="95"/>
        <v>0</v>
      </c>
      <c r="P449" s="7">
        <f t="shared" si="96"/>
        <v>-1</v>
      </c>
      <c r="Q449" s="10" t="e">
        <f t="shared" si="89"/>
        <v>#N/A</v>
      </c>
      <c r="R449" s="10" t="e">
        <f t="shared" si="90"/>
        <v>#N/A</v>
      </c>
      <c r="S449" s="7">
        <f t="shared" si="97"/>
        <v>1092.75</v>
      </c>
      <c r="T449" s="7">
        <f t="shared" si="98"/>
        <v>0</v>
      </c>
    </row>
    <row r="450" spans="1:20" x14ac:dyDescent="0.25">
      <c r="A450" s="1">
        <v>41906</v>
      </c>
      <c r="B450">
        <v>1151.5</v>
      </c>
      <c r="C450">
        <v>1154</v>
      </c>
      <c r="D450">
        <v>1111.3</v>
      </c>
      <c r="E450">
        <v>1120.25</v>
      </c>
      <c r="F450">
        <v>2179345</v>
      </c>
      <c r="G450" s="4">
        <f t="shared" si="85"/>
        <v>0</v>
      </c>
      <c r="H450" s="4">
        <f t="shared" si="86"/>
        <v>14</v>
      </c>
      <c r="I450" s="6">
        <f t="shared" si="91"/>
        <v>13.407142857142876</v>
      </c>
      <c r="J450" s="6">
        <f t="shared" si="92"/>
        <v>4.6000000000000227</v>
      </c>
      <c r="K450" s="4">
        <f t="shared" si="93"/>
        <v>2.9145962732919153</v>
      </c>
      <c r="L450">
        <f t="shared" si="94"/>
        <v>74.454581515271656</v>
      </c>
      <c r="M450" s="14" t="str">
        <f t="shared" si="87"/>
        <v>OVERBOUGHT</v>
      </c>
      <c r="N450" s="7" t="str">
        <f t="shared" si="88"/>
        <v>SELL</v>
      </c>
      <c r="O450" s="7">
        <f t="shared" si="95"/>
        <v>0</v>
      </c>
      <c r="P450" s="7">
        <f t="shared" si="96"/>
        <v>-1</v>
      </c>
      <c r="Q450" s="10" t="e">
        <f t="shared" si="89"/>
        <v>#N/A</v>
      </c>
      <c r="R450" s="10" t="e">
        <f t="shared" si="90"/>
        <v>#N/A</v>
      </c>
      <c r="S450" s="7">
        <f t="shared" si="97"/>
        <v>1092.75</v>
      </c>
      <c r="T450" s="7">
        <f t="shared" si="98"/>
        <v>0</v>
      </c>
    </row>
    <row r="451" spans="1:20" x14ac:dyDescent="0.25">
      <c r="A451" s="1">
        <v>41907</v>
      </c>
      <c r="B451">
        <v>1062</v>
      </c>
      <c r="C451">
        <v>1064.25</v>
      </c>
      <c r="D451">
        <v>1020.5</v>
      </c>
      <c r="E451">
        <v>1033.55</v>
      </c>
      <c r="F451">
        <v>6003389</v>
      </c>
      <c r="G451" s="4">
        <f t="shared" si="85"/>
        <v>0</v>
      </c>
      <c r="H451" s="4">
        <f t="shared" si="86"/>
        <v>86.700000000000045</v>
      </c>
      <c r="I451" s="6">
        <f t="shared" si="91"/>
        <v>10.292857142857169</v>
      </c>
      <c r="J451" s="6">
        <f t="shared" si="92"/>
        <v>10.792857142857169</v>
      </c>
      <c r="K451" s="4">
        <f t="shared" si="93"/>
        <v>0.95367306419589692</v>
      </c>
      <c r="L451">
        <f t="shared" si="94"/>
        <v>48.814363143631439</v>
      </c>
      <c r="M451" s="14" t="str">
        <f t="shared" si="87"/>
        <v/>
      </c>
      <c r="N451" s="7">
        <f t="shared" si="88"/>
        <v>0</v>
      </c>
      <c r="O451" s="7">
        <f t="shared" si="95"/>
        <v>0</v>
      </c>
      <c r="P451" s="7">
        <f t="shared" si="96"/>
        <v>-1</v>
      </c>
      <c r="Q451" s="10" t="e">
        <f t="shared" si="89"/>
        <v>#N/A</v>
      </c>
      <c r="R451" s="10" t="e">
        <f t="shared" si="90"/>
        <v>#N/A</v>
      </c>
      <c r="S451" s="7">
        <f t="shared" si="97"/>
        <v>1092.75</v>
      </c>
      <c r="T451" s="7">
        <f t="shared" si="98"/>
        <v>0</v>
      </c>
    </row>
    <row r="452" spans="1:20" x14ac:dyDescent="0.25">
      <c r="A452" s="1">
        <v>41908</v>
      </c>
      <c r="B452">
        <v>1043</v>
      </c>
      <c r="C452">
        <v>1054.4000000000001</v>
      </c>
      <c r="D452">
        <v>1035.2</v>
      </c>
      <c r="E452">
        <v>1048.95</v>
      </c>
      <c r="F452">
        <v>1913710</v>
      </c>
      <c r="G452" s="4">
        <f t="shared" ref="G452:G515" si="99">IF(E452&gt;E451,E452-E451,0)</f>
        <v>15.400000000000091</v>
      </c>
      <c r="H452" s="4">
        <f t="shared" ref="H452:H515" si="100">IF(E452&lt;E451,E451-E452,0)</f>
        <v>0</v>
      </c>
      <c r="I452" s="6">
        <f t="shared" si="91"/>
        <v>10.867857142857165</v>
      </c>
      <c r="J452" s="6">
        <f t="shared" si="92"/>
        <v>10.792857142857169</v>
      </c>
      <c r="K452" s="4">
        <f t="shared" si="93"/>
        <v>1.0069490403706152</v>
      </c>
      <c r="L452">
        <f t="shared" si="94"/>
        <v>50.173124484748541</v>
      </c>
      <c r="M452" s="14" t="str">
        <f t="shared" si="87"/>
        <v/>
      </c>
      <c r="N452" s="7">
        <f t="shared" si="88"/>
        <v>0</v>
      </c>
      <c r="O452" s="7">
        <f t="shared" si="95"/>
        <v>0</v>
      </c>
      <c r="P452" s="7">
        <f t="shared" si="96"/>
        <v>-1</v>
      </c>
      <c r="Q452" s="10" t="e">
        <f t="shared" si="89"/>
        <v>#N/A</v>
      </c>
      <c r="R452" s="10" t="e">
        <f t="shared" si="90"/>
        <v>#N/A</v>
      </c>
      <c r="S452" s="7">
        <f t="shared" si="97"/>
        <v>1092.75</v>
      </c>
      <c r="T452" s="7">
        <f t="shared" si="98"/>
        <v>0</v>
      </c>
    </row>
    <row r="453" spans="1:20" x14ac:dyDescent="0.25">
      <c r="A453" s="1">
        <v>41911</v>
      </c>
      <c r="B453">
        <v>1036</v>
      </c>
      <c r="C453">
        <v>1047</v>
      </c>
      <c r="D453">
        <v>1030.3</v>
      </c>
      <c r="E453">
        <v>1044.9000000000001</v>
      </c>
      <c r="F453">
        <v>1122706</v>
      </c>
      <c r="G453" s="4">
        <f t="shared" si="99"/>
        <v>0</v>
      </c>
      <c r="H453" s="4">
        <f t="shared" si="100"/>
        <v>4.0499999999999545</v>
      </c>
      <c r="I453" s="6">
        <f t="shared" si="91"/>
        <v>9.9000000000000252</v>
      </c>
      <c r="J453" s="6">
        <f t="shared" si="92"/>
        <v>11.08214285714288</v>
      </c>
      <c r="K453" s="4">
        <f t="shared" si="93"/>
        <v>0.89332903641637162</v>
      </c>
      <c r="L453">
        <f t="shared" si="94"/>
        <v>47.182978723404268</v>
      </c>
      <c r="M453" s="14" t="str">
        <f t="shared" si="87"/>
        <v/>
      </c>
      <c r="N453" s="7">
        <f t="shared" si="88"/>
        <v>0</v>
      </c>
      <c r="O453" s="7">
        <f t="shared" si="95"/>
        <v>0</v>
      </c>
      <c r="P453" s="7">
        <f t="shared" si="96"/>
        <v>-1</v>
      </c>
      <c r="Q453" s="10" t="e">
        <f t="shared" si="89"/>
        <v>#N/A</v>
      </c>
      <c r="R453" s="10" t="e">
        <f t="shared" si="90"/>
        <v>#N/A</v>
      </c>
      <c r="S453" s="7">
        <f t="shared" si="97"/>
        <v>1092.75</v>
      </c>
      <c r="T453" s="7">
        <f t="shared" si="98"/>
        <v>0</v>
      </c>
    </row>
    <row r="454" spans="1:20" x14ac:dyDescent="0.25">
      <c r="A454" s="1">
        <v>41912</v>
      </c>
      <c r="B454">
        <v>1054.9000000000001</v>
      </c>
      <c r="C454">
        <v>1060</v>
      </c>
      <c r="D454">
        <v>1043</v>
      </c>
      <c r="E454">
        <v>1049.8499999999999</v>
      </c>
      <c r="F454">
        <v>1230565</v>
      </c>
      <c r="G454" s="4">
        <f t="shared" si="99"/>
        <v>4.9499999999998181</v>
      </c>
      <c r="H454" s="4">
        <f t="shared" si="100"/>
        <v>0</v>
      </c>
      <c r="I454" s="6">
        <f t="shared" si="91"/>
        <v>10.253571428571442</v>
      </c>
      <c r="J454" s="6">
        <f t="shared" si="92"/>
        <v>9.3571428571428736</v>
      </c>
      <c r="K454" s="4">
        <f t="shared" si="93"/>
        <v>1.0958015267175567</v>
      </c>
      <c r="L454">
        <f t="shared" si="94"/>
        <v>52.285558186122728</v>
      </c>
      <c r="M454" s="14" t="str">
        <f t="shared" si="87"/>
        <v/>
      </c>
      <c r="N454" s="7">
        <f t="shared" si="88"/>
        <v>0</v>
      </c>
      <c r="O454" s="7">
        <f t="shared" si="95"/>
        <v>0</v>
      </c>
      <c r="P454" s="7">
        <f t="shared" si="96"/>
        <v>-1</v>
      </c>
      <c r="Q454" s="10" t="e">
        <f t="shared" si="89"/>
        <v>#N/A</v>
      </c>
      <c r="R454" s="10" t="e">
        <f t="shared" si="90"/>
        <v>#N/A</v>
      </c>
      <c r="S454" s="7">
        <f t="shared" si="97"/>
        <v>1092.75</v>
      </c>
      <c r="T454" s="7">
        <f t="shared" si="98"/>
        <v>0</v>
      </c>
    </row>
    <row r="455" spans="1:20" x14ac:dyDescent="0.25">
      <c r="A455" s="1">
        <v>41913</v>
      </c>
      <c r="B455">
        <v>1060</v>
      </c>
      <c r="C455">
        <v>1092.3</v>
      </c>
      <c r="D455">
        <v>1059.5</v>
      </c>
      <c r="E455">
        <v>1079.75</v>
      </c>
      <c r="F455">
        <v>1635860</v>
      </c>
      <c r="G455" s="4">
        <f t="shared" si="99"/>
        <v>29.900000000000091</v>
      </c>
      <c r="H455" s="4">
        <f t="shared" si="100"/>
        <v>0</v>
      </c>
      <c r="I455" s="6">
        <f t="shared" si="91"/>
        <v>11.960714285714305</v>
      </c>
      <c r="J455" s="6">
        <f t="shared" si="92"/>
        <v>9.3571428571428736</v>
      </c>
      <c r="K455" s="4">
        <f t="shared" si="93"/>
        <v>1.27824427480916</v>
      </c>
      <c r="L455">
        <f t="shared" si="94"/>
        <v>56.106550510973364</v>
      </c>
      <c r="M455" s="14" t="str">
        <f t="shared" si="87"/>
        <v/>
      </c>
      <c r="N455" s="7">
        <f t="shared" si="88"/>
        <v>0</v>
      </c>
      <c r="O455" s="7">
        <f t="shared" si="95"/>
        <v>0</v>
      </c>
      <c r="P455" s="7">
        <f t="shared" si="96"/>
        <v>-1</v>
      </c>
      <c r="Q455" s="10" t="e">
        <f t="shared" si="89"/>
        <v>#N/A</v>
      </c>
      <c r="R455" s="10" t="e">
        <f t="shared" si="90"/>
        <v>#N/A</v>
      </c>
      <c r="S455" s="7">
        <f t="shared" si="97"/>
        <v>1092.75</v>
      </c>
      <c r="T455" s="7">
        <f t="shared" si="98"/>
        <v>0</v>
      </c>
    </row>
    <row r="456" spans="1:20" x14ac:dyDescent="0.25">
      <c r="A456" s="1">
        <v>41914</v>
      </c>
      <c r="B456">
        <v>1089</v>
      </c>
      <c r="C456">
        <v>1107</v>
      </c>
      <c r="D456">
        <v>1071.45</v>
      </c>
      <c r="E456">
        <v>1098.6500000000001</v>
      </c>
      <c r="F456">
        <v>2079373</v>
      </c>
      <c r="G456" s="4">
        <f t="shared" si="99"/>
        <v>18.900000000000091</v>
      </c>
      <c r="H456" s="4">
        <f t="shared" si="100"/>
        <v>0</v>
      </c>
      <c r="I456" s="6">
        <f t="shared" si="91"/>
        <v>13.121428571428591</v>
      </c>
      <c r="J456" s="6">
        <f t="shared" si="92"/>
        <v>9.3571428571428736</v>
      </c>
      <c r="K456" s="4">
        <f t="shared" si="93"/>
        <v>1.4022900763358774</v>
      </c>
      <c r="L456">
        <f t="shared" si="94"/>
        <v>58.373053701938346</v>
      </c>
      <c r="M456" s="14" t="str">
        <f t="shared" si="87"/>
        <v/>
      </c>
      <c r="N456" s="7">
        <f t="shared" si="88"/>
        <v>0</v>
      </c>
      <c r="O456" s="7">
        <f t="shared" si="95"/>
        <v>0</v>
      </c>
      <c r="P456" s="7">
        <f t="shared" si="96"/>
        <v>-1</v>
      </c>
      <c r="Q456" s="10" t="e">
        <f t="shared" si="89"/>
        <v>#N/A</v>
      </c>
      <c r="R456" s="10" t="e">
        <f t="shared" si="90"/>
        <v>#N/A</v>
      </c>
      <c r="S456" s="7">
        <f t="shared" si="97"/>
        <v>1092.75</v>
      </c>
      <c r="T456" s="7">
        <f t="shared" si="98"/>
        <v>0</v>
      </c>
    </row>
    <row r="457" spans="1:20" x14ac:dyDescent="0.25">
      <c r="A457" s="1">
        <v>41915</v>
      </c>
      <c r="B457">
        <v>1105</v>
      </c>
      <c r="C457">
        <v>1110</v>
      </c>
      <c r="D457">
        <v>1093.3499999999999</v>
      </c>
      <c r="E457">
        <v>1095.9000000000001</v>
      </c>
      <c r="F457">
        <v>205962</v>
      </c>
      <c r="G457" s="4">
        <f t="shared" si="99"/>
        <v>0</v>
      </c>
      <c r="H457" s="4">
        <f t="shared" si="100"/>
        <v>2.75</v>
      </c>
      <c r="I457" s="6">
        <f t="shared" si="91"/>
        <v>13.121428571428591</v>
      </c>
      <c r="J457" s="6">
        <f t="shared" si="92"/>
        <v>9.3821428571428669</v>
      </c>
      <c r="K457" s="4">
        <f t="shared" si="93"/>
        <v>1.398553483060526</v>
      </c>
      <c r="L457">
        <f t="shared" si="94"/>
        <v>58.308205046817974</v>
      </c>
      <c r="M457" s="14" t="str">
        <f t="shared" si="87"/>
        <v/>
      </c>
      <c r="N457" s="7">
        <f t="shared" si="88"/>
        <v>0</v>
      </c>
      <c r="O457" s="7">
        <f t="shared" si="95"/>
        <v>0</v>
      </c>
      <c r="P457" s="7">
        <f t="shared" si="96"/>
        <v>-1</v>
      </c>
      <c r="Q457" s="10" t="e">
        <f t="shared" si="89"/>
        <v>#N/A</v>
      </c>
      <c r="R457" s="10" t="e">
        <f t="shared" si="90"/>
        <v>#N/A</v>
      </c>
      <c r="S457" s="7">
        <f t="shared" si="97"/>
        <v>1092.75</v>
      </c>
      <c r="T457" s="7">
        <f t="shared" si="98"/>
        <v>0</v>
      </c>
    </row>
    <row r="458" spans="1:20" x14ac:dyDescent="0.25">
      <c r="A458" s="1">
        <v>41918</v>
      </c>
      <c r="B458">
        <v>1129</v>
      </c>
      <c r="C458">
        <v>1139.0999999999999</v>
      </c>
      <c r="D458">
        <v>1111</v>
      </c>
      <c r="E458">
        <v>1121.5</v>
      </c>
      <c r="F458">
        <v>1629558</v>
      </c>
      <c r="G458" s="4">
        <f t="shared" si="99"/>
        <v>25.599999999999909</v>
      </c>
      <c r="H458" s="4">
        <f t="shared" si="100"/>
        <v>0</v>
      </c>
      <c r="I458" s="6">
        <f t="shared" si="91"/>
        <v>14.592857142857156</v>
      </c>
      <c r="J458" s="6">
        <f t="shared" si="92"/>
        <v>9.3821428571428669</v>
      </c>
      <c r="K458" s="4">
        <f t="shared" si="93"/>
        <v>1.5553863722877805</v>
      </c>
      <c r="L458">
        <f t="shared" si="94"/>
        <v>60.866974527037087</v>
      </c>
      <c r="M458" s="14" t="str">
        <f t="shared" si="87"/>
        <v/>
      </c>
      <c r="N458" s="7">
        <f t="shared" si="88"/>
        <v>0</v>
      </c>
      <c r="O458" s="7">
        <f t="shared" si="95"/>
        <v>0</v>
      </c>
      <c r="P458" s="7">
        <f t="shared" si="96"/>
        <v>-1</v>
      </c>
      <c r="Q458" s="10" t="e">
        <f t="shared" si="89"/>
        <v>#N/A</v>
      </c>
      <c r="R458" s="10" t="e">
        <f t="shared" si="90"/>
        <v>#N/A</v>
      </c>
      <c r="S458" s="7">
        <f t="shared" si="97"/>
        <v>1092.75</v>
      </c>
      <c r="T458" s="7">
        <f t="shared" si="98"/>
        <v>0</v>
      </c>
    </row>
    <row r="459" spans="1:20" x14ac:dyDescent="0.25">
      <c r="A459" s="1">
        <v>41919</v>
      </c>
      <c r="B459">
        <v>1120</v>
      </c>
      <c r="C459">
        <v>1132</v>
      </c>
      <c r="D459">
        <v>1112</v>
      </c>
      <c r="E459">
        <v>1115.8</v>
      </c>
      <c r="F459">
        <v>889370</v>
      </c>
      <c r="G459" s="4">
        <f t="shared" si="99"/>
        <v>0</v>
      </c>
      <c r="H459" s="4">
        <f t="shared" si="100"/>
        <v>5.7000000000000455</v>
      </c>
      <c r="I459" s="6">
        <f t="shared" si="91"/>
        <v>13.43928571428572</v>
      </c>
      <c r="J459" s="6">
        <f t="shared" si="92"/>
        <v>9.789285714285727</v>
      </c>
      <c r="K459" s="4">
        <f t="shared" si="93"/>
        <v>1.3728566216709219</v>
      </c>
      <c r="L459">
        <f t="shared" si="94"/>
        <v>57.856703567035652</v>
      </c>
      <c r="M459" s="14" t="str">
        <f t="shared" si="87"/>
        <v/>
      </c>
      <c r="N459" s="7">
        <f t="shared" si="88"/>
        <v>0</v>
      </c>
      <c r="O459" s="7">
        <f t="shared" si="95"/>
        <v>0</v>
      </c>
      <c r="P459" s="7">
        <f t="shared" si="96"/>
        <v>-1</v>
      </c>
      <c r="Q459" s="10" t="e">
        <f t="shared" si="89"/>
        <v>#N/A</v>
      </c>
      <c r="R459" s="10" t="e">
        <f t="shared" si="90"/>
        <v>#N/A</v>
      </c>
      <c r="S459" s="7">
        <f t="shared" si="97"/>
        <v>1092.75</v>
      </c>
      <c r="T459" s="7">
        <f t="shared" si="98"/>
        <v>0</v>
      </c>
    </row>
    <row r="460" spans="1:20" x14ac:dyDescent="0.25">
      <c r="A460" s="1">
        <v>41920</v>
      </c>
      <c r="B460">
        <v>1108</v>
      </c>
      <c r="C460">
        <v>1123</v>
      </c>
      <c r="D460">
        <v>1096.25</v>
      </c>
      <c r="E460">
        <v>1108.45</v>
      </c>
      <c r="F460">
        <v>729105</v>
      </c>
      <c r="G460" s="4">
        <f t="shared" si="99"/>
        <v>0</v>
      </c>
      <c r="H460" s="4">
        <f t="shared" si="100"/>
        <v>7.3499999999999091</v>
      </c>
      <c r="I460" s="6">
        <f t="shared" si="91"/>
        <v>13.43928571428572</v>
      </c>
      <c r="J460" s="6">
        <f t="shared" si="92"/>
        <v>8.6107142857142822</v>
      </c>
      <c r="K460" s="4">
        <f t="shared" si="93"/>
        <v>1.560763168809624</v>
      </c>
      <c r="L460">
        <f t="shared" si="94"/>
        <v>60.949141561386476</v>
      </c>
      <c r="M460" s="14" t="str">
        <f t="shared" si="87"/>
        <v/>
      </c>
      <c r="N460" s="7">
        <f t="shared" si="88"/>
        <v>0</v>
      </c>
      <c r="O460" s="7">
        <f t="shared" si="95"/>
        <v>0</v>
      </c>
      <c r="P460" s="7">
        <f t="shared" si="96"/>
        <v>-1</v>
      </c>
      <c r="Q460" s="10" t="e">
        <f t="shared" si="89"/>
        <v>#N/A</v>
      </c>
      <c r="R460" s="10" t="e">
        <f t="shared" si="90"/>
        <v>#N/A</v>
      </c>
      <c r="S460" s="7">
        <f t="shared" si="97"/>
        <v>1092.75</v>
      </c>
      <c r="T460" s="7">
        <f t="shared" si="98"/>
        <v>0</v>
      </c>
    </row>
    <row r="461" spans="1:20" x14ac:dyDescent="0.25">
      <c r="A461" s="1">
        <v>41921</v>
      </c>
      <c r="B461">
        <v>1101.25</v>
      </c>
      <c r="C461">
        <v>1121.8499999999999</v>
      </c>
      <c r="D461">
        <v>1100</v>
      </c>
      <c r="E461">
        <v>1106.8499999999999</v>
      </c>
      <c r="F461">
        <v>775422</v>
      </c>
      <c r="G461" s="4">
        <f t="shared" si="99"/>
        <v>0</v>
      </c>
      <c r="H461" s="4">
        <f t="shared" si="100"/>
        <v>1.6000000000001364</v>
      </c>
      <c r="I461" s="6">
        <f t="shared" si="91"/>
        <v>10.710714285714289</v>
      </c>
      <c r="J461" s="6">
        <f t="shared" si="92"/>
        <v>8.7250000000000068</v>
      </c>
      <c r="K461" s="4">
        <f t="shared" si="93"/>
        <v>1.2275890298812928</v>
      </c>
      <c r="L461">
        <f t="shared" si="94"/>
        <v>55.108416023520753</v>
      </c>
      <c r="M461" s="14" t="str">
        <f t="shared" si="87"/>
        <v/>
      </c>
      <c r="N461" s="7">
        <f t="shared" si="88"/>
        <v>0</v>
      </c>
      <c r="O461" s="7">
        <f t="shared" si="95"/>
        <v>0</v>
      </c>
      <c r="P461" s="7">
        <f t="shared" si="96"/>
        <v>-1</v>
      </c>
      <c r="Q461" s="10" t="e">
        <f t="shared" si="89"/>
        <v>#N/A</v>
      </c>
      <c r="R461" s="10" t="e">
        <f t="shared" si="90"/>
        <v>#N/A</v>
      </c>
      <c r="S461" s="7">
        <f t="shared" si="97"/>
        <v>1092.75</v>
      </c>
      <c r="T461" s="7">
        <f t="shared" si="98"/>
        <v>0</v>
      </c>
    </row>
    <row r="462" spans="1:20" x14ac:dyDescent="0.25">
      <c r="A462" s="1">
        <v>41922</v>
      </c>
      <c r="B462">
        <v>1097.8</v>
      </c>
      <c r="C462">
        <v>1109.4000000000001</v>
      </c>
      <c r="D462">
        <v>1087</v>
      </c>
      <c r="E462">
        <v>1105</v>
      </c>
      <c r="F462">
        <v>945634</v>
      </c>
      <c r="G462" s="4">
        <f t="shared" si="99"/>
        <v>0</v>
      </c>
      <c r="H462" s="4">
        <f t="shared" si="100"/>
        <v>1.8499999999999091</v>
      </c>
      <c r="I462" s="6">
        <f t="shared" si="91"/>
        <v>9.7321428571428577</v>
      </c>
      <c r="J462" s="6">
        <f t="shared" si="92"/>
        <v>8.8571428571428577</v>
      </c>
      <c r="K462" s="4">
        <f t="shared" si="93"/>
        <v>1.0987903225806452</v>
      </c>
      <c r="L462">
        <f t="shared" si="94"/>
        <v>52.353506243996158</v>
      </c>
      <c r="M462" s="14" t="str">
        <f t="shared" si="87"/>
        <v/>
      </c>
      <c r="N462" s="7">
        <f t="shared" si="88"/>
        <v>0</v>
      </c>
      <c r="O462" s="7">
        <f t="shared" si="95"/>
        <v>0</v>
      </c>
      <c r="P462" s="7">
        <f t="shared" si="96"/>
        <v>-1</v>
      </c>
      <c r="Q462" s="10" t="e">
        <f t="shared" si="89"/>
        <v>#N/A</v>
      </c>
      <c r="R462" s="10" t="e">
        <f t="shared" si="90"/>
        <v>#N/A</v>
      </c>
      <c r="S462" s="7">
        <f t="shared" si="97"/>
        <v>1092.75</v>
      </c>
      <c r="T462" s="7">
        <f t="shared" si="98"/>
        <v>0</v>
      </c>
    </row>
    <row r="463" spans="1:20" x14ac:dyDescent="0.25">
      <c r="A463" s="1">
        <v>41925</v>
      </c>
      <c r="B463">
        <v>1121</v>
      </c>
      <c r="C463">
        <v>1125</v>
      </c>
      <c r="D463">
        <v>1087.2</v>
      </c>
      <c r="E463">
        <v>1099.8</v>
      </c>
      <c r="F463">
        <v>1358004</v>
      </c>
      <c r="G463" s="4">
        <f t="shared" si="99"/>
        <v>0</v>
      </c>
      <c r="H463" s="4">
        <f t="shared" si="100"/>
        <v>5.2000000000000455</v>
      </c>
      <c r="I463" s="6">
        <f t="shared" si="91"/>
        <v>6.7678571428571432</v>
      </c>
      <c r="J463" s="6">
        <f t="shared" si="92"/>
        <v>9.2285714285714313</v>
      </c>
      <c r="K463" s="4">
        <f t="shared" si="93"/>
        <v>0.73335913312693479</v>
      </c>
      <c r="L463">
        <f t="shared" si="94"/>
        <v>42.308551015851748</v>
      </c>
      <c r="M463" s="14" t="str">
        <f t="shared" si="87"/>
        <v/>
      </c>
      <c r="N463" s="7">
        <f t="shared" si="88"/>
        <v>0</v>
      </c>
      <c r="O463" s="7">
        <f t="shared" si="95"/>
        <v>0</v>
      </c>
      <c r="P463" s="7">
        <f t="shared" si="96"/>
        <v>-1</v>
      </c>
      <c r="Q463" s="10" t="e">
        <f t="shared" si="89"/>
        <v>#N/A</v>
      </c>
      <c r="R463" s="10" t="e">
        <f t="shared" si="90"/>
        <v>#N/A</v>
      </c>
      <c r="S463" s="7">
        <f t="shared" si="97"/>
        <v>1092.75</v>
      </c>
      <c r="T463" s="7">
        <f t="shared" si="98"/>
        <v>0</v>
      </c>
    </row>
    <row r="464" spans="1:20" x14ac:dyDescent="0.25">
      <c r="A464" s="1">
        <v>41926</v>
      </c>
      <c r="B464">
        <v>1096</v>
      </c>
      <c r="C464">
        <v>1114.8</v>
      </c>
      <c r="D464">
        <v>1096</v>
      </c>
      <c r="E464">
        <v>1105.25</v>
      </c>
      <c r="F464">
        <v>846052</v>
      </c>
      <c r="G464" s="4">
        <f t="shared" si="99"/>
        <v>5.4500000000000455</v>
      </c>
      <c r="H464" s="4">
        <f t="shared" si="100"/>
        <v>0</v>
      </c>
      <c r="I464" s="6">
        <f t="shared" si="91"/>
        <v>7.1571428571428601</v>
      </c>
      <c r="J464" s="6">
        <f t="shared" si="92"/>
        <v>8.2285714285714313</v>
      </c>
      <c r="K464" s="4">
        <f t="shared" si="93"/>
        <v>0.86979166666666674</v>
      </c>
      <c r="L464">
        <f t="shared" si="94"/>
        <v>46.518105849582177</v>
      </c>
      <c r="M464" s="14" t="str">
        <f t="shared" ref="M464:M527" si="101">IF(L464&gt;RSI_Overbought,"OVERBOUGHT",IF(L464&lt;RSI_Oversold,"OVERSOLD",""))</f>
        <v/>
      </c>
      <c r="N464" s="7">
        <f t="shared" ref="N464:N527" si="102">IF(L464&gt;RSI_Overbought,"SELL",IF(L464&lt;RSI_Oversold,"BUY",0))</f>
        <v>0</v>
      </c>
      <c r="O464" s="7">
        <f t="shared" si="95"/>
        <v>0</v>
      </c>
      <c r="P464" s="7">
        <f t="shared" si="96"/>
        <v>-1</v>
      </c>
      <c r="Q464" s="10" t="e">
        <f t="shared" ref="Q464:Q527" si="103">IF($O464="BUY",$E464,NA())</f>
        <v>#N/A</v>
      </c>
      <c r="R464" s="10" t="e">
        <f t="shared" ref="R464:R527" si="104">IF($O464="SELL",$E464,NA())</f>
        <v>#N/A</v>
      </c>
      <c r="S464" s="7">
        <f t="shared" si="97"/>
        <v>1092.75</v>
      </c>
      <c r="T464" s="7">
        <f t="shared" si="98"/>
        <v>0</v>
      </c>
    </row>
    <row r="465" spans="1:20" x14ac:dyDescent="0.25">
      <c r="A465" s="1">
        <v>41927</v>
      </c>
      <c r="B465">
        <v>1110</v>
      </c>
      <c r="C465">
        <v>1146</v>
      </c>
      <c r="D465">
        <v>1106.3</v>
      </c>
      <c r="E465">
        <v>1122.95</v>
      </c>
      <c r="F465">
        <v>1960990</v>
      </c>
      <c r="G465" s="4">
        <f t="shared" si="99"/>
        <v>17.700000000000045</v>
      </c>
      <c r="H465" s="4">
        <f t="shared" si="100"/>
        <v>0</v>
      </c>
      <c r="I465" s="6">
        <f t="shared" ref="I465:I528" si="105">AVERAGE(G452:G465)</f>
        <v>8.4214285714285779</v>
      </c>
      <c r="J465" s="6">
        <f t="shared" ref="J465:J528" si="106">AVERAGE(H452:H465)</f>
        <v>2.0357142857142856</v>
      </c>
      <c r="K465" s="4">
        <f t="shared" ref="K465:K528" si="107">I465/J465</f>
        <v>4.1368421052631614</v>
      </c>
      <c r="L465">
        <f t="shared" ref="L465:L528" si="108">100-(100/(K465+1))</f>
        <v>80.532786885245912</v>
      </c>
      <c r="M465" s="14" t="str">
        <f t="shared" si="101"/>
        <v>OVERBOUGHT</v>
      </c>
      <c r="N465" s="7" t="str">
        <f t="shared" si="102"/>
        <v>SELL</v>
      </c>
      <c r="O465" s="7">
        <f t="shared" ref="O465:O528" si="109">IF(AND(N465="BUY",P464&lt;&gt;1),"BUY",IF(AND(N465="SELL",P464&lt;&gt;-1),"SELL",0))</f>
        <v>0</v>
      </c>
      <c r="P465" s="7">
        <f t="shared" ref="P465:P528" si="110">IF(O465="BUY",1,IF(O465="SELL",-1,P464))</f>
        <v>-1</v>
      </c>
      <c r="Q465" s="10" t="e">
        <f t="shared" si="103"/>
        <v>#N/A</v>
      </c>
      <c r="R465" s="10" t="e">
        <f t="shared" si="104"/>
        <v>#N/A</v>
      </c>
      <c r="S465" s="7">
        <f t="shared" ref="S465:S528" si="111">IF(O465&lt;&gt;0,E465,S464)</f>
        <v>1092.75</v>
      </c>
      <c r="T465" s="7">
        <f t="shared" si="98"/>
        <v>0</v>
      </c>
    </row>
    <row r="466" spans="1:20" x14ac:dyDescent="0.25">
      <c r="A466" s="1">
        <v>41928</v>
      </c>
      <c r="B466">
        <v>1110</v>
      </c>
      <c r="C466">
        <v>1141</v>
      </c>
      <c r="D466">
        <v>1107.25</v>
      </c>
      <c r="E466">
        <v>1131</v>
      </c>
      <c r="F466">
        <v>1814795</v>
      </c>
      <c r="G466" s="4">
        <f t="shared" si="99"/>
        <v>8.0499999999999545</v>
      </c>
      <c r="H466" s="4">
        <f t="shared" si="100"/>
        <v>0</v>
      </c>
      <c r="I466" s="6">
        <f t="shared" si="105"/>
        <v>7.8964285714285678</v>
      </c>
      <c r="J466" s="6">
        <f t="shared" si="106"/>
        <v>2.0357142857142856</v>
      </c>
      <c r="K466" s="4">
        <f t="shared" si="107"/>
        <v>3.8789473684210511</v>
      </c>
      <c r="L466">
        <f t="shared" si="108"/>
        <v>79.503775620280464</v>
      </c>
      <c r="M466" s="14" t="str">
        <f t="shared" si="101"/>
        <v>OVERBOUGHT</v>
      </c>
      <c r="N466" s="7" t="str">
        <f t="shared" si="102"/>
        <v>SELL</v>
      </c>
      <c r="O466" s="7">
        <f t="shared" si="109"/>
        <v>0</v>
      </c>
      <c r="P466" s="7">
        <f t="shared" si="110"/>
        <v>-1</v>
      </c>
      <c r="Q466" s="10" t="e">
        <f t="shared" si="103"/>
        <v>#N/A</v>
      </c>
      <c r="R466" s="10" t="e">
        <f t="shared" si="104"/>
        <v>#N/A</v>
      </c>
      <c r="S466" s="7">
        <f t="shared" si="111"/>
        <v>1092.75</v>
      </c>
      <c r="T466" s="7">
        <f t="shared" si="98"/>
        <v>0</v>
      </c>
    </row>
    <row r="467" spans="1:20" x14ac:dyDescent="0.25">
      <c r="A467" s="1">
        <v>41929</v>
      </c>
      <c r="B467">
        <v>1140</v>
      </c>
      <c r="C467">
        <v>1156</v>
      </c>
      <c r="D467">
        <v>1124.5</v>
      </c>
      <c r="E467">
        <v>1128.4000000000001</v>
      </c>
      <c r="F467">
        <v>1164575</v>
      </c>
      <c r="G467" s="4">
        <f t="shared" si="99"/>
        <v>0</v>
      </c>
      <c r="H467" s="4">
        <f t="shared" si="100"/>
        <v>2.5999999999999091</v>
      </c>
      <c r="I467" s="6">
        <f t="shared" si="105"/>
        <v>7.8964285714285678</v>
      </c>
      <c r="J467" s="6">
        <f t="shared" si="106"/>
        <v>1.9321428571428538</v>
      </c>
      <c r="K467" s="4">
        <f t="shared" si="107"/>
        <v>4.0868761552680271</v>
      </c>
      <c r="L467">
        <f t="shared" si="108"/>
        <v>80.341569767441882</v>
      </c>
      <c r="M467" s="14" t="str">
        <f t="shared" si="101"/>
        <v>OVERBOUGHT</v>
      </c>
      <c r="N467" s="7" t="str">
        <f t="shared" si="102"/>
        <v>SELL</v>
      </c>
      <c r="O467" s="7">
        <f t="shared" si="109"/>
        <v>0</v>
      </c>
      <c r="P467" s="7">
        <f t="shared" si="110"/>
        <v>-1</v>
      </c>
      <c r="Q467" s="10" t="e">
        <f t="shared" si="103"/>
        <v>#N/A</v>
      </c>
      <c r="R467" s="10" t="e">
        <f t="shared" si="104"/>
        <v>#N/A</v>
      </c>
      <c r="S467" s="7">
        <f t="shared" si="111"/>
        <v>1092.75</v>
      </c>
      <c r="T467" s="7">
        <f t="shared" si="98"/>
        <v>0</v>
      </c>
    </row>
    <row r="468" spans="1:20" x14ac:dyDescent="0.25">
      <c r="A468" s="1">
        <v>41932</v>
      </c>
      <c r="B468">
        <v>1125.05</v>
      </c>
      <c r="C468">
        <v>1138.95</v>
      </c>
      <c r="D468">
        <v>1120</v>
      </c>
      <c r="E468">
        <v>1124.4000000000001</v>
      </c>
      <c r="F468">
        <v>734239</v>
      </c>
      <c r="G468" s="4">
        <f t="shared" si="99"/>
        <v>0</v>
      </c>
      <c r="H468" s="4">
        <f t="shared" si="100"/>
        <v>4</v>
      </c>
      <c r="I468" s="6">
        <f t="shared" si="105"/>
        <v>7.5428571428571525</v>
      </c>
      <c r="J468" s="6">
        <f t="shared" si="106"/>
        <v>2.2178571428571394</v>
      </c>
      <c r="K468" s="4">
        <f t="shared" si="107"/>
        <v>3.400966183574889</v>
      </c>
      <c r="L468">
        <f t="shared" si="108"/>
        <v>77.27771679473112</v>
      </c>
      <c r="M468" s="14" t="str">
        <f t="shared" si="101"/>
        <v>OVERBOUGHT</v>
      </c>
      <c r="N468" s="7" t="str">
        <f t="shared" si="102"/>
        <v>SELL</v>
      </c>
      <c r="O468" s="7">
        <f t="shared" si="109"/>
        <v>0</v>
      </c>
      <c r="P468" s="7">
        <f t="shared" si="110"/>
        <v>-1</v>
      </c>
      <c r="Q468" s="10" t="e">
        <f t="shared" si="103"/>
        <v>#N/A</v>
      </c>
      <c r="R468" s="10" t="e">
        <f t="shared" si="104"/>
        <v>#N/A</v>
      </c>
      <c r="S468" s="7">
        <f t="shared" si="111"/>
        <v>1092.75</v>
      </c>
      <c r="T468" s="7">
        <f t="shared" si="98"/>
        <v>0</v>
      </c>
    </row>
    <row r="469" spans="1:20" x14ac:dyDescent="0.25">
      <c r="A469" s="1">
        <v>41933</v>
      </c>
      <c r="B469">
        <v>1126</v>
      </c>
      <c r="C469">
        <v>1132.8</v>
      </c>
      <c r="D469">
        <v>1105.2</v>
      </c>
      <c r="E469">
        <v>1117.25</v>
      </c>
      <c r="F469">
        <v>935801</v>
      </c>
      <c r="G469" s="4">
        <f t="shared" si="99"/>
        <v>0</v>
      </c>
      <c r="H469" s="4">
        <f t="shared" si="100"/>
        <v>7.1500000000000909</v>
      </c>
      <c r="I469" s="6">
        <f t="shared" si="105"/>
        <v>5.4071428571428601</v>
      </c>
      <c r="J469" s="6">
        <f t="shared" si="106"/>
        <v>2.7285714285714318</v>
      </c>
      <c r="K469" s="4">
        <f t="shared" si="107"/>
        <v>1.9816753926701558</v>
      </c>
      <c r="L469">
        <f t="shared" si="108"/>
        <v>66.461808604038623</v>
      </c>
      <c r="M469" s="14" t="str">
        <f t="shared" si="101"/>
        <v/>
      </c>
      <c r="N469" s="7">
        <f t="shared" si="102"/>
        <v>0</v>
      </c>
      <c r="O469" s="7">
        <f t="shared" si="109"/>
        <v>0</v>
      </c>
      <c r="P469" s="7">
        <f t="shared" si="110"/>
        <v>-1</v>
      </c>
      <c r="Q469" s="10" t="e">
        <f t="shared" si="103"/>
        <v>#N/A</v>
      </c>
      <c r="R469" s="10" t="e">
        <f t="shared" si="104"/>
        <v>#N/A</v>
      </c>
      <c r="S469" s="7">
        <f t="shared" si="111"/>
        <v>1092.75</v>
      </c>
      <c r="T469" s="7">
        <f t="shared" si="98"/>
        <v>0</v>
      </c>
    </row>
    <row r="470" spans="1:20" x14ac:dyDescent="0.25">
      <c r="A470" s="1">
        <v>41934</v>
      </c>
      <c r="B470">
        <v>1115</v>
      </c>
      <c r="C470">
        <v>1123.5</v>
      </c>
      <c r="D470">
        <v>1107.5999999999999</v>
      </c>
      <c r="E470">
        <v>1115.1500000000001</v>
      </c>
      <c r="F470">
        <v>695994</v>
      </c>
      <c r="G470" s="4">
        <f t="shared" si="99"/>
        <v>0</v>
      </c>
      <c r="H470" s="4">
        <f t="shared" si="100"/>
        <v>2.0999999999999091</v>
      </c>
      <c r="I470" s="6">
        <f t="shared" si="105"/>
        <v>4.0571428571428543</v>
      </c>
      <c r="J470" s="6">
        <f t="shared" si="106"/>
        <v>2.8785714285714255</v>
      </c>
      <c r="K470" s="4">
        <f t="shared" si="107"/>
        <v>1.4094292803970228</v>
      </c>
      <c r="L470">
        <f t="shared" si="108"/>
        <v>58.496395468589093</v>
      </c>
      <c r="M470" s="14" t="str">
        <f t="shared" si="101"/>
        <v/>
      </c>
      <c r="N470" s="7">
        <f t="shared" si="102"/>
        <v>0</v>
      </c>
      <c r="O470" s="7">
        <f t="shared" si="109"/>
        <v>0</v>
      </c>
      <c r="P470" s="7">
        <f t="shared" si="110"/>
        <v>-1</v>
      </c>
      <c r="Q470" s="10" t="e">
        <f t="shared" si="103"/>
        <v>#N/A</v>
      </c>
      <c r="R470" s="10" t="e">
        <f t="shared" si="104"/>
        <v>#N/A</v>
      </c>
      <c r="S470" s="7">
        <f t="shared" si="111"/>
        <v>1092.75</v>
      </c>
      <c r="T470" s="7">
        <f t="shared" si="98"/>
        <v>0</v>
      </c>
    </row>
    <row r="471" spans="1:20" x14ac:dyDescent="0.25">
      <c r="A471" s="1">
        <v>41935</v>
      </c>
      <c r="B471">
        <v>1105.75</v>
      </c>
      <c r="C471">
        <v>1109.8</v>
      </c>
      <c r="D471">
        <v>1076.3</v>
      </c>
      <c r="E471">
        <v>1086.5999999999999</v>
      </c>
      <c r="F471">
        <v>1394721</v>
      </c>
      <c r="G471" s="4">
        <f t="shared" si="99"/>
        <v>0</v>
      </c>
      <c r="H471" s="4">
        <f t="shared" si="100"/>
        <v>28.550000000000182</v>
      </c>
      <c r="I471" s="6">
        <f t="shared" si="105"/>
        <v>4.0571428571428543</v>
      </c>
      <c r="J471" s="6">
        <f t="shared" si="106"/>
        <v>4.7214285714285813</v>
      </c>
      <c r="K471" s="4">
        <f t="shared" si="107"/>
        <v>0.85930408472011865</v>
      </c>
      <c r="L471">
        <f t="shared" si="108"/>
        <v>46.2164361269324</v>
      </c>
      <c r="M471" s="14" t="str">
        <f t="shared" si="101"/>
        <v/>
      </c>
      <c r="N471" s="7">
        <f t="shared" si="102"/>
        <v>0</v>
      </c>
      <c r="O471" s="7">
        <f t="shared" si="109"/>
        <v>0</v>
      </c>
      <c r="P471" s="7">
        <f t="shared" si="110"/>
        <v>-1</v>
      </c>
      <c r="Q471" s="10" t="e">
        <f t="shared" si="103"/>
        <v>#N/A</v>
      </c>
      <c r="R471" s="10" t="e">
        <f t="shared" si="104"/>
        <v>#N/A</v>
      </c>
      <c r="S471" s="7">
        <f t="shared" si="111"/>
        <v>1092.75</v>
      </c>
      <c r="T471" s="7">
        <f t="shared" si="98"/>
        <v>0</v>
      </c>
    </row>
    <row r="472" spans="1:20" x14ac:dyDescent="0.25">
      <c r="A472" s="1">
        <v>41936</v>
      </c>
      <c r="B472">
        <v>1085</v>
      </c>
      <c r="C472">
        <v>1088.3</v>
      </c>
      <c r="D472">
        <v>1060.0999999999999</v>
      </c>
      <c r="E472">
        <v>1067.2</v>
      </c>
      <c r="F472">
        <v>1435852</v>
      </c>
      <c r="G472" s="4">
        <f t="shared" si="99"/>
        <v>0</v>
      </c>
      <c r="H472" s="4">
        <f t="shared" si="100"/>
        <v>19.399999999999864</v>
      </c>
      <c r="I472" s="6">
        <f t="shared" si="105"/>
        <v>2.2285714285714318</v>
      </c>
      <c r="J472" s="6">
        <f t="shared" si="106"/>
        <v>6.1071428571428568</v>
      </c>
      <c r="K472" s="4">
        <f t="shared" si="107"/>
        <v>0.36491228070175491</v>
      </c>
      <c r="L472">
        <f t="shared" si="108"/>
        <v>26.735218508997448</v>
      </c>
      <c r="M472" s="14" t="str">
        <f t="shared" si="101"/>
        <v>OVERSOLD</v>
      </c>
      <c r="N472" s="7" t="str">
        <f t="shared" si="102"/>
        <v>BUY</v>
      </c>
      <c r="O472" s="7" t="str">
        <f t="shared" si="109"/>
        <v>BUY</v>
      </c>
      <c r="P472" s="7">
        <f t="shared" si="110"/>
        <v>1</v>
      </c>
      <c r="Q472" s="10">
        <f t="shared" si="103"/>
        <v>1067.2</v>
      </c>
      <c r="R472" s="10" t="e">
        <f t="shared" si="104"/>
        <v>#N/A</v>
      </c>
      <c r="S472" s="7">
        <f t="shared" si="111"/>
        <v>1067.2</v>
      </c>
      <c r="T472" s="7">
        <f t="shared" si="98"/>
        <v>2.3381377259208379E-2</v>
      </c>
    </row>
    <row r="473" spans="1:20" x14ac:dyDescent="0.25">
      <c r="A473" s="1">
        <v>41939</v>
      </c>
      <c r="B473">
        <v>1068.9000000000001</v>
      </c>
      <c r="C473">
        <v>1095</v>
      </c>
      <c r="D473">
        <v>1057</v>
      </c>
      <c r="E473">
        <v>1081.8499999999999</v>
      </c>
      <c r="F473">
        <v>1861791</v>
      </c>
      <c r="G473" s="4">
        <f t="shared" si="99"/>
        <v>14.649999999999864</v>
      </c>
      <c r="H473" s="4">
        <f t="shared" si="100"/>
        <v>0</v>
      </c>
      <c r="I473" s="6">
        <f t="shared" si="105"/>
        <v>3.2749999999999937</v>
      </c>
      <c r="J473" s="6">
        <f t="shared" si="106"/>
        <v>5.6999999999999966</v>
      </c>
      <c r="K473" s="4">
        <f t="shared" si="107"/>
        <v>0.57456140350877116</v>
      </c>
      <c r="L473">
        <f t="shared" si="108"/>
        <v>36.490250696378801</v>
      </c>
      <c r="M473" s="14" t="str">
        <f t="shared" si="101"/>
        <v/>
      </c>
      <c r="N473" s="7">
        <f t="shared" si="102"/>
        <v>0</v>
      </c>
      <c r="O473" s="7">
        <f t="shared" si="109"/>
        <v>0</v>
      </c>
      <c r="P473" s="7">
        <f t="shared" si="110"/>
        <v>1</v>
      </c>
      <c r="Q473" s="10" t="e">
        <f t="shared" si="103"/>
        <v>#N/A</v>
      </c>
      <c r="R473" s="10" t="e">
        <f t="shared" si="104"/>
        <v>#N/A</v>
      </c>
      <c r="S473" s="7">
        <f t="shared" si="111"/>
        <v>1067.2</v>
      </c>
      <c r="T473" s="7">
        <f t="shared" si="98"/>
        <v>0</v>
      </c>
    </row>
    <row r="474" spans="1:20" x14ac:dyDescent="0.25">
      <c r="A474" s="1">
        <v>41940</v>
      </c>
      <c r="B474">
        <v>1081.95</v>
      </c>
      <c r="C474">
        <v>1081.95</v>
      </c>
      <c r="D474">
        <v>1041</v>
      </c>
      <c r="E474">
        <v>1062.3</v>
      </c>
      <c r="F474">
        <v>1177875</v>
      </c>
      <c r="G474" s="4">
        <f t="shared" si="99"/>
        <v>0</v>
      </c>
      <c r="H474" s="4">
        <f t="shared" si="100"/>
        <v>19.549999999999955</v>
      </c>
      <c r="I474" s="6">
        <f t="shared" si="105"/>
        <v>3.2749999999999937</v>
      </c>
      <c r="J474" s="6">
        <f t="shared" si="106"/>
        <v>6.5714285714285712</v>
      </c>
      <c r="K474" s="4">
        <f t="shared" si="107"/>
        <v>0.49836956521739034</v>
      </c>
      <c r="L474">
        <f t="shared" si="108"/>
        <v>33.260790714544754</v>
      </c>
      <c r="M474" s="14" t="str">
        <f t="shared" si="101"/>
        <v/>
      </c>
      <c r="N474" s="7">
        <f t="shared" si="102"/>
        <v>0</v>
      </c>
      <c r="O474" s="7">
        <f t="shared" si="109"/>
        <v>0</v>
      </c>
      <c r="P474" s="7">
        <f t="shared" si="110"/>
        <v>1</v>
      </c>
      <c r="Q474" s="10" t="e">
        <f t="shared" si="103"/>
        <v>#N/A</v>
      </c>
      <c r="R474" s="10" t="e">
        <f t="shared" si="104"/>
        <v>#N/A</v>
      </c>
      <c r="S474" s="7">
        <f t="shared" si="111"/>
        <v>1067.2</v>
      </c>
      <c r="T474" s="7">
        <f t="shared" ref="T474:T537" si="112">IF(O474="BUY",(S473-S474)/S473,IF(O474="SELL",(S474-S473)/S473,0))</f>
        <v>0</v>
      </c>
    </row>
    <row r="475" spans="1:20" x14ac:dyDescent="0.25">
      <c r="A475" s="1">
        <v>41941</v>
      </c>
      <c r="B475">
        <v>1062</v>
      </c>
      <c r="C475">
        <v>1096.4000000000001</v>
      </c>
      <c r="D475">
        <v>1045</v>
      </c>
      <c r="E475">
        <v>1091.8</v>
      </c>
      <c r="F475">
        <v>1883422</v>
      </c>
      <c r="G475" s="4">
        <f t="shared" si="99"/>
        <v>29.5</v>
      </c>
      <c r="H475" s="4">
        <f t="shared" si="100"/>
        <v>0</v>
      </c>
      <c r="I475" s="6">
        <f t="shared" si="105"/>
        <v>5.3821428571428509</v>
      </c>
      <c r="J475" s="6">
        <f t="shared" si="106"/>
        <v>6.4571428571428475</v>
      </c>
      <c r="K475" s="4">
        <f t="shared" si="107"/>
        <v>0.83351769911504447</v>
      </c>
      <c r="L475">
        <f t="shared" si="108"/>
        <v>45.460030165912528</v>
      </c>
      <c r="M475" s="14" t="str">
        <f t="shared" si="101"/>
        <v/>
      </c>
      <c r="N475" s="7">
        <f t="shared" si="102"/>
        <v>0</v>
      </c>
      <c r="O475" s="7">
        <f t="shared" si="109"/>
        <v>0</v>
      </c>
      <c r="P475" s="7">
        <f t="shared" si="110"/>
        <v>1</v>
      </c>
      <c r="Q475" s="10" t="e">
        <f t="shared" si="103"/>
        <v>#N/A</v>
      </c>
      <c r="R475" s="10" t="e">
        <f t="shared" si="104"/>
        <v>#N/A</v>
      </c>
      <c r="S475" s="7">
        <f t="shared" si="111"/>
        <v>1067.2</v>
      </c>
      <c r="T475" s="7">
        <f t="shared" si="112"/>
        <v>0</v>
      </c>
    </row>
    <row r="476" spans="1:20" x14ac:dyDescent="0.25">
      <c r="A476" s="1">
        <v>41942</v>
      </c>
      <c r="B476">
        <v>1085</v>
      </c>
      <c r="C476">
        <v>1087.9000000000001</v>
      </c>
      <c r="D476">
        <v>1057.0999999999999</v>
      </c>
      <c r="E476">
        <v>1063.9000000000001</v>
      </c>
      <c r="F476">
        <v>1070302</v>
      </c>
      <c r="G476" s="4">
        <f t="shared" si="99"/>
        <v>0</v>
      </c>
      <c r="H476" s="4">
        <f t="shared" si="100"/>
        <v>27.899999999999864</v>
      </c>
      <c r="I476" s="6">
        <f t="shared" si="105"/>
        <v>5.3821428571428509</v>
      </c>
      <c r="J476" s="6">
        <f t="shared" si="106"/>
        <v>8.3178571428571306</v>
      </c>
      <c r="K476" s="4">
        <f t="shared" si="107"/>
        <v>0.64705882352941202</v>
      </c>
      <c r="L476">
        <f t="shared" si="108"/>
        <v>39.285714285714299</v>
      </c>
      <c r="M476" s="14" t="str">
        <f t="shared" si="101"/>
        <v/>
      </c>
      <c r="N476" s="7">
        <f t="shared" si="102"/>
        <v>0</v>
      </c>
      <c r="O476" s="7">
        <f t="shared" si="109"/>
        <v>0</v>
      </c>
      <c r="P476" s="7">
        <f t="shared" si="110"/>
        <v>1</v>
      </c>
      <c r="Q476" s="10" t="e">
        <f t="shared" si="103"/>
        <v>#N/A</v>
      </c>
      <c r="R476" s="10" t="e">
        <f t="shared" si="104"/>
        <v>#N/A</v>
      </c>
      <c r="S476" s="7">
        <f t="shared" si="111"/>
        <v>1067.2</v>
      </c>
      <c r="T476" s="7">
        <f t="shared" si="112"/>
        <v>0</v>
      </c>
    </row>
    <row r="477" spans="1:20" x14ac:dyDescent="0.25">
      <c r="A477" s="1">
        <v>41943</v>
      </c>
      <c r="B477">
        <v>1077.95</v>
      </c>
      <c r="C477">
        <v>1096</v>
      </c>
      <c r="D477">
        <v>1074</v>
      </c>
      <c r="E477">
        <v>1088.5</v>
      </c>
      <c r="F477">
        <v>752243</v>
      </c>
      <c r="G477" s="4">
        <f t="shared" si="99"/>
        <v>24.599999999999909</v>
      </c>
      <c r="H477" s="4">
        <f t="shared" si="100"/>
        <v>0</v>
      </c>
      <c r="I477" s="6">
        <f t="shared" si="105"/>
        <v>7.1392857142857009</v>
      </c>
      <c r="J477" s="6">
        <f t="shared" si="106"/>
        <v>7.9464285714285552</v>
      </c>
      <c r="K477" s="4">
        <f t="shared" si="107"/>
        <v>0.89842696629213503</v>
      </c>
      <c r="L477">
        <f t="shared" si="108"/>
        <v>47.324810606060609</v>
      </c>
      <c r="M477" s="14" t="str">
        <f t="shared" si="101"/>
        <v/>
      </c>
      <c r="N477" s="7">
        <f t="shared" si="102"/>
        <v>0</v>
      </c>
      <c r="O477" s="7">
        <f t="shared" si="109"/>
        <v>0</v>
      </c>
      <c r="P477" s="7">
        <f t="shared" si="110"/>
        <v>1</v>
      </c>
      <c r="Q477" s="10" t="e">
        <f t="shared" si="103"/>
        <v>#N/A</v>
      </c>
      <c r="R477" s="10" t="e">
        <f t="shared" si="104"/>
        <v>#N/A</v>
      </c>
      <c r="S477" s="7">
        <f t="shared" si="111"/>
        <v>1067.2</v>
      </c>
      <c r="T477" s="7">
        <f t="shared" si="112"/>
        <v>0</v>
      </c>
    </row>
    <row r="478" spans="1:20" x14ac:dyDescent="0.25">
      <c r="A478" s="1">
        <v>41946</v>
      </c>
      <c r="B478">
        <v>1093</v>
      </c>
      <c r="C478">
        <v>1105.9000000000001</v>
      </c>
      <c r="D478">
        <v>1086.2</v>
      </c>
      <c r="E478">
        <v>1093.3</v>
      </c>
      <c r="F478">
        <v>1277348</v>
      </c>
      <c r="G478" s="4">
        <f t="shared" si="99"/>
        <v>4.7999999999999545</v>
      </c>
      <c r="H478" s="4">
        <f t="shared" si="100"/>
        <v>0</v>
      </c>
      <c r="I478" s="6">
        <f t="shared" si="105"/>
        <v>7.092857142857123</v>
      </c>
      <c r="J478" s="6">
        <f t="shared" si="106"/>
        <v>7.9464285714285552</v>
      </c>
      <c r="K478" s="4">
        <f t="shared" si="107"/>
        <v>0.8925842696629207</v>
      </c>
      <c r="L478">
        <f t="shared" si="108"/>
        <v>47.162194253146502</v>
      </c>
      <c r="M478" s="14" t="str">
        <f t="shared" si="101"/>
        <v/>
      </c>
      <c r="N478" s="7">
        <f t="shared" si="102"/>
        <v>0</v>
      </c>
      <c r="O478" s="7">
        <f t="shared" si="109"/>
        <v>0</v>
      </c>
      <c r="P478" s="7">
        <f t="shared" si="110"/>
        <v>1</v>
      </c>
      <c r="Q478" s="10" t="e">
        <f t="shared" si="103"/>
        <v>#N/A</v>
      </c>
      <c r="R478" s="10" t="e">
        <f t="shared" si="104"/>
        <v>#N/A</v>
      </c>
      <c r="S478" s="7">
        <f t="shared" si="111"/>
        <v>1067.2</v>
      </c>
      <c r="T478" s="7">
        <f t="shared" si="112"/>
        <v>0</v>
      </c>
    </row>
    <row r="479" spans="1:20" x14ac:dyDescent="0.25">
      <c r="A479" s="1">
        <v>41947</v>
      </c>
      <c r="B479">
        <v>1081.1500000000001</v>
      </c>
      <c r="C479">
        <v>1122.95</v>
      </c>
      <c r="D479">
        <v>1081.1500000000001</v>
      </c>
      <c r="E479">
        <v>1115.55</v>
      </c>
      <c r="F479">
        <v>1740849</v>
      </c>
      <c r="G479" s="4">
        <f t="shared" si="99"/>
        <v>22.25</v>
      </c>
      <c r="H479" s="4">
        <f t="shared" si="100"/>
        <v>0</v>
      </c>
      <c r="I479" s="6">
        <f t="shared" si="105"/>
        <v>7.4178571428571205</v>
      </c>
      <c r="J479" s="6">
        <f t="shared" si="106"/>
        <v>7.9464285714285552</v>
      </c>
      <c r="K479" s="4">
        <f t="shared" si="107"/>
        <v>0.93348314606741478</v>
      </c>
      <c r="L479">
        <f t="shared" si="108"/>
        <v>48.279869827986957</v>
      </c>
      <c r="M479" s="14" t="str">
        <f t="shared" si="101"/>
        <v/>
      </c>
      <c r="N479" s="7">
        <f t="shared" si="102"/>
        <v>0</v>
      </c>
      <c r="O479" s="7">
        <f t="shared" si="109"/>
        <v>0</v>
      </c>
      <c r="P479" s="7">
        <f t="shared" si="110"/>
        <v>1</v>
      </c>
      <c r="Q479" s="10" t="e">
        <f t="shared" si="103"/>
        <v>#N/A</v>
      </c>
      <c r="R479" s="10" t="e">
        <f t="shared" si="104"/>
        <v>#N/A</v>
      </c>
      <c r="S479" s="7">
        <f t="shared" si="111"/>
        <v>1067.2</v>
      </c>
      <c r="T479" s="7">
        <f t="shared" si="112"/>
        <v>0</v>
      </c>
    </row>
    <row r="480" spans="1:20" x14ac:dyDescent="0.25">
      <c r="A480" s="1">
        <v>41948</v>
      </c>
      <c r="B480">
        <v>1140</v>
      </c>
      <c r="C480">
        <v>1148.55</v>
      </c>
      <c r="D480">
        <v>1126.2</v>
      </c>
      <c r="E480">
        <v>1134.8</v>
      </c>
      <c r="F480">
        <v>1240724</v>
      </c>
      <c r="G480" s="4">
        <f t="shared" si="99"/>
        <v>19.25</v>
      </c>
      <c r="H480" s="4">
        <f t="shared" si="100"/>
        <v>0</v>
      </c>
      <c r="I480" s="6">
        <f t="shared" si="105"/>
        <v>8.2178571428571239</v>
      </c>
      <c r="J480" s="6">
        <f t="shared" si="106"/>
        <v>7.9464285714285552</v>
      </c>
      <c r="K480" s="4">
        <f t="shared" si="107"/>
        <v>1.0341573033707863</v>
      </c>
      <c r="L480">
        <f t="shared" si="108"/>
        <v>50.839593460008828</v>
      </c>
      <c r="M480" s="14" t="str">
        <f t="shared" si="101"/>
        <v/>
      </c>
      <c r="N480" s="7">
        <f t="shared" si="102"/>
        <v>0</v>
      </c>
      <c r="O480" s="7">
        <f t="shared" si="109"/>
        <v>0</v>
      </c>
      <c r="P480" s="7">
        <f t="shared" si="110"/>
        <v>1</v>
      </c>
      <c r="Q480" s="10" t="e">
        <f t="shared" si="103"/>
        <v>#N/A</v>
      </c>
      <c r="R480" s="10" t="e">
        <f t="shared" si="104"/>
        <v>#N/A</v>
      </c>
      <c r="S480" s="7">
        <f t="shared" si="111"/>
        <v>1067.2</v>
      </c>
      <c r="T480" s="7">
        <f t="shared" si="112"/>
        <v>0</v>
      </c>
    </row>
    <row r="481" spans="1:20" x14ac:dyDescent="0.25">
      <c r="A481" s="1">
        <v>41949</v>
      </c>
      <c r="B481">
        <v>1134.8499999999999</v>
      </c>
      <c r="C481">
        <v>1185</v>
      </c>
      <c r="D481">
        <v>1129.5999999999999</v>
      </c>
      <c r="E481">
        <v>1178</v>
      </c>
      <c r="F481">
        <v>1984433</v>
      </c>
      <c r="G481" s="4">
        <f t="shared" si="99"/>
        <v>43.200000000000045</v>
      </c>
      <c r="H481" s="4">
        <f t="shared" si="100"/>
        <v>0</v>
      </c>
      <c r="I481" s="6">
        <f t="shared" si="105"/>
        <v>11.303571428571413</v>
      </c>
      <c r="J481" s="6">
        <f t="shared" si="106"/>
        <v>7.7607142857142764</v>
      </c>
      <c r="K481" s="4">
        <f t="shared" si="107"/>
        <v>1.4565117349286698</v>
      </c>
      <c r="L481">
        <f t="shared" si="108"/>
        <v>59.291869614087666</v>
      </c>
      <c r="M481" s="14" t="str">
        <f t="shared" si="101"/>
        <v/>
      </c>
      <c r="N481" s="7">
        <f t="shared" si="102"/>
        <v>0</v>
      </c>
      <c r="O481" s="7">
        <f t="shared" si="109"/>
        <v>0</v>
      </c>
      <c r="P481" s="7">
        <f t="shared" si="110"/>
        <v>1</v>
      </c>
      <c r="Q481" s="10" t="e">
        <f t="shared" si="103"/>
        <v>#N/A</v>
      </c>
      <c r="R481" s="10" t="e">
        <f t="shared" si="104"/>
        <v>#N/A</v>
      </c>
      <c r="S481" s="7">
        <f t="shared" si="111"/>
        <v>1067.2</v>
      </c>
      <c r="T481" s="7">
        <f t="shared" si="112"/>
        <v>0</v>
      </c>
    </row>
    <row r="482" spans="1:20" x14ac:dyDescent="0.25">
      <c r="A482" s="1">
        <v>41950</v>
      </c>
      <c r="B482">
        <v>1172.5</v>
      </c>
      <c r="C482">
        <v>1183.9000000000001</v>
      </c>
      <c r="D482">
        <v>1162.55</v>
      </c>
      <c r="E482">
        <v>1180.95</v>
      </c>
      <c r="F482">
        <v>765238</v>
      </c>
      <c r="G482" s="4">
        <f t="shared" si="99"/>
        <v>2.9500000000000455</v>
      </c>
      <c r="H482" s="4">
        <f t="shared" si="100"/>
        <v>0</v>
      </c>
      <c r="I482" s="6">
        <f t="shared" si="105"/>
        <v>11.514285714285702</v>
      </c>
      <c r="J482" s="6">
        <f t="shared" si="106"/>
        <v>7.4749999999999899</v>
      </c>
      <c r="K482" s="4">
        <f t="shared" si="107"/>
        <v>1.5403726708074539</v>
      </c>
      <c r="L482">
        <f t="shared" si="108"/>
        <v>60.635696821515893</v>
      </c>
      <c r="M482" s="14" t="str">
        <f t="shared" si="101"/>
        <v/>
      </c>
      <c r="N482" s="7">
        <f t="shared" si="102"/>
        <v>0</v>
      </c>
      <c r="O482" s="7">
        <f t="shared" si="109"/>
        <v>0</v>
      </c>
      <c r="P482" s="7">
        <f t="shared" si="110"/>
        <v>1</v>
      </c>
      <c r="Q482" s="10" t="e">
        <f t="shared" si="103"/>
        <v>#N/A</v>
      </c>
      <c r="R482" s="10" t="e">
        <f t="shared" si="104"/>
        <v>#N/A</v>
      </c>
      <c r="S482" s="7">
        <f t="shared" si="111"/>
        <v>1067.2</v>
      </c>
      <c r="T482" s="7">
        <f t="shared" si="112"/>
        <v>0</v>
      </c>
    </row>
    <row r="483" spans="1:20" x14ac:dyDescent="0.25">
      <c r="A483" s="1">
        <v>41953</v>
      </c>
      <c r="B483">
        <v>1180</v>
      </c>
      <c r="C483">
        <v>1192.9000000000001</v>
      </c>
      <c r="D483">
        <v>1173.5999999999999</v>
      </c>
      <c r="E483">
        <v>1179.55</v>
      </c>
      <c r="F483">
        <v>1318711</v>
      </c>
      <c r="G483" s="4">
        <f t="shared" si="99"/>
        <v>0</v>
      </c>
      <c r="H483" s="4">
        <f t="shared" si="100"/>
        <v>1.4000000000000909</v>
      </c>
      <c r="I483" s="6">
        <f t="shared" si="105"/>
        <v>11.514285714285702</v>
      </c>
      <c r="J483" s="6">
        <f t="shared" si="106"/>
        <v>7.0642857142857043</v>
      </c>
      <c r="K483" s="4">
        <f t="shared" si="107"/>
        <v>1.6299292214357943</v>
      </c>
      <c r="L483">
        <f t="shared" si="108"/>
        <v>61.976163014225307</v>
      </c>
      <c r="M483" s="14" t="str">
        <f t="shared" si="101"/>
        <v/>
      </c>
      <c r="N483" s="7">
        <f t="shared" si="102"/>
        <v>0</v>
      </c>
      <c r="O483" s="7">
        <f t="shared" si="109"/>
        <v>0</v>
      </c>
      <c r="P483" s="7">
        <f t="shared" si="110"/>
        <v>1</v>
      </c>
      <c r="Q483" s="10" t="e">
        <f t="shared" si="103"/>
        <v>#N/A</v>
      </c>
      <c r="R483" s="10" t="e">
        <f t="shared" si="104"/>
        <v>#N/A</v>
      </c>
      <c r="S483" s="7">
        <f t="shared" si="111"/>
        <v>1067.2</v>
      </c>
      <c r="T483" s="7">
        <f t="shared" si="112"/>
        <v>0</v>
      </c>
    </row>
    <row r="484" spans="1:20" x14ac:dyDescent="0.25">
      <c r="A484" s="1">
        <v>41954</v>
      </c>
      <c r="B484">
        <v>1170</v>
      </c>
      <c r="C484">
        <v>1189</v>
      </c>
      <c r="D484">
        <v>1167.1500000000001</v>
      </c>
      <c r="E484">
        <v>1177.5999999999999</v>
      </c>
      <c r="F484">
        <v>1663222</v>
      </c>
      <c r="G484" s="4">
        <f t="shared" si="99"/>
        <v>0</v>
      </c>
      <c r="H484" s="4">
        <f t="shared" si="100"/>
        <v>1.9500000000000455</v>
      </c>
      <c r="I484" s="6">
        <f t="shared" si="105"/>
        <v>11.514285714285702</v>
      </c>
      <c r="J484" s="6">
        <f t="shared" si="106"/>
        <v>7.0535714285714288</v>
      </c>
      <c r="K484" s="4">
        <f t="shared" si="107"/>
        <v>1.6324050632911373</v>
      </c>
      <c r="L484">
        <f t="shared" si="108"/>
        <v>62.011925370263484</v>
      </c>
      <c r="M484" s="14" t="str">
        <f t="shared" si="101"/>
        <v/>
      </c>
      <c r="N484" s="7">
        <f t="shared" si="102"/>
        <v>0</v>
      </c>
      <c r="O484" s="7">
        <f t="shared" si="109"/>
        <v>0</v>
      </c>
      <c r="P484" s="7">
        <f t="shared" si="110"/>
        <v>1</v>
      </c>
      <c r="Q484" s="10" t="e">
        <f t="shared" si="103"/>
        <v>#N/A</v>
      </c>
      <c r="R484" s="10" t="e">
        <f t="shared" si="104"/>
        <v>#N/A</v>
      </c>
      <c r="S484" s="7">
        <f t="shared" si="111"/>
        <v>1067.2</v>
      </c>
      <c r="T484" s="7">
        <f t="shared" si="112"/>
        <v>0</v>
      </c>
    </row>
    <row r="485" spans="1:20" x14ac:dyDescent="0.25">
      <c r="A485" s="1">
        <v>41955</v>
      </c>
      <c r="B485">
        <v>1161</v>
      </c>
      <c r="C485">
        <v>1182.8</v>
      </c>
      <c r="D485">
        <v>1161</v>
      </c>
      <c r="E485">
        <v>1172.4000000000001</v>
      </c>
      <c r="F485">
        <v>1381615</v>
      </c>
      <c r="G485" s="4">
        <f t="shared" si="99"/>
        <v>0</v>
      </c>
      <c r="H485" s="4">
        <f t="shared" si="100"/>
        <v>5.1999999999998181</v>
      </c>
      <c r="I485" s="6">
        <f t="shared" si="105"/>
        <v>11.514285714285702</v>
      </c>
      <c r="J485" s="6">
        <f t="shared" si="106"/>
        <v>5.3857142857142595</v>
      </c>
      <c r="K485" s="4">
        <f t="shared" si="107"/>
        <v>2.1379310344827669</v>
      </c>
      <c r="L485">
        <f t="shared" si="108"/>
        <v>68.131868131868217</v>
      </c>
      <c r="M485" s="14" t="str">
        <f t="shared" si="101"/>
        <v/>
      </c>
      <c r="N485" s="7">
        <f t="shared" si="102"/>
        <v>0</v>
      </c>
      <c r="O485" s="7">
        <f t="shared" si="109"/>
        <v>0</v>
      </c>
      <c r="P485" s="7">
        <f t="shared" si="110"/>
        <v>1</v>
      </c>
      <c r="Q485" s="10" t="e">
        <f t="shared" si="103"/>
        <v>#N/A</v>
      </c>
      <c r="R485" s="10" t="e">
        <f t="shared" si="104"/>
        <v>#N/A</v>
      </c>
      <c r="S485" s="7">
        <f t="shared" si="111"/>
        <v>1067.2</v>
      </c>
      <c r="T485" s="7">
        <f t="shared" si="112"/>
        <v>0</v>
      </c>
    </row>
    <row r="486" spans="1:20" x14ac:dyDescent="0.25">
      <c r="A486" s="1">
        <v>41956</v>
      </c>
      <c r="B486">
        <v>1176</v>
      </c>
      <c r="C486">
        <v>1190</v>
      </c>
      <c r="D486">
        <v>1155.0999999999999</v>
      </c>
      <c r="E486">
        <v>1180.3499999999999</v>
      </c>
      <c r="F486">
        <v>1586085</v>
      </c>
      <c r="G486" s="4">
        <f t="shared" si="99"/>
        <v>7.9499999999998181</v>
      </c>
      <c r="H486" s="4">
        <f t="shared" si="100"/>
        <v>0</v>
      </c>
      <c r="I486" s="6">
        <f t="shared" si="105"/>
        <v>12.082142857142831</v>
      </c>
      <c r="J486" s="6">
        <f t="shared" si="106"/>
        <v>3.9999999999999836</v>
      </c>
      <c r="K486" s="4">
        <f t="shared" si="107"/>
        <v>3.0205357142857201</v>
      </c>
      <c r="L486">
        <f t="shared" si="108"/>
        <v>75.127692649344922</v>
      </c>
      <c r="M486" s="14" t="str">
        <f t="shared" si="101"/>
        <v>OVERBOUGHT</v>
      </c>
      <c r="N486" s="7" t="str">
        <f t="shared" si="102"/>
        <v>SELL</v>
      </c>
      <c r="O486" s="7" t="str">
        <f t="shared" si="109"/>
        <v>SELL</v>
      </c>
      <c r="P486" s="7">
        <f t="shared" si="110"/>
        <v>-1</v>
      </c>
      <c r="Q486" s="10" t="e">
        <f t="shared" si="103"/>
        <v>#N/A</v>
      </c>
      <c r="R486" s="10">
        <f t="shared" si="104"/>
        <v>1180.3499999999999</v>
      </c>
      <c r="S486" s="7">
        <f t="shared" si="111"/>
        <v>1180.3499999999999</v>
      </c>
      <c r="T486" s="7">
        <f t="shared" si="112"/>
        <v>0.10602511244377798</v>
      </c>
    </row>
    <row r="487" spans="1:20" x14ac:dyDescent="0.25">
      <c r="A487" s="1">
        <v>41957</v>
      </c>
      <c r="B487">
        <v>1175</v>
      </c>
      <c r="C487">
        <v>1196.9000000000001</v>
      </c>
      <c r="D487">
        <v>1166.6500000000001</v>
      </c>
      <c r="E487">
        <v>1178.7</v>
      </c>
      <c r="F487">
        <v>1637279</v>
      </c>
      <c r="G487" s="4">
        <f t="shared" si="99"/>
        <v>0</v>
      </c>
      <c r="H487" s="4">
        <f t="shared" si="100"/>
        <v>1.6499999999998636</v>
      </c>
      <c r="I487" s="6">
        <f t="shared" si="105"/>
        <v>11.035714285714269</v>
      </c>
      <c r="J487" s="6">
        <f t="shared" si="106"/>
        <v>4.1178571428571171</v>
      </c>
      <c r="K487" s="4">
        <f t="shared" si="107"/>
        <v>2.6799653078924672</v>
      </c>
      <c r="L487">
        <f t="shared" si="108"/>
        <v>72.825830780108504</v>
      </c>
      <c r="M487" s="14" t="str">
        <f t="shared" si="101"/>
        <v>OVERBOUGHT</v>
      </c>
      <c r="N487" s="7" t="str">
        <f t="shared" si="102"/>
        <v>SELL</v>
      </c>
      <c r="O487" s="7">
        <f t="shared" si="109"/>
        <v>0</v>
      </c>
      <c r="P487" s="7">
        <f t="shared" si="110"/>
        <v>-1</v>
      </c>
      <c r="Q487" s="10" t="e">
        <f t="shared" si="103"/>
        <v>#N/A</v>
      </c>
      <c r="R487" s="10" t="e">
        <f t="shared" si="104"/>
        <v>#N/A</v>
      </c>
      <c r="S487" s="7">
        <f t="shared" si="111"/>
        <v>1180.3499999999999</v>
      </c>
      <c r="T487" s="7">
        <f t="shared" si="112"/>
        <v>0</v>
      </c>
    </row>
    <row r="488" spans="1:20" x14ac:dyDescent="0.25">
      <c r="A488" s="1">
        <v>41960</v>
      </c>
      <c r="B488">
        <v>1180.5</v>
      </c>
      <c r="C488">
        <v>1189</v>
      </c>
      <c r="D488">
        <v>1170</v>
      </c>
      <c r="E488">
        <v>1182.45</v>
      </c>
      <c r="F488">
        <v>1673088</v>
      </c>
      <c r="G488" s="4">
        <f t="shared" si="99"/>
        <v>3.75</v>
      </c>
      <c r="H488" s="4">
        <f t="shared" si="100"/>
        <v>0</v>
      </c>
      <c r="I488" s="6">
        <f t="shared" si="105"/>
        <v>11.303571428571413</v>
      </c>
      <c r="J488" s="6">
        <f t="shared" si="106"/>
        <v>2.7214285714285489</v>
      </c>
      <c r="K488" s="4">
        <f t="shared" si="107"/>
        <v>4.1535433070866432</v>
      </c>
      <c r="L488">
        <f t="shared" si="108"/>
        <v>80.59587471352188</v>
      </c>
      <c r="M488" s="14" t="str">
        <f t="shared" si="101"/>
        <v>OVERBOUGHT</v>
      </c>
      <c r="N488" s="7" t="str">
        <f t="shared" si="102"/>
        <v>SELL</v>
      </c>
      <c r="O488" s="7">
        <f t="shared" si="109"/>
        <v>0</v>
      </c>
      <c r="P488" s="7">
        <f t="shared" si="110"/>
        <v>-1</v>
      </c>
      <c r="Q488" s="10" t="e">
        <f t="shared" si="103"/>
        <v>#N/A</v>
      </c>
      <c r="R488" s="10" t="e">
        <f t="shared" si="104"/>
        <v>#N/A</v>
      </c>
      <c r="S488" s="7">
        <f t="shared" si="111"/>
        <v>1180.3499999999999</v>
      </c>
      <c r="T488" s="7">
        <f t="shared" si="112"/>
        <v>0</v>
      </c>
    </row>
    <row r="489" spans="1:20" x14ac:dyDescent="0.25">
      <c r="A489" s="1">
        <v>41961</v>
      </c>
      <c r="B489">
        <v>1179.7</v>
      </c>
      <c r="C489">
        <v>1189.9000000000001</v>
      </c>
      <c r="D489">
        <v>1154.5999999999999</v>
      </c>
      <c r="E489">
        <v>1182.5</v>
      </c>
      <c r="F489">
        <v>1834686</v>
      </c>
      <c r="G489" s="4">
        <f t="shared" si="99"/>
        <v>4.9999999999954525E-2</v>
      </c>
      <c r="H489" s="4">
        <f t="shared" si="100"/>
        <v>0</v>
      </c>
      <c r="I489" s="6">
        <f t="shared" si="105"/>
        <v>9.1999999999999797</v>
      </c>
      <c r="J489" s="6">
        <f t="shared" si="106"/>
        <v>2.7214285714285489</v>
      </c>
      <c r="K489" s="4">
        <f t="shared" si="107"/>
        <v>3.3805774278215428</v>
      </c>
      <c r="L489">
        <f t="shared" si="108"/>
        <v>77.171959257040243</v>
      </c>
      <c r="M489" s="14" t="str">
        <f t="shared" si="101"/>
        <v>OVERBOUGHT</v>
      </c>
      <c r="N489" s="7" t="str">
        <f t="shared" si="102"/>
        <v>SELL</v>
      </c>
      <c r="O489" s="7">
        <f t="shared" si="109"/>
        <v>0</v>
      </c>
      <c r="P489" s="7">
        <f t="shared" si="110"/>
        <v>-1</v>
      </c>
      <c r="Q489" s="10" t="e">
        <f t="shared" si="103"/>
        <v>#N/A</v>
      </c>
      <c r="R489" s="10" t="e">
        <f t="shared" si="104"/>
        <v>#N/A</v>
      </c>
      <c r="S489" s="7">
        <f t="shared" si="111"/>
        <v>1180.3499999999999</v>
      </c>
      <c r="T489" s="7">
        <f t="shared" si="112"/>
        <v>0</v>
      </c>
    </row>
    <row r="490" spans="1:20" x14ac:dyDescent="0.25">
      <c r="A490" s="1">
        <v>41962</v>
      </c>
      <c r="B490">
        <v>1176.55</v>
      </c>
      <c r="C490">
        <v>1182.55</v>
      </c>
      <c r="D490">
        <v>1132.3</v>
      </c>
      <c r="E490">
        <v>1146.3</v>
      </c>
      <c r="F490">
        <v>1775448</v>
      </c>
      <c r="G490" s="4">
        <f t="shared" si="99"/>
        <v>0</v>
      </c>
      <c r="H490" s="4">
        <f t="shared" si="100"/>
        <v>36.200000000000045</v>
      </c>
      <c r="I490" s="6">
        <f t="shared" si="105"/>
        <v>9.1999999999999797</v>
      </c>
      <c r="J490" s="6">
        <f t="shared" si="106"/>
        <v>3.3142857142857047</v>
      </c>
      <c r="K490" s="4">
        <f t="shared" si="107"/>
        <v>2.7758620689655191</v>
      </c>
      <c r="L490">
        <f t="shared" si="108"/>
        <v>73.515981735159826</v>
      </c>
      <c r="M490" s="14" t="str">
        <f t="shared" si="101"/>
        <v>OVERBOUGHT</v>
      </c>
      <c r="N490" s="7" t="str">
        <f t="shared" si="102"/>
        <v>SELL</v>
      </c>
      <c r="O490" s="7">
        <f t="shared" si="109"/>
        <v>0</v>
      </c>
      <c r="P490" s="7">
        <f t="shared" si="110"/>
        <v>-1</v>
      </c>
      <c r="Q490" s="10" t="e">
        <f t="shared" si="103"/>
        <v>#N/A</v>
      </c>
      <c r="R490" s="10" t="e">
        <f t="shared" si="104"/>
        <v>#N/A</v>
      </c>
      <c r="S490" s="7">
        <f t="shared" si="111"/>
        <v>1180.3499999999999</v>
      </c>
      <c r="T490" s="7">
        <f t="shared" si="112"/>
        <v>0</v>
      </c>
    </row>
    <row r="491" spans="1:20" x14ac:dyDescent="0.25">
      <c r="A491" s="1">
        <v>41963</v>
      </c>
      <c r="B491">
        <v>1139</v>
      </c>
      <c r="C491">
        <v>1157.4000000000001</v>
      </c>
      <c r="D491">
        <v>1114.4000000000001</v>
      </c>
      <c r="E491">
        <v>1143.6500000000001</v>
      </c>
      <c r="F491">
        <v>1833862</v>
      </c>
      <c r="G491" s="4">
        <f t="shared" si="99"/>
        <v>0</v>
      </c>
      <c r="H491" s="4">
        <f t="shared" si="100"/>
        <v>2.6499999999998636</v>
      </c>
      <c r="I491" s="6">
        <f t="shared" si="105"/>
        <v>7.4428571428571297</v>
      </c>
      <c r="J491" s="6">
        <f t="shared" si="106"/>
        <v>3.503571428571409</v>
      </c>
      <c r="K491" s="4">
        <f t="shared" si="107"/>
        <v>2.1243628950051048</v>
      </c>
      <c r="L491">
        <f t="shared" si="108"/>
        <v>67.99347471451884</v>
      </c>
      <c r="M491" s="14" t="str">
        <f t="shared" si="101"/>
        <v/>
      </c>
      <c r="N491" s="7">
        <f t="shared" si="102"/>
        <v>0</v>
      </c>
      <c r="O491" s="7">
        <f t="shared" si="109"/>
        <v>0</v>
      </c>
      <c r="P491" s="7">
        <f t="shared" si="110"/>
        <v>-1</v>
      </c>
      <c r="Q491" s="10" t="e">
        <f t="shared" si="103"/>
        <v>#N/A</v>
      </c>
      <c r="R491" s="10" t="e">
        <f t="shared" si="104"/>
        <v>#N/A</v>
      </c>
      <c r="S491" s="7">
        <f t="shared" si="111"/>
        <v>1180.3499999999999</v>
      </c>
      <c r="T491" s="7">
        <f t="shared" si="112"/>
        <v>0</v>
      </c>
    </row>
    <row r="492" spans="1:20" x14ac:dyDescent="0.25">
      <c r="A492" s="1">
        <v>41964</v>
      </c>
      <c r="B492">
        <v>1145.3499999999999</v>
      </c>
      <c r="C492">
        <v>1151.0999999999999</v>
      </c>
      <c r="D492">
        <v>1128.25</v>
      </c>
      <c r="E492">
        <v>1133.3499999999999</v>
      </c>
      <c r="F492">
        <v>904698</v>
      </c>
      <c r="G492" s="4">
        <f t="shared" si="99"/>
        <v>0</v>
      </c>
      <c r="H492" s="4">
        <f t="shared" si="100"/>
        <v>10.300000000000182</v>
      </c>
      <c r="I492" s="6">
        <f t="shared" si="105"/>
        <v>7.0999999999999899</v>
      </c>
      <c r="J492" s="6">
        <f t="shared" si="106"/>
        <v>4.2392857142857077</v>
      </c>
      <c r="K492" s="4">
        <f t="shared" si="107"/>
        <v>1.6748104465037914</v>
      </c>
      <c r="L492">
        <f t="shared" si="108"/>
        <v>62.614173228346459</v>
      </c>
      <c r="M492" s="14" t="str">
        <f t="shared" si="101"/>
        <v/>
      </c>
      <c r="N492" s="7">
        <f t="shared" si="102"/>
        <v>0</v>
      </c>
      <c r="O492" s="7">
        <f t="shared" si="109"/>
        <v>0</v>
      </c>
      <c r="P492" s="7">
        <f t="shared" si="110"/>
        <v>-1</v>
      </c>
      <c r="Q492" s="10" t="e">
        <f t="shared" si="103"/>
        <v>#N/A</v>
      </c>
      <c r="R492" s="10" t="e">
        <f t="shared" si="104"/>
        <v>#N/A</v>
      </c>
      <c r="S492" s="7">
        <f t="shared" si="111"/>
        <v>1180.3499999999999</v>
      </c>
      <c r="T492" s="7">
        <f t="shared" si="112"/>
        <v>0</v>
      </c>
    </row>
    <row r="493" spans="1:20" x14ac:dyDescent="0.25">
      <c r="A493" s="1">
        <v>41967</v>
      </c>
      <c r="B493">
        <v>1150</v>
      </c>
      <c r="C493">
        <v>1166</v>
      </c>
      <c r="D493">
        <v>1122.45</v>
      </c>
      <c r="E493">
        <v>1158.7</v>
      </c>
      <c r="F493">
        <v>1558488</v>
      </c>
      <c r="G493" s="4">
        <f t="shared" si="99"/>
        <v>25.350000000000136</v>
      </c>
      <c r="H493" s="4">
        <f t="shared" si="100"/>
        <v>0</v>
      </c>
      <c r="I493" s="6">
        <f t="shared" si="105"/>
        <v>7.3214285714285712</v>
      </c>
      <c r="J493" s="6">
        <f t="shared" si="106"/>
        <v>4.2392857142857077</v>
      </c>
      <c r="K493" s="4">
        <f t="shared" si="107"/>
        <v>1.7270429654591433</v>
      </c>
      <c r="L493">
        <f t="shared" si="108"/>
        <v>63.330244053135651</v>
      </c>
      <c r="M493" s="14" t="str">
        <f t="shared" si="101"/>
        <v/>
      </c>
      <c r="N493" s="7">
        <f t="shared" si="102"/>
        <v>0</v>
      </c>
      <c r="O493" s="7">
        <f t="shared" si="109"/>
        <v>0</v>
      </c>
      <c r="P493" s="7">
        <f t="shared" si="110"/>
        <v>-1</v>
      </c>
      <c r="Q493" s="10" t="e">
        <f t="shared" si="103"/>
        <v>#N/A</v>
      </c>
      <c r="R493" s="10" t="e">
        <f t="shared" si="104"/>
        <v>#N/A</v>
      </c>
      <c r="S493" s="7">
        <f t="shared" si="111"/>
        <v>1180.3499999999999</v>
      </c>
      <c r="T493" s="7">
        <f t="shared" si="112"/>
        <v>0</v>
      </c>
    </row>
    <row r="494" spans="1:20" x14ac:dyDescent="0.25">
      <c r="A494" s="1">
        <v>41968</v>
      </c>
      <c r="B494">
        <v>1152</v>
      </c>
      <c r="C494">
        <v>1163.8499999999999</v>
      </c>
      <c r="D494">
        <v>1134.25</v>
      </c>
      <c r="E494">
        <v>1151.7</v>
      </c>
      <c r="F494">
        <v>1043134</v>
      </c>
      <c r="G494" s="4">
        <f t="shared" si="99"/>
        <v>0</v>
      </c>
      <c r="H494" s="4">
        <f t="shared" si="100"/>
        <v>7</v>
      </c>
      <c r="I494" s="6">
        <f t="shared" si="105"/>
        <v>5.9464285714285712</v>
      </c>
      <c r="J494" s="6">
        <f t="shared" si="106"/>
        <v>4.7392857142857077</v>
      </c>
      <c r="K494" s="4">
        <f t="shared" si="107"/>
        <v>1.2547098718914862</v>
      </c>
      <c r="L494">
        <f t="shared" si="108"/>
        <v>55.648395721925169</v>
      </c>
      <c r="M494" s="14" t="str">
        <f t="shared" si="101"/>
        <v/>
      </c>
      <c r="N494" s="7">
        <f t="shared" si="102"/>
        <v>0</v>
      </c>
      <c r="O494" s="7">
        <f t="shared" si="109"/>
        <v>0</v>
      </c>
      <c r="P494" s="7">
        <f t="shared" si="110"/>
        <v>-1</v>
      </c>
      <c r="Q494" s="10" t="e">
        <f t="shared" si="103"/>
        <v>#N/A</v>
      </c>
      <c r="R494" s="10" t="e">
        <f t="shared" si="104"/>
        <v>#N/A</v>
      </c>
      <c r="S494" s="7">
        <f t="shared" si="111"/>
        <v>1180.3499999999999</v>
      </c>
      <c r="T494" s="7">
        <f t="shared" si="112"/>
        <v>0</v>
      </c>
    </row>
    <row r="495" spans="1:20" x14ac:dyDescent="0.25">
      <c r="A495" s="1">
        <v>41969</v>
      </c>
      <c r="B495">
        <v>1151</v>
      </c>
      <c r="C495">
        <v>1162</v>
      </c>
      <c r="D495">
        <v>1139.0999999999999</v>
      </c>
      <c r="E495">
        <v>1157.1500000000001</v>
      </c>
      <c r="F495">
        <v>789295</v>
      </c>
      <c r="G495" s="4">
        <f t="shared" si="99"/>
        <v>5.4500000000000455</v>
      </c>
      <c r="H495" s="4">
        <f t="shared" si="100"/>
        <v>0</v>
      </c>
      <c r="I495" s="6">
        <f t="shared" si="105"/>
        <v>3.25</v>
      </c>
      <c r="J495" s="6">
        <f t="shared" si="106"/>
        <v>4.7392857142857077</v>
      </c>
      <c r="K495" s="4">
        <f t="shared" si="107"/>
        <v>0.68575734740015171</v>
      </c>
      <c r="L495">
        <f t="shared" si="108"/>
        <v>40.679481448368385</v>
      </c>
      <c r="M495" s="14" t="str">
        <f t="shared" si="101"/>
        <v/>
      </c>
      <c r="N495" s="7">
        <f t="shared" si="102"/>
        <v>0</v>
      </c>
      <c r="O495" s="7">
        <f t="shared" si="109"/>
        <v>0</v>
      </c>
      <c r="P495" s="7">
        <f t="shared" si="110"/>
        <v>-1</v>
      </c>
      <c r="Q495" s="10" t="e">
        <f t="shared" si="103"/>
        <v>#N/A</v>
      </c>
      <c r="R495" s="10" t="e">
        <f t="shared" si="104"/>
        <v>#N/A</v>
      </c>
      <c r="S495" s="7">
        <f t="shared" si="111"/>
        <v>1180.3499999999999</v>
      </c>
      <c r="T495" s="7">
        <f t="shared" si="112"/>
        <v>0</v>
      </c>
    </row>
    <row r="496" spans="1:20" x14ac:dyDescent="0.25">
      <c r="A496" s="1">
        <v>41970</v>
      </c>
      <c r="B496">
        <v>1157.1500000000001</v>
      </c>
      <c r="C496">
        <v>1190.2</v>
      </c>
      <c r="D496">
        <v>1153.5</v>
      </c>
      <c r="E496">
        <v>1188.4000000000001</v>
      </c>
      <c r="F496">
        <v>1114676</v>
      </c>
      <c r="G496" s="4">
        <f t="shared" si="99"/>
        <v>31.25</v>
      </c>
      <c r="H496" s="4">
        <f t="shared" si="100"/>
        <v>0</v>
      </c>
      <c r="I496" s="6">
        <f t="shared" si="105"/>
        <v>5.2714285714285678</v>
      </c>
      <c r="J496" s="6">
        <f t="shared" si="106"/>
        <v>4.7392857142857077</v>
      </c>
      <c r="K496" s="4">
        <f t="shared" si="107"/>
        <v>1.1122833458929926</v>
      </c>
      <c r="L496">
        <f t="shared" si="108"/>
        <v>52.657866571530526</v>
      </c>
      <c r="M496" s="14" t="str">
        <f t="shared" si="101"/>
        <v/>
      </c>
      <c r="N496" s="7">
        <f t="shared" si="102"/>
        <v>0</v>
      </c>
      <c r="O496" s="7">
        <f t="shared" si="109"/>
        <v>0</v>
      </c>
      <c r="P496" s="7">
        <f t="shared" si="110"/>
        <v>-1</v>
      </c>
      <c r="Q496" s="10" t="e">
        <f t="shared" si="103"/>
        <v>#N/A</v>
      </c>
      <c r="R496" s="10" t="e">
        <f t="shared" si="104"/>
        <v>#N/A</v>
      </c>
      <c r="S496" s="7">
        <f t="shared" si="111"/>
        <v>1180.3499999999999</v>
      </c>
      <c r="T496" s="7">
        <f t="shared" si="112"/>
        <v>0</v>
      </c>
    </row>
    <row r="497" spans="1:20" x14ac:dyDescent="0.25">
      <c r="A497" s="1">
        <v>41971</v>
      </c>
      <c r="B497">
        <v>1185.4000000000001</v>
      </c>
      <c r="C497">
        <v>1190</v>
      </c>
      <c r="D497">
        <v>1170</v>
      </c>
      <c r="E497">
        <v>1179.45</v>
      </c>
      <c r="F497">
        <v>491951</v>
      </c>
      <c r="G497" s="4">
        <f t="shared" si="99"/>
        <v>0</v>
      </c>
      <c r="H497" s="4">
        <f t="shared" si="100"/>
        <v>8.9500000000000455</v>
      </c>
      <c r="I497" s="6">
        <f t="shared" si="105"/>
        <v>5.2714285714285678</v>
      </c>
      <c r="J497" s="6">
        <f t="shared" si="106"/>
        <v>5.2785714285714187</v>
      </c>
      <c r="K497" s="4">
        <f t="shared" si="107"/>
        <v>0.99864682002706473</v>
      </c>
      <c r="L497">
        <f t="shared" si="108"/>
        <v>49.966147596479381</v>
      </c>
      <c r="M497" s="14" t="str">
        <f t="shared" si="101"/>
        <v/>
      </c>
      <c r="N497" s="7">
        <f t="shared" si="102"/>
        <v>0</v>
      </c>
      <c r="O497" s="7">
        <f t="shared" si="109"/>
        <v>0</v>
      </c>
      <c r="P497" s="7">
        <f t="shared" si="110"/>
        <v>-1</v>
      </c>
      <c r="Q497" s="10" t="e">
        <f t="shared" si="103"/>
        <v>#N/A</v>
      </c>
      <c r="R497" s="10" t="e">
        <f t="shared" si="104"/>
        <v>#N/A</v>
      </c>
      <c r="S497" s="7">
        <f t="shared" si="111"/>
        <v>1180.3499999999999</v>
      </c>
      <c r="T497" s="7">
        <f t="shared" si="112"/>
        <v>0</v>
      </c>
    </row>
    <row r="498" spans="1:20" x14ac:dyDescent="0.25">
      <c r="A498" s="1">
        <v>41974</v>
      </c>
      <c r="B498">
        <v>1178.7</v>
      </c>
      <c r="C498">
        <v>1183.55</v>
      </c>
      <c r="D498">
        <v>1165.9000000000001</v>
      </c>
      <c r="E498">
        <v>1169.2</v>
      </c>
      <c r="F498">
        <v>598955</v>
      </c>
      <c r="G498" s="4">
        <f t="shared" si="99"/>
        <v>0</v>
      </c>
      <c r="H498" s="4">
        <f t="shared" si="100"/>
        <v>10.25</v>
      </c>
      <c r="I498" s="6">
        <f t="shared" si="105"/>
        <v>5.2714285714285678</v>
      </c>
      <c r="J498" s="6">
        <f t="shared" si="106"/>
        <v>5.8714285714285586</v>
      </c>
      <c r="K498" s="4">
        <f t="shared" si="107"/>
        <v>0.89781021897810354</v>
      </c>
      <c r="L498">
        <f t="shared" si="108"/>
        <v>47.307692307692342</v>
      </c>
      <c r="M498" s="14" t="str">
        <f t="shared" si="101"/>
        <v/>
      </c>
      <c r="N498" s="7">
        <f t="shared" si="102"/>
        <v>0</v>
      </c>
      <c r="O498" s="7">
        <f t="shared" si="109"/>
        <v>0</v>
      </c>
      <c r="P498" s="7">
        <f t="shared" si="110"/>
        <v>-1</v>
      </c>
      <c r="Q498" s="10" t="e">
        <f t="shared" si="103"/>
        <v>#N/A</v>
      </c>
      <c r="R498" s="10" t="e">
        <f t="shared" si="104"/>
        <v>#N/A</v>
      </c>
      <c r="S498" s="7">
        <f t="shared" si="111"/>
        <v>1180.3499999999999</v>
      </c>
      <c r="T498" s="7">
        <f t="shared" si="112"/>
        <v>0</v>
      </c>
    </row>
    <row r="499" spans="1:20" x14ac:dyDescent="0.25">
      <c r="A499" s="1">
        <v>41975</v>
      </c>
      <c r="B499">
        <v>1163.5</v>
      </c>
      <c r="C499">
        <v>1178.0999999999999</v>
      </c>
      <c r="D499">
        <v>1159.5</v>
      </c>
      <c r="E499">
        <v>1165.7</v>
      </c>
      <c r="F499">
        <v>792864</v>
      </c>
      <c r="G499" s="4">
        <f t="shared" si="99"/>
        <v>0</v>
      </c>
      <c r="H499" s="4">
        <f t="shared" si="100"/>
        <v>3.5</v>
      </c>
      <c r="I499" s="6">
        <f t="shared" si="105"/>
        <v>5.2714285714285678</v>
      </c>
      <c r="J499" s="6">
        <f t="shared" si="106"/>
        <v>5.75</v>
      </c>
      <c r="K499" s="4">
        <f t="shared" si="107"/>
        <v>0.91677018633540308</v>
      </c>
      <c r="L499">
        <f t="shared" si="108"/>
        <v>47.828904731043409</v>
      </c>
      <c r="M499" s="14" t="str">
        <f t="shared" si="101"/>
        <v/>
      </c>
      <c r="N499" s="7">
        <f t="shared" si="102"/>
        <v>0</v>
      </c>
      <c r="O499" s="7">
        <f t="shared" si="109"/>
        <v>0</v>
      </c>
      <c r="P499" s="7">
        <f t="shared" si="110"/>
        <v>-1</v>
      </c>
      <c r="Q499" s="10" t="e">
        <f t="shared" si="103"/>
        <v>#N/A</v>
      </c>
      <c r="R499" s="10" t="e">
        <f t="shared" si="104"/>
        <v>#N/A</v>
      </c>
      <c r="S499" s="7">
        <f t="shared" si="111"/>
        <v>1180.3499999999999</v>
      </c>
      <c r="T499" s="7">
        <f t="shared" si="112"/>
        <v>0</v>
      </c>
    </row>
    <row r="500" spans="1:20" x14ac:dyDescent="0.25">
      <c r="A500" s="1">
        <v>41976</v>
      </c>
      <c r="B500">
        <v>1178</v>
      </c>
      <c r="C500">
        <v>1182.5</v>
      </c>
      <c r="D500">
        <v>1156.5</v>
      </c>
      <c r="E500">
        <v>1160.6500000000001</v>
      </c>
      <c r="F500">
        <v>772705</v>
      </c>
      <c r="G500" s="4">
        <f t="shared" si="99"/>
        <v>0</v>
      </c>
      <c r="H500" s="4">
        <f t="shared" si="100"/>
        <v>5.0499999999999545</v>
      </c>
      <c r="I500" s="6">
        <f t="shared" si="105"/>
        <v>4.7035714285714381</v>
      </c>
      <c r="J500" s="6">
        <f t="shared" si="106"/>
        <v>6.1107142857142822</v>
      </c>
      <c r="K500" s="4">
        <f t="shared" si="107"/>
        <v>0.76972530683810836</v>
      </c>
      <c r="L500">
        <f t="shared" si="108"/>
        <v>43.494055482166516</v>
      </c>
      <c r="M500" s="14" t="str">
        <f t="shared" si="101"/>
        <v/>
      </c>
      <c r="N500" s="7">
        <f t="shared" si="102"/>
        <v>0</v>
      </c>
      <c r="O500" s="7">
        <f t="shared" si="109"/>
        <v>0</v>
      </c>
      <c r="P500" s="7">
        <f t="shared" si="110"/>
        <v>-1</v>
      </c>
      <c r="Q500" s="10" t="e">
        <f t="shared" si="103"/>
        <v>#N/A</v>
      </c>
      <c r="R500" s="10" t="e">
        <f t="shared" si="104"/>
        <v>#N/A</v>
      </c>
      <c r="S500" s="7">
        <f t="shared" si="111"/>
        <v>1180.3499999999999</v>
      </c>
      <c r="T500" s="7">
        <f t="shared" si="112"/>
        <v>0</v>
      </c>
    </row>
    <row r="501" spans="1:20" x14ac:dyDescent="0.25">
      <c r="A501" s="1">
        <v>41977</v>
      </c>
      <c r="B501">
        <v>1161</v>
      </c>
      <c r="C501">
        <v>1185.95</v>
      </c>
      <c r="D501">
        <v>1153</v>
      </c>
      <c r="E501">
        <v>1178.5999999999999</v>
      </c>
      <c r="F501">
        <v>1124271</v>
      </c>
      <c r="G501" s="4">
        <f t="shared" si="99"/>
        <v>17.949999999999818</v>
      </c>
      <c r="H501" s="4">
        <f t="shared" si="100"/>
        <v>0</v>
      </c>
      <c r="I501" s="6">
        <f t="shared" si="105"/>
        <v>5.9857142857142822</v>
      </c>
      <c r="J501" s="6">
        <f t="shared" si="106"/>
        <v>5.9928571428571491</v>
      </c>
      <c r="K501" s="4">
        <f t="shared" si="107"/>
        <v>0.9988081048867683</v>
      </c>
      <c r="L501">
        <f t="shared" si="108"/>
        <v>49.970184853905742</v>
      </c>
      <c r="M501" s="14" t="str">
        <f t="shared" si="101"/>
        <v/>
      </c>
      <c r="N501" s="7">
        <f t="shared" si="102"/>
        <v>0</v>
      </c>
      <c r="O501" s="7">
        <f t="shared" si="109"/>
        <v>0</v>
      </c>
      <c r="P501" s="7">
        <f t="shared" si="110"/>
        <v>-1</v>
      </c>
      <c r="Q501" s="10" t="e">
        <f t="shared" si="103"/>
        <v>#N/A</v>
      </c>
      <c r="R501" s="10" t="e">
        <f t="shared" si="104"/>
        <v>#N/A</v>
      </c>
      <c r="S501" s="7">
        <f t="shared" si="111"/>
        <v>1180.3499999999999</v>
      </c>
      <c r="T501" s="7">
        <f t="shared" si="112"/>
        <v>0</v>
      </c>
    </row>
    <row r="502" spans="1:20" x14ac:dyDescent="0.25">
      <c r="A502" s="1">
        <v>41978</v>
      </c>
      <c r="B502">
        <v>1183.25</v>
      </c>
      <c r="C502">
        <v>1209.9000000000001</v>
      </c>
      <c r="D502">
        <v>1180</v>
      </c>
      <c r="E502">
        <v>1197.5999999999999</v>
      </c>
      <c r="F502">
        <v>1354442</v>
      </c>
      <c r="G502" s="4">
        <f t="shared" si="99"/>
        <v>19</v>
      </c>
      <c r="H502" s="4">
        <f t="shared" si="100"/>
        <v>0</v>
      </c>
      <c r="I502" s="6">
        <f t="shared" si="105"/>
        <v>7.0749999999999966</v>
      </c>
      <c r="J502" s="6">
        <f t="shared" si="106"/>
        <v>5.9928571428571491</v>
      </c>
      <c r="K502" s="4">
        <f t="shared" si="107"/>
        <v>1.1805721096543487</v>
      </c>
      <c r="L502">
        <f t="shared" si="108"/>
        <v>54.140475539764921</v>
      </c>
      <c r="M502" s="14" t="str">
        <f t="shared" si="101"/>
        <v/>
      </c>
      <c r="N502" s="7">
        <f t="shared" si="102"/>
        <v>0</v>
      </c>
      <c r="O502" s="7">
        <f t="shared" si="109"/>
        <v>0</v>
      </c>
      <c r="P502" s="7">
        <f t="shared" si="110"/>
        <v>-1</v>
      </c>
      <c r="Q502" s="10" t="e">
        <f t="shared" si="103"/>
        <v>#N/A</v>
      </c>
      <c r="R502" s="10" t="e">
        <f t="shared" si="104"/>
        <v>#N/A</v>
      </c>
      <c r="S502" s="7">
        <f t="shared" si="111"/>
        <v>1180.3499999999999</v>
      </c>
      <c r="T502" s="7">
        <f t="shared" si="112"/>
        <v>0</v>
      </c>
    </row>
    <row r="503" spans="1:20" x14ac:dyDescent="0.25">
      <c r="A503" s="1">
        <v>41981</v>
      </c>
      <c r="B503">
        <v>1204.9000000000001</v>
      </c>
      <c r="C503">
        <v>1205</v>
      </c>
      <c r="D503">
        <v>1169.3</v>
      </c>
      <c r="E503">
        <v>1173</v>
      </c>
      <c r="F503">
        <v>1193385</v>
      </c>
      <c r="G503" s="4">
        <f t="shared" si="99"/>
        <v>0</v>
      </c>
      <c r="H503" s="4">
        <f t="shared" si="100"/>
        <v>24.599999999999909</v>
      </c>
      <c r="I503" s="6">
        <f t="shared" si="105"/>
        <v>7.0714285714285712</v>
      </c>
      <c r="J503" s="6">
        <f t="shared" si="106"/>
        <v>7.75</v>
      </c>
      <c r="K503" s="4">
        <f t="shared" si="107"/>
        <v>0.91244239631336399</v>
      </c>
      <c r="L503">
        <f t="shared" si="108"/>
        <v>47.710843373493972</v>
      </c>
      <c r="M503" s="14" t="str">
        <f t="shared" si="101"/>
        <v/>
      </c>
      <c r="N503" s="7">
        <f t="shared" si="102"/>
        <v>0</v>
      </c>
      <c r="O503" s="7">
        <f t="shared" si="109"/>
        <v>0</v>
      </c>
      <c r="P503" s="7">
        <f t="shared" si="110"/>
        <v>-1</v>
      </c>
      <c r="Q503" s="10" t="e">
        <f t="shared" si="103"/>
        <v>#N/A</v>
      </c>
      <c r="R503" s="10" t="e">
        <f t="shared" si="104"/>
        <v>#N/A</v>
      </c>
      <c r="S503" s="7">
        <f t="shared" si="111"/>
        <v>1180.3499999999999</v>
      </c>
      <c r="T503" s="7">
        <f t="shared" si="112"/>
        <v>0</v>
      </c>
    </row>
    <row r="504" spans="1:20" x14ac:dyDescent="0.25">
      <c r="A504" s="1">
        <v>41982</v>
      </c>
      <c r="B504">
        <v>1172.8</v>
      </c>
      <c r="C504">
        <v>1185</v>
      </c>
      <c r="D504">
        <v>1167.3499999999999</v>
      </c>
      <c r="E504">
        <v>1172</v>
      </c>
      <c r="F504">
        <v>1273656</v>
      </c>
      <c r="G504" s="4">
        <f t="shared" si="99"/>
        <v>0</v>
      </c>
      <c r="H504" s="4">
        <f t="shared" si="100"/>
        <v>1</v>
      </c>
      <c r="I504" s="6">
        <f t="shared" si="105"/>
        <v>7.0714285714285712</v>
      </c>
      <c r="J504" s="6">
        <f t="shared" si="106"/>
        <v>5.2357142857142822</v>
      </c>
      <c r="K504" s="4">
        <f t="shared" si="107"/>
        <v>1.350613915416099</v>
      </c>
      <c r="L504">
        <f t="shared" si="108"/>
        <v>57.457922228670938</v>
      </c>
      <c r="M504" s="14" t="str">
        <f t="shared" si="101"/>
        <v/>
      </c>
      <c r="N504" s="7">
        <f t="shared" si="102"/>
        <v>0</v>
      </c>
      <c r="O504" s="7">
        <f t="shared" si="109"/>
        <v>0</v>
      </c>
      <c r="P504" s="7">
        <f t="shared" si="110"/>
        <v>-1</v>
      </c>
      <c r="Q504" s="10" t="e">
        <f t="shared" si="103"/>
        <v>#N/A</v>
      </c>
      <c r="R504" s="10" t="e">
        <f t="shared" si="104"/>
        <v>#N/A</v>
      </c>
      <c r="S504" s="7">
        <f t="shared" si="111"/>
        <v>1180.3499999999999</v>
      </c>
      <c r="T504" s="7">
        <f t="shared" si="112"/>
        <v>0</v>
      </c>
    </row>
    <row r="505" spans="1:20" x14ac:dyDescent="0.25">
      <c r="A505" s="1">
        <v>41983</v>
      </c>
      <c r="B505">
        <v>1166</v>
      </c>
      <c r="C505">
        <v>1188.3499999999999</v>
      </c>
      <c r="D505">
        <v>1156.8</v>
      </c>
      <c r="E505">
        <v>1169.4000000000001</v>
      </c>
      <c r="F505">
        <v>1059864</v>
      </c>
      <c r="G505" s="4">
        <f t="shared" si="99"/>
        <v>0</v>
      </c>
      <c r="H505" s="4">
        <f t="shared" si="100"/>
        <v>2.5999999999999091</v>
      </c>
      <c r="I505" s="6">
        <f t="shared" si="105"/>
        <v>7.0714285714285712</v>
      </c>
      <c r="J505" s="6">
        <f t="shared" si="106"/>
        <v>5.2321428571428568</v>
      </c>
      <c r="K505" s="4">
        <f t="shared" si="107"/>
        <v>1.3515358361774745</v>
      </c>
      <c r="L505">
        <f t="shared" si="108"/>
        <v>57.474600870827288</v>
      </c>
      <c r="M505" s="14" t="str">
        <f t="shared" si="101"/>
        <v/>
      </c>
      <c r="N505" s="7">
        <f t="shared" si="102"/>
        <v>0</v>
      </c>
      <c r="O505" s="7">
        <f t="shared" si="109"/>
        <v>0</v>
      </c>
      <c r="P505" s="7">
        <f t="shared" si="110"/>
        <v>-1</v>
      </c>
      <c r="Q505" s="10" t="e">
        <f t="shared" si="103"/>
        <v>#N/A</v>
      </c>
      <c r="R505" s="10" t="e">
        <f t="shared" si="104"/>
        <v>#N/A</v>
      </c>
      <c r="S505" s="7">
        <f t="shared" si="111"/>
        <v>1180.3499999999999</v>
      </c>
      <c r="T505" s="7">
        <f t="shared" si="112"/>
        <v>0</v>
      </c>
    </row>
    <row r="506" spans="1:20" x14ac:dyDescent="0.25">
      <c r="A506" s="1">
        <v>41984</v>
      </c>
      <c r="B506">
        <v>1170</v>
      </c>
      <c r="C506">
        <v>1178.75</v>
      </c>
      <c r="D506">
        <v>1170</v>
      </c>
      <c r="E506">
        <v>1172.5</v>
      </c>
      <c r="F506">
        <v>67051</v>
      </c>
      <c r="G506" s="4">
        <f t="shared" si="99"/>
        <v>3.0999999999999091</v>
      </c>
      <c r="H506" s="4">
        <f t="shared" si="100"/>
        <v>0</v>
      </c>
      <c r="I506" s="6">
        <f t="shared" si="105"/>
        <v>7.2928571428571365</v>
      </c>
      <c r="J506" s="6">
        <f t="shared" si="106"/>
        <v>4.4964285714285586</v>
      </c>
      <c r="K506" s="4">
        <f t="shared" si="107"/>
        <v>1.6219221604448006</v>
      </c>
      <c r="L506">
        <f t="shared" si="108"/>
        <v>61.860042411390531</v>
      </c>
      <c r="M506" s="14" t="str">
        <f t="shared" si="101"/>
        <v/>
      </c>
      <c r="N506" s="7">
        <f t="shared" si="102"/>
        <v>0</v>
      </c>
      <c r="O506" s="7">
        <f t="shared" si="109"/>
        <v>0</v>
      </c>
      <c r="P506" s="7">
        <f t="shared" si="110"/>
        <v>-1</v>
      </c>
      <c r="Q506" s="10" t="e">
        <f t="shared" si="103"/>
        <v>#N/A</v>
      </c>
      <c r="R506" s="10" t="e">
        <f t="shared" si="104"/>
        <v>#N/A</v>
      </c>
      <c r="S506" s="7">
        <f t="shared" si="111"/>
        <v>1180.3499999999999</v>
      </c>
      <c r="T506" s="7">
        <f t="shared" si="112"/>
        <v>0</v>
      </c>
    </row>
    <row r="507" spans="1:20" x14ac:dyDescent="0.25">
      <c r="A507" s="1">
        <v>41985</v>
      </c>
      <c r="B507">
        <v>1171</v>
      </c>
      <c r="C507">
        <v>1179.7</v>
      </c>
      <c r="D507">
        <v>1165.25</v>
      </c>
      <c r="E507">
        <v>1171.3499999999999</v>
      </c>
      <c r="F507">
        <v>754514</v>
      </c>
      <c r="G507" s="4">
        <f t="shared" si="99"/>
        <v>0</v>
      </c>
      <c r="H507" s="4">
        <f t="shared" si="100"/>
        <v>1.1500000000000909</v>
      </c>
      <c r="I507" s="6">
        <f t="shared" si="105"/>
        <v>5.4821428571428408</v>
      </c>
      <c r="J507" s="6">
        <f t="shared" si="106"/>
        <v>4.5785714285714221</v>
      </c>
      <c r="K507" s="4">
        <f t="shared" si="107"/>
        <v>1.1973478939157547</v>
      </c>
      <c r="L507">
        <f t="shared" si="108"/>
        <v>54.490592829250929</v>
      </c>
      <c r="M507" s="14" t="str">
        <f t="shared" si="101"/>
        <v/>
      </c>
      <c r="N507" s="7">
        <f t="shared" si="102"/>
        <v>0</v>
      </c>
      <c r="O507" s="7">
        <f t="shared" si="109"/>
        <v>0</v>
      </c>
      <c r="P507" s="7">
        <f t="shared" si="110"/>
        <v>-1</v>
      </c>
      <c r="Q507" s="10" t="e">
        <f t="shared" si="103"/>
        <v>#N/A</v>
      </c>
      <c r="R507" s="10" t="e">
        <f t="shared" si="104"/>
        <v>#N/A</v>
      </c>
      <c r="S507" s="7">
        <f t="shared" si="111"/>
        <v>1180.3499999999999</v>
      </c>
      <c r="T507" s="7">
        <f t="shared" si="112"/>
        <v>0</v>
      </c>
    </row>
    <row r="508" spans="1:20" x14ac:dyDescent="0.25">
      <c r="A508" s="1">
        <v>41988</v>
      </c>
      <c r="B508">
        <v>1175</v>
      </c>
      <c r="C508">
        <v>1185.5</v>
      </c>
      <c r="D508">
        <v>1158.5</v>
      </c>
      <c r="E508">
        <v>1165.4000000000001</v>
      </c>
      <c r="F508">
        <v>1795895</v>
      </c>
      <c r="G508" s="4">
        <f t="shared" si="99"/>
        <v>0</v>
      </c>
      <c r="H508" s="4">
        <f t="shared" si="100"/>
        <v>5.9499999999998181</v>
      </c>
      <c r="I508" s="6">
        <f t="shared" si="105"/>
        <v>5.4821428571428408</v>
      </c>
      <c r="J508" s="6">
        <f t="shared" si="106"/>
        <v>4.5035714285714095</v>
      </c>
      <c r="K508" s="4">
        <f t="shared" si="107"/>
        <v>1.2172878667724043</v>
      </c>
      <c r="L508">
        <f t="shared" si="108"/>
        <v>54.89985693848358</v>
      </c>
      <c r="M508" s="14" t="str">
        <f t="shared" si="101"/>
        <v/>
      </c>
      <c r="N508" s="7">
        <f t="shared" si="102"/>
        <v>0</v>
      </c>
      <c r="O508" s="7">
        <f t="shared" si="109"/>
        <v>0</v>
      </c>
      <c r="P508" s="7">
        <f t="shared" si="110"/>
        <v>-1</v>
      </c>
      <c r="Q508" s="10" t="e">
        <f t="shared" si="103"/>
        <v>#N/A</v>
      </c>
      <c r="R508" s="10" t="e">
        <f t="shared" si="104"/>
        <v>#N/A</v>
      </c>
      <c r="S508" s="7">
        <f t="shared" si="111"/>
        <v>1180.3499999999999</v>
      </c>
      <c r="T508" s="7">
        <f t="shared" si="112"/>
        <v>0</v>
      </c>
    </row>
    <row r="509" spans="1:20" x14ac:dyDescent="0.25">
      <c r="A509" s="1">
        <v>41989</v>
      </c>
      <c r="B509">
        <v>1171.4000000000001</v>
      </c>
      <c r="C509">
        <v>1175</v>
      </c>
      <c r="D509">
        <v>1133.1500000000001</v>
      </c>
      <c r="E509">
        <v>1137</v>
      </c>
      <c r="F509">
        <v>2837690</v>
      </c>
      <c r="G509" s="4">
        <f t="shared" si="99"/>
        <v>0</v>
      </c>
      <c r="H509" s="4">
        <f t="shared" si="100"/>
        <v>28.400000000000091</v>
      </c>
      <c r="I509" s="6">
        <f t="shared" si="105"/>
        <v>5.092857142857123</v>
      </c>
      <c r="J509" s="6">
        <f t="shared" si="106"/>
        <v>6.5321428571428442</v>
      </c>
      <c r="K509" s="4">
        <f t="shared" si="107"/>
        <v>0.77966101694915102</v>
      </c>
      <c r="L509">
        <f t="shared" si="108"/>
        <v>43.80952380952376</v>
      </c>
      <c r="M509" s="14" t="str">
        <f t="shared" si="101"/>
        <v/>
      </c>
      <c r="N509" s="7">
        <f t="shared" si="102"/>
        <v>0</v>
      </c>
      <c r="O509" s="7">
        <f t="shared" si="109"/>
        <v>0</v>
      </c>
      <c r="P509" s="7">
        <f t="shared" si="110"/>
        <v>-1</v>
      </c>
      <c r="Q509" s="10" t="e">
        <f t="shared" si="103"/>
        <v>#N/A</v>
      </c>
      <c r="R509" s="10" t="e">
        <f t="shared" si="104"/>
        <v>#N/A</v>
      </c>
      <c r="S509" s="7">
        <f t="shared" si="111"/>
        <v>1180.3499999999999</v>
      </c>
      <c r="T509" s="7">
        <f t="shared" si="112"/>
        <v>0</v>
      </c>
    </row>
    <row r="510" spans="1:20" x14ac:dyDescent="0.25">
      <c r="A510" s="1">
        <v>41990</v>
      </c>
      <c r="B510">
        <v>1101</v>
      </c>
      <c r="C510">
        <v>1115</v>
      </c>
      <c r="D510">
        <v>1068.6500000000001</v>
      </c>
      <c r="E510">
        <v>1089.5</v>
      </c>
      <c r="F510">
        <v>4764342</v>
      </c>
      <c r="G510" s="4">
        <f t="shared" si="99"/>
        <v>0</v>
      </c>
      <c r="H510" s="4">
        <f t="shared" si="100"/>
        <v>47.5</v>
      </c>
      <c r="I510" s="6">
        <f t="shared" si="105"/>
        <v>2.8607142857142662</v>
      </c>
      <c r="J510" s="6">
        <f t="shared" si="106"/>
        <v>9.9249999999999865</v>
      </c>
      <c r="K510" s="4">
        <f t="shared" si="107"/>
        <v>0.2882331774019416</v>
      </c>
      <c r="L510">
        <f t="shared" si="108"/>
        <v>22.374301675977563</v>
      </c>
      <c r="M510" s="14" t="str">
        <f t="shared" si="101"/>
        <v>OVERSOLD</v>
      </c>
      <c r="N510" s="7" t="str">
        <f t="shared" si="102"/>
        <v>BUY</v>
      </c>
      <c r="O510" s="7" t="str">
        <f t="shared" si="109"/>
        <v>BUY</v>
      </c>
      <c r="P510" s="7">
        <f t="shared" si="110"/>
        <v>1</v>
      </c>
      <c r="Q510" s="10">
        <f t="shared" si="103"/>
        <v>1089.5</v>
      </c>
      <c r="R510" s="10" t="e">
        <f t="shared" si="104"/>
        <v>#N/A</v>
      </c>
      <c r="S510" s="7">
        <f t="shared" si="111"/>
        <v>1089.5</v>
      </c>
      <c r="T510" s="7">
        <f t="shared" si="112"/>
        <v>7.6968695725843958E-2</v>
      </c>
    </row>
    <row r="511" spans="1:20" x14ac:dyDescent="0.25">
      <c r="A511" s="1">
        <v>41991</v>
      </c>
      <c r="B511">
        <v>1097.1500000000001</v>
      </c>
      <c r="C511">
        <v>1103.3499999999999</v>
      </c>
      <c r="D511">
        <v>1073</v>
      </c>
      <c r="E511">
        <v>1085.75</v>
      </c>
      <c r="F511">
        <v>2009914</v>
      </c>
      <c r="G511" s="4">
        <f t="shared" si="99"/>
        <v>0</v>
      </c>
      <c r="H511" s="4">
        <f t="shared" si="100"/>
        <v>3.75</v>
      </c>
      <c r="I511" s="6">
        <f t="shared" si="105"/>
        <v>2.8607142857142662</v>
      </c>
      <c r="J511" s="6">
        <f t="shared" si="106"/>
        <v>9.5535714285714128</v>
      </c>
      <c r="K511" s="4">
        <f t="shared" si="107"/>
        <v>0.29943925233644703</v>
      </c>
      <c r="L511">
        <f t="shared" si="108"/>
        <v>23.043728423475173</v>
      </c>
      <c r="M511" s="14" t="str">
        <f t="shared" si="101"/>
        <v>OVERSOLD</v>
      </c>
      <c r="N511" s="7" t="str">
        <f t="shared" si="102"/>
        <v>BUY</v>
      </c>
      <c r="O511" s="7">
        <f t="shared" si="109"/>
        <v>0</v>
      </c>
      <c r="P511" s="7">
        <f t="shared" si="110"/>
        <v>1</v>
      </c>
      <c r="Q511" s="10" t="e">
        <f t="shared" si="103"/>
        <v>#N/A</v>
      </c>
      <c r="R511" s="10" t="e">
        <f t="shared" si="104"/>
        <v>#N/A</v>
      </c>
      <c r="S511" s="7">
        <f t="shared" si="111"/>
        <v>1089.5</v>
      </c>
      <c r="T511" s="7">
        <f t="shared" si="112"/>
        <v>0</v>
      </c>
    </row>
    <row r="512" spans="1:20" x14ac:dyDescent="0.25">
      <c r="A512" s="1">
        <v>41992</v>
      </c>
      <c r="B512">
        <v>1084</v>
      </c>
      <c r="C512">
        <v>1114</v>
      </c>
      <c r="D512">
        <v>1078.9000000000001</v>
      </c>
      <c r="E512">
        <v>1109.4000000000001</v>
      </c>
      <c r="F512">
        <v>1523601</v>
      </c>
      <c r="G512" s="4">
        <f t="shared" si="99"/>
        <v>23.650000000000091</v>
      </c>
      <c r="H512" s="4">
        <f t="shared" si="100"/>
        <v>0</v>
      </c>
      <c r="I512" s="6">
        <f t="shared" si="105"/>
        <v>4.5499999999999874</v>
      </c>
      <c r="J512" s="6">
        <f t="shared" si="106"/>
        <v>8.8214285714285552</v>
      </c>
      <c r="K512" s="4">
        <f t="shared" si="107"/>
        <v>0.51578947368421002</v>
      </c>
      <c r="L512">
        <f t="shared" si="108"/>
        <v>34.027777777777757</v>
      </c>
      <c r="M512" s="14" t="str">
        <f t="shared" si="101"/>
        <v/>
      </c>
      <c r="N512" s="7">
        <f t="shared" si="102"/>
        <v>0</v>
      </c>
      <c r="O512" s="7">
        <f t="shared" si="109"/>
        <v>0</v>
      </c>
      <c r="P512" s="7">
        <f t="shared" si="110"/>
        <v>1</v>
      </c>
      <c r="Q512" s="10" t="e">
        <f t="shared" si="103"/>
        <v>#N/A</v>
      </c>
      <c r="R512" s="10" t="e">
        <f t="shared" si="104"/>
        <v>#N/A</v>
      </c>
      <c r="S512" s="7">
        <f t="shared" si="111"/>
        <v>1089.5</v>
      </c>
      <c r="T512" s="7">
        <f t="shared" si="112"/>
        <v>0</v>
      </c>
    </row>
    <row r="513" spans="1:20" x14ac:dyDescent="0.25">
      <c r="A513" s="1">
        <v>41995</v>
      </c>
      <c r="B513">
        <v>1119.9000000000001</v>
      </c>
      <c r="C513">
        <v>1124.7</v>
      </c>
      <c r="D513">
        <v>1094</v>
      </c>
      <c r="E513">
        <v>1103.95</v>
      </c>
      <c r="F513">
        <v>1852109</v>
      </c>
      <c r="G513" s="4">
        <f t="shared" si="99"/>
        <v>0</v>
      </c>
      <c r="H513" s="4">
        <f t="shared" si="100"/>
        <v>5.4500000000000455</v>
      </c>
      <c r="I513" s="6">
        <f t="shared" si="105"/>
        <v>4.5499999999999874</v>
      </c>
      <c r="J513" s="6">
        <f t="shared" si="106"/>
        <v>8.960714285714273</v>
      </c>
      <c r="K513" s="4">
        <f t="shared" si="107"/>
        <v>0.50777202072538796</v>
      </c>
      <c r="L513">
        <f t="shared" si="108"/>
        <v>33.676975945017148</v>
      </c>
      <c r="M513" s="14" t="str">
        <f t="shared" si="101"/>
        <v/>
      </c>
      <c r="N513" s="7">
        <f t="shared" si="102"/>
        <v>0</v>
      </c>
      <c r="O513" s="7">
        <f t="shared" si="109"/>
        <v>0</v>
      </c>
      <c r="P513" s="7">
        <f t="shared" si="110"/>
        <v>1</v>
      </c>
      <c r="Q513" s="10" t="e">
        <f t="shared" si="103"/>
        <v>#N/A</v>
      </c>
      <c r="R513" s="10" t="e">
        <f t="shared" si="104"/>
        <v>#N/A</v>
      </c>
      <c r="S513" s="7">
        <f t="shared" si="111"/>
        <v>1089.5</v>
      </c>
      <c r="T513" s="7">
        <f t="shared" si="112"/>
        <v>0</v>
      </c>
    </row>
    <row r="514" spans="1:20" x14ac:dyDescent="0.25">
      <c r="A514" s="1">
        <v>41996</v>
      </c>
      <c r="B514">
        <v>1080</v>
      </c>
      <c r="C514">
        <v>1096.3</v>
      </c>
      <c r="D514">
        <v>1045.3</v>
      </c>
      <c r="E514">
        <v>1076.1500000000001</v>
      </c>
      <c r="F514">
        <v>5832766</v>
      </c>
      <c r="G514" s="4">
        <f t="shared" si="99"/>
        <v>0</v>
      </c>
      <c r="H514" s="4">
        <f t="shared" si="100"/>
        <v>27.799999999999955</v>
      </c>
      <c r="I514" s="6">
        <f t="shared" si="105"/>
        <v>4.5499999999999874</v>
      </c>
      <c r="J514" s="6">
        <f t="shared" si="106"/>
        <v>10.585714285714273</v>
      </c>
      <c r="K514" s="4">
        <f t="shared" si="107"/>
        <v>0.42982456140350811</v>
      </c>
      <c r="L514">
        <f t="shared" si="108"/>
        <v>30.061349693251501</v>
      </c>
      <c r="M514" s="14" t="str">
        <f t="shared" si="101"/>
        <v/>
      </c>
      <c r="N514" s="7">
        <f t="shared" si="102"/>
        <v>0</v>
      </c>
      <c r="O514" s="7">
        <f t="shared" si="109"/>
        <v>0</v>
      </c>
      <c r="P514" s="7">
        <f t="shared" si="110"/>
        <v>1</v>
      </c>
      <c r="Q514" s="10" t="e">
        <f t="shared" si="103"/>
        <v>#N/A</v>
      </c>
      <c r="R514" s="10" t="e">
        <f t="shared" si="104"/>
        <v>#N/A</v>
      </c>
      <c r="S514" s="7">
        <f t="shared" si="111"/>
        <v>1089.5</v>
      </c>
      <c r="T514" s="7">
        <f t="shared" si="112"/>
        <v>0</v>
      </c>
    </row>
    <row r="515" spans="1:20" x14ac:dyDescent="0.25">
      <c r="A515" s="1">
        <v>41997</v>
      </c>
      <c r="B515">
        <v>1087</v>
      </c>
      <c r="C515">
        <v>1088.9000000000001</v>
      </c>
      <c r="D515">
        <v>1065.4000000000001</v>
      </c>
      <c r="E515">
        <v>1075.55</v>
      </c>
      <c r="F515">
        <v>2081646</v>
      </c>
      <c r="G515" s="4">
        <f t="shared" si="99"/>
        <v>0</v>
      </c>
      <c r="H515" s="4">
        <f t="shared" si="100"/>
        <v>0.60000000000013642</v>
      </c>
      <c r="I515" s="6">
        <f t="shared" si="105"/>
        <v>3.2678571428571428</v>
      </c>
      <c r="J515" s="6">
        <f t="shared" si="106"/>
        <v>10.628571428571425</v>
      </c>
      <c r="K515" s="4">
        <f t="shared" si="107"/>
        <v>0.30745967741935493</v>
      </c>
      <c r="L515">
        <f t="shared" si="108"/>
        <v>23.515805705474179</v>
      </c>
      <c r="M515" s="14" t="str">
        <f t="shared" si="101"/>
        <v>OVERSOLD</v>
      </c>
      <c r="N515" s="7" t="str">
        <f t="shared" si="102"/>
        <v>BUY</v>
      </c>
      <c r="O515" s="7">
        <f t="shared" si="109"/>
        <v>0</v>
      </c>
      <c r="P515" s="7">
        <f t="shared" si="110"/>
        <v>1</v>
      </c>
      <c r="Q515" s="10" t="e">
        <f t="shared" si="103"/>
        <v>#N/A</v>
      </c>
      <c r="R515" s="10" t="e">
        <f t="shared" si="104"/>
        <v>#N/A</v>
      </c>
      <c r="S515" s="7">
        <f t="shared" si="111"/>
        <v>1089.5</v>
      </c>
      <c r="T515" s="7">
        <f t="shared" si="112"/>
        <v>0</v>
      </c>
    </row>
    <row r="516" spans="1:20" x14ac:dyDescent="0.25">
      <c r="A516" s="1">
        <v>41998</v>
      </c>
      <c r="B516">
        <v>1079.95</v>
      </c>
      <c r="C516">
        <v>1090.95</v>
      </c>
      <c r="D516">
        <v>1073</v>
      </c>
      <c r="E516">
        <v>1079.5</v>
      </c>
      <c r="F516">
        <v>1286347</v>
      </c>
      <c r="G516" s="4">
        <f t="shared" ref="G516:G579" si="113">IF(E516&gt;E515,E516-E515,0)</f>
        <v>3.9500000000000455</v>
      </c>
      <c r="H516" s="4">
        <f t="shared" ref="H516:H579" si="114">IF(E516&lt;E515,E515-E516,0)</f>
        <v>0</v>
      </c>
      <c r="I516" s="6">
        <f t="shared" si="105"/>
        <v>2.1928571428571462</v>
      </c>
      <c r="J516" s="6">
        <f t="shared" si="106"/>
        <v>10.628571428571425</v>
      </c>
      <c r="K516" s="4">
        <f t="shared" si="107"/>
        <v>0.20631720430107567</v>
      </c>
      <c r="L516">
        <f t="shared" si="108"/>
        <v>17.103064066852397</v>
      </c>
      <c r="M516" s="14" t="str">
        <f t="shared" si="101"/>
        <v>OVERSOLD</v>
      </c>
      <c r="N516" s="7" t="str">
        <f t="shared" si="102"/>
        <v>BUY</v>
      </c>
      <c r="O516" s="7">
        <f t="shared" si="109"/>
        <v>0</v>
      </c>
      <c r="P516" s="7">
        <f t="shared" si="110"/>
        <v>1</v>
      </c>
      <c r="Q516" s="10" t="e">
        <f t="shared" si="103"/>
        <v>#N/A</v>
      </c>
      <c r="R516" s="10" t="e">
        <f t="shared" si="104"/>
        <v>#N/A</v>
      </c>
      <c r="S516" s="7">
        <f t="shared" si="111"/>
        <v>1089.5</v>
      </c>
      <c r="T516" s="7">
        <f t="shared" si="112"/>
        <v>0</v>
      </c>
    </row>
    <row r="517" spans="1:20" x14ac:dyDescent="0.25">
      <c r="A517" s="1">
        <v>41999</v>
      </c>
      <c r="B517">
        <v>1086</v>
      </c>
      <c r="C517">
        <v>1091.45</v>
      </c>
      <c r="D517">
        <v>1074.1500000000001</v>
      </c>
      <c r="E517">
        <v>1077.7</v>
      </c>
      <c r="F517">
        <v>1065248</v>
      </c>
      <c r="G517" s="4">
        <f t="shared" si="113"/>
        <v>0</v>
      </c>
      <c r="H517" s="4">
        <f t="shared" si="114"/>
        <v>1.7999999999999545</v>
      </c>
      <c r="I517" s="6">
        <f t="shared" si="105"/>
        <v>2.1928571428571462</v>
      </c>
      <c r="J517" s="6">
        <f t="shared" si="106"/>
        <v>9</v>
      </c>
      <c r="K517" s="4">
        <f t="shared" si="107"/>
        <v>0.24365079365079401</v>
      </c>
      <c r="L517">
        <f t="shared" si="108"/>
        <v>19.591576260370161</v>
      </c>
      <c r="M517" s="14" t="str">
        <f t="shared" si="101"/>
        <v>OVERSOLD</v>
      </c>
      <c r="N517" s="7" t="str">
        <f t="shared" si="102"/>
        <v>BUY</v>
      </c>
      <c r="O517" s="7">
        <f t="shared" si="109"/>
        <v>0</v>
      </c>
      <c r="P517" s="7">
        <f t="shared" si="110"/>
        <v>1</v>
      </c>
      <c r="Q517" s="10" t="e">
        <f t="shared" si="103"/>
        <v>#N/A</v>
      </c>
      <c r="R517" s="10" t="e">
        <f t="shared" si="104"/>
        <v>#N/A</v>
      </c>
      <c r="S517" s="7">
        <f t="shared" si="111"/>
        <v>1089.5</v>
      </c>
      <c r="T517" s="7">
        <f t="shared" si="112"/>
        <v>0</v>
      </c>
    </row>
    <row r="518" spans="1:20" x14ac:dyDescent="0.25">
      <c r="A518" s="1">
        <v>42002</v>
      </c>
      <c r="B518">
        <v>1088</v>
      </c>
      <c r="C518">
        <v>1095</v>
      </c>
      <c r="D518">
        <v>1078</v>
      </c>
      <c r="E518">
        <v>1088.7</v>
      </c>
      <c r="F518">
        <v>1320655</v>
      </c>
      <c r="G518" s="4">
        <f t="shared" si="113"/>
        <v>11</v>
      </c>
      <c r="H518" s="4">
        <f t="shared" si="114"/>
        <v>0</v>
      </c>
      <c r="I518" s="6">
        <f t="shared" si="105"/>
        <v>2.9785714285714318</v>
      </c>
      <c r="J518" s="6">
        <f t="shared" si="106"/>
        <v>8.9285714285714288</v>
      </c>
      <c r="K518" s="4">
        <f t="shared" si="107"/>
        <v>0.33360000000000034</v>
      </c>
      <c r="L518">
        <f t="shared" si="108"/>
        <v>25.014997000599905</v>
      </c>
      <c r="M518" s="14" t="str">
        <f t="shared" si="101"/>
        <v>OVERSOLD</v>
      </c>
      <c r="N518" s="7" t="str">
        <f t="shared" si="102"/>
        <v>BUY</v>
      </c>
      <c r="O518" s="7">
        <f t="shared" si="109"/>
        <v>0</v>
      </c>
      <c r="P518" s="7">
        <f t="shared" si="110"/>
        <v>1</v>
      </c>
      <c r="Q518" s="10" t="e">
        <f t="shared" si="103"/>
        <v>#N/A</v>
      </c>
      <c r="R518" s="10" t="e">
        <f t="shared" si="104"/>
        <v>#N/A</v>
      </c>
      <c r="S518" s="7">
        <f t="shared" si="111"/>
        <v>1089.5</v>
      </c>
      <c r="T518" s="7">
        <f t="shared" si="112"/>
        <v>0</v>
      </c>
    </row>
    <row r="519" spans="1:20" x14ac:dyDescent="0.25">
      <c r="A519" s="1">
        <v>42003</v>
      </c>
      <c r="B519">
        <v>1094.9000000000001</v>
      </c>
      <c r="C519">
        <v>1109.95</v>
      </c>
      <c r="D519">
        <v>1091.05</v>
      </c>
      <c r="E519">
        <v>1098</v>
      </c>
      <c r="F519">
        <v>2922619</v>
      </c>
      <c r="G519" s="4">
        <f t="shared" si="113"/>
        <v>9.2999999999999545</v>
      </c>
      <c r="H519" s="4">
        <f t="shared" si="114"/>
        <v>0</v>
      </c>
      <c r="I519" s="6">
        <f t="shared" si="105"/>
        <v>3.6428571428571428</v>
      </c>
      <c r="J519" s="6">
        <f t="shared" si="106"/>
        <v>8.7428571428571491</v>
      </c>
      <c r="K519" s="4">
        <f t="shared" si="107"/>
        <v>0.41666666666666635</v>
      </c>
      <c r="L519">
        <f t="shared" si="108"/>
        <v>29.411764705882334</v>
      </c>
      <c r="M519" s="14" t="str">
        <f t="shared" si="101"/>
        <v>OVERSOLD</v>
      </c>
      <c r="N519" s="7" t="str">
        <f t="shared" si="102"/>
        <v>BUY</v>
      </c>
      <c r="O519" s="7">
        <f t="shared" si="109"/>
        <v>0</v>
      </c>
      <c r="P519" s="7">
        <f t="shared" si="110"/>
        <v>1</v>
      </c>
      <c r="Q519" s="10" t="e">
        <f t="shared" si="103"/>
        <v>#N/A</v>
      </c>
      <c r="R519" s="10" t="e">
        <f t="shared" si="104"/>
        <v>#N/A</v>
      </c>
      <c r="S519" s="7">
        <f t="shared" si="111"/>
        <v>1089.5</v>
      </c>
      <c r="T519" s="7">
        <f t="shared" si="112"/>
        <v>0</v>
      </c>
    </row>
    <row r="520" spans="1:20" x14ac:dyDescent="0.25">
      <c r="A520" s="1">
        <v>42004</v>
      </c>
      <c r="B520">
        <v>1105</v>
      </c>
      <c r="C520">
        <v>1120.55</v>
      </c>
      <c r="D520">
        <v>1100.0999999999999</v>
      </c>
      <c r="E520">
        <v>1108.75</v>
      </c>
      <c r="F520">
        <v>2604859</v>
      </c>
      <c r="G520" s="4">
        <f t="shared" si="113"/>
        <v>10.75</v>
      </c>
      <c r="H520" s="4">
        <f t="shared" si="114"/>
        <v>0</v>
      </c>
      <c r="I520" s="6">
        <f t="shared" si="105"/>
        <v>4.1892857142857212</v>
      </c>
      <c r="J520" s="6">
        <f t="shared" si="106"/>
        <v>8.7428571428571491</v>
      </c>
      <c r="K520" s="4">
        <f t="shared" si="107"/>
        <v>0.47916666666666713</v>
      </c>
      <c r="L520">
        <f t="shared" si="108"/>
        <v>32.394366197183118</v>
      </c>
      <c r="M520" s="14" t="str">
        <f t="shared" si="101"/>
        <v/>
      </c>
      <c r="N520" s="7">
        <f t="shared" si="102"/>
        <v>0</v>
      </c>
      <c r="O520" s="7">
        <f t="shared" si="109"/>
        <v>0</v>
      </c>
      <c r="P520" s="7">
        <f t="shared" si="110"/>
        <v>1</v>
      </c>
      <c r="Q520" s="10" t="e">
        <f t="shared" si="103"/>
        <v>#N/A</v>
      </c>
      <c r="R520" s="10" t="e">
        <f t="shared" si="104"/>
        <v>#N/A</v>
      </c>
      <c r="S520" s="7">
        <f t="shared" si="111"/>
        <v>1089.5</v>
      </c>
      <c r="T520" s="7">
        <f t="shared" si="112"/>
        <v>0</v>
      </c>
    </row>
    <row r="521" spans="1:20" x14ac:dyDescent="0.25">
      <c r="A521" s="1">
        <v>42005</v>
      </c>
      <c r="B521">
        <v>1102.5</v>
      </c>
      <c r="C521">
        <v>1118.95</v>
      </c>
      <c r="D521">
        <v>1100.75</v>
      </c>
      <c r="E521">
        <v>1111.75</v>
      </c>
      <c r="F521">
        <v>1297779</v>
      </c>
      <c r="G521" s="4">
        <f t="shared" si="113"/>
        <v>3</v>
      </c>
      <c r="H521" s="4">
        <f t="shared" si="114"/>
        <v>0</v>
      </c>
      <c r="I521" s="6">
        <f t="shared" si="105"/>
        <v>4.4035714285714347</v>
      </c>
      <c r="J521" s="6">
        <f t="shared" si="106"/>
        <v>8.6607142857142865</v>
      </c>
      <c r="K521" s="4">
        <f t="shared" si="107"/>
        <v>0.50845360824742336</v>
      </c>
      <c r="L521">
        <f t="shared" si="108"/>
        <v>33.706943685073838</v>
      </c>
      <c r="M521" s="14" t="str">
        <f t="shared" si="101"/>
        <v/>
      </c>
      <c r="N521" s="7">
        <f t="shared" si="102"/>
        <v>0</v>
      </c>
      <c r="O521" s="7">
        <f t="shared" si="109"/>
        <v>0</v>
      </c>
      <c r="P521" s="7">
        <f t="shared" si="110"/>
        <v>1</v>
      </c>
      <c r="Q521" s="10" t="e">
        <f t="shared" si="103"/>
        <v>#N/A</v>
      </c>
      <c r="R521" s="10" t="e">
        <f t="shared" si="104"/>
        <v>#N/A</v>
      </c>
      <c r="S521" s="7">
        <f t="shared" si="111"/>
        <v>1089.5</v>
      </c>
      <c r="T521" s="7">
        <f t="shared" si="112"/>
        <v>0</v>
      </c>
    </row>
    <row r="522" spans="1:20" x14ac:dyDescent="0.25">
      <c r="A522" s="1">
        <v>42006</v>
      </c>
      <c r="B522">
        <v>1113</v>
      </c>
      <c r="C522">
        <v>1135.9000000000001</v>
      </c>
      <c r="D522">
        <v>1113</v>
      </c>
      <c r="E522">
        <v>1132.4000000000001</v>
      </c>
      <c r="F522">
        <v>1769060</v>
      </c>
      <c r="G522" s="4">
        <f t="shared" si="113"/>
        <v>20.650000000000091</v>
      </c>
      <c r="H522" s="4">
        <f t="shared" si="114"/>
        <v>0</v>
      </c>
      <c r="I522" s="6">
        <f t="shared" si="105"/>
        <v>5.8785714285714414</v>
      </c>
      <c r="J522" s="6">
        <f t="shared" si="106"/>
        <v>8.2357142857142982</v>
      </c>
      <c r="K522" s="4">
        <f t="shared" si="107"/>
        <v>0.71379011274935</v>
      </c>
      <c r="L522">
        <f t="shared" si="108"/>
        <v>41.649797570850218</v>
      </c>
      <c r="M522" s="14" t="str">
        <f t="shared" si="101"/>
        <v/>
      </c>
      <c r="N522" s="7">
        <f t="shared" si="102"/>
        <v>0</v>
      </c>
      <c r="O522" s="7">
        <f t="shared" si="109"/>
        <v>0</v>
      </c>
      <c r="P522" s="7">
        <f t="shared" si="110"/>
        <v>1</v>
      </c>
      <c r="Q522" s="10" t="e">
        <f t="shared" si="103"/>
        <v>#N/A</v>
      </c>
      <c r="R522" s="10" t="e">
        <f t="shared" si="104"/>
        <v>#N/A</v>
      </c>
      <c r="S522" s="7">
        <f t="shared" si="111"/>
        <v>1089.5</v>
      </c>
      <c r="T522" s="7">
        <f t="shared" si="112"/>
        <v>0</v>
      </c>
    </row>
    <row r="523" spans="1:20" x14ac:dyDescent="0.25">
      <c r="A523" s="1">
        <v>42009</v>
      </c>
      <c r="B523">
        <v>1129.4000000000001</v>
      </c>
      <c r="C523">
        <v>1135</v>
      </c>
      <c r="D523">
        <v>1108.25</v>
      </c>
      <c r="E523">
        <v>1128.7</v>
      </c>
      <c r="F523">
        <v>1144402</v>
      </c>
      <c r="G523" s="4">
        <f t="shared" si="113"/>
        <v>0</v>
      </c>
      <c r="H523" s="4">
        <f t="shared" si="114"/>
        <v>3.7000000000000455</v>
      </c>
      <c r="I523" s="6">
        <f t="shared" si="105"/>
        <v>5.8785714285714414</v>
      </c>
      <c r="J523" s="6">
        <f t="shared" si="106"/>
        <v>6.4714285714285813</v>
      </c>
      <c r="K523" s="4">
        <f t="shared" si="107"/>
        <v>0.90838852097130307</v>
      </c>
      <c r="L523">
        <f t="shared" si="108"/>
        <v>47.599768652400243</v>
      </c>
      <c r="M523" s="14" t="str">
        <f t="shared" si="101"/>
        <v/>
      </c>
      <c r="N523" s="7">
        <f t="shared" si="102"/>
        <v>0</v>
      </c>
      <c r="O523" s="7">
        <f t="shared" si="109"/>
        <v>0</v>
      </c>
      <c r="P523" s="7">
        <f t="shared" si="110"/>
        <v>1</v>
      </c>
      <c r="Q523" s="10" t="e">
        <f t="shared" si="103"/>
        <v>#N/A</v>
      </c>
      <c r="R523" s="10" t="e">
        <f t="shared" si="104"/>
        <v>#N/A</v>
      </c>
      <c r="S523" s="7">
        <f t="shared" si="111"/>
        <v>1089.5</v>
      </c>
      <c r="T523" s="7">
        <f t="shared" si="112"/>
        <v>0</v>
      </c>
    </row>
    <row r="524" spans="1:20" x14ac:dyDescent="0.25">
      <c r="A524" s="1">
        <v>42010</v>
      </c>
      <c r="B524">
        <v>1136</v>
      </c>
      <c r="C524">
        <v>1152.6500000000001</v>
      </c>
      <c r="D524">
        <v>1130.3</v>
      </c>
      <c r="E524">
        <v>1148</v>
      </c>
      <c r="F524">
        <v>1693070</v>
      </c>
      <c r="G524" s="4">
        <f t="shared" si="113"/>
        <v>19.299999999999955</v>
      </c>
      <c r="H524" s="4">
        <f t="shared" si="114"/>
        <v>0</v>
      </c>
      <c r="I524" s="6">
        <f t="shared" si="105"/>
        <v>7.2571428571428669</v>
      </c>
      <c r="J524" s="6">
        <f t="shared" si="106"/>
        <v>3.0785714285714385</v>
      </c>
      <c r="K524" s="4">
        <f t="shared" si="107"/>
        <v>2.3573085846867703</v>
      </c>
      <c r="L524">
        <f t="shared" si="108"/>
        <v>70.214236351071136</v>
      </c>
      <c r="M524" s="14" t="str">
        <f t="shared" si="101"/>
        <v>OVERBOUGHT</v>
      </c>
      <c r="N524" s="7" t="str">
        <f t="shared" si="102"/>
        <v>SELL</v>
      </c>
      <c r="O524" s="7" t="str">
        <f t="shared" si="109"/>
        <v>SELL</v>
      </c>
      <c r="P524" s="7">
        <f t="shared" si="110"/>
        <v>-1</v>
      </c>
      <c r="Q524" s="10" t="e">
        <f t="shared" si="103"/>
        <v>#N/A</v>
      </c>
      <c r="R524" s="10">
        <f t="shared" si="104"/>
        <v>1148</v>
      </c>
      <c r="S524" s="7">
        <f t="shared" si="111"/>
        <v>1148</v>
      </c>
      <c r="T524" s="7">
        <f t="shared" si="112"/>
        <v>5.3694355208811384E-2</v>
      </c>
    </row>
    <row r="525" spans="1:20" x14ac:dyDescent="0.25">
      <c r="A525" s="1">
        <v>42011</v>
      </c>
      <c r="B525">
        <v>1145</v>
      </c>
      <c r="C525">
        <v>1176</v>
      </c>
      <c r="D525">
        <v>1141</v>
      </c>
      <c r="E525">
        <v>1171.55</v>
      </c>
      <c r="F525">
        <v>1388779</v>
      </c>
      <c r="G525" s="4">
        <f t="shared" si="113"/>
        <v>23.549999999999955</v>
      </c>
      <c r="H525" s="4">
        <f t="shared" si="114"/>
        <v>0</v>
      </c>
      <c r="I525" s="6">
        <f t="shared" si="105"/>
        <v>8.9392857142857203</v>
      </c>
      <c r="J525" s="6">
        <f t="shared" si="106"/>
        <v>2.8107142857142953</v>
      </c>
      <c r="K525" s="4">
        <f t="shared" si="107"/>
        <v>3.1804320203303598</v>
      </c>
      <c r="L525">
        <f t="shared" si="108"/>
        <v>76.079027355623055</v>
      </c>
      <c r="M525" s="14" t="str">
        <f t="shared" si="101"/>
        <v>OVERBOUGHT</v>
      </c>
      <c r="N525" s="7" t="str">
        <f t="shared" si="102"/>
        <v>SELL</v>
      </c>
      <c r="O525" s="7">
        <f t="shared" si="109"/>
        <v>0</v>
      </c>
      <c r="P525" s="7">
        <f t="shared" si="110"/>
        <v>-1</v>
      </c>
      <c r="Q525" s="10" t="e">
        <f t="shared" si="103"/>
        <v>#N/A</v>
      </c>
      <c r="R525" s="10" t="e">
        <f t="shared" si="104"/>
        <v>#N/A</v>
      </c>
      <c r="S525" s="7">
        <f t="shared" si="111"/>
        <v>1148</v>
      </c>
      <c r="T525" s="7">
        <f t="shared" si="112"/>
        <v>0</v>
      </c>
    </row>
    <row r="526" spans="1:20" x14ac:dyDescent="0.25">
      <c r="A526" s="1">
        <v>42012</v>
      </c>
      <c r="B526">
        <v>1183.7</v>
      </c>
      <c r="C526">
        <v>1200.05</v>
      </c>
      <c r="D526">
        <v>1173.3499999999999</v>
      </c>
      <c r="E526">
        <v>1193.8499999999999</v>
      </c>
      <c r="F526">
        <v>1713598</v>
      </c>
      <c r="G526" s="4">
        <f t="shared" si="113"/>
        <v>22.299999999999955</v>
      </c>
      <c r="H526" s="4">
        <f t="shared" si="114"/>
        <v>0</v>
      </c>
      <c r="I526" s="6">
        <f t="shared" si="105"/>
        <v>8.8428571428571399</v>
      </c>
      <c r="J526" s="6">
        <f t="shared" si="106"/>
        <v>2.8107142857142953</v>
      </c>
      <c r="K526" s="4">
        <f t="shared" si="107"/>
        <v>3.1461245235069768</v>
      </c>
      <c r="L526">
        <f t="shared" si="108"/>
        <v>75.881091020533177</v>
      </c>
      <c r="M526" s="14" t="str">
        <f t="shared" si="101"/>
        <v>OVERBOUGHT</v>
      </c>
      <c r="N526" s="7" t="str">
        <f t="shared" si="102"/>
        <v>SELL</v>
      </c>
      <c r="O526" s="7">
        <f t="shared" si="109"/>
        <v>0</v>
      </c>
      <c r="P526" s="7">
        <f t="shared" si="110"/>
        <v>-1</v>
      </c>
      <c r="Q526" s="10" t="e">
        <f t="shared" si="103"/>
        <v>#N/A</v>
      </c>
      <c r="R526" s="10" t="e">
        <f t="shared" si="104"/>
        <v>#N/A</v>
      </c>
      <c r="S526" s="7">
        <f t="shared" si="111"/>
        <v>1148</v>
      </c>
      <c r="T526" s="7">
        <f t="shared" si="112"/>
        <v>0</v>
      </c>
    </row>
    <row r="527" spans="1:20" x14ac:dyDescent="0.25">
      <c r="A527" s="1">
        <v>42013</v>
      </c>
      <c r="B527">
        <v>1209.7</v>
      </c>
      <c r="C527">
        <v>1209.7</v>
      </c>
      <c r="D527">
        <v>1191.9000000000001</v>
      </c>
      <c r="E527">
        <v>1198</v>
      </c>
      <c r="F527">
        <v>1703828</v>
      </c>
      <c r="G527" s="4">
        <f t="shared" si="113"/>
        <v>4.1500000000000909</v>
      </c>
      <c r="H527" s="4">
        <f t="shared" si="114"/>
        <v>0</v>
      </c>
      <c r="I527" s="6">
        <f t="shared" si="105"/>
        <v>9.1392857142857178</v>
      </c>
      <c r="J527" s="6">
        <f t="shared" si="106"/>
        <v>2.4214285714285779</v>
      </c>
      <c r="K527" s="4">
        <f t="shared" si="107"/>
        <v>3.774336283185832</v>
      </c>
      <c r="L527">
        <f t="shared" si="108"/>
        <v>79.054680259499492</v>
      </c>
      <c r="M527" s="14" t="str">
        <f t="shared" si="101"/>
        <v>OVERBOUGHT</v>
      </c>
      <c r="N527" s="7" t="str">
        <f t="shared" si="102"/>
        <v>SELL</v>
      </c>
      <c r="O527" s="7">
        <f t="shared" si="109"/>
        <v>0</v>
      </c>
      <c r="P527" s="7">
        <f t="shared" si="110"/>
        <v>-1</v>
      </c>
      <c r="Q527" s="10" t="e">
        <f t="shared" si="103"/>
        <v>#N/A</v>
      </c>
      <c r="R527" s="10" t="e">
        <f t="shared" si="104"/>
        <v>#N/A</v>
      </c>
      <c r="S527" s="7">
        <f t="shared" si="111"/>
        <v>1148</v>
      </c>
      <c r="T527" s="7">
        <f t="shared" si="112"/>
        <v>0</v>
      </c>
    </row>
    <row r="528" spans="1:20" x14ac:dyDescent="0.25">
      <c r="A528" s="1">
        <v>42016</v>
      </c>
      <c r="B528">
        <v>1216.4000000000001</v>
      </c>
      <c r="C528">
        <v>1226.8499999999999</v>
      </c>
      <c r="D528">
        <v>1211</v>
      </c>
      <c r="E528">
        <v>1219.6500000000001</v>
      </c>
      <c r="F528">
        <v>1813592</v>
      </c>
      <c r="G528" s="4">
        <f t="shared" si="113"/>
        <v>21.650000000000091</v>
      </c>
      <c r="H528" s="4">
        <f t="shared" si="114"/>
        <v>0</v>
      </c>
      <c r="I528" s="6">
        <f t="shared" si="105"/>
        <v>10.685714285714296</v>
      </c>
      <c r="J528" s="6">
        <f t="shared" si="106"/>
        <v>0.43571428571429544</v>
      </c>
      <c r="K528" s="4">
        <f t="shared" si="107"/>
        <v>24.524590163933901</v>
      </c>
      <c r="L528">
        <f t="shared" si="108"/>
        <v>96.08220937700699</v>
      </c>
      <c r="M528" s="14" t="str">
        <f t="shared" ref="M528:M591" si="115">IF(L528&gt;RSI_Overbought,"OVERBOUGHT",IF(L528&lt;RSI_Oversold,"OVERSOLD",""))</f>
        <v>OVERBOUGHT</v>
      </c>
      <c r="N528" s="7" t="str">
        <f t="shared" ref="N528:N591" si="116">IF(L528&gt;RSI_Overbought,"SELL",IF(L528&lt;RSI_Oversold,"BUY",0))</f>
        <v>SELL</v>
      </c>
      <c r="O528" s="7">
        <f t="shared" si="109"/>
        <v>0</v>
      </c>
      <c r="P528" s="7">
        <f t="shared" si="110"/>
        <v>-1</v>
      </c>
      <c r="Q528" s="10" t="e">
        <f t="shared" ref="Q528:Q591" si="117">IF($O528="BUY",$E528,NA())</f>
        <v>#N/A</v>
      </c>
      <c r="R528" s="10" t="e">
        <f t="shared" ref="R528:R591" si="118">IF($O528="SELL",$E528,NA())</f>
        <v>#N/A</v>
      </c>
      <c r="S528" s="7">
        <f t="shared" si="111"/>
        <v>1148</v>
      </c>
      <c r="T528" s="7">
        <f t="shared" si="112"/>
        <v>0</v>
      </c>
    </row>
    <row r="529" spans="1:20" x14ac:dyDescent="0.25">
      <c r="A529" s="1">
        <v>42017</v>
      </c>
      <c r="B529">
        <v>1211.0999999999999</v>
      </c>
      <c r="C529">
        <v>1232</v>
      </c>
      <c r="D529">
        <v>1188</v>
      </c>
      <c r="E529">
        <v>1228.5999999999999</v>
      </c>
      <c r="F529">
        <v>1519031</v>
      </c>
      <c r="G529" s="4">
        <f t="shared" si="113"/>
        <v>8.9499999999998181</v>
      </c>
      <c r="H529" s="4">
        <f t="shared" si="114"/>
        <v>0</v>
      </c>
      <c r="I529" s="6">
        <f t="shared" ref="I529:I592" si="119">AVERAGE(G516:G529)</f>
        <v>11.324999999999998</v>
      </c>
      <c r="J529" s="6">
        <f t="shared" ref="J529:J592" si="120">AVERAGE(H516:H529)</f>
        <v>0.39285714285714285</v>
      </c>
      <c r="K529" s="4">
        <f t="shared" ref="K529:K592" si="121">I529/J529</f>
        <v>28.827272727272721</v>
      </c>
      <c r="L529">
        <f t="shared" ref="L529:L592" si="122">100-(100/(K529+1))</f>
        <v>96.647363608655894</v>
      </c>
      <c r="M529" s="14" t="str">
        <f t="shared" si="115"/>
        <v>OVERBOUGHT</v>
      </c>
      <c r="N529" s="7" t="str">
        <f t="shared" si="116"/>
        <v>SELL</v>
      </c>
      <c r="O529" s="7">
        <f t="shared" ref="O529:O592" si="123">IF(AND(N529="BUY",P528&lt;&gt;1),"BUY",IF(AND(N529="SELL",P528&lt;&gt;-1),"SELL",0))</f>
        <v>0</v>
      </c>
      <c r="P529" s="7">
        <f t="shared" ref="P529:P592" si="124">IF(O529="BUY",1,IF(O529="SELL",-1,P528))</f>
        <v>-1</v>
      </c>
      <c r="Q529" s="10" t="e">
        <f t="shared" si="117"/>
        <v>#N/A</v>
      </c>
      <c r="R529" s="10" t="e">
        <f t="shared" si="118"/>
        <v>#N/A</v>
      </c>
      <c r="S529" s="7">
        <f t="shared" ref="S529:S592" si="125">IF(O529&lt;&gt;0,E529,S528)</f>
        <v>1148</v>
      </c>
      <c r="T529" s="7">
        <f t="shared" si="112"/>
        <v>0</v>
      </c>
    </row>
    <row r="530" spans="1:20" x14ac:dyDescent="0.25">
      <c r="A530" s="1">
        <v>42018</v>
      </c>
      <c r="B530">
        <v>1228</v>
      </c>
      <c r="C530">
        <v>1238</v>
      </c>
      <c r="D530">
        <v>1212</v>
      </c>
      <c r="E530">
        <v>1233.4000000000001</v>
      </c>
      <c r="F530">
        <v>1162151</v>
      </c>
      <c r="G530" s="4">
        <f t="shared" si="113"/>
        <v>4.8000000000001819</v>
      </c>
      <c r="H530" s="4">
        <f t="shared" si="114"/>
        <v>0</v>
      </c>
      <c r="I530" s="6">
        <f t="shared" si="119"/>
        <v>11.385714285714291</v>
      </c>
      <c r="J530" s="6">
        <f t="shared" si="120"/>
        <v>0.39285714285714285</v>
      </c>
      <c r="K530" s="4">
        <f t="shared" si="121"/>
        <v>28.981818181818198</v>
      </c>
      <c r="L530">
        <f t="shared" si="122"/>
        <v>96.664645239539112</v>
      </c>
      <c r="M530" s="14" t="str">
        <f t="shared" si="115"/>
        <v>OVERBOUGHT</v>
      </c>
      <c r="N530" s="7" t="str">
        <f t="shared" si="116"/>
        <v>SELL</v>
      </c>
      <c r="O530" s="7">
        <f t="shared" si="123"/>
        <v>0</v>
      </c>
      <c r="P530" s="7">
        <f t="shared" si="124"/>
        <v>-1</v>
      </c>
      <c r="Q530" s="10" t="e">
        <f t="shared" si="117"/>
        <v>#N/A</v>
      </c>
      <c r="R530" s="10" t="e">
        <f t="shared" si="118"/>
        <v>#N/A</v>
      </c>
      <c r="S530" s="7">
        <f t="shared" si="125"/>
        <v>1148</v>
      </c>
      <c r="T530" s="7">
        <f t="shared" si="112"/>
        <v>0</v>
      </c>
    </row>
    <row r="531" spans="1:20" x14ac:dyDescent="0.25">
      <c r="A531" s="1">
        <v>42019</v>
      </c>
      <c r="B531">
        <v>1222.2</v>
      </c>
      <c r="C531">
        <v>1237.95</v>
      </c>
      <c r="D531">
        <v>1214</v>
      </c>
      <c r="E531">
        <v>1225.7</v>
      </c>
      <c r="F531">
        <v>815885</v>
      </c>
      <c r="G531" s="4">
        <f t="shared" si="113"/>
        <v>0</v>
      </c>
      <c r="H531" s="4">
        <f t="shared" si="114"/>
        <v>7.7000000000000455</v>
      </c>
      <c r="I531" s="6">
        <f t="shared" si="119"/>
        <v>11.385714285714291</v>
      </c>
      <c r="J531" s="6">
        <f t="shared" si="120"/>
        <v>0.81428571428572083</v>
      </c>
      <c r="K531" s="4">
        <f t="shared" si="121"/>
        <v>13.982456140350772</v>
      </c>
      <c r="L531">
        <f t="shared" si="122"/>
        <v>93.325526932084259</v>
      </c>
      <c r="M531" s="14" t="str">
        <f t="shared" si="115"/>
        <v>OVERBOUGHT</v>
      </c>
      <c r="N531" s="7" t="str">
        <f t="shared" si="116"/>
        <v>SELL</v>
      </c>
      <c r="O531" s="7">
        <f t="shared" si="123"/>
        <v>0</v>
      </c>
      <c r="P531" s="7">
        <f t="shared" si="124"/>
        <v>-1</v>
      </c>
      <c r="Q531" s="10" t="e">
        <f t="shared" si="117"/>
        <v>#N/A</v>
      </c>
      <c r="R531" s="10" t="e">
        <f t="shared" si="118"/>
        <v>#N/A</v>
      </c>
      <c r="S531" s="7">
        <f t="shared" si="125"/>
        <v>1148</v>
      </c>
      <c r="T531" s="7">
        <f t="shared" si="112"/>
        <v>0</v>
      </c>
    </row>
    <row r="532" spans="1:20" x14ac:dyDescent="0.25">
      <c r="A532" s="1">
        <v>42020</v>
      </c>
      <c r="B532">
        <v>1225</v>
      </c>
      <c r="C532">
        <v>1229.55</v>
      </c>
      <c r="D532">
        <v>1215</v>
      </c>
      <c r="E532">
        <v>1220</v>
      </c>
      <c r="F532">
        <v>913323</v>
      </c>
      <c r="G532" s="4">
        <f t="shared" si="113"/>
        <v>0</v>
      </c>
      <c r="H532" s="4">
        <f t="shared" si="114"/>
        <v>5.7000000000000455</v>
      </c>
      <c r="I532" s="6">
        <f t="shared" si="119"/>
        <v>10.600000000000007</v>
      </c>
      <c r="J532" s="6">
        <f t="shared" si="120"/>
        <v>1.2214285714285811</v>
      </c>
      <c r="K532" s="4">
        <f t="shared" si="121"/>
        <v>8.6783625730993528</v>
      </c>
      <c r="L532">
        <f t="shared" si="122"/>
        <v>89.667673716012018</v>
      </c>
      <c r="M532" s="14" t="str">
        <f t="shared" si="115"/>
        <v>OVERBOUGHT</v>
      </c>
      <c r="N532" s="7" t="str">
        <f t="shared" si="116"/>
        <v>SELL</v>
      </c>
      <c r="O532" s="7">
        <f t="shared" si="123"/>
        <v>0</v>
      </c>
      <c r="P532" s="7">
        <f t="shared" si="124"/>
        <v>-1</v>
      </c>
      <c r="Q532" s="10" t="e">
        <f t="shared" si="117"/>
        <v>#N/A</v>
      </c>
      <c r="R532" s="10" t="e">
        <f t="shared" si="118"/>
        <v>#N/A</v>
      </c>
      <c r="S532" s="7">
        <f t="shared" si="125"/>
        <v>1148</v>
      </c>
      <c r="T532" s="7">
        <f t="shared" si="112"/>
        <v>0</v>
      </c>
    </row>
    <row r="533" spans="1:20" x14ac:dyDescent="0.25">
      <c r="A533" s="1">
        <v>42023</v>
      </c>
      <c r="B533">
        <v>1227.1500000000001</v>
      </c>
      <c r="C533">
        <v>1248.8</v>
      </c>
      <c r="D533">
        <v>1219.5</v>
      </c>
      <c r="E533">
        <v>1241.5999999999999</v>
      </c>
      <c r="F533">
        <v>1083583</v>
      </c>
      <c r="G533" s="4">
        <f t="shared" si="113"/>
        <v>21.599999999999909</v>
      </c>
      <c r="H533" s="4">
        <f t="shared" si="114"/>
        <v>0</v>
      </c>
      <c r="I533" s="6">
        <f t="shared" si="119"/>
        <v>11.478571428571431</v>
      </c>
      <c r="J533" s="6">
        <f t="shared" si="120"/>
        <v>1.2214285714285811</v>
      </c>
      <c r="K533" s="4">
        <f t="shared" si="121"/>
        <v>9.3976608187133781</v>
      </c>
      <c r="L533">
        <f t="shared" si="122"/>
        <v>90.382452193475743</v>
      </c>
      <c r="M533" s="14" t="str">
        <f t="shared" si="115"/>
        <v>OVERBOUGHT</v>
      </c>
      <c r="N533" s="7" t="str">
        <f t="shared" si="116"/>
        <v>SELL</v>
      </c>
      <c r="O533" s="7">
        <f t="shared" si="123"/>
        <v>0</v>
      </c>
      <c r="P533" s="7">
        <f t="shared" si="124"/>
        <v>-1</v>
      </c>
      <c r="Q533" s="10" t="e">
        <f t="shared" si="117"/>
        <v>#N/A</v>
      </c>
      <c r="R533" s="10" t="e">
        <f t="shared" si="118"/>
        <v>#N/A</v>
      </c>
      <c r="S533" s="7">
        <f t="shared" si="125"/>
        <v>1148</v>
      </c>
      <c r="T533" s="7">
        <f t="shared" si="112"/>
        <v>0</v>
      </c>
    </row>
    <row r="534" spans="1:20" x14ac:dyDescent="0.25">
      <c r="A534" s="1">
        <v>42024</v>
      </c>
      <c r="B534">
        <v>1238</v>
      </c>
      <c r="C534">
        <v>1242</v>
      </c>
      <c r="D534">
        <v>1218</v>
      </c>
      <c r="E534">
        <v>1225.3499999999999</v>
      </c>
      <c r="F534">
        <v>943330</v>
      </c>
      <c r="G534" s="4">
        <f t="shared" si="113"/>
        <v>0</v>
      </c>
      <c r="H534" s="4">
        <f t="shared" si="114"/>
        <v>16.25</v>
      </c>
      <c r="I534" s="6">
        <f t="shared" si="119"/>
        <v>10.710714285714289</v>
      </c>
      <c r="J534" s="6">
        <f t="shared" si="120"/>
        <v>2.3821428571428669</v>
      </c>
      <c r="K534" s="4">
        <f t="shared" si="121"/>
        <v>4.4962518740629518</v>
      </c>
      <c r="L534">
        <f t="shared" si="122"/>
        <v>81.805782869612599</v>
      </c>
      <c r="M534" s="14" t="str">
        <f t="shared" si="115"/>
        <v>OVERBOUGHT</v>
      </c>
      <c r="N534" s="7" t="str">
        <f t="shared" si="116"/>
        <v>SELL</v>
      </c>
      <c r="O534" s="7">
        <f t="shared" si="123"/>
        <v>0</v>
      </c>
      <c r="P534" s="7">
        <f t="shared" si="124"/>
        <v>-1</v>
      </c>
      <c r="Q534" s="10" t="e">
        <f t="shared" si="117"/>
        <v>#N/A</v>
      </c>
      <c r="R534" s="10" t="e">
        <f t="shared" si="118"/>
        <v>#N/A</v>
      </c>
      <c r="S534" s="7">
        <f t="shared" si="125"/>
        <v>1148</v>
      </c>
      <c r="T534" s="7">
        <f t="shared" si="112"/>
        <v>0</v>
      </c>
    </row>
    <row r="535" spans="1:20" x14ac:dyDescent="0.25">
      <c r="A535" s="1">
        <v>42025</v>
      </c>
      <c r="B535">
        <v>1234.8499999999999</v>
      </c>
      <c r="C535">
        <v>1254</v>
      </c>
      <c r="D535">
        <v>1221</v>
      </c>
      <c r="E535">
        <v>1228.75</v>
      </c>
      <c r="F535">
        <v>2048284</v>
      </c>
      <c r="G535" s="4">
        <f t="shared" si="113"/>
        <v>3.4000000000000909</v>
      </c>
      <c r="H535" s="4">
        <f t="shared" si="114"/>
        <v>0</v>
      </c>
      <c r="I535" s="6">
        <f t="shared" si="119"/>
        <v>10.739285714285725</v>
      </c>
      <c r="J535" s="6">
        <f t="shared" si="120"/>
        <v>2.3821428571428669</v>
      </c>
      <c r="K535" s="4">
        <f t="shared" si="121"/>
        <v>4.5082458770614551</v>
      </c>
      <c r="L535">
        <f t="shared" si="122"/>
        <v>81.845400108873122</v>
      </c>
      <c r="M535" s="14" t="str">
        <f t="shared" si="115"/>
        <v>OVERBOUGHT</v>
      </c>
      <c r="N535" s="7" t="str">
        <f t="shared" si="116"/>
        <v>SELL</v>
      </c>
      <c r="O535" s="7">
        <f t="shared" si="123"/>
        <v>0</v>
      </c>
      <c r="P535" s="7">
        <f t="shared" si="124"/>
        <v>-1</v>
      </c>
      <c r="Q535" s="10" t="e">
        <f t="shared" si="117"/>
        <v>#N/A</v>
      </c>
      <c r="R535" s="10" t="e">
        <f t="shared" si="118"/>
        <v>#N/A</v>
      </c>
      <c r="S535" s="7">
        <f t="shared" si="125"/>
        <v>1148</v>
      </c>
      <c r="T535" s="7">
        <f t="shared" si="112"/>
        <v>0</v>
      </c>
    </row>
    <row r="536" spans="1:20" x14ac:dyDescent="0.25">
      <c r="A536" s="1">
        <v>42026</v>
      </c>
      <c r="B536">
        <v>1223.55</v>
      </c>
      <c r="C536">
        <v>1240</v>
      </c>
      <c r="D536">
        <v>1204.75</v>
      </c>
      <c r="E536">
        <v>1237.05</v>
      </c>
      <c r="F536">
        <v>1244752</v>
      </c>
      <c r="G536" s="4">
        <f t="shared" si="113"/>
        <v>8.2999999999999545</v>
      </c>
      <c r="H536" s="4">
        <f t="shared" si="114"/>
        <v>0</v>
      </c>
      <c r="I536" s="6">
        <f t="shared" si="119"/>
        <v>9.8571428571428577</v>
      </c>
      <c r="J536" s="6">
        <f t="shared" si="120"/>
        <v>2.3821428571428669</v>
      </c>
      <c r="K536" s="4">
        <f t="shared" si="121"/>
        <v>4.137931034482742</v>
      </c>
      <c r="L536">
        <f t="shared" si="122"/>
        <v>80.536912751677789</v>
      </c>
      <c r="M536" s="14" t="str">
        <f t="shared" si="115"/>
        <v>OVERBOUGHT</v>
      </c>
      <c r="N536" s="7" t="str">
        <f t="shared" si="116"/>
        <v>SELL</v>
      </c>
      <c r="O536" s="7">
        <f t="shared" si="123"/>
        <v>0</v>
      </c>
      <c r="P536" s="7">
        <f t="shared" si="124"/>
        <v>-1</v>
      </c>
      <c r="Q536" s="10" t="e">
        <f t="shared" si="117"/>
        <v>#N/A</v>
      </c>
      <c r="R536" s="10" t="e">
        <f t="shared" si="118"/>
        <v>#N/A</v>
      </c>
      <c r="S536" s="7">
        <f t="shared" si="125"/>
        <v>1148</v>
      </c>
      <c r="T536" s="7">
        <f t="shared" si="112"/>
        <v>0</v>
      </c>
    </row>
    <row r="537" spans="1:20" x14ac:dyDescent="0.25">
      <c r="A537" s="1">
        <v>42027</v>
      </c>
      <c r="B537">
        <v>1235</v>
      </c>
      <c r="C537">
        <v>1266.8499999999999</v>
      </c>
      <c r="D537">
        <v>1229</v>
      </c>
      <c r="E537">
        <v>1252.3499999999999</v>
      </c>
      <c r="F537">
        <v>1570913</v>
      </c>
      <c r="G537" s="4">
        <f t="shared" si="113"/>
        <v>15.299999999999955</v>
      </c>
      <c r="H537" s="4">
        <f t="shared" si="114"/>
        <v>0</v>
      </c>
      <c r="I537" s="6">
        <f t="shared" si="119"/>
        <v>10.949999999999998</v>
      </c>
      <c r="J537" s="6">
        <f t="shared" si="120"/>
        <v>2.1178571428571495</v>
      </c>
      <c r="K537" s="4">
        <f t="shared" si="121"/>
        <v>5.1703204047217364</v>
      </c>
      <c r="L537">
        <f t="shared" si="122"/>
        <v>83.793386171084947</v>
      </c>
      <c r="M537" s="14" t="str">
        <f t="shared" si="115"/>
        <v>OVERBOUGHT</v>
      </c>
      <c r="N537" s="7" t="str">
        <f t="shared" si="116"/>
        <v>SELL</v>
      </c>
      <c r="O537" s="7">
        <f t="shared" si="123"/>
        <v>0</v>
      </c>
      <c r="P537" s="7">
        <f t="shared" si="124"/>
        <v>-1</v>
      </c>
      <c r="Q537" s="10" t="e">
        <f t="shared" si="117"/>
        <v>#N/A</v>
      </c>
      <c r="R537" s="10" t="e">
        <f t="shared" si="118"/>
        <v>#N/A</v>
      </c>
      <c r="S537" s="7">
        <f t="shared" si="125"/>
        <v>1148</v>
      </c>
      <c r="T537" s="7">
        <f t="shared" si="112"/>
        <v>0</v>
      </c>
    </row>
    <row r="538" spans="1:20" x14ac:dyDescent="0.25">
      <c r="A538" s="1">
        <v>42030</v>
      </c>
      <c r="B538">
        <v>1249.05</v>
      </c>
      <c r="C538">
        <v>1274.9000000000001</v>
      </c>
      <c r="D538">
        <v>1244</v>
      </c>
      <c r="E538">
        <v>1259.8</v>
      </c>
      <c r="F538">
        <v>2043440</v>
      </c>
      <c r="G538" s="4">
        <f t="shared" si="113"/>
        <v>7.4500000000000455</v>
      </c>
      <c r="H538" s="4">
        <f t="shared" si="114"/>
        <v>0</v>
      </c>
      <c r="I538" s="6">
        <f t="shared" si="119"/>
        <v>10.103571428571431</v>
      </c>
      <c r="J538" s="6">
        <f t="shared" si="120"/>
        <v>2.1178571428571495</v>
      </c>
      <c r="K538" s="4">
        <f t="shared" si="121"/>
        <v>4.7706576728499019</v>
      </c>
      <c r="L538">
        <f t="shared" si="122"/>
        <v>82.670952659263548</v>
      </c>
      <c r="M538" s="14" t="str">
        <f t="shared" si="115"/>
        <v>OVERBOUGHT</v>
      </c>
      <c r="N538" s="7" t="str">
        <f t="shared" si="116"/>
        <v>SELL</v>
      </c>
      <c r="O538" s="7">
        <f t="shared" si="123"/>
        <v>0</v>
      </c>
      <c r="P538" s="7">
        <f t="shared" si="124"/>
        <v>-1</v>
      </c>
      <c r="Q538" s="10" t="e">
        <f t="shared" si="117"/>
        <v>#N/A</v>
      </c>
      <c r="R538" s="10" t="e">
        <f t="shared" si="118"/>
        <v>#N/A</v>
      </c>
      <c r="S538" s="7">
        <f t="shared" si="125"/>
        <v>1148</v>
      </c>
      <c r="T538" s="7">
        <f t="shared" ref="T538:T601" si="126">IF(O538="BUY",(S537-S538)/S537,IF(O538="SELL",(S538-S537)/S537,0))</f>
        <v>0</v>
      </c>
    </row>
    <row r="539" spans="1:20" x14ac:dyDescent="0.25">
      <c r="A539" s="1">
        <v>42031</v>
      </c>
      <c r="B539">
        <v>1259</v>
      </c>
      <c r="C539">
        <v>1280.8499999999999</v>
      </c>
      <c r="D539">
        <v>1257.25</v>
      </c>
      <c r="E539">
        <v>1270</v>
      </c>
      <c r="F539">
        <v>1173200</v>
      </c>
      <c r="G539" s="4">
        <f t="shared" si="113"/>
        <v>10.200000000000045</v>
      </c>
      <c r="H539" s="4">
        <f t="shared" si="114"/>
        <v>0</v>
      </c>
      <c r="I539" s="6">
        <f t="shared" si="119"/>
        <v>9.1500000000000092</v>
      </c>
      <c r="J539" s="6">
        <f t="shared" si="120"/>
        <v>2.1178571428571495</v>
      </c>
      <c r="K539" s="4">
        <f t="shared" si="121"/>
        <v>4.3204047217537846</v>
      </c>
      <c r="L539">
        <f t="shared" si="122"/>
        <v>81.204437400950837</v>
      </c>
      <c r="M539" s="14" t="str">
        <f t="shared" si="115"/>
        <v>OVERBOUGHT</v>
      </c>
      <c r="N539" s="7" t="str">
        <f t="shared" si="116"/>
        <v>SELL</v>
      </c>
      <c r="O539" s="7">
        <f t="shared" si="123"/>
        <v>0</v>
      </c>
      <c r="P539" s="7">
        <f t="shared" si="124"/>
        <v>-1</v>
      </c>
      <c r="Q539" s="10" t="e">
        <f t="shared" si="117"/>
        <v>#N/A</v>
      </c>
      <c r="R539" s="10" t="e">
        <f t="shared" si="118"/>
        <v>#N/A</v>
      </c>
      <c r="S539" s="7">
        <f t="shared" si="125"/>
        <v>1148</v>
      </c>
      <c r="T539" s="7">
        <f t="shared" si="126"/>
        <v>0</v>
      </c>
    </row>
    <row r="540" spans="1:20" x14ac:dyDescent="0.25">
      <c r="A540" s="1">
        <v>42032</v>
      </c>
      <c r="B540">
        <v>1279</v>
      </c>
      <c r="C540">
        <v>1279.95</v>
      </c>
      <c r="D540">
        <v>1245.5999999999999</v>
      </c>
      <c r="E540">
        <v>1252.05</v>
      </c>
      <c r="F540">
        <v>930685</v>
      </c>
      <c r="G540" s="4">
        <f t="shared" si="113"/>
        <v>0</v>
      </c>
      <c r="H540" s="4">
        <f t="shared" si="114"/>
        <v>17.950000000000045</v>
      </c>
      <c r="I540" s="6">
        <f t="shared" si="119"/>
        <v>7.5571428571428703</v>
      </c>
      <c r="J540" s="6">
        <f t="shared" si="120"/>
        <v>3.4000000000000097</v>
      </c>
      <c r="K540" s="4">
        <f t="shared" si="121"/>
        <v>2.2226890756302495</v>
      </c>
      <c r="L540">
        <f t="shared" si="122"/>
        <v>68.970013037809622</v>
      </c>
      <c r="M540" s="14" t="str">
        <f t="shared" si="115"/>
        <v/>
      </c>
      <c r="N540" s="7">
        <f t="shared" si="116"/>
        <v>0</v>
      </c>
      <c r="O540" s="7">
        <f t="shared" si="123"/>
        <v>0</v>
      </c>
      <c r="P540" s="7">
        <f t="shared" si="124"/>
        <v>-1</v>
      </c>
      <c r="Q540" s="10" t="e">
        <f t="shared" si="117"/>
        <v>#N/A</v>
      </c>
      <c r="R540" s="10" t="e">
        <f t="shared" si="118"/>
        <v>#N/A</v>
      </c>
      <c r="S540" s="7">
        <f t="shared" si="125"/>
        <v>1148</v>
      </c>
      <c r="T540" s="7">
        <f t="shared" si="126"/>
        <v>0</v>
      </c>
    </row>
    <row r="541" spans="1:20" x14ac:dyDescent="0.25">
      <c r="A541" s="1">
        <v>42033</v>
      </c>
      <c r="B541">
        <v>1255.25</v>
      </c>
      <c r="C541">
        <v>1260.4000000000001</v>
      </c>
      <c r="D541">
        <v>1219.0999999999999</v>
      </c>
      <c r="E541">
        <v>1226.55</v>
      </c>
      <c r="F541">
        <v>1986745</v>
      </c>
      <c r="G541" s="4">
        <f t="shared" si="113"/>
        <v>0</v>
      </c>
      <c r="H541" s="4">
        <f t="shared" si="114"/>
        <v>25.5</v>
      </c>
      <c r="I541" s="6">
        <f t="shared" si="119"/>
        <v>7.2607142857142923</v>
      </c>
      <c r="J541" s="6">
        <f t="shared" si="120"/>
        <v>5.2214285714285813</v>
      </c>
      <c r="K541" s="4">
        <f t="shared" si="121"/>
        <v>1.3905608755129946</v>
      </c>
      <c r="L541">
        <f t="shared" si="122"/>
        <v>58.16881258941342</v>
      </c>
      <c r="M541" s="14" t="str">
        <f t="shared" si="115"/>
        <v/>
      </c>
      <c r="N541" s="7">
        <f t="shared" si="116"/>
        <v>0</v>
      </c>
      <c r="O541" s="7">
        <f t="shared" si="123"/>
        <v>0</v>
      </c>
      <c r="P541" s="7">
        <f t="shared" si="124"/>
        <v>-1</v>
      </c>
      <c r="Q541" s="10" t="e">
        <f t="shared" si="117"/>
        <v>#N/A</v>
      </c>
      <c r="R541" s="10" t="e">
        <f t="shared" si="118"/>
        <v>#N/A</v>
      </c>
      <c r="S541" s="7">
        <f t="shared" si="125"/>
        <v>1148</v>
      </c>
      <c r="T541" s="7">
        <f t="shared" si="126"/>
        <v>0</v>
      </c>
    </row>
    <row r="542" spans="1:20" x14ac:dyDescent="0.25">
      <c r="A542" s="1">
        <v>42034</v>
      </c>
      <c r="B542">
        <v>1240</v>
      </c>
      <c r="C542">
        <v>1240</v>
      </c>
      <c r="D542">
        <v>1212.25</v>
      </c>
      <c r="E542">
        <v>1221.95</v>
      </c>
      <c r="F542">
        <v>1530108</v>
      </c>
      <c r="G542" s="4">
        <f t="shared" si="113"/>
        <v>0</v>
      </c>
      <c r="H542" s="4">
        <f t="shared" si="114"/>
        <v>4.5999999999999091</v>
      </c>
      <c r="I542" s="6">
        <f t="shared" si="119"/>
        <v>5.7142857142857144</v>
      </c>
      <c r="J542" s="6">
        <f t="shared" si="120"/>
        <v>5.5500000000000034</v>
      </c>
      <c r="K542" s="4">
        <f t="shared" si="121"/>
        <v>1.0296010296010289</v>
      </c>
      <c r="L542">
        <f t="shared" si="122"/>
        <v>50.729232720355085</v>
      </c>
      <c r="M542" s="14" t="str">
        <f t="shared" si="115"/>
        <v/>
      </c>
      <c r="N542" s="7">
        <f t="shared" si="116"/>
        <v>0</v>
      </c>
      <c r="O542" s="7">
        <f t="shared" si="123"/>
        <v>0</v>
      </c>
      <c r="P542" s="7">
        <f t="shared" si="124"/>
        <v>-1</v>
      </c>
      <c r="Q542" s="10" t="e">
        <f t="shared" si="117"/>
        <v>#N/A</v>
      </c>
      <c r="R542" s="10" t="e">
        <f t="shared" si="118"/>
        <v>#N/A</v>
      </c>
      <c r="S542" s="7">
        <f t="shared" si="125"/>
        <v>1148</v>
      </c>
      <c r="T542" s="7">
        <f t="shared" si="126"/>
        <v>0</v>
      </c>
    </row>
    <row r="543" spans="1:20" x14ac:dyDescent="0.25">
      <c r="A543" s="1">
        <v>42037</v>
      </c>
      <c r="B543">
        <v>1223</v>
      </c>
      <c r="C543">
        <v>1226.95</v>
      </c>
      <c r="D543">
        <v>1210.05</v>
      </c>
      <c r="E543">
        <v>1219.5999999999999</v>
      </c>
      <c r="F543">
        <v>784297</v>
      </c>
      <c r="G543" s="4">
        <f t="shared" si="113"/>
        <v>0</v>
      </c>
      <c r="H543" s="4">
        <f t="shared" si="114"/>
        <v>2.3500000000001364</v>
      </c>
      <c r="I543" s="6">
        <f t="shared" si="119"/>
        <v>5.0750000000000126</v>
      </c>
      <c r="J543" s="6">
        <f t="shared" si="120"/>
        <v>5.7178571428571558</v>
      </c>
      <c r="K543" s="4">
        <f t="shared" si="121"/>
        <v>0.88757026858213639</v>
      </c>
      <c r="L543">
        <f t="shared" si="122"/>
        <v>47.021839841164798</v>
      </c>
      <c r="M543" s="14" t="str">
        <f t="shared" si="115"/>
        <v/>
      </c>
      <c r="N543" s="7">
        <f t="shared" si="116"/>
        <v>0</v>
      </c>
      <c r="O543" s="7">
        <f t="shared" si="123"/>
        <v>0</v>
      </c>
      <c r="P543" s="7">
        <f t="shared" si="124"/>
        <v>-1</v>
      </c>
      <c r="Q543" s="10" t="e">
        <f t="shared" si="117"/>
        <v>#N/A</v>
      </c>
      <c r="R543" s="10" t="e">
        <f t="shared" si="118"/>
        <v>#N/A</v>
      </c>
      <c r="S543" s="7">
        <f t="shared" si="125"/>
        <v>1148</v>
      </c>
      <c r="T543" s="7">
        <f t="shared" si="126"/>
        <v>0</v>
      </c>
    </row>
    <row r="544" spans="1:20" x14ac:dyDescent="0.25">
      <c r="A544" s="1">
        <v>42038</v>
      </c>
      <c r="B544">
        <v>1226</v>
      </c>
      <c r="C544">
        <v>1227</v>
      </c>
      <c r="D544">
        <v>1207</v>
      </c>
      <c r="E544">
        <v>1217.25</v>
      </c>
      <c r="F544">
        <v>1154616</v>
      </c>
      <c r="G544" s="4">
        <f t="shared" si="113"/>
        <v>0</v>
      </c>
      <c r="H544" s="4">
        <f t="shared" si="114"/>
        <v>2.3499999999999091</v>
      </c>
      <c r="I544" s="6">
        <f t="shared" si="119"/>
        <v>4.7321428571428568</v>
      </c>
      <c r="J544" s="6">
        <f t="shared" si="120"/>
        <v>5.8857142857142923</v>
      </c>
      <c r="K544" s="4">
        <f t="shared" si="121"/>
        <v>0.8040048543689311</v>
      </c>
      <c r="L544">
        <f t="shared" si="122"/>
        <v>44.567776656575823</v>
      </c>
      <c r="M544" s="14" t="str">
        <f t="shared" si="115"/>
        <v/>
      </c>
      <c r="N544" s="7">
        <f t="shared" si="116"/>
        <v>0</v>
      </c>
      <c r="O544" s="7">
        <f t="shared" si="123"/>
        <v>0</v>
      </c>
      <c r="P544" s="7">
        <f t="shared" si="124"/>
        <v>-1</v>
      </c>
      <c r="Q544" s="10" t="e">
        <f t="shared" si="117"/>
        <v>#N/A</v>
      </c>
      <c r="R544" s="10" t="e">
        <f t="shared" si="118"/>
        <v>#N/A</v>
      </c>
      <c r="S544" s="7">
        <f t="shared" si="125"/>
        <v>1148</v>
      </c>
      <c r="T544" s="7">
        <f t="shared" si="126"/>
        <v>0</v>
      </c>
    </row>
    <row r="545" spans="1:20" x14ac:dyDescent="0.25">
      <c r="A545" s="1">
        <v>42039</v>
      </c>
      <c r="B545">
        <v>1219</v>
      </c>
      <c r="C545">
        <v>1223.8499999999999</v>
      </c>
      <c r="D545">
        <v>1213</v>
      </c>
      <c r="E545">
        <v>1218.4000000000001</v>
      </c>
      <c r="F545">
        <v>32711</v>
      </c>
      <c r="G545" s="4">
        <f t="shared" si="113"/>
        <v>1.1500000000000909</v>
      </c>
      <c r="H545" s="4">
        <f t="shared" si="114"/>
        <v>0</v>
      </c>
      <c r="I545" s="6">
        <f t="shared" si="119"/>
        <v>4.8142857142857212</v>
      </c>
      <c r="J545" s="6">
        <f t="shared" si="120"/>
        <v>5.335714285714289</v>
      </c>
      <c r="K545" s="4">
        <f t="shared" si="121"/>
        <v>0.90227576974565005</v>
      </c>
      <c r="L545">
        <f t="shared" si="122"/>
        <v>47.43138634764253</v>
      </c>
      <c r="M545" s="14" t="str">
        <f t="shared" si="115"/>
        <v/>
      </c>
      <c r="N545" s="7">
        <f t="shared" si="116"/>
        <v>0</v>
      </c>
      <c r="O545" s="7">
        <f t="shared" si="123"/>
        <v>0</v>
      </c>
      <c r="P545" s="7">
        <f t="shared" si="124"/>
        <v>-1</v>
      </c>
      <c r="Q545" s="10" t="e">
        <f t="shared" si="117"/>
        <v>#N/A</v>
      </c>
      <c r="R545" s="10" t="e">
        <f t="shared" si="118"/>
        <v>#N/A</v>
      </c>
      <c r="S545" s="7">
        <f t="shared" si="125"/>
        <v>1148</v>
      </c>
      <c r="T545" s="7">
        <f t="shared" si="126"/>
        <v>0</v>
      </c>
    </row>
    <row r="546" spans="1:20" x14ac:dyDescent="0.25">
      <c r="A546" s="1">
        <v>42040</v>
      </c>
      <c r="B546">
        <v>1214</v>
      </c>
      <c r="C546">
        <v>1222.45</v>
      </c>
      <c r="D546">
        <v>1201</v>
      </c>
      <c r="E546">
        <v>1207.3</v>
      </c>
      <c r="F546">
        <v>770439</v>
      </c>
      <c r="G546" s="4">
        <f t="shared" si="113"/>
        <v>0</v>
      </c>
      <c r="H546" s="4">
        <f t="shared" si="114"/>
        <v>11.100000000000136</v>
      </c>
      <c r="I546" s="6">
        <f t="shared" si="119"/>
        <v>4.8142857142857212</v>
      </c>
      <c r="J546" s="6">
        <f t="shared" si="120"/>
        <v>5.7214285714285813</v>
      </c>
      <c r="K546" s="4">
        <f t="shared" si="121"/>
        <v>0.84144818976279623</v>
      </c>
      <c r="L546">
        <f t="shared" si="122"/>
        <v>45.69491525423728</v>
      </c>
      <c r="M546" s="14" t="str">
        <f t="shared" si="115"/>
        <v/>
      </c>
      <c r="N546" s="7">
        <f t="shared" si="116"/>
        <v>0</v>
      </c>
      <c r="O546" s="7">
        <f t="shared" si="123"/>
        <v>0</v>
      </c>
      <c r="P546" s="7">
        <f t="shared" si="124"/>
        <v>-1</v>
      </c>
      <c r="Q546" s="10" t="e">
        <f t="shared" si="117"/>
        <v>#N/A</v>
      </c>
      <c r="R546" s="10" t="e">
        <f t="shared" si="118"/>
        <v>#N/A</v>
      </c>
      <c r="S546" s="7">
        <f t="shared" si="125"/>
        <v>1148</v>
      </c>
      <c r="T546" s="7">
        <f t="shared" si="126"/>
        <v>0</v>
      </c>
    </row>
    <row r="547" spans="1:20" x14ac:dyDescent="0.25">
      <c r="A547" s="1">
        <v>42041</v>
      </c>
      <c r="B547">
        <v>1203</v>
      </c>
      <c r="C547">
        <v>1221.3</v>
      </c>
      <c r="D547">
        <v>1189</v>
      </c>
      <c r="E547">
        <v>1202</v>
      </c>
      <c r="F547">
        <v>858861</v>
      </c>
      <c r="G547" s="4">
        <f t="shared" si="113"/>
        <v>0</v>
      </c>
      <c r="H547" s="4">
        <f t="shared" si="114"/>
        <v>5.2999999999999545</v>
      </c>
      <c r="I547" s="6">
        <f t="shared" si="119"/>
        <v>3.2714285714285842</v>
      </c>
      <c r="J547" s="6">
        <f t="shared" si="120"/>
        <v>6.1000000000000068</v>
      </c>
      <c r="K547" s="4">
        <f t="shared" si="121"/>
        <v>0.53629976580796401</v>
      </c>
      <c r="L547">
        <f t="shared" si="122"/>
        <v>34.908536585365923</v>
      </c>
      <c r="M547" s="14" t="str">
        <f t="shared" si="115"/>
        <v/>
      </c>
      <c r="N547" s="7">
        <f t="shared" si="116"/>
        <v>0</v>
      </c>
      <c r="O547" s="7">
        <f t="shared" si="123"/>
        <v>0</v>
      </c>
      <c r="P547" s="7">
        <f t="shared" si="124"/>
        <v>-1</v>
      </c>
      <c r="Q547" s="10" t="e">
        <f t="shared" si="117"/>
        <v>#N/A</v>
      </c>
      <c r="R547" s="10" t="e">
        <f t="shared" si="118"/>
        <v>#N/A</v>
      </c>
      <c r="S547" s="7">
        <f t="shared" si="125"/>
        <v>1148</v>
      </c>
      <c r="T547" s="7">
        <f t="shared" si="126"/>
        <v>0</v>
      </c>
    </row>
    <row r="548" spans="1:20" x14ac:dyDescent="0.25">
      <c r="A548" s="1">
        <v>42044</v>
      </c>
      <c r="B548">
        <v>1195</v>
      </c>
      <c r="C548">
        <v>1206</v>
      </c>
      <c r="D548">
        <v>1186.55</v>
      </c>
      <c r="E548">
        <v>1192.8499999999999</v>
      </c>
      <c r="F548">
        <v>972833</v>
      </c>
      <c r="G548" s="4">
        <f t="shared" si="113"/>
        <v>0</v>
      </c>
      <c r="H548" s="4">
        <f t="shared" si="114"/>
        <v>9.1500000000000909</v>
      </c>
      <c r="I548" s="6">
        <f t="shared" si="119"/>
        <v>3.2714285714285842</v>
      </c>
      <c r="J548" s="6">
        <f t="shared" si="120"/>
        <v>5.5928571428571558</v>
      </c>
      <c r="K548" s="4">
        <f t="shared" si="121"/>
        <v>0.58492975734355135</v>
      </c>
      <c r="L548">
        <f t="shared" si="122"/>
        <v>36.905721192586654</v>
      </c>
      <c r="M548" s="14" t="str">
        <f t="shared" si="115"/>
        <v/>
      </c>
      <c r="N548" s="7">
        <f t="shared" si="116"/>
        <v>0</v>
      </c>
      <c r="O548" s="7">
        <f t="shared" si="123"/>
        <v>0</v>
      </c>
      <c r="P548" s="7">
        <f t="shared" si="124"/>
        <v>-1</v>
      </c>
      <c r="Q548" s="10" t="e">
        <f t="shared" si="117"/>
        <v>#N/A</v>
      </c>
      <c r="R548" s="10" t="e">
        <f t="shared" si="118"/>
        <v>#N/A</v>
      </c>
      <c r="S548" s="7">
        <f t="shared" si="125"/>
        <v>1148</v>
      </c>
      <c r="T548" s="7">
        <f t="shared" si="126"/>
        <v>0</v>
      </c>
    </row>
    <row r="549" spans="1:20" x14ac:dyDescent="0.25">
      <c r="A549" s="1">
        <v>42045</v>
      </c>
      <c r="B549">
        <v>1227</v>
      </c>
      <c r="C549">
        <v>1227</v>
      </c>
      <c r="D549">
        <v>1202.95</v>
      </c>
      <c r="E549">
        <v>1208.55</v>
      </c>
      <c r="F549">
        <v>1112879</v>
      </c>
      <c r="G549" s="4">
        <f t="shared" si="113"/>
        <v>15.700000000000045</v>
      </c>
      <c r="H549" s="4">
        <f t="shared" si="114"/>
        <v>0</v>
      </c>
      <c r="I549" s="6">
        <f t="shared" si="119"/>
        <v>4.1500000000000101</v>
      </c>
      <c r="J549" s="6">
        <f t="shared" si="120"/>
        <v>5.5928571428571558</v>
      </c>
      <c r="K549" s="4">
        <f t="shared" si="121"/>
        <v>0.74201787994891455</v>
      </c>
      <c r="L549">
        <f t="shared" si="122"/>
        <v>42.595307917888569</v>
      </c>
      <c r="M549" s="14" t="str">
        <f t="shared" si="115"/>
        <v/>
      </c>
      <c r="N549" s="7">
        <f t="shared" si="116"/>
        <v>0</v>
      </c>
      <c r="O549" s="7">
        <f t="shared" si="123"/>
        <v>0</v>
      </c>
      <c r="P549" s="7">
        <f t="shared" si="124"/>
        <v>-1</v>
      </c>
      <c r="Q549" s="10" t="e">
        <f t="shared" si="117"/>
        <v>#N/A</v>
      </c>
      <c r="R549" s="10" t="e">
        <f t="shared" si="118"/>
        <v>#N/A</v>
      </c>
      <c r="S549" s="7">
        <f t="shared" si="125"/>
        <v>1148</v>
      </c>
      <c r="T549" s="7">
        <f t="shared" si="126"/>
        <v>0</v>
      </c>
    </row>
    <row r="550" spans="1:20" x14ac:dyDescent="0.25">
      <c r="A550" s="1">
        <v>42046</v>
      </c>
      <c r="B550">
        <v>1215.9000000000001</v>
      </c>
      <c r="C550">
        <v>1218.8499999999999</v>
      </c>
      <c r="D550">
        <v>1183.2</v>
      </c>
      <c r="E550">
        <v>1189.05</v>
      </c>
      <c r="F550">
        <v>1120139</v>
      </c>
      <c r="G550" s="4">
        <f t="shared" si="113"/>
        <v>0</v>
      </c>
      <c r="H550" s="4">
        <f t="shared" si="114"/>
        <v>19.5</v>
      </c>
      <c r="I550" s="6">
        <f t="shared" si="119"/>
        <v>3.5571428571428703</v>
      </c>
      <c r="J550" s="6">
        <f t="shared" si="120"/>
        <v>6.9857142857142991</v>
      </c>
      <c r="K550" s="4">
        <f t="shared" si="121"/>
        <v>0.50920245398773101</v>
      </c>
      <c r="L550">
        <f t="shared" si="122"/>
        <v>33.739837398374036</v>
      </c>
      <c r="M550" s="14" t="str">
        <f t="shared" si="115"/>
        <v/>
      </c>
      <c r="N550" s="7">
        <f t="shared" si="116"/>
        <v>0</v>
      </c>
      <c r="O550" s="7">
        <f t="shared" si="123"/>
        <v>0</v>
      </c>
      <c r="P550" s="7">
        <f t="shared" si="124"/>
        <v>-1</v>
      </c>
      <c r="Q550" s="10" t="e">
        <f t="shared" si="117"/>
        <v>#N/A</v>
      </c>
      <c r="R550" s="10" t="e">
        <f t="shared" si="118"/>
        <v>#N/A</v>
      </c>
      <c r="S550" s="7">
        <f t="shared" si="125"/>
        <v>1148</v>
      </c>
      <c r="T550" s="7">
        <f t="shared" si="126"/>
        <v>0</v>
      </c>
    </row>
    <row r="551" spans="1:20" x14ac:dyDescent="0.25">
      <c r="A551" s="1">
        <v>42047</v>
      </c>
      <c r="B551">
        <v>1190</v>
      </c>
      <c r="C551">
        <v>1214.95</v>
      </c>
      <c r="D551">
        <v>1190</v>
      </c>
      <c r="E551">
        <v>1197</v>
      </c>
      <c r="F551">
        <v>1246232</v>
      </c>
      <c r="G551" s="4">
        <f t="shared" si="113"/>
        <v>7.9500000000000455</v>
      </c>
      <c r="H551" s="4">
        <f t="shared" si="114"/>
        <v>0</v>
      </c>
      <c r="I551" s="6">
        <f t="shared" si="119"/>
        <v>3.0321428571428766</v>
      </c>
      <c r="J551" s="6">
        <f t="shared" si="120"/>
        <v>6.9857142857142991</v>
      </c>
      <c r="K551" s="4">
        <f t="shared" si="121"/>
        <v>0.43404907975460316</v>
      </c>
      <c r="L551">
        <f t="shared" si="122"/>
        <v>30.267379679144483</v>
      </c>
      <c r="M551" s="14" t="str">
        <f t="shared" si="115"/>
        <v/>
      </c>
      <c r="N551" s="7">
        <f t="shared" si="116"/>
        <v>0</v>
      </c>
      <c r="O551" s="7">
        <f t="shared" si="123"/>
        <v>0</v>
      </c>
      <c r="P551" s="7">
        <f t="shared" si="124"/>
        <v>-1</v>
      </c>
      <c r="Q551" s="10" t="e">
        <f t="shared" si="117"/>
        <v>#N/A</v>
      </c>
      <c r="R551" s="10" t="e">
        <f t="shared" si="118"/>
        <v>#N/A</v>
      </c>
      <c r="S551" s="7">
        <f t="shared" si="125"/>
        <v>1148</v>
      </c>
      <c r="T551" s="7">
        <f t="shared" si="126"/>
        <v>0</v>
      </c>
    </row>
    <row r="552" spans="1:20" x14ac:dyDescent="0.25">
      <c r="A552" s="1">
        <v>42048</v>
      </c>
      <c r="B552">
        <v>1210.0999999999999</v>
      </c>
      <c r="C552">
        <v>1214</v>
      </c>
      <c r="D552">
        <v>1151</v>
      </c>
      <c r="E552">
        <v>1154.55</v>
      </c>
      <c r="F552">
        <v>4032657</v>
      </c>
      <c r="G552" s="4">
        <f t="shared" si="113"/>
        <v>0</v>
      </c>
      <c r="H552" s="4">
        <f t="shared" si="114"/>
        <v>42.450000000000045</v>
      </c>
      <c r="I552" s="6">
        <f t="shared" si="119"/>
        <v>2.5000000000000164</v>
      </c>
      <c r="J552" s="6">
        <f t="shared" si="120"/>
        <v>10.017857142857158</v>
      </c>
      <c r="K552" s="4">
        <f t="shared" si="121"/>
        <v>0.24955436720142729</v>
      </c>
      <c r="L552">
        <f t="shared" si="122"/>
        <v>19.971469329529327</v>
      </c>
      <c r="M552" s="14" t="str">
        <f t="shared" si="115"/>
        <v>OVERSOLD</v>
      </c>
      <c r="N552" s="7" t="str">
        <f t="shared" si="116"/>
        <v>BUY</v>
      </c>
      <c r="O552" s="7" t="str">
        <f t="shared" si="123"/>
        <v>BUY</v>
      </c>
      <c r="P552" s="7">
        <f t="shared" si="124"/>
        <v>1</v>
      </c>
      <c r="Q552" s="10">
        <f t="shared" si="117"/>
        <v>1154.55</v>
      </c>
      <c r="R552" s="10" t="e">
        <f t="shared" si="118"/>
        <v>#N/A</v>
      </c>
      <c r="S552" s="7">
        <f t="shared" si="125"/>
        <v>1154.55</v>
      </c>
      <c r="T552" s="7">
        <f t="shared" si="126"/>
        <v>-5.7055749128919466E-3</v>
      </c>
    </row>
    <row r="553" spans="1:20" x14ac:dyDescent="0.25">
      <c r="A553" s="1">
        <v>42051</v>
      </c>
      <c r="B553">
        <v>1159</v>
      </c>
      <c r="C553">
        <v>1170.95</v>
      </c>
      <c r="D553">
        <v>1145</v>
      </c>
      <c r="E553">
        <v>1163.7</v>
      </c>
      <c r="F553">
        <v>2142118</v>
      </c>
      <c r="G553" s="4">
        <f t="shared" si="113"/>
        <v>9.1500000000000909</v>
      </c>
      <c r="H553" s="4">
        <f t="shared" si="114"/>
        <v>0</v>
      </c>
      <c r="I553" s="6">
        <f t="shared" si="119"/>
        <v>2.4250000000000194</v>
      </c>
      <c r="J553" s="6">
        <f t="shared" si="120"/>
        <v>10.017857142857158</v>
      </c>
      <c r="K553" s="4">
        <f t="shared" si="121"/>
        <v>0.2420677361853848</v>
      </c>
      <c r="L553">
        <f t="shared" si="122"/>
        <v>19.489092996555783</v>
      </c>
      <c r="M553" s="14" t="str">
        <f t="shared" si="115"/>
        <v>OVERSOLD</v>
      </c>
      <c r="N553" s="7" t="str">
        <f t="shared" si="116"/>
        <v>BUY</v>
      </c>
      <c r="O553" s="7">
        <f t="shared" si="123"/>
        <v>0</v>
      </c>
      <c r="P553" s="7">
        <f t="shared" si="124"/>
        <v>1</v>
      </c>
      <c r="Q553" s="10" t="e">
        <f t="shared" si="117"/>
        <v>#N/A</v>
      </c>
      <c r="R553" s="10" t="e">
        <f t="shared" si="118"/>
        <v>#N/A</v>
      </c>
      <c r="S553" s="7">
        <f t="shared" si="125"/>
        <v>1154.55</v>
      </c>
      <c r="T553" s="7">
        <f t="shared" si="126"/>
        <v>0</v>
      </c>
    </row>
    <row r="554" spans="1:20" x14ac:dyDescent="0.25">
      <c r="A554" s="1">
        <v>42052</v>
      </c>
      <c r="B554">
        <v>1169.95</v>
      </c>
      <c r="C554">
        <v>1180</v>
      </c>
      <c r="D554">
        <v>1158</v>
      </c>
      <c r="E554">
        <v>1169.55</v>
      </c>
      <c r="F554">
        <v>1027362</v>
      </c>
      <c r="G554" s="4">
        <f t="shared" si="113"/>
        <v>5.8499999999999091</v>
      </c>
      <c r="H554" s="4">
        <f t="shared" si="114"/>
        <v>0</v>
      </c>
      <c r="I554" s="6">
        <f t="shared" si="119"/>
        <v>2.8428571428571558</v>
      </c>
      <c r="J554" s="6">
        <f t="shared" si="120"/>
        <v>8.7357142857142982</v>
      </c>
      <c r="K554" s="4">
        <f t="shared" si="121"/>
        <v>0.32542927228127655</v>
      </c>
      <c r="L554">
        <f t="shared" si="122"/>
        <v>24.55274521900067</v>
      </c>
      <c r="M554" s="14" t="str">
        <f t="shared" si="115"/>
        <v>OVERSOLD</v>
      </c>
      <c r="N554" s="7" t="str">
        <f t="shared" si="116"/>
        <v>BUY</v>
      </c>
      <c r="O554" s="7">
        <f t="shared" si="123"/>
        <v>0</v>
      </c>
      <c r="P554" s="7">
        <f t="shared" si="124"/>
        <v>1</v>
      </c>
      <c r="Q554" s="10" t="e">
        <f t="shared" si="117"/>
        <v>#N/A</v>
      </c>
      <c r="R554" s="10" t="e">
        <f t="shared" si="118"/>
        <v>#N/A</v>
      </c>
      <c r="S554" s="7">
        <f t="shared" si="125"/>
        <v>1154.55</v>
      </c>
      <c r="T554" s="7">
        <f t="shared" si="126"/>
        <v>0</v>
      </c>
    </row>
    <row r="555" spans="1:20" x14ac:dyDescent="0.25">
      <c r="A555" s="1">
        <v>42053</v>
      </c>
      <c r="B555">
        <v>1169.55</v>
      </c>
      <c r="C555">
        <v>1169.55</v>
      </c>
      <c r="D555">
        <v>1111.8</v>
      </c>
      <c r="E555">
        <v>1122</v>
      </c>
      <c r="F555">
        <v>2566432</v>
      </c>
      <c r="G555" s="4">
        <f t="shared" si="113"/>
        <v>0</v>
      </c>
      <c r="H555" s="4">
        <f t="shared" si="114"/>
        <v>47.549999999999955</v>
      </c>
      <c r="I555" s="6">
        <f t="shared" si="119"/>
        <v>2.8428571428571558</v>
      </c>
      <c r="J555" s="6">
        <f t="shared" si="120"/>
        <v>10.310714285714296</v>
      </c>
      <c r="K555" s="4">
        <f t="shared" si="121"/>
        <v>0.27571873917561579</v>
      </c>
      <c r="L555">
        <f t="shared" si="122"/>
        <v>21.61281563942444</v>
      </c>
      <c r="M555" s="14" t="str">
        <f t="shared" si="115"/>
        <v>OVERSOLD</v>
      </c>
      <c r="N555" s="7" t="str">
        <f t="shared" si="116"/>
        <v>BUY</v>
      </c>
      <c r="O555" s="7">
        <f t="shared" si="123"/>
        <v>0</v>
      </c>
      <c r="P555" s="7">
        <f t="shared" si="124"/>
        <v>1</v>
      </c>
      <c r="Q555" s="10" t="e">
        <f t="shared" si="117"/>
        <v>#N/A</v>
      </c>
      <c r="R555" s="10" t="e">
        <f t="shared" si="118"/>
        <v>#N/A</v>
      </c>
      <c r="S555" s="7">
        <f t="shared" si="125"/>
        <v>1154.55</v>
      </c>
      <c r="T555" s="7">
        <f t="shared" si="126"/>
        <v>0</v>
      </c>
    </row>
    <row r="556" spans="1:20" x14ac:dyDescent="0.25">
      <c r="A556" s="1">
        <v>42054</v>
      </c>
      <c r="B556">
        <v>1129</v>
      </c>
      <c r="C556">
        <v>1145</v>
      </c>
      <c r="D556">
        <v>1120</v>
      </c>
      <c r="E556">
        <v>1134.8499999999999</v>
      </c>
      <c r="F556">
        <v>1841602</v>
      </c>
      <c r="G556" s="4">
        <f t="shared" si="113"/>
        <v>12.849999999999909</v>
      </c>
      <c r="H556" s="4">
        <f t="shared" si="114"/>
        <v>0</v>
      </c>
      <c r="I556" s="6">
        <f t="shared" si="119"/>
        <v>3.7607142857142923</v>
      </c>
      <c r="J556" s="6">
        <f t="shared" si="120"/>
        <v>9.9821428571428736</v>
      </c>
      <c r="K556" s="4">
        <f t="shared" si="121"/>
        <v>0.37674418604651166</v>
      </c>
      <c r="L556">
        <f t="shared" si="122"/>
        <v>27.36486486486487</v>
      </c>
      <c r="M556" s="14" t="str">
        <f t="shared" si="115"/>
        <v>OVERSOLD</v>
      </c>
      <c r="N556" s="7" t="str">
        <f t="shared" si="116"/>
        <v>BUY</v>
      </c>
      <c r="O556" s="7">
        <f t="shared" si="123"/>
        <v>0</v>
      </c>
      <c r="P556" s="7">
        <f t="shared" si="124"/>
        <v>1</v>
      </c>
      <c r="Q556" s="10" t="e">
        <f t="shared" si="117"/>
        <v>#N/A</v>
      </c>
      <c r="R556" s="10" t="e">
        <f t="shared" si="118"/>
        <v>#N/A</v>
      </c>
      <c r="S556" s="7">
        <f t="shared" si="125"/>
        <v>1154.55</v>
      </c>
      <c r="T556" s="7">
        <f t="shared" si="126"/>
        <v>0</v>
      </c>
    </row>
    <row r="557" spans="1:20" x14ac:dyDescent="0.25">
      <c r="A557" s="1">
        <v>42055</v>
      </c>
      <c r="B557">
        <v>1136.95</v>
      </c>
      <c r="C557">
        <v>1179.8</v>
      </c>
      <c r="D557">
        <v>1136.55</v>
      </c>
      <c r="E557">
        <v>1175.75</v>
      </c>
      <c r="F557">
        <v>2276621</v>
      </c>
      <c r="G557" s="4">
        <f t="shared" si="113"/>
        <v>40.900000000000091</v>
      </c>
      <c r="H557" s="4">
        <f t="shared" si="114"/>
        <v>0</v>
      </c>
      <c r="I557" s="6">
        <f t="shared" si="119"/>
        <v>6.6821428571428703</v>
      </c>
      <c r="J557" s="6">
        <f t="shared" si="120"/>
        <v>9.8142857142857203</v>
      </c>
      <c r="K557" s="4">
        <f t="shared" si="121"/>
        <v>0.6808588064046589</v>
      </c>
      <c r="L557">
        <f t="shared" si="122"/>
        <v>40.50660316085736</v>
      </c>
      <c r="M557" s="14" t="str">
        <f t="shared" si="115"/>
        <v/>
      </c>
      <c r="N557" s="7">
        <f t="shared" si="116"/>
        <v>0</v>
      </c>
      <c r="O557" s="7">
        <f t="shared" si="123"/>
        <v>0</v>
      </c>
      <c r="P557" s="7">
        <f t="shared" si="124"/>
        <v>1</v>
      </c>
      <c r="Q557" s="10" t="e">
        <f t="shared" si="117"/>
        <v>#N/A</v>
      </c>
      <c r="R557" s="10" t="e">
        <f t="shared" si="118"/>
        <v>#N/A</v>
      </c>
      <c r="S557" s="7">
        <f t="shared" si="125"/>
        <v>1154.55</v>
      </c>
      <c r="T557" s="7">
        <f t="shared" si="126"/>
        <v>0</v>
      </c>
    </row>
    <row r="558" spans="1:20" x14ac:dyDescent="0.25">
      <c r="A558" s="1">
        <v>42058</v>
      </c>
      <c r="B558">
        <v>1174.7</v>
      </c>
      <c r="C558">
        <v>1189.7</v>
      </c>
      <c r="D558">
        <v>1160</v>
      </c>
      <c r="E558">
        <v>1167.75</v>
      </c>
      <c r="F558">
        <v>1710847</v>
      </c>
      <c r="G558" s="4">
        <f t="shared" si="113"/>
        <v>0</v>
      </c>
      <c r="H558" s="4">
        <f t="shared" si="114"/>
        <v>8</v>
      </c>
      <c r="I558" s="6">
        <f t="shared" si="119"/>
        <v>6.6821428571428703</v>
      </c>
      <c r="J558" s="6">
        <f t="shared" si="120"/>
        <v>10.217857142857156</v>
      </c>
      <c r="K558" s="4">
        <f t="shared" si="121"/>
        <v>0.65396714435512104</v>
      </c>
      <c r="L558">
        <f t="shared" si="122"/>
        <v>39.539306846999168</v>
      </c>
      <c r="M558" s="14" t="str">
        <f t="shared" si="115"/>
        <v/>
      </c>
      <c r="N558" s="7">
        <f t="shared" si="116"/>
        <v>0</v>
      </c>
      <c r="O558" s="7">
        <f t="shared" si="123"/>
        <v>0</v>
      </c>
      <c r="P558" s="7">
        <f t="shared" si="124"/>
        <v>1</v>
      </c>
      <c r="Q558" s="10" t="e">
        <f t="shared" si="117"/>
        <v>#N/A</v>
      </c>
      <c r="R558" s="10" t="e">
        <f t="shared" si="118"/>
        <v>#N/A</v>
      </c>
      <c r="S558" s="7">
        <f t="shared" si="125"/>
        <v>1154.55</v>
      </c>
      <c r="T558" s="7">
        <f t="shared" si="126"/>
        <v>0</v>
      </c>
    </row>
    <row r="559" spans="1:20" x14ac:dyDescent="0.25">
      <c r="A559" s="1">
        <v>42059</v>
      </c>
      <c r="B559">
        <v>1175</v>
      </c>
      <c r="C559">
        <v>1191.9000000000001</v>
      </c>
      <c r="D559">
        <v>1164.8</v>
      </c>
      <c r="E559">
        <v>1184.6500000000001</v>
      </c>
      <c r="F559">
        <v>1579218</v>
      </c>
      <c r="G559" s="4">
        <f t="shared" si="113"/>
        <v>16.900000000000091</v>
      </c>
      <c r="H559" s="4">
        <f t="shared" si="114"/>
        <v>0</v>
      </c>
      <c r="I559" s="6">
        <f t="shared" si="119"/>
        <v>7.8071428571428703</v>
      </c>
      <c r="J559" s="6">
        <f t="shared" si="120"/>
        <v>10.217857142857156</v>
      </c>
      <c r="K559" s="4">
        <f t="shared" si="121"/>
        <v>0.76406850751485522</v>
      </c>
      <c r="L559">
        <f t="shared" si="122"/>
        <v>43.312859124232226</v>
      </c>
      <c r="M559" s="14" t="str">
        <f t="shared" si="115"/>
        <v/>
      </c>
      <c r="N559" s="7">
        <f t="shared" si="116"/>
        <v>0</v>
      </c>
      <c r="O559" s="7">
        <f t="shared" si="123"/>
        <v>0</v>
      </c>
      <c r="P559" s="7">
        <f t="shared" si="124"/>
        <v>1</v>
      </c>
      <c r="Q559" s="10" t="e">
        <f t="shared" si="117"/>
        <v>#N/A</v>
      </c>
      <c r="R559" s="10" t="e">
        <f t="shared" si="118"/>
        <v>#N/A</v>
      </c>
      <c r="S559" s="7">
        <f t="shared" si="125"/>
        <v>1154.55</v>
      </c>
      <c r="T559" s="7">
        <f t="shared" si="126"/>
        <v>0</v>
      </c>
    </row>
    <row r="560" spans="1:20" x14ac:dyDescent="0.25">
      <c r="A560" s="1">
        <v>42060</v>
      </c>
      <c r="B560">
        <v>1177</v>
      </c>
      <c r="C560">
        <v>1185</v>
      </c>
      <c r="D560">
        <v>1154</v>
      </c>
      <c r="E560">
        <v>1161.5999999999999</v>
      </c>
      <c r="F560">
        <v>1526692</v>
      </c>
      <c r="G560" s="4">
        <f t="shared" si="113"/>
        <v>0</v>
      </c>
      <c r="H560" s="4">
        <f t="shared" si="114"/>
        <v>23.050000000000182</v>
      </c>
      <c r="I560" s="6">
        <f t="shared" si="119"/>
        <v>7.8071428571428703</v>
      </c>
      <c r="J560" s="6">
        <f t="shared" si="120"/>
        <v>11.071428571428587</v>
      </c>
      <c r="K560" s="4">
        <f t="shared" si="121"/>
        <v>0.70516129032258079</v>
      </c>
      <c r="L560">
        <f t="shared" si="122"/>
        <v>41.354521377222859</v>
      </c>
      <c r="M560" s="14" t="str">
        <f t="shared" si="115"/>
        <v/>
      </c>
      <c r="N560" s="7">
        <f t="shared" si="116"/>
        <v>0</v>
      </c>
      <c r="O560" s="7">
        <f t="shared" si="123"/>
        <v>0</v>
      </c>
      <c r="P560" s="7">
        <f t="shared" si="124"/>
        <v>1</v>
      </c>
      <c r="Q560" s="10" t="e">
        <f t="shared" si="117"/>
        <v>#N/A</v>
      </c>
      <c r="R560" s="10" t="e">
        <f t="shared" si="118"/>
        <v>#N/A</v>
      </c>
      <c r="S560" s="7">
        <f t="shared" si="125"/>
        <v>1154.55</v>
      </c>
      <c r="T560" s="7">
        <f t="shared" si="126"/>
        <v>0</v>
      </c>
    </row>
    <row r="561" spans="1:20" x14ac:dyDescent="0.25">
      <c r="A561" s="1">
        <v>42061</v>
      </c>
      <c r="B561">
        <v>1173</v>
      </c>
      <c r="C561">
        <v>1179.6500000000001</v>
      </c>
      <c r="D561">
        <v>1151.95</v>
      </c>
      <c r="E561">
        <v>1174.75</v>
      </c>
      <c r="F561">
        <v>794123</v>
      </c>
      <c r="G561" s="4">
        <f t="shared" si="113"/>
        <v>13.150000000000091</v>
      </c>
      <c r="H561" s="4">
        <f t="shared" si="114"/>
        <v>0</v>
      </c>
      <c r="I561" s="6">
        <f t="shared" si="119"/>
        <v>8.7464285714285914</v>
      </c>
      <c r="J561" s="6">
        <f t="shared" si="120"/>
        <v>10.692857142857163</v>
      </c>
      <c r="K561" s="4">
        <f t="shared" si="121"/>
        <v>0.8179692718770879</v>
      </c>
      <c r="L561">
        <f t="shared" si="122"/>
        <v>44.993569722579473</v>
      </c>
      <c r="M561" s="14" t="str">
        <f t="shared" si="115"/>
        <v/>
      </c>
      <c r="N561" s="7">
        <f t="shared" si="116"/>
        <v>0</v>
      </c>
      <c r="O561" s="7">
        <f t="shared" si="123"/>
        <v>0</v>
      </c>
      <c r="P561" s="7">
        <f t="shared" si="124"/>
        <v>1</v>
      </c>
      <c r="Q561" s="10" t="e">
        <f t="shared" si="117"/>
        <v>#N/A</v>
      </c>
      <c r="R561" s="10" t="e">
        <f t="shared" si="118"/>
        <v>#N/A</v>
      </c>
      <c r="S561" s="7">
        <f t="shared" si="125"/>
        <v>1154.55</v>
      </c>
      <c r="T561" s="7">
        <f t="shared" si="126"/>
        <v>0</v>
      </c>
    </row>
    <row r="562" spans="1:20" x14ac:dyDescent="0.25">
      <c r="A562" s="1">
        <v>42062</v>
      </c>
      <c r="B562">
        <v>1174</v>
      </c>
      <c r="C562">
        <v>1174.6500000000001</v>
      </c>
      <c r="D562">
        <v>1154.45</v>
      </c>
      <c r="E562">
        <v>1165.0999999999999</v>
      </c>
      <c r="F562">
        <v>1025548</v>
      </c>
      <c r="G562" s="4">
        <f t="shared" si="113"/>
        <v>0</v>
      </c>
      <c r="H562" s="4">
        <f t="shared" si="114"/>
        <v>9.6500000000000909</v>
      </c>
      <c r="I562" s="6">
        <f t="shared" si="119"/>
        <v>8.7464285714285914</v>
      </c>
      <c r="J562" s="6">
        <f t="shared" si="120"/>
        <v>10.728571428571447</v>
      </c>
      <c r="K562" s="4">
        <f t="shared" si="121"/>
        <v>0.8152463382157128</v>
      </c>
      <c r="L562">
        <f t="shared" si="122"/>
        <v>44.911058133137736</v>
      </c>
      <c r="M562" s="14" t="str">
        <f t="shared" si="115"/>
        <v/>
      </c>
      <c r="N562" s="7">
        <f t="shared" si="116"/>
        <v>0</v>
      </c>
      <c r="O562" s="7">
        <f t="shared" si="123"/>
        <v>0</v>
      </c>
      <c r="P562" s="7">
        <f t="shared" si="124"/>
        <v>1</v>
      </c>
      <c r="Q562" s="10" t="e">
        <f t="shared" si="117"/>
        <v>#N/A</v>
      </c>
      <c r="R562" s="10" t="e">
        <f t="shared" si="118"/>
        <v>#N/A</v>
      </c>
      <c r="S562" s="7">
        <f t="shared" si="125"/>
        <v>1154.55</v>
      </c>
      <c r="T562" s="7">
        <f t="shared" si="126"/>
        <v>0</v>
      </c>
    </row>
    <row r="563" spans="1:20" x14ac:dyDescent="0.25">
      <c r="A563" s="1">
        <v>42065</v>
      </c>
      <c r="B563">
        <v>1151</v>
      </c>
      <c r="C563">
        <v>1164</v>
      </c>
      <c r="D563">
        <v>1132.4000000000001</v>
      </c>
      <c r="E563">
        <v>1141.2</v>
      </c>
      <c r="F563">
        <v>1340607</v>
      </c>
      <c r="G563" s="4">
        <f t="shared" si="113"/>
        <v>0</v>
      </c>
      <c r="H563" s="4">
        <f t="shared" si="114"/>
        <v>23.899999999999864</v>
      </c>
      <c r="I563" s="6">
        <f t="shared" si="119"/>
        <v>7.625000000000016</v>
      </c>
      <c r="J563" s="6">
        <f t="shared" si="120"/>
        <v>12.435714285714296</v>
      </c>
      <c r="K563" s="4">
        <f t="shared" si="121"/>
        <v>0.6131533601378526</v>
      </c>
      <c r="L563">
        <f t="shared" si="122"/>
        <v>38.009613672779089</v>
      </c>
      <c r="M563" s="14" t="str">
        <f t="shared" si="115"/>
        <v/>
      </c>
      <c r="N563" s="7">
        <f t="shared" si="116"/>
        <v>0</v>
      </c>
      <c r="O563" s="7">
        <f t="shared" si="123"/>
        <v>0</v>
      </c>
      <c r="P563" s="7">
        <f t="shared" si="124"/>
        <v>1</v>
      </c>
      <c r="Q563" s="10" t="e">
        <f t="shared" si="117"/>
        <v>#N/A</v>
      </c>
      <c r="R563" s="10" t="e">
        <f t="shared" si="118"/>
        <v>#N/A</v>
      </c>
      <c r="S563" s="7">
        <f t="shared" si="125"/>
        <v>1154.55</v>
      </c>
      <c r="T563" s="7">
        <f t="shared" si="126"/>
        <v>0</v>
      </c>
    </row>
    <row r="564" spans="1:20" x14ac:dyDescent="0.25">
      <c r="A564" s="1">
        <v>42066</v>
      </c>
      <c r="B564">
        <v>1145.5</v>
      </c>
      <c r="C564">
        <v>1175.75</v>
      </c>
      <c r="D564">
        <v>1145.5</v>
      </c>
      <c r="E564">
        <v>1168.8</v>
      </c>
      <c r="F564">
        <v>1271671</v>
      </c>
      <c r="G564" s="4">
        <f t="shared" si="113"/>
        <v>27.599999999999909</v>
      </c>
      <c r="H564" s="4">
        <f t="shared" si="114"/>
        <v>0</v>
      </c>
      <c r="I564" s="6">
        <f t="shared" si="119"/>
        <v>9.5964285714285804</v>
      </c>
      <c r="J564" s="6">
        <f t="shared" si="120"/>
        <v>11.042857142857153</v>
      </c>
      <c r="K564" s="4">
        <f t="shared" si="121"/>
        <v>0.86901681759379046</v>
      </c>
      <c r="L564">
        <f t="shared" si="122"/>
        <v>46.495933552517741</v>
      </c>
      <c r="M564" s="14" t="str">
        <f t="shared" si="115"/>
        <v/>
      </c>
      <c r="N564" s="7">
        <f t="shared" si="116"/>
        <v>0</v>
      </c>
      <c r="O564" s="7">
        <f t="shared" si="123"/>
        <v>0</v>
      </c>
      <c r="P564" s="7">
        <f t="shared" si="124"/>
        <v>1</v>
      </c>
      <c r="Q564" s="10" t="e">
        <f t="shared" si="117"/>
        <v>#N/A</v>
      </c>
      <c r="R564" s="10" t="e">
        <f t="shared" si="118"/>
        <v>#N/A</v>
      </c>
      <c r="S564" s="7">
        <f t="shared" si="125"/>
        <v>1154.55</v>
      </c>
      <c r="T564" s="7">
        <f t="shared" si="126"/>
        <v>0</v>
      </c>
    </row>
    <row r="565" spans="1:20" x14ac:dyDescent="0.25">
      <c r="A565" s="1">
        <v>42067</v>
      </c>
      <c r="B565">
        <v>1170</v>
      </c>
      <c r="C565">
        <v>1199</v>
      </c>
      <c r="D565">
        <v>1170</v>
      </c>
      <c r="E565">
        <v>1194.25</v>
      </c>
      <c r="F565">
        <v>1163494</v>
      </c>
      <c r="G565" s="4">
        <f t="shared" si="113"/>
        <v>25.450000000000045</v>
      </c>
      <c r="H565" s="4">
        <f t="shared" si="114"/>
        <v>0</v>
      </c>
      <c r="I565" s="6">
        <f t="shared" si="119"/>
        <v>10.84642857142858</v>
      </c>
      <c r="J565" s="6">
        <f t="shared" si="120"/>
        <v>11.042857142857153</v>
      </c>
      <c r="K565" s="4">
        <f t="shared" si="121"/>
        <v>0.98221216041397141</v>
      </c>
      <c r="L565">
        <f t="shared" si="122"/>
        <v>49.551313427965411</v>
      </c>
      <c r="M565" s="14" t="str">
        <f t="shared" si="115"/>
        <v/>
      </c>
      <c r="N565" s="7">
        <f t="shared" si="116"/>
        <v>0</v>
      </c>
      <c r="O565" s="7">
        <f t="shared" si="123"/>
        <v>0</v>
      </c>
      <c r="P565" s="7">
        <f t="shared" si="124"/>
        <v>1</v>
      </c>
      <c r="Q565" s="10" t="e">
        <f t="shared" si="117"/>
        <v>#N/A</v>
      </c>
      <c r="R565" s="10" t="e">
        <f t="shared" si="118"/>
        <v>#N/A</v>
      </c>
      <c r="S565" s="7">
        <f t="shared" si="125"/>
        <v>1154.55</v>
      </c>
      <c r="T565" s="7">
        <f t="shared" si="126"/>
        <v>0</v>
      </c>
    </row>
    <row r="566" spans="1:20" x14ac:dyDescent="0.25">
      <c r="A566" s="1">
        <v>42068</v>
      </c>
      <c r="B566">
        <v>1200.2</v>
      </c>
      <c r="C566">
        <v>1207.3499999999999</v>
      </c>
      <c r="D566">
        <v>1175.3</v>
      </c>
      <c r="E566">
        <v>1178</v>
      </c>
      <c r="F566">
        <v>1134577</v>
      </c>
      <c r="G566" s="4">
        <f t="shared" si="113"/>
        <v>0</v>
      </c>
      <c r="H566" s="4">
        <f t="shared" si="114"/>
        <v>16.25</v>
      </c>
      <c r="I566" s="6">
        <f t="shared" si="119"/>
        <v>10.84642857142858</v>
      </c>
      <c r="J566" s="6">
        <f t="shared" si="120"/>
        <v>9.1714285714285779</v>
      </c>
      <c r="K566" s="4">
        <f t="shared" si="121"/>
        <v>1.1826323987538943</v>
      </c>
      <c r="L566">
        <f t="shared" si="122"/>
        <v>54.183764495985727</v>
      </c>
      <c r="M566" s="14" t="str">
        <f t="shared" si="115"/>
        <v/>
      </c>
      <c r="N566" s="7">
        <f t="shared" si="116"/>
        <v>0</v>
      </c>
      <c r="O566" s="7">
        <f t="shared" si="123"/>
        <v>0</v>
      </c>
      <c r="P566" s="7">
        <f t="shared" si="124"/>
        <v>1</v>
      </c>
      <c r="Q566" s="10" t="e">
        <f t="shared" si="117"/>
        <v>#N/A</v>
      </c>
      <c r="R566" s="10" t="e">
        <f t="shared" si="118"/>
        <v>#N/A</v>
      </c>
      <c r="S566" s="7">
        <f t="shared" si="125"/>
        <v>1154.55</v>
      </c>
      <c r="T566" s="7">
        <f t="shared" si="126"/>
        <v>0</v>
      </c>
    </row>
    <row r="567" spans="1:20" x14ac:dyDescent="0.25">
      <c r="A567" s="1">
        <v>42069</v>
      </c>
      <c r="B567">
        <v>1169</v>
      </c>
      <c r="C567">
        <v>1189.8</v>
      </c>
      <c r="D567">
        <v>1167</v>
      </c>
      <c r="E567">
        <v>1178.45</v>
      </c>
      <c r="F567">
        <v>1082527</v>
      </c>
      <c r="G567" s="4">
        <f t="shared" si="113"/>
        <v>0.45000000000004547</v>
      </c>
      <c r="H567" s="4">
        <f t="shared" si="114"/>
        <v>0</v>
      </c>
      <c r="I567" s="6">
        <f t="shared" si="119"/>
        <v>10.225000000000007</v>
      </c>
      <c r="J567" s="6">
        <f t="shared" si="120"/>
        <v>9.1714285714285779</v>
      </c>
      <c r="K567" s="4">
        <f t="shared" si="121"/>
        <v>1.1148753894080996</v>
      </c>
      <c r="L567">
        <f t="shared" si="122"/>
        <v>52.715890259620693</v>
      </c>
      <c r="M567" s="14" t="str">
        <f t="shared" si="115"/>
        <v/>
      </c>
      <c r="N567" s="7">
        <f t="shared" si="116"/>
        <v>0</v>
      </c>
      <c r="O567" s="7">
        <f t="shared" si="123"/>
        <v>0</v>
      </c>
      <c r="P567" s="7">
        <f t="shared" si="124"/>
        <v>1</v>
      </c>
      <c r="Q567" s="10" t="e">
        <f t="shared" si="117"/>
        <v>#N/A</v>
      </c>
      <c r="R567" s="10" t="e">
        <f t="shared" si="118"/>
        <v>#N/A</v>
      </c>
      <c r="S567" s="7">
        <f t="shared" si="125"/>
        <v>1154.55</v>
      </c>
      <c r="T567" s="7">
        <f t="shared" si="126"/>
        <v>0</v>
      </c>
    </row>
    <row r="568" spans="1:20" x14ac:dyDescent="0.25">
      <c r="A568" s="1">
        <v>42072</v>
      </c>
      <c r="B568">
        <v>1170</v>
      </c>
      <c r="C568">
        <v>1188</v>
      </c>
      <c r="D568">
        <v>1158.25</v>
      </c>
      <c r="E568">
        <v>1164.0999999999999</v>
      </c>
      <c r="F568">
        <v>788314</v>
      </c>
      <c r="G568" s="4">
        <f t="shared" si="113"/>
        <v>0</v>
      </c>
      <c r="H568" s="4">
        <f t="shared" si="114"/>
        <v>14.350000000000136</v>
      </c>
      <c r="I568" s="6">
        <f t="shared" si="119"/>
        <v>9.8071428571428694</v>
      </c>
      <c r="J568" s="6">
        <f t="shared" si="120"/>
        <v>10.196428571428587</v>
      </c>
      <c r="K568" s="4">
        <f t="shared" si="121"/>
        <v>0.96182136602451807</v>
      </c>
      <c r="L568">
        <f t="shared" si="122"/>
        <v>49.026959471522936</v>
      </c>
      <c r="M568" s="14" t="str">
        <f t="shared" si="115"/>
        <v/>
      </c>
      <c r="N568" s="7">
        <f t="shared" si="116"/>
        <v>0</v>
      </c>
      <c r="O568" s="7">
        <f t="shared" si="123"/>
        <v>0</v>
      </c>
      <c r="P568" s="7">
        <f t="shared" si="124"/>
        <v>1</v>
      </c>
      <c r="Q568" s="10" t="e">
        <f t="shared" si="117"/>
        <v>#N/A</v>
      </c>
      <c r="R568" s="10" t="e">
        <f t="shared" si="118"/>
        <v>#N/A</v>
      </c>
      <c r="S568" s="7">
        <f t="shared" si="125"/>
        <v>1154.55</v>
      </c>
      <c r="T568" s="7">
        <f t="shared" si="126"/>
        <v>0</v>
      </c>
    </row>
    <row r="569" spans="1:20" x14ac:dyDescent="0.25">
      <c r="A569" s="1">
        <v>42073</v>
      </c>
      <c r="B569">
        <v>1166.3</v>
      </c>
      <c r="C569">
        <v>1175.6500000000001</v>
      </c>
      <c r="D569">
        <v>1152.25</v>
      </c>
      <c r="E569">
        <v>1156.2</v>
      </c>
      <c r="F569">
        <v>766496</v>
      </c>
      <c r="G569" s="4">
        <f t="shared" si="113"/>
        <v>0</v>
      </c>
      <c r="H569" s="4">
        <f t="shared" si="114"/>
        <v>7.8999999999998636</v>
      </c>
      <c r="I569" s="6">
        <f t="shared" si="119"/>
        <v>9.8071428571428694</v>
      </c>
      <c r="J569" s="6">
        <f t="shared" si="120"/>
        <v>7.3642857142857236</v>
      </c>
      <c r="K569" s="4">
        <f t="shared" si="121"/>
        <v>1.3317167798254121</v>
      </c>
      <c r="L569">
        <f t="shared" si="122"/>
        <v>57.113144758735444</v>
      </c>
      <c r="M569" s="14" t="str">
        <f t="shared" si="115"/>
        <v/>
      </c>
      <c r="N569" s="7">
        <f t="shared" si="116"/>
        <v>0</v>
      </c>
      <c r="O569" s="7">
        <f t="shared" si="123"/>
        <v>0</v>
      </c>
      <c r="P569" s="7">
        <f t="shared" si="124"/>
        <v>1</v>
      </c>
      <c r="Q569" s="10" t="e">
        <f t="shared" si="117"/>
        <v>#N/A</v>
      </c>
      <c r="R569" s="10" t="e">
        <f t="shared" si="118"/>
        <v>#N/A</v>
      </c>
      <c r="S569" s="7">
        <f t="shared" si="125"/>
        <v>1154.55</v>
      </c>
      <c r="T569" s="7">
        <f t="shared" si="126"/>
        <v>0</v>
      </c>
    </row>
    <row r="570" spans="1:20" x14ac:dyDescent="0.25">
      <c r="A570" s="1">
        <v>42074</v>
      </c>
      <c r="B570">
        <v>1149.7</v>
      </c>
      <c r="C570">
        <v>1155</v>
      </c>
      <c r="D570">
        <v>1135.2</v>
      </c>
      <c r="E570">
        <v>1138.0999999999999</v>
      </c>
      <c r="F570">
        <v>890793</v>
      </c>
      <c r="G570" s="4">
        <f t="shared" si="113"/>
        <v>0</v>
      </c>
      <c r="H570" s="4">
        <f t="shared" si="114"/>
        <v>18.100000000000136</v>
      </c>
      <c r="I570" s="6">
        <f t="shared" si="119"/>
        <v>8.8892857142857338</v>
      </c>
      <c r="J570" s="6">
        <f t="shared" si="120"/>
        <v>8.6571428571428761</v>
      </c>
      <c r="K570" s="4">
        <f t="shared" si="121"/>
        <v>1.0268151815181519</v>
      </c>
      <c r="L570">
        <f t="shared" si="122"/>
        <v>50.66151027885202</v>
      </c>
      <c r="M570" s="14" t="str">
        <f t="shared" si="115"/>
        <v/>
      </c>
      <c r="N570" s="7">
        <f t="shared" si="116"/>
        <v>0</v>
      </c>
      <c r="O570" s="7">
        <f t="shared" si="123"/>
        <v>0</v>
      </c>
      <c r="P570" s="7">
        <f t="shared" si="124"/>
        <v>1</v>
      </c>
      <c r="Q570" s="10" t="e">
        <f t="shared" si="117"/>
        <v>#N/A</v>
      </c>
      <c r="R570" s="10" t="e">
        <f t="shared" si="118"/>
        <v>#N/A</v>
      </c>
      <c r="S570" s="7">
        <f t="shared" si="125"/>
        <v>1154.55</v>
      </c>
      <c r="T570" s="7">
        <f t="shared" si="126"/>
        <v>0</v>
      </c>
    </row>
    <row r="571" spans="1:20" x14ac:dyDescent="0.25">
      <c r="A571" s="1">
        <v>42075</v>
      </c>
      <c r="B571">
        <v>1140.25</v>
      </c>
      <c r="C571">
        <v>1148</v>
      </c>
      <c r="D571">
        <v>1129.0999999999999</v>
      </c>
      <c r="E571">
        <v>1131.6500000000001</v>
      </c>
      <c r="F571">
        <v>1057343</v>
      </c>
      <c r="G571" s="4">
        <f t="shared" si="113"/>
        <v>0</v>
      </c>
      <c r="H571" s="4">
        <f t="shared" si="114"/>
        <v>6.4499999999998181</v>
      </c>
      <c r="I571" s="6">
        <f t="shared" si="119"/>
        <v>5.9678571428571558</v>
      </c>
      <c r="J571" s="6">
        <f t="shared" si="120"/>
        <v>9.1178571428571491</v>
      </c>
      <c r="K571" s="4">
        <f t="shared" si="121"/>
        <v>0.65452408930669903</v>
      </c>
      <c r="L571">
        <f t="shared" si="122"/>
        <v>39.559659090909129</v>
      </c>
      <c r="M571" s="14" t="str">
        <f t="shared" si="115"/>
        <v/>
      </c>
      <c r="N571" s="7">
        <f t="shared" si="116"/>
        <v>0</v>
      </c>
      <c r="O571" s="7">
        <f t="shared" si="123"/>
        <v>0</v>
      </c>
      <c r="P571" s="7">
        <f t="shared" si="124"/>
        <v>1</v>
      </c>
      <c r="Q571" s="10" t="e">
        <f t="shared" si="117"/>
        <v>#N/A</v>
      </c>
      <c r="R571" s="10" t="e">
        <f t="shared" si="118"/>
        <v>#N/A</v>
      </c>
      <c r="S571" s="7">
        <f t="shared" si="125"/>
        <v>1154.55</v>
      </c>
      <c r="T571" s="7">
        <f t="shared" si="126"/>
        <v>0</v>
      </c>
    </row>
    <row r="572" spans="1:20" x14ac:dyDescent="0.25">
      <c r="A572" s="1">
        <v>42076</v>
      </c>
      <c r="B572">
        <v>1091.3499999999999</v>
      </c>
      <c r="C572">
        <v>1104.7</v>
      </c>
      <c r="D572">
        <v>1061.25</v>
      </c>
      <c r="E572">
        <v>1068.3499999999999</v>
      </c>
      <c r="F572">
        <v>4497340</v>
      </c>
      <c r="G572" s="4">
        <f t="shared" si="113"/>
        <v>0</v>
      </c>
      <c r="H572" s="4">
        <f t="shared" si="114"/>
        <v>63.300000000000182</v>
      </c>
      <c r="I572" s="6">
        <f t="shared" si="119"/>
        <v>5.9678571428571558</v>
      </c>
      <c r="J572" s="6">
        <f t="shared" si="120"/>
        <v>13.067857142857163</v>
      </c>
      <c r="K572" s="4">
        <f t="shared" si="121"/>
        <v>0.45668215359387843</v>
      </c>
      <c r="L572">
        <f t="shared" si="122"/>
        <v>31.350844277673559</v>
      </c>
      <c r="M572" s="14" t="str">
        <f t="shared" si="115"/>
        <v/>
      </c>
      <c r="N572" s="7">
        <f t="shared" si="116"/>
        <v>0</v>
      </c>
      <c r="O572" s="7">
        <f t="shared" si="123"/>
        <v>0</v>
      </c>
      <c r="P572" s="7">
        <f t="shared" si="124"/>
        <v>1</v>
      </c>
      <c r="Q572" s="10" t="e">
        <f t="shared" si="117"/>
        <v>#N/A</v>
      </c>
      <c r="R572" s="10" t="e">
        <f t="shared" si="118"/>
        <v>#N/A</v>
      </c>
      <c r="S572" s="7">
        <f t="shared" si="125"/>
        <v>1154.55</v>
      </c>
      <c r="T572" s="7">
        <f t="shared" si="126"/>
        <v>0</v>
      </c>
    </row>
    <row r="573" spans="1:20" x14ac:dyDescent="0.25">
      <c r="A573" s="1">
        <v>42079</v>
      </c>
      <c r="B573">
        <v>1065.25</v>
      </c>
      <c r="C573">
        <v>1074.3</v>
      </c>
      <c r="D573">
        <v>1053.3</v>
      </c>
      <c r="E573">
        <v>1069.75</v>
      </c>
      <c r="F573">
        <v>2508055</v>
      </c>
      <c r="G573" s="4">
        <f t="shared" si="113"/>
        <v>1.4000000000000909</v>
      </c>
      <c r="H573" s="4">
        <f t="shared" si="114"/>
        <v>0</v>
      </c>
      <c r="I573" s="6">
        <f t="shared" si="119"/>
        <v>4.8607142857142991</v>
      </c>
      <c r="J573" s="6">
        <f t="shared" si="120"/>
        <v>13.067857142857163</v>
      </c>
      <c r="K573" s="4">
        <f t="shared" si="121"/>
        <v>0.37195955179010703</v>
      </c>
      <c r="L573">
        <f t="shared" si="122"/>
        <v>27.11155378486059</v>
      </c>
      <c r="M573" s="14" t="str">
        <f t="shared" si="115"/>
        <v>OVERSOLD</v>
      </c>
      <c r="N573" s="7" t="str">
        <f t="shared" si="116"/>
        <v>BUY</v>
      </c>
      <c r="O573" s="7">
        <f t="shared" si="123"/>
        <v>0</v>
      </c>
      <c r="P573" s="7">
        <f t="shared" si="124"/>
        <v>1</v>
      </c>
      <c r="Q573" s="10" t="e">
        <f t="shared" si="117"/>
        <v>#N/A</v>
      </c>
      <c r="R573" s="10" t="e">
        <f t="shared" si="118"/>
        <v>#N/A</v>
      </c>
      <c r="S573" s="7">
        <f t="shared" si="125"/>
        <v>1154.55</v>
      </c>
      <c r="T573" s="7">
        <f t="shared" si="126"/>
        <v>0</v>
      </c>
    </row>
    <row r="574" spans="1:20" x14ac:dyDescent="0.25">
      <c r="A574" s="1">
        <v>42080</v>
      </c>
      <c r="B574">
        <v>1085</v>
      </c>
      <c r="C574">
        <v>1094.95</v>
      </c>
      <c r="D574">
        <v>1073.8</v>
      </c>
      <c r="E574">
        <v>1090.8499999999999</v>
      </c>
      <c r="F574">
        <v>1236832</v>
      </c>
      <c r="G574" s="4">
        <f t="shared" si="113"/>
        <v>21.099999999999909</v>
      </c>
      <c r="H574" s="4">
        <f t="shared" si="114"/>
        <v>0</v>
      </c>
      <c r="I574" s="6">
        <f t="shared" si="119"/>
        <v>6.3678571428571491</v>
      </c>
      <c r="J574" s="6">
        <f t="shared" si="120"/>
        <v>11.421428571428578</v>
      </c>
      <c r="K574" s="4">
        <f t="shared" si="121"/>
        <v>0.55753595997498462</v>
      </c>
      <c r="L574">
        <f t="shared" si="122"/>
        <v>35.796024894599483</v>
      </c>
      <c r="M574" s="14" t="str">
        <f t="shared" si="115"/>
        <v/>
      </c>
      <c r="N574" s="7">
        <f t="shared" si="116"/>
        <v>0</v>
      </c>
      <c r="O574" s="7">
        <f t="shared" si="123"/>
        <v>0</v>
      </c>
      <c r="P574" s="7">
        <f t="shared" si="124"/>
        <v>1</v>
      </c>
      <c r="Q574" s="10" t="e">
        <f t="shared" si="117"/>
        <v>#N/A</v>
      </c>
      <c r="R574" s="10" t="e">
        <f t="shared" si="118"/>
        <v>#N/A</v>
      </c>
      <c r="S574" s="7">
        <f t="shared" si="125"/>
        <v>1154.55</v>
      </c>
      <c r="T574" s="7">
        <f t="shared" si="126"/>
        <v>0</v>
      </c>
    </row>
    <row r="575" spans="1:20" x14ac:dyDescent="0.25">
      <c r="A575" s="1">
        <v>42081</v>
      </c>
      <c r="B575">
        <v>1100</v>
      </c>
      <c r="C575">
        <v>1114.7</v>
      </c>
      <c r="D575">
        <v>1093.8499999999999</v>
      </c>
      <c r="E575">
        <v>1097.55</v>
      </c>
      <c r="F575">
        <v>1441132</v>
      </c>
      <c r="G575" s="4">
        <f t="shared" si="113"/>
        <v>6.7000000000000455</v>
      </c>
      <c r="H575" s="4">
        <f t="shared" si="114"/>
        <v>0</v>
      </c>
      <c r="I575" s="6">
        <f t="shared" si="119"/>
        <v>5.9071428571428601</v>
      </c>
      <c r="J575" s="6">
        <f t="shared" si="120"/>
        <v>11.421428571428578</v>
      </c>
      <c r="K575" s="4">
        <f t="shared" si="121"/>
        <v>0.51719824890556598</v>
      </c>
      <c r="L575">
        <f t="shared" si="122"/>
        <v>34.08903544929926</v>
      </c>
      <c r="M575" s="14" t="str">
        <f t="shared" si="115"/>
        <v/>
      </c>
      <c r="N575" s="7">
        <f t="shared" si="116"/>
        <v>0</v>
      </c>
      <c r="O575" s="7">
        <f t="shared" si="123"/>
        <v>0</v>
      </c>
      <c r="P575" s="7">
        <f t="shared" si="124"/>
        <v>1</v>
      </c>
      <c r="Q575" s="10" t="e">
        <f t="shared" si="117"/>
        <v>#N/A</v>
      </c>
      <c r="R575" s="10" t="e">
        <f t="shared" si="118"/>
        <v>#N/A</v>
      </c>
      <c r="S575" s="7">
        <f t="shared" si="125"/>
        <v>1154.55</v>
      </c>
      <c r="T575" s="7">
        <f t="shared" si="126"/>
        <v>0</v>
      </c>
    </row>
    <row r="576" spans="1:20" x14ac:dyDescent="0.25">
      <c r="A576" s="1">
        <v>42082</v>
      </c>
      <c r="B576">
        <v>1100.9000000000001</v>
      </c>
      <c r="C576">
        <v>1106.8</v>
      </c>
      <c r="D576">
        <v>1091.0999999999999</v>
      </c>
      <c r="E576">
        <v>1102.95</v>
      </c>
      <c r="F576">
        <v>883708</v>
      </c>
      <c r="G576" s="4">
        <f t="shared" si="113"/>
        <v>5.4000000000000909</v>
      </c>
      <c r="H576" s="4">
        <f t="shared" si="114"/>
        <v>0</v>
      </c>
      <c r="I576" s="6">
        <f t="shared" si="119"/>
        <v>6.2928571428571525</v>
      </c>
      <c r="J576" s="6">
        <f t="shared" si="120"/>
        <v>10.732142857142858</v>
      </c>
      <c r="K576" s="4">
        <f t="shared" si="121"/>
        <v>0.58635607321131533</v>
      </c>
      <c r="L576">
        <f t="shared" si="122"/>
        <v>36.96245017830924</v>
      </c>
      <c r="M576" s="14" t="str">
        <f t="shared" si="115"/>
        <v/>
      </c>
      <c r="N576" s="7">
        <f t="shared" si="116"/>
        <v>0</v>
      </c>
      <c r="O576" s="7">
        <f t="shared" si="123"/>
        <v>0</v>
      </c>
      <c r="P576" s="7">
        <f t="shared" si="124"/>
        <v>1</v>
      </c>
      <c r="Q576" s="10" t="e">
        <f t="shared" si="117"/>
        <v>#N/A</v>
      </c>
      <c r="R576" s="10" t="e">
        <f t="shared" si="118"/>
        <v>#N/A</v>
      </c>
      <c r="S576" s="7">
        <f t="shared" si="125"/>
        <v>1154.55</v>
      </c>
      <c r="T576" s="7">
        <f t="shared" si="126"/>
        <v>0</v>
      </c>
    </row>
    <row r="577" spans="1:20" x14ac:dyDescent="0.25">
      <c r="A577" s="1">
        <v>42083</v>
      </c>
      <c r="B577">
        <v>1093.25</v>
      </c>
      <c r="C577">
        <v>1107.95</v>
      </c>
      <c r="D577">
        <v>1077.4000000000001</v>
      </c>
      <c r="E577">
        <v>1088.45</v>
      </c>
      <c r="F577">
        <v>1225012</v>
      </c>
      <c r="G577" s="4">
        <f t="shared" si="113"/>
        <v>0</v>
      </c>
      <c r="H577" s="4">
        <f t="shared" si="114"/>
        <v>14.5</v>
      </c>
      <c r="I577" s="6">
        <f t="shared" si="119"/>
        <v>6.2928571428571525</v>
      </c>
      <c r="J577" s="6">
        <f t="shared" si="120"/>
        <v>10.060714285714296</v>
      </c>
      <c r="K577" s="4">
        <f t="shared" si="121"/>
        <v>0.62548810791622322</v>
      </c>
      <c r="L577">
        <f t="shared" si="122"/>
        <v>38.480017471063569</v>
      </c>
      <c r="M577" s="14" t="str">
        <f t="shared" si="115"/>
        <v/>
      </c>
      <c r="N577" s="7">
        <f t="shared" si="116"/>
        <v>0</v>
      </c>
      <c r="O577" s="7">
        <f t="shared" si="123"/>
        <v>0</v>
      </c>
      <c r="P577" s="7">
        <f t="shared" si="124"/>
        <v>1</v>
      </c>
      <c r="Q577" s="10" t="e">
        <f t="shared" si="117"/>
        <v>#N/A</v>
      </c>
      <c r="R577" s="10" t="e">
        <f t="shared" si="118"/>
        <v>#N/A</v>
      </c>
      <c r="S577" s="7">
        <f t="shared" si="125"/>
        <v>1154.55</v>
      </c>
      <c r="T577" s="7">
        <f t="shared" si="126"/>
        <v>0</v>
      </c>
    </row>
    <row r="578" spans="1:20" x14ac:dyDescent="0.25">
      <c r="A578" s="1">
        <v>42086</v>
      </c>
      <c r="B578">
        <v>1093.95</v>
      </c>
      <c r="C578">
        <v>1102.4000000000001</v>
      </c>
      <c r="D578">
        <v>1047.6500000000001</v>
      </c>
      <c r="E578">
        <v>1064.25</v>
      </c>
      <c r="F578">
        <v>1421934</v>
      </c>
      <c r="G578" s="4">
        <f t="shared" si="113"/>
        <v>0</v>
      </c>
      <c r="H578" s="4">
        <f t="shared" si="114"/>
        <v>24.200000000000045</v>
      </c>
      <c r="I578" s="6">
        <f t="shared" si="119"/>
        <v>4.3214285714285881</v>
      </c>
      <c r="J578" s="6">
        <f t="shared" si="120"/>
        <v>11.789285714285727</v>
      </c>
      <c r="K578" s="4">
        <f t="shared" si="121"/>
        <v>0.36655558921539028</v>
      </c>
      <c r="L578">
        <f t="shared" si="122"/>
        <v>26.823320771447626</v>
      </c>
      <c r="M578" s="14" t="str">
        <f t="shared" si="115"/>
        <v>OVERSOLD</v>
      </c>
      <c r="N578" s="7" t="str">
        <f t="shared" si="116"/>
        <v>BUY</v>
      </c>
      <c r="O578" s="7">
        <f t="shared" si="123"/>
        <v>0</v>
      </c>
      <c r="P578" s="7">
        <f t="shared" si="124"/>
        <v>1</v>
      </c>
      <c r="Q578" s="10" t="e">
        <f t="shared" si="117"/>
        <v>#N/A</v>
      </c>
      <c r="R578" s="10" t="e">
        <f t="shared" si="118"/>
        <v>#N/A</v>
      </c>
      <c r="S578" s="7">
        <f t="shared" si="125"/>
        <v>1154.55</v>
      </c>
      <c r="T578" s="7">
        <f t="shared" si="126"/>
        <v>0</v>
      </c>
    </row>
    <row r="579" spans="1:20" x14ac:dyDescent="0.25">
      <c r="A579" s="1">
        <v>42087</v>
      </c>
      <c r="B579">
        <v>1122</v>
      </c>
      <c r="C579">
        <v>1205</v>
      </c>
      <c r="D579">
        <v>1117.3</v>
      </c>
      <c r="E579">
        <v>1194.2</v>
      </c>
      <c r="F579">
        <v>9056891</v>
      </c>
      <c r="G579" s="4">
        <f t="shared" si="113"/>
        <v>129.95000000000005</v>
      </c>
      <c r="H579" s="4">
        <f t="shared" si="114"/>
        <v>0</v>
      </c>
      <c r="I579" s="6">
        <f t="shared" si="119"/>
        <v>11.785714285714302</v>
      </c>
      <c r="J579" s="6">
        <f t="shared" si="120"/>
        <v>11.789285714285727</v>
      </c>
      <c r="K579" s="4">
        <f t="shared" si="121"/>
        <v>0.99969706149651649</v>
      </c>
      <c r="L579">
        <f t="shared" si="122"/>
        <v>49.992425390092421</v>
      </c>
      <c r="M579" s="14" t="str">
        <f t="shared" si="115"/>
        <v/>
      </c>
      <c r="N579" s="7">
        <f t="shared" si="116"/>
        <v>0</v>
      </c>
      <c r="O579" s="7">
        <f t="shared" si="123"/>
        <v>0</v>
      </c>
      <c r="P579" s="7">
        <f t="shared" si="124"/>
        <v>1</v>
      </c>
      <c r="Q579" s="10" t="e">
        <f t="shared" si="117"/>
        <v>#N/A</v>
      </c>
      <c r="R579" s="10" t="e">
        <f t="shared" si="118"/>
        <v>#N/A</v>
      </c>
      <c r="S579" s="7">
        <f t="shared" si="125"/>
        <v>1154.55</v>
      </c>
      <c r="T579" s="7">
        <f t="shared" si="126"/>
        <v>0</v>
      </c>
    </row>
    <row r="580" spans="1:20" x14ac:dyDescent="0.25">
      <c r="A580" s="1">
        <v>42088</v>
      </c>
      <c r="B580">
        <v>1189</v>
      </c>
      <c r="C580">
        <v>1190</v>
      </c>
      <c r="D580">
        <v>1167.5</v>
      </c>
      <c r="E580">
        <v>1171.05</v>
      </c>
      <c r="F580">
        <v>2708949</v>
      </c>
      <c r="G580" s="4">
        <f t="shared" ref="G580:G643" si="127">IF(E580&gt;E579,E580-E579,0)</f>
        <v>0</v>
      </c>
      <c r="H580" s="4">
        <f t="shared" ref="H580:H643" si="128">IF(E580&lt;E579,E579-E580,0)</f>
        <v>23.150000000000091</v>
      </c>
      <c r="I580" s="6">
        <f t="shared" si="119"/>
        <v>11.785714285714302</v>
      </c>
      <c r="J580" s="6">
        <f t="shared" si="120"/>
        <v>12.282142857142876</v>
      </c>
      <c r="K580" s="4">
        <f t="shared" si="121"/>
        <v>0.95958127362605394</v>
      </c>
      <c r="L580">
        <f t="shared" si="122"/>
        <v>48.968689716575156</v>
      </c>
      <c r="M580" s="14" t="str">
        <f t="shared" si="115"/>
        <v/>
      </c>
      <c r="N580" s="7">
        <f t="shared" si="116"/>
        <v>0</v>
      </c>
      <c r="O580" s="7">
        <f t="shared" si="123"/>
        <v>0</v>
      </c>
      <c r="P580" s="7">
        <f t="shared" si="124"/>
        <v>1</v>
      </c>
      <c r="Q580" s="10" t="e">
        <f t="shared" si="117"/>
        <v>#N/A</v>
      </c>
      <c r="R580" s="10" t="e">
        <f t="shared" si="118"/>
        <v>#N/A</v>
      </c>
      <c r="S580" s="7">
        <f t="shared" si="125"/>
        <v>1154.55</v>
      </c>
      <c r="T580" s="7">
        <f t="shared" si="126"/>
        <v>0</v>
      </c>
    </row>
    <row r="581" spans="1:20" x14ac:dyDescent="0.25">
      <c r="A581" s="1">
        <v>42089</v>
      </c>
      <c r="B581">
        <v>1170</v>
      </c>
      <c r="C581">
        <v>1201.9000000000001</v>
      </c>
      <c r="D581">
        <v>1164.5</v>
      </c>
      <c r="E581">
        <v>1194.6500000000001</v>
      </c>
      <c r="F581">
        <v>2738146</v>
      </c>
      <c r="G581" s="4">
        <f t="shared" si="127"/>
        <v>23.600000000000136</v>
      </c>
      <c r="H581" s="4">
        <f t="shared" si="128"/>
        <v>0</v>
      </c>
      <c r="I581" s="6">
        <f t="shared" si="119"/>
        <v>13.439285714285736</v>
      </c>
      <c r="J581" s="6">
        <f t="shared" si="120"/>
        <v>12.282142857142876</v>
      </c>
      <c r="K581" s="4">
        <f t="shared" si="121"/>
        <v>1.0942134341378309</v>
      </c>
      <c r="L581">
        <f t="shared" si="122"/>
        <v>52.249375173562903</v>
      </c>
      <c r="M581" s="14" t="str">
        <f t="shared" si="115"/>
        <v/>
      </c>
      <c r="N581" s="7">
        <f t="shared" si="116"/>
        <v>0</v>
      </c>
      <c r="O581" s="7">
        <f t="shared" si="123"/>
        <v>0</v>
      </c>
      <c r="P581" s="7">
        <f t="shared" si="124"/>
        <v>1</v>
      </c>
      <c r="Q581" s="10" t="e">
        <f t="shared" si="117"/>
        <v>#N/A</v>
      </c>
      <c r="R581" s="10" t="e">
        <f t="shared" si="118"/>
        <v>#N/A</v>
      </c>
      <c r="S581" s="7">
        <f t="shared" si="125"/>
        <v>1154.55</v>
      </c>
      <c r="T581" s="7">
        <f t="shared" si="126"/>
        <v>0</v>
      </c>
    </row>
    <row r="582" spans="1:20" x14ac:dyDescent="0.25">
      <c r="A582" s="1">
        <v>42090</v>
      </c>
      <c r="B582">
        <v>1190</v>
      </c>
      <c r="C582">
        <v>1212</v>
      </c>
      <c r="D582">
        <v>1190</v>
      </c>
      <c r="E582">
        <v>1204</v>
      </c>
      <c r="F582">
        <v>1855573</v>
      </c>
      <c r="G582" s="4">
        <f t="shared" si="127"/>
        <v>9.3499999999999091</v>
      </c>
      <c r="H582" s="4">
        <f t="shared" si="128"/>
        <v>0</v>
      </c>
      <c r="I582" s="6">
        <f t="shared" si="119"/>
        <v>14.107142857142874</v>
      </c>
      <c r="J582" s="6">
        <f t="shared" si="120"/>
        <v>11.257142857142867</v>
      </c>
      <c r="K582" s="4">
        <f t="shared" si="121"/>
        <v>1.2531725888324876</v>
      </c>
      <c r="L582">
        <f t="shared" si="122"/>
        <v>55.618135736412292</v>
      </c>
      <c r="M582" s="14" t="str">
        <f t="shared" si="115"/>
        <v/>
      </c>
      <c r="N582" s="7">
        <f t="shared" si="116"/>
        <v>0</v>
      </c>
      <c r="O582" s="7">
        <f t="shared" si="123"/>
        <v>0</v>
      </c>
      <c r="P582" s="7">
        <f t="shared" si="124"/>
        <v>1</v>
      </c>
      <c r="Q582" s="10" t="e">
        <f t="shared" si="117"/>
        <v>#N/A</v>
      </c>
      <c r="R582" s="10" t="e">
        <f t="shared" si="118"/>
        <v>#N/A</v>
      </c>
      <c r="S582" s="7">
        <f t="shared" si="125"/>
        <v>1154.55</v>
      </c>
      <c r="T582" s="7">
        <f t="shared" si="126"/>
        <v>0</v>
      </c>
    </row>
    <row r="583" spans="1:20" x14ac:dyDescent="0.25">
      <c r="A583" s="1">
        <v>42093</v>
      </c>
      <c r="B583">
        <v>1200</v>
      </c>
      <c r="C583">
        <v>1205</v>
      </c>
      <c r="D583">
        <v>1196.0999999999999</v>
      </c>
      <c r="E583">
        <v>1201.8499999999999</v>
      </c>
      <c r="F583">
        <v>51873</v>
      </c>
      <c r="G583" s="4">
        <f t="shared" si="127"/>
        <v>0</v>
      </c>
      <c r="H583" s="4">
        <f t="shared" si="128"/>
        <v>2.1500000000000909</v>
      </c>
      <c r="I583" s="6">
        <f t="shared" si="119"/>
        <v>14.107142857142874</v>
      </c>
      <c r="J583" s="6">
        <f t="shared" si="120"/>
        <v>10.846428571428598</v>
      </c>
      <c r="K583" s="4">
        <f t="shared" si="121"/>
        <v>1.3006256173855761</v>
      </c>
      <c r="L583">
        <f t="shared" si="122"/>
        <v>56.53356233004147</v>
      </c>
      <c r="M583" s="14" t="str">
        <f t="shared" si="115"/>
        <v/>
      </c>
      <c r="N583" s="7">
        <f t="shared" si="116"/>
        <v>0</v>
      </c>
      <c r="O583" s="7">
        <f t="shared" si="123"/>
        <v>0</v>
      </c>
      <c r="P583" s="7">
        <f t="shared" si="124"/>
        <v>1</v>
      </c>
      <c r="Q583" s="10" t="e">
        <f t="shared" si="117"/>
        <v>#N/A</v>
      </c>
      <c r="R583" s="10" t="e">
        <f t="shared" si="118"/>
        <v>#N/A</v>
      </c>
      <c r="S583" s="7">
        <f t="shared" si="125"/>
        <v>1154.55</v>
      </c>
      <c r="T583" s="7">
        <f t="shared" si="126"/>
        <v>0</v>
      </c>
    </row>
    <row r="584" spans="1:20" x14ac:dyDescent="0.25">
      <c r="A584" s="1">
        <v>42094</v>
      </c>
      <c r="B584">
        <v>1204</v>
      </c>
      <c r="C584">
        <v>1250</v>
      </c>
      <c r="D584">
        <v>1204</v>
      </c>
      <c r="E584">
        <v>1246.5999999999999</v>
      </c>
      <c r="F584">
        <v>2302411</v>
      </c>
      <c r="G584" s="4">
        <f t="shared" si="127"/>
        <v>44.75</v>
      </c>
      <c r="H584" s="4">
        <f t="shared" si="128"/>
        <v>0</v>
      </c>
      <c r="I584" s="6">
        <f t="shared" si="119"/>
        <v>17.303571428571445</v>
      </c>
      <c r="J584" s="6">
        <f t="shared" si="120"/>
        <v>9.5535714285714448</v>
      </c>
      <c r="K584" s="4">
        <f t="shared" si="121"/>
        <v>1.8112149532710267</v>
      </c>
      <c r="L584">
        <f t="shared" si="122"/>
        <v>64.428191489361694</v>
      </c>
      <c r="M584" s="14" t="str">
        <f t="shared" si="115"/>
        <v/>
      </c>
      <c r="N584" s="7">
        <f t="shared" si="116"/>
        <v>0</v>
      </c>
      <c r="O584" s="7">
        <f t="shared" si="123"/>
        <v>0</v>
      </c>
      <c r="P584" s="7">
        <f t="shared" si="124"/>
        <v>1</v>
      </c>
      <c r="Q584" s="10" t="e">
        <f t="shared" si="117"/>
        <v>#N/A</v>
      </c>
      <c r="R584" s="10" t="e">
        <f t="shared" si="118"/>
        <v>#N/A</v>
      </c>
      <c r="S584" s="7">
        <f t="shared" si="125"/>
        <v>1154.55</v>
      </c>
      <c r="T584" s="7">
        <f t="shared" si="126"/>
        <v>0</v>
      </c>
    </row>
    <row r="585" spans="1:20" x14ac:dyDescent="0.25">
      <c r="A585" s="1">
        <v>42095</v>
      </c>
      <c r="B585">
        <v>1242.0999999999999</v>
      </c>
      <c r="C585">
        <v>1274.4000000000001</v>
      </c>
      <c r="D585">
        <v>1242.0999999999999</v>
      </c>
      <c r="E585">
        <v>1267.25</v>
      </c>
      <c r="F585">
        <v>1990724</v>
      </c>
      <c r="G585" s="4">
        <f t="shared" si="127"/>
        <v>20.650000000000091</v>
      </c>
      <c r="H585" s="4">
        <f t="shared" si="128"/>
        <v>0</v>
      </c>
      <c r="I585" s="6">
        <f t="shared" si="119"/>
        <v>18.77857142857145</v>
      </c>
      <c r="J585" s="6">
        <f t="shared" si="120"/>
        <v>9.0928571428571718</v>
      </c>
      <c r="K585" s="4">
        <f t="shared" si="121"/>
        <v>2.0652003142183775</v>
      </c>
      <c r="L585">
        <f t="shared" si="122"/>
        <v>67.375704766786214</v>
      </c>
      <c r="M585" s="14" t="str">
        <f t="shared" si="115"/>
        <v/>
      </c>
      <c r="N585" s="7">
        <f t="shared" si="116"/>
        <v>0</v>
      </c>
      <c r="O585" s="7">
        <f t="shared" si="123"/>
        <v>0</v>
      </c>
      <c r="P585" s="7">
        <f t="shared" si="124"/>
        <v>1</v>
      </c>
      <c r="Q585" s="10" t="e">
        <f t="shared" si="117"/>
        <v>#N/A</v>
      </c>
      <c r="R585" s="10" t="e">
        <f t="shared" si="118"/>
        <v>#N/A</v>
      </c>
      <c r="S585" s="7">
        <f t="shared" si="125"/>
        <v>1154.55</v>
      </c>
      <c r="T585" s="7">
        <f t="shared" si="126"/>
        <v>0</v>
      </c>
    </row>
    <row r="586" spans="1:20" x14ac:dyDescent="0.25">
      <c r="A586" s="1">
        <v>42096</v>
      </c>
      <c r="B586">
        <v>1262.7</v>
      </c>
      <c r="C586">
        <v>1284.0999999999999</v>
      </c>
      <c r="D586">
        <v>1258.55</v>
      </c>
      <c r="E586">
        <v>1279.5</v>
      </c>
      <c r="F586">
        <v>1679461</v>
      </c>
      <c r="G586" s="4">
        <f t="shared" si="127"/>
        <v>12.25</v>
      </c>
      <c r="H586" s="4">
        <f t="shared" si="128"/>
        <v>0</v>
      </c>
      <c r="I586" s="6">
        <f t="shared" si="119"/>
        <v>19.65357142857145</v>
      </c>
      <c r="J586" s="6">
        <f t="shared" si="120"/>
        <v>4.5714285714285881</v>
      </c>
      <c r="K586" s="4">
        <f t="shared" si="121"/>
        <v>4.299218749999989</v>
      </c>
      <c r="L586">
        <f t="shared" si="122"/>
        <v>81.129293822792235</v>
      </c>
      <c r="M586" s="14" t="str">
        <f t="shared" si="115"/>
        <v>OVERBOUGHT</v>
      </c>
      <c r="N586" s="7" t="str">
        <f t="shared" si="116"/>
        <v>SELL</v>
      </c>
      <c r="O586" s="7" t="str">
        <f t="shared" si="123"/>
        <v>SELL</v>
      </c>
      <c r="P586" s="7">
        <f t="shared" si="124"/>
        <v>-1</v>
      </c>
      <c r="Q586" s="10" t="e">
        <f t="shared" si="117"/>
        <v>#N/A</v>
      </c>
      <c r="R586" s="10">
        <f t="shared" si="118"/>
        <v>1279.5</v>
      </c>
      <c r="S586" s="7">
        <f t="shared" si="125"/>
        <v>1279.5</v>
      </c>
      <c r="T586" s="7">
        <f t="shared" si="126"/>
        <v>0.10822398337014426</v>
      </c>
    </row>
    <row r="587" spans="1:20" x14ac:dyDescent="0.25">
      <c r="A587" s="1">
        <v>42097</v>
      </c>
      <c r="B587">
        <v>1280</v>
      </c>
      <c r="C587">
        <v>1295.25</v>
      </c>
      <c r="D587">
        <v>1263.05</v>
      </c>
      <c r="E587">
        <v>1276.8</v>
      </c>
      <c r="F587">
        <v>1785859</v>
      </c>
      <c r="G587" s="4">
        <f t="shared" si="127"/>
        <v>0</v>
      </c>
      <c r="H587" s="4">
        <f t="shared" si="128"/>
        <v>2.7000000000000455</v>
      </c>
      <c r="I587" s="6">
        <f t="shared" si="119"/>
        <v>19.553571428571445</v>
      </c>
      <c r="J587" s="6">
        <f t="shared" si="120"/>
        <v>4.7642857142857338</v>
      </c>
      <c r="K587" s="4">
        <f t="shared" si="121"/>
        <v>4.1041979010494618</v>
      </c>
      <c r="L587">
        <f t="shared" si="122"/>
        <v>80.408283154648217</v>
      </c>
      <c r="M587" s="14" t="str">
        <f t="shared" si="115"/>
        <v>OVERBOUGHT</v>
      </c>
      <c r="N587" s="7" t="str">
        <f t="shared" si="116"/>
        <v>SELL</v>
      </c>
      <c r="O587" s="7">
        <f t="shared" si="123"/>
        <v>0</v>
      </c>
      <c r="P587" s="7">
        <f t="shared" si="124"/>
        <v>-1</v>
      </c>
      <c r="Q587" s="10" t="e">
        <f t="shared" si="117"/>
        <v>#N/A</v>
      </c>
      <c r="R587" s="10" t="e">
        <f t="shared" si="118"/>
        <v>#N/A</v>
      </c>
      <c r="S587" s="7">
        <f t="shared" si="125"/>
        <v>1279.5</v>
      </c>
      <c r="T587" s="7">
        <f t="shared" si="126"/>
        <v>0</v>
      </c>
    </row>
    <row r="588" spans="1:20" x14ac:dyDescent="0.25">
      <c r="A588" s="1">
        <v>42100</v>
      </c>
      <c r="B588">
        <v>1260</v>
      </c>
      <c r="C588">
        <v>1278.5</v>
      </c>
      <c r="D588">
        <v>1248.4000000000001</v>
      </c>
      <c r="E588">
        <v>1273.25</v>
      </c>
      <c r="F588">
        <v>1313881</v>
      </c>
      <c r="G588" s="4">
        <f t="shared" si="127"/>
        <v>0</v>
      </c>
      <c r="H588" s="4">
        <f t="shared" si="128"/>
        <v>3.5499999999999545</v>
      </c>
      <c r="I588" s="6">
        <f t="shared" si="119"/>
        <v>18.046428571428596</v>
      </c>
      <c r="J588" s="6">
        <f t="shared" si="120"/>
        <v>5.0178571428571592</v>
      </c>
      <c r="K588" s="4">
        <f t="shared" si="121"/>
        <v>3.5964412811387829</v>
      </c>
      <c r="L588">
        <f t="shared" si="122"/>
        <v>78.24403840198201</v>
      </c>
      <c r="M588" s="14" t="str">
        <f t="shared" si="115"/>
        <v>OVERBOUGHT</v>
      </c>
      <c r="N588" s="7" t="str">
        <f t="shared" si="116"/>
        <v>SELL</v>
      </c>
      <c r="O588" s="7">
        <f t="shared" si="123"/>
        <v>0</v>
      </c>
      <c r="P588" s="7">
        <f t="shared" si="124"/>
        <v>-1</v>
      </c>
      <c r="Q588" s="10" t="e">
        <f t="shared" si="117"/>
        <v>#N/A</v>
      </c>
      <c r="R588" s="10" t="e">
        <f t="shared" si="118"/>
        <v>#N/A</v>
      </c>
      <c r="S588" s="7">
        <f t="shared" si="125"/>
        <v>1279.5</v>
      </c>
      <c r="T588" s="7">
        <f t="shared" si="126"/>
        <v>0</v>
      </c>
    </row>
    <row r="589" spans="1:20" x14ac:dyDescent="0.25">
      <c r="A589" s="1">
        <v>42101</v>
      </c>
      <c r="B589">
        <v>1225</v>
      </c>
      <c r="C589">
        <v>1234.7</v>
      </c>
      <c r="D589">
        <v>1195.6500000000001</v>
      </c>
      <c r="E589">
        <v>1200.7</v>
      </c>
      <c r="F589">
        <v>4815789</v>
      </c>
      <c r="G589" s="4">
        <f t="shared" si="127"/>
        <v>0</v>
      </c>
      <c r="H589" s="4">
        <f t="shared" si="128"/>
        <v>72.549999999999955</v>
      </c>
      <c r="I589" s="6">
        <f t="shared" si="119"/>
        <v>17.567857142857161</v>
      </c>
      <c r="J589" s="6">
        <f t="shared" si="120"/>
        <v>10.200000000000014</v>
      </c>
      <c r="K589" s="4">
        <f t="shared" si="121"/>
        <v>1.7223389355742291</v>
      </c>
      <c r="L589">
        <f t="shared" si="122"/>
        <v>63.266881028938904</v>
      </c>
      <c r="M589" s="14" t="str">
        <f t="shared" si="115"/>
        <v/>
      </c>
      <c r="N589" s="7">
        <f t="shared" si="116"/>
        <v>0</v>
      </c>
      <c r="O589" s="7">
        <f t="shared" si="123"/>
        <v>0</v>
      </c>
      <c r="P589" s="7">
        <f t="shared" si="124"/>
        <v>-1</v>
      </c>
      <c r="Q589" s="10" t="e">
        <f t="shared" si="117"/>
        <v>#N/A</v>
      </c>
      <c r="R589" s="10" t="e">
        <f t="shared" si="118"/>
        <v>#N/A</v>
      </c>
      <c r="S589" s="7">
        <f t="shared" si="125"/>
        <v>1279.5</v>
      </c>
      <c r="T589" s="7">
        <f t="shared" si="126"/>
        <v>0</v>
      </c>
    </row>
    <row r="590" spans="1:20" x14ac:dyDescent="0.25">
      <c r="A590" s="1">
        <v>42102</v>
      </c>
      <c r="B590">
        <v>1195</v>
      </c>
      <c r="C590">
        <v>1234.5999999999999</v>
      </c>
      <c r="D590">
        <v>1194.0999999999999</v>
      </c>
      <c r="E590">
        <v>1225.55</v>
      </c>
      <c r="F590">
        <v>4635772</v>
      </c>
      <c r="G590" s="4">
        <f t="shared" si="127"/>
        <v>24.849999999999909</v>
      </c>
      <c r="H590" s="4">
        <f t="shared" si="128"/>
        <v>0</v>
      </c>
      <c r="I590" s="6">
        <f t="shared" si="119"/>
        <v>18.957142857142863</v>
      </c>
      <c r="J590" s="6">
        <f t="shared" si="120"/>
        <v>10.200000000000014</v>
      </c>
      <c r="K590" s="4">
        <f t="shared" si="121"/>
        <v>1.8585434173669448</v>
      </c>
      <c r="L590">
        <f t="shared" si="122"/>
        <v>65.017148456638878</v>
      </c>
      <c r="M590" s="14" t="str">
        <f t="shared" si="115"/>
        <v/>
      </c>
      <c r="N590" s="7">
        <f t="shared" si="116"/>
        <v>0</v>
      </c>
      <c r="O590" s="7">
        <f t="shared" si="123"/>
        <v>0</v>
      </c>
      <c r="P590" s="7">
        <f t="shared" si="124"/>
        <v>-1</v>
      </c>
      <c r="Q590" s="10" t="e">
        <f t="shared" si="117"/>
        <v>#N/A</v>
      </c>
      <c r="R590" s="10" t="e">
        <f t="shared" si="118"/>
        <v>#N/A</v>
      </c>
      <c r="S590" s="7">
        <f t="shared" si="125"/>
        <v>1279.5</v>
      </c>
      <c r="T590" s="7">
        <f t="shared" si="126"/>
        <v>0</v>
      </c>
    </row>
    <row r="591" spans="1:20" x14ac:dyDescent="0.25">
      <c r="A591" s="1">
        <v>42103</v>
      </c>
      <c r="B591">
        <v>1225.55</v>
      </c>
      <c r="C591">
        <v>1241.8</v>
      </c>
      <c r="D591">
        <v>1225</v>
      </c>
      <c r="E591">
        <v>1232.55</v>
      </c>
      <c r="F591">
        <v>1496310</v>
      </c>
      <c r="G591" s="4">
        <f t="shared" si="127"/>
        <v>7</v>
      </c>
      <c r="H591" s="4">
        <f t="shared" si="128"/>
        <v>0</v>
      </c>
      <c r="I591" s="6">
        <f t="shared" si="119"/>
        <v>19.457142857142863</v>
      </c>
      <c r="J591" s="6">
        <f t="shared" si="120"/>
        <v>9.164285714285727</v>
      </c>
      <c r="K591" s="4">
        <f t="shared" si="121"/>
        <v>2.1231488698363186</v>
      </c>
      <c r="L591">
        <f t="shared" si="122"/>
        <v>67.981033191914122</v>
      </c>
      <c r="M591" s="14" t="str">
        <f t="shared" si="115"/>
        <v/>
      </c>
      <c r="N591" s="7">
        <f t="shared" si="116"/>
        <v>0</v>
      </c>
      <c r="O591" s="7">
        <f t="shared" si="123"/>
        <v>0</v>
      </c>
      <c r="P591" s="7">
        <f t="shared" si="124"/>
        <v>-1</v>
      </c>
      <c r="Q591" s="10" t="e">
        <f t="shared" si="117"/>
        <v>#N/A</v>
      </c>
      <c r="R591" s="10" t="e">
        <f t="shared" si="118"/>
        <v>#N/A</v>
      </c>
      <c r="S591" s="7">
        <f t="shared" si="125"/>
        <v>1279.5</v>
      </c>
      <c r="T591" s="7">
        <f t="shared" si="126"/>
        <v>0</v>
      </c>
    </row>
    <row r="592" spans="1:20" x14ac:dyDescent="0.25">
      <c r="A592" s="1">
        <v>42104</v>
      </c>
      <c r="B592">
        <v>1224</v>
      </c>
      <c r="C592">
        <v>1236.9000000000001</v>
      </c>
      <c r="D592">
        <v>1221.2</v>
      </c>
      <c r="E592">
        <v>1230.75</v>
      </c>
      <c r="F592">
        <v>1372595</v>
      </c>
      <c r="G592" s="4">
        <f t="shared" si="127"/>
        <v>0</v>
      </c>
      <c r="H592" s="4">
        <f t="shared" si="128"/>
        <v>1.7999999999999545</v>
      </c>
      <c r="I592" s="6">
        <f t="shared" si="119"/>
        <v>19.457142857142863</v>
      </c>
      <c r="J592" s="6">
        <f t="shared" si="120"/>
        <v>7.5642857142857212</v>
      </c>
      <c r="K592" s="4">
        <f t="shared" si="121"/>
        <v>2.5722379603399417</v>
      </c>
      <c r="L592">
        <f t="shared" si="122"/>
        <v>72.006344171292611</v>
      </c>
      <c r="M592" s="14" t="str">
        <f t="shared" ref="M592:M655" si="129">IF(L592&gt;RSI_Overbought,"OVERBOUGHT",IF(L592&lt;RSI_Oversold,"OVERSOLD",""))</f>
        <v>OVERBOUGHT</v>
      </c>
      <c r="N592" s="7" t="str">
        <f t="shared" ref="N592:N655" si="130">IF(L592&gt;RSI_Overbought,"SELL",IF(L592&lt;RSI_Oversold,"BUY",0))</f>
        <v>SELL</v>
      </c>
      <c r="O592" s="7">
        <f t="shared" si="123"/>
        <v>0</v>
      </c>
      <c r="P592" s="7">
        <f t="shared" si="124"/>
        <v>-1</v>
      </c>
      <c r="Q592" s="10" t="e">
        <f t="shared" ref="Q592:Q655" si="131">IF($O592="BUY",$E592,NA())</f>
        <v>#N/A</v>
      </c>
      <c r="R592" s="10" t="e">
        <f t="shared" ref="R592:R655" si="132">IF($O592="SELL",$E592,NA())</f>
        <v>#N/A</v>
      </c>
      <c r="S592" s="7">
        <f t="shared" si="125"/>
        <v>1279.5</v>
      </c>
      <c r="T592" s="7">
        <f t="shared" si="126"/>
        <v>0</v>
      </c>
    </row>
    <row r="593" spans="1:20" x14ac:dyDescent="0.25">
      <c r="A593" s="1">
        <v>42107</v>
      </c>
      <c r="B593">
        <v>1227.3</v>
      </c>
      <c r="C593">
        <v>1234</v>
      </c>
      <c r="D593">
        <v>1220</v>
      </c>
      <c r="E593">
        <v>1225.95</v>
      </c>
      <c r="F593">
        <v>1286876</v>
      </c>
      <c r="G593" s="4">
        <f t="shared" si="127"/>
        <v>0</v>
      </c>
      <c r="H593" s="4">
        <f t="shared" si="128"/>
        <v>4.7999999999999545</v>
      </c>
      <c r="I593" s="6">
        <f t="shared" ref="I593:I656" si="133">AVERAGE(G580:G593)</f>
        <v>10.175000000000002</v>
      </c>
      <c r="J593" s="6">
        <f t="shared" ref="J593:J656" si="134">AVERAGE(H580:H593)</f>
        <v>7.9071428571428601</v>
      </c>
      <c r="K593" s="4">
        <f t="shared" ref="K593:K656" si="135">I593/J593</f>
        <v>1.2868112014453477</v>
      </c>
      <c r="L593">
        <f t="shared" ref="L593:L656" si="136">100-(100/(K593+1))</f>
        <v>56.270985581670942</v>
      </c>
      <c r="M593" s="14" t="str">
        <f t="shared" si="129"/>
        <v/>
      </c>
      <c r="N593" s="7">
        <f t="shared" si="130"/>
        <v>0</v>
      </c>
      <c r="O593" s="7">
        <f t="shared" ref="O593:O656" si="137">IF(AND(N593="BUY",P592&lt;&gt;1),"BUY",IF(AND(N593="SELL",P592&lt;&gt;-1),"SELL",0))</f>
        <v>0</v>
      </c>
      <c r="P593" s="7">
        <f t="shared" ref="P593:P656" si="138">IF(O593="BUY",1,IF(O593="SELL",-1,P592))</f>
        <v>-1</v>
      </c>
      <c r="Q593" s="10" t="e">
        <f t="shared" si="131"/>
        <v>#N/A</v>
      </c>
      <c r="R593" s="10" t="e">
        <f t="shared" si="132"/>
        <v>#N/A</v>
      </c>
      <c r="S593" s="7">
        <f t="shared" ref="S593:S656" si="139">IF(O593&lt;&gt;0,E593,S592)</f>
        <v>1279.5</v>
      </c>
      <c r="T593" s="7">
        <f t="shared" si="126"/>
        <v>0</v>
      </c>
    </row>
    <row r="594" spans="1:20" x14ac:dyDescent="0.25">
      <c r="A594" s="1">
        <v>42108</v>
      </c>
      <c r="B594">
        <v>1224</v>
      </c>
      <c r="C594">
        <v>1233</v>
      </c>
      <c r="D594">
        <v>1219.8</v>
      </c>
      <c r="E594">
        <v>1226.3</v>
      </c>
      <c r="F594">
        <v>937755</v>
      </c>
      <c r="G594" s="4">
        <f t="shared" si="127"/>
        <v>0.34999999999990905</v>
      </c>
      <c r="H594" s="4">
        <f t="shared" si="128"/>
        <v>0</v>
      </c>
      <c r="I594" s="6">
        <f t="shared" si="133"/>
        <v>10.199999999999998</v>
      </c>
      <c r="J594" s="6">
        <f t="shared" si="134"/>
        <v>6.2535714285714255</v>
      </c>
      <c r="K594" s="4">
        <f t="shared" si="135"/>
        <v>1.6310679611650489</v>
      </c>
      <c r="L594">
        <f t="shared" si="136"/>
        <v>61.992619926199268</v>
      </c>
      <c r="M594" s="14" t="str">
        <f t="shared" si="129"/>
        <v/>
      </c>
      <c r="N594" s="7">
        <f t="shared" si="130"/>
        <v>0</v>
      </c>
      <c r="O594" s="7">
        <f t="shared" si="137"/>
        <v>0</v>
      </c>
      <c r="P594" s="7">
        <f t="shared" si="138"/>
        <v>-1</v>
      </c>
      <c r="Q594" s="10" t="e">
        <f t="shared" si="131"/>
        <v>#N/A</v>
      </c>
      <c r="R594" s="10" t="e">
        <f t="shared" si="132"/>
        <v>#N/A</v>
      </c>
      <c r="S594" s="7">
        <f t="shared" si="139"/>
        <v>1279.5</v>
      </c>
      <c r="T594" s="7">
        <f t="shared" si="126"/>
        <v>0</v>
      </c>
    </row>
    <row r="595" spans="1:20" x14ac:dyDescent="0.25">
      <c r="A595" s="1">
        <v>42109</v>
      </c>
      <c r="B595">
        <v>1220</v>
      </c>
      <c r="C595">
        <v>1241.9000000000001</v>
      </c>
      <c r="D595">
        <v>1206.75</v>
      </c>
      <c r="E595">
        <v>1223.4000000000001</v>
      </c>
      <c r="F595">
        <v>2283968</v>
      </c>
      <c r="G595" s="4">
        <f t="shared" si="127"/>
        <v>0</v>
      </c>
      <c r="H595" s="4">
        <f t="shared" si="128"/>
        <v>2.8999999999998636</v>
      </c>
      <c r="I595" s="6">
        <f t="shared" si="133"/>
        <v>8.5142857142857018</v>
      </c>
      <c r="J595" s="6">
        <f t="shared" si="134"/>
        <v>6.460714285714273</v>
      </c>
      <c r="K595" s="4">
        <f t="shared" si="135"/>
        <v>1.3178551686014379</v>
      </c>
      <c r="L595">
        <f t="shared" si="136"/>
        <v>56.856665871690929</v>
      </c>
      <c r="M595" s="14" t="str">
        <f t="shared" si="129"/>
        <v/>
      </c>
      <c r="N595" s="7">
        <f t="shared" si="130"/>
        <v>0</v>
      </c>
      <c r="O595" s="7">
        <f t="shared" si="137"/>
        <v>0</v>
      </c>
      <c r="P595" s="7">
        <f t="shared" si="138"/>
        <v>-1</v>
      </c>
      <c r="Q595" s="10" t="e">
        <f t="shared" si="131"/>
        <v>#N/A</v>
      </c>
      <c r="R595" s="10" t="e">
        <f t="shared" si="132"/>
        <v>#N/A</v>
      </c>
      <c r="S595" s="7">
        <f t="shared" si="139"/>
        <v>1279.5</v>
      </c>
      <c r="T595" s="7">
        <f t="shared" si="126"/>
        <v>0</v>
      </c>
    </row>
    <row r="596" spans="1:20" x14ac:dyDescent="0.25">
      <c r="A596" s="1">
        <v>42110</v>
      </c>
      <c r="B596">
        <v>1222</v>
      </c>
      <c r="C596">
        <v>1235</v>
      </c>
      <c r="D596">
        <v>1199.05</v>
      </c>
      <c r="E596">
        <v>1222</v>
      </c>
      <c r="F596">
        <v>2068762</v>
      </c>
      <c r="G596" s="4">
        <f t="shared" si="127"/>
        <v>0</v>
      </c>
      <c r="H596" s="4">
        <f t="shared" si="128"/>
        <v>1.4000000000000909</v>
      </c>
      <c r="I596" s="6">
        <f t="shared" si="133"/>
        <v>7.8464285714285653</v>
      </c>
      <c r="J596" s="6">
        <f t="shared" si="134"/>
        <v>6.5607142857142788</v>
      </c>
      <c r="K596" s="4">
        <f t="shared" si="135"/>
        <v>1.1959716929776814</v>
      </c>
      <c r="L596">
        <f t="shared" si="136"/>
        <v>54.462072384729808</v>
      </c>
      <c r="M596" s="14" t="str">
        <f t="shared" si="129"/>
        <v/>
      </c>
      <c r="N596" s="7">
        <f t="shared" si="130"/>
        <v>0</v>
      </c>
      <c r="O596" s="7">
        <f t="shared" si="137"/>
        <v>0</v>
      </c>
      <c r="P596" s="7">
        <f t="shared" si="138"/>
        <v>-1</v>
      </c>
      <c r="Q596" s="10" t="e">
        <f t="shared" si="131"/>
        <v>#N/A</v>
      </c>
      <c r="R596" s="10" t="e">
        <f t="shared" si="132"/>
        <v>#N/A</v>
      </c>
      <c r="S596" s="7">
        <f t="shared" si="139"/>
        <v>1279.5</v>
      </c>
      <c r="T596" s="7">
        <f t="shared" si="126"/>
        <v>0</v>
      </c>
    </row>
    <row r="597" spans="1:20" x14ac:dyDescent="0.25">
      <c r="A597" s="1">
        <v>42111</v>
      </c>
      <c r="B597">
        <v>1204.8</v>
      </c>
      <c r="C597">
        <v>1224.9000000000001</v>
      </c>
      <c r="D597">
        <v>1202.6500000000001</v>
      </c>
      <c r="E597">
        <v>1210.6500000000001</v>
      </c>
      <c r="F597">
        <v>1328335</v>
      </c>
      <c r="G597" s="4">
        <f t="shared" si="127"/>
        <v>0</v>
      </c>
      <c r="H597" s="4">
        <f t="shared" si="128"/>
        <v>11.349999999999909</v>
      </c>
      <c r="I597" s="6">
        <f t="shared" si="133"/>
        <v>7.8464285714285653</v>
      </c>
      <c r="J597" s="6">
        <f t="shared" si="134"/>
        <v>7.217857142857123</v>
      </c>
      <c r="K597" s="4">
        <f t="shared" si="135"/>
        <v>1.0870856011875332</v>
      </c>
      <c r="L597">
        <f t="shared" si="136"/>
        <v>52.08629682313898</v>
      </c>
      <c r="M597" s="14" t="str">
        <f t="shared" si="129"/>
        <v/>
      </c>
      <c r="N597" s="7">
        <f t="shared" si="130"/>
        <v>0</v>
      </c>
      <c r="O597" s="7">
        <f t="shared" si="137"/>
        <v>0</v>
      </c>
      <c r="P597" s="7">
        <f t="shared" si="138"/>
        <v>-1</v>
      </c>
      <c r="Q597" s="10" t="e">
        <f t="shared" si="131"/>
        <v>#N/A</v>
      </c>
      <c r="R597" s="10" t="e">
        <f t="shared" si="132"/>
        <v>#N/A</v>
      </c>
      <c r="S597" s="7">
        <f t="shared" si="139"/>
        <v>1279.5</v>
      </c>
      <c r="T597" s="7">
        <f t="shared" si="126"/>
        <v>0</v>
      </c>
    </row>
    <row r="598" spans="1:20" x14ac:dyDescent="0.25">
      <c r="A598" s="1">
        <v>42114</v>
      </c>
      <c r="B598">
        <v>1211</v>
      </c>
      <c r="C598">
        <v>1225</v>
      </c>
      <c r="D598">
        <v>1204.05</v>
      </c>
      <c r="E598">
        <v>1209.2</v>
      </c>
      <c r="F598">
        <v>1113544</v>
      </c>
      <c r="G598" s="4">
        <f t="shared" si="127"/>
        <v>0</v>
      </c>
      <c r="H598" s="4">
        <f t="shared" si="128"/>
        <v>1.4500000000000455</v>
      </c>
      <c r="I598" s="6">
        <f t="shared" si="133"/>
        <v>4.6499999999999932</v>
      </c>
      <c r="J598" s="6">
        <f t="shared" si="134"/>
        <v>7.3214285714285552</v>
      </c>
      <c r="K598" s="4">
        <f t="shared" si="135"/>
        <v>0.63512195121951265</v>
      </c>
      <c r="L598">
        <f t="shared" si="136"/>
        <v>38.842482100238684</v>
      </c>
      <c r="M598" s="14" t="str">
        <f t="shared" si="129"/>
        <v/>
      </c>
      <c r="N598" s="7">
        <f t="shared" si="130"/>
        <v>0</v>
      </c>
      <c r="O598" s="7">
        <f t="shared" si="137"/>
        <v>0</v>
      </c>
      <c r="P598" s="7">
        <f t="shared" si="138"/>
        <v>-1</v>
      </c>
      <c r="Q598" s="10" t="e">
        <f t="shared" si="131"/>
        <v>#N/A</v>
      </c>
      <c r="R598" s="10" t="e">
        <f t="shared" si="132"/>
        <v>#N/A</v>
      </c>
      <c r="S598" s="7">
        <f t="shared" si="139"/>
        <v>1279.5</v>
      </c>
      <c r="T598" s="7">
        <f t="shared" si="126"/>
        <v>0</v>
      </c>
    </row>
    <row r="599" spans="1:20" x14ac:dyDescent="0.25">
      <c r="A599" s="1">
        <v>42115</v>
      </c>
      <c r="B599">
        <v>1221</v>
      </c>
      <c r="C599">
        <v>1240</v>
      </c>
      <c r="D599">
        <v>1213</v>
      </c>
      <c r="E599">
        <v>1224.05</v>
      </c>
      <c r="F599">
        <v>1180458</v>
      </c>
      <c r="G599" s="4">
        <f t="shared" si="127"/>
        <v>14.849999999999909</v>
      </c>
      <c r="H599" s="4">
        <f t="shared" si="128"/>
        <v>0</v>
      </c>
      <c r="I599" s="6">
        <f t="shared" si="133"/>
        <v>4.2357142857142662</v>
      </c>
      <c r="J599" s="6">
        <f t="shared" si="134"/>
        <v>7.3214285714285552</v>
      </c>
      <c r="K599" s="4">
        <f t="shared" si="135"/>
        <v>0.57853658536585229</v>
      </c>
      <c r="L599">
        <f t="shared" si="136"/>
        <v>36.650185414091418</v>
      </c>
      <c r="M599" s="14" t="str">
        <f t="shared" si="129"/>
        <v/>
      </c>
      <c r="N599" s="7">
        <f t="shared" si="130"/>
        <v>0</v>
      </c>
      <c r="O599" s="7">
        <f t="shared" si="137"/>
        <v>0</v>
      </c>
      <c r="P599" s="7">
        <f t="shared" si="138"/>
        <v>-1</v>
      </c>
      <c r="Q599" s="10" t="e">
        <f t="shared" si="131"/>
        <v>#N/A</v>
      </c>
      <c r="R599" s="10" t="e">
        <f t="shared" si="132"/>
        <v>#N/A</v>
      </c>
      <c r="S599" s="7">
        <f t="shared" si="139"/>
        <v>1279.5</v>
      </c>
      <c r="T599" s="7">
        <f t="shared" si="126"/>
        <v>0</v>
      </c>
    </row>
    <row r="600" spans="1:20" x14ac:dyDescent="0.25">
      <c r="A600" s="1">
        <v>42116</v>
      </c>
      <c r="B600">
        <v>1233</v>
      </c>
      <c r="C600">
        <v>1235.55</v>
      </c>
      <c r="D600">
        <v>1214.0999999999999</v>
      </c>
      <c r="E600">
        <v>1225.1500000000001</v>
      </c>
      <c r="F600">
        <v>1081403</v>
      </c>
      <c r="G600" s="4">
        <f t="shared" si="127"/>
        <v>1.1000000000001364</v>
      </c>
      <c r="H600" s="4">
        <f t="shared" si="128"/>
        <v>0</v>
      </c>
      <c r="I600" s="6">
        <f t="shared" si="133"/>
        <v>3.4392857142857047</v>
      </c>
      <c r="J600" s="6">
        <f t="shared" si="134"/>
        <v>7.3214285714285552</v>
      </c>
      <c r="K600" s="4">
        <f t="shared" si="135"/>
        <v>0.46975609756097536</v>
      </c>
      <c r="L600">
        <f t="shared" si="136"/>
        <v>31.961500165947555</v>
      </c>
      <c r="M600" s="14" t="str">
        <f t="shared" si="129"/>
        <v/>
      </c>
      <c r="N600" s="7">
        <f t="shared" si="130"/>
        <v>0</v>
      </c>
      <c r="O600" s="7">
        <f t="shared" si="137"/>
        <v>0</v>
      </c>
      <c r="P600" s="7">
        <f t="shared" si="138"/>
        <v>-1</v>
      </c>
      <c r="Q600" s="10" t="e">
        <f t="shared" si="131"/>
        <v>#N/A</v>
      </c>
      <c r="R600" s="10" t="e">
        <f t="shared" si="132"/>
        <v>#N/A</v>
      </c>
      <c r="S600" s="7">
        <f t="shared" si="139"/>
        <v>1279.5</v>
      </c>
      <c r="T600" s="7">
        <f t="shared" si="126"/>
        <v>0</v>
      </c>
    </row>
    <row r="601" spans="1:20" x14ac:dyDescent="0.25">
      <c r="A601" s="1">
        <v>42117</v>
      </c>
      <c r="B601">
        <v>1225</v>
      </c>
      <c r="C601">
        <v>1228.95</v>
      </c>
      <c r="D601">
        <v>1207.0999999999999</v>
      </c>
      <c r="E601">
        <v>1221.45</v>
      </c>
      <c r="F601">
        <v>602837</v>
      </c>
      <c r="G601" s="4">
        <f t="shared" si="127"/>
        <v>0</v>
      </c>
      <c r="H601" s="4">
        <f t="shared" si="128"/>
        <v>3.7000000000000455</v>
      </c>
      <c r="I601" s="6">
        <f t="shared" si="133"/>
        <v>3.4392857142857047</v>
      </c>
      <c r="J601" s="6">
        <f t="shared" si="134"/>
        <v>7.3928571428571264</v>
      </c>
      <c r="K601" s="4">
        <f t="shared" si="135"/>
        <v>0.46521739130434758</v>
      </c>
      <c r="L601">
        <f t="shared" si="136"/>
        <v>31.750741839762597</v>
      </c>
      <c r="M601" s="14" t="str">
        <f t="shared" si="129"/>
        <v/>
      </c>
      <c r="N601" s="7">
        <f t="shared" si="130"/>
        <v>0</v>
      </c>
      <c r="O601" s="7">
        <f t="shared" si="137"/>
        <v>0</v>
      </c>
      <c r="P601" s="7">
        <f t="shared" si="138"/>
        <v>-1</v>
      </c>
      <c r="Q601" s="10" t="e">
        <f t="shared" si="131"/>
        <v>#N/A</v>
      </c>
      <c r="R601" s="10" t="e">
        <f t="shared" si="132"/>
        <v>#N/A</v>
      </c>
      <c r="S601" s="7">
        <f t="shared" si="139"/>
        <v>1279.5</v>
      </c>
      <c r="T601" s="7">
        <f t="shared" si="126"/>
        <v>0</v>
      </c>
    </row>
    <row r="602" spans="1:20" x14ac:dyDescent="0.25">
      <c r="A602" s="1">
        <v>42118</v>
      </c>
      <c r="B602">
        <v>1212.0999999999999</v>
      </c>
      <c r="C602">
        <v>1225</v>
      </c>
      <c r="D602">
        <v>1209.0999999999999</v>
      </c>
      <c r="E602">
        <v>1220.8</v>
      </c>
      <c r="F602">
        <v>457523</v>
      </c>
      <c r="G602" s="4">
        <f t="shared" si="127"/>
        <v>0</v>
      </c>
      <c r="H602" s="4">
        <f t="shared" si="128"/>
        <v>0.65000000000009095</v>
      </c>
      <c r="I602" s="6">
        <f t="shared" si="133"/>
        <v>3.4392857142857047</v>
      </c>
      <c r="J602" s="6">
        <f t="shared" si="134"/>
        <v>7.1857142857142788</v>
      </c>
      <c r="K602" s="4">
        <f t="shared" si="135"/>
        <v>0.47862823061630133</v>
      </c>
      <c r="L602">
        <f t="shared" si="136"/>
        <v>32.36974789915962</v>
      </c>
      <c r="M602" s="14" t="str">
        <f t="shared" si="129"/>
        <v/>
      </c>
      <c r="N602" s="7">
        <f t="shared" si="130"/>
        <v>0</v>
      </c>
      <c r="O602" s="7">
        <f t="shared" si="137"/>
        <v>0</v>
      </c>
      <c r="P602" s="7">
        <f t="shared" si="138"/>
        <v>-1</v>
      </c>
      <c r="Q602" s="10" t="e">
        <f t="shared" si="131"/>
        <v>#N/A</v>
      </c>
      <c r="R602" s="10" t="e">
        <f t="shared" si="132"/>
        <v>#N/A</v>
      </c>
      <c r="S602" s="7">
        <f t="shared" si="139"/>
        <v>1279.5</v>
      </c>
      <c r="T602" s="7">
        <f t="shared" ref="T602:T665" si="140">IF(O602="BUY",(S601-S602)/S601,IF(O602="SELL",(S602-S601)/S601,0))</f>
        <v>0</v>
      </c>
    </row>
    <row r="603" spans="1:20" x14ac:dyDescent="0.25">
      <c r="A603" s="1">
        <v>42121</v>
      </c>
      <c r="B603">
        <v>1224</v>
      </c>
      <c r="C603">
        <v>1230</v>
      </c>
      <c r="D603">
        <v>1215.05</v>
      </c>
      <c r="E603">
        <v>1224.7</v>
      </c>
      <c r="F603">
        <v>395097</v>
      </c>
      <c r="G603" s="4">
        <f t="shared" si="127"/>
        <v>3.9000000000000909</v>
      </c>
      <c r="H603" s="4">
        <f t="shared" si="128"/>
        <v>0</v>
      </c>
      <c r="I603" s="6">
        <f t="shared" si="133"/>
        <v>3.7178571428571394</v>
      </c>
      <c r="J603" s="6">
        <f t="shared" si="134"/>
        <v>2.0035714285714255</v>
      </c>
      <c r="K603" s="4">
        <f t="shared" si="135"/>
        <v>1.8556149732620333</v>
      </c>
      <c r="L603">
        <f t="shared" si="136"/>
        <v>64.981273408239716</v>
      </c>
      <c r="M603" s="14" t="str">
        <f t="shared" si="129"/>
        <v/>
      </c>
      <c r="N603" s="7">
        <f t="shared" si="130"/>
        <v>0</v>
      </c>
      <c r="O603" s="7">
        <f t="shared" si="137"/>
        <v>0</v>
      </c>
      <c r="P603" s="7">
        <f t="shared" si="138"/>
        <v>-1</v>
      </c>
      <c r="Q603" s="10" t="e">
        <f t="shared" si="131"/>
        <v>#N/A</v>
      </c>
      <c r="R603" s="10" t="e">
        <f t="shared" si="132"/>
        <v>#N/A</v>
      </c>
      <c r="S603" s="7">
        <f t="shared" si="139"/>
        <v>1279.5</v>
      </c>
      <c r="T603" s="7">
        <f t="shared" si="140"/>
        <v>0</v>
      </c>
    </row>
    <row r="604" spans="1:20" x14ac:dyDescent="0.25">
      <c r="A604" s="1">
        <v>42122</v>
      </c>
      <c r="B604">
        <v>1228</v>
      </c>
      <c r="C604">
        <v>1248</v>
      </c>
      <c r="D604">
        <v>1218.4000000000001</v>
      </c>
      <c r="E604">
        <v>1240.3499999999999</v>
      </c>
      <c r="F604">
        <v>787516</v>
      </c>
      <c r="G604" s="4">
        <f t="shared" si="127"/>
        <v>15.649999999999864</v>
      </c>
      <c r="H604" s="4">
        <f t="shared" si="128"/>
        <v>0</v>
      </c>
      <c r="I604" s="6">
        <f t="shared" si="133"/>
        <v>3.0607142857142793</v>
      </c>
      <c r="J604" s="6">
        <f t="shared" si="134"/>
        <v>2.0035714285714255</v>
      </c>
      <c r="K604" s="4">
        <f t="shared" si="135"/>
        <v>1.5276292335115855</v>
      </c>
      <c r="L604">
        <f t="shared" si="136"/>
        <v>60.437235543018318</v>
      </c>
      <c r="M604" s="14" t="str">
        <f t="shared" si="129"/>
        <v/>
      </c>
      <c r="N604" s="7">
        <f t="shared" si="130"/>
        <v>0</v>
      </c>
      <c r="O604" s="7">
        <f t="shared" si="137"/>
        <v>0</v>
      </c>
      <c r="P604" s="7">
        <f t="shared" si="138"/>
        <v>-1</v>
      </c>
      <c r="Q604" s="10" t="e">
        <f t="shared" si="131"/>
        <v>#N/A</v>
      </c>
      <c r="R604" s="10" t="e">
        <f t="shared" si="132"/>
        <v>#N/A</v>
      </c>
      <c r="S604" s="7">
        <f t="shared" si="139"/>
        <v>1279.5</v>
      </c>
      <c r="T604" s="7">
        <f t="shared" si="140"/>
        <v>0</v>
      </c>
    </row>
    <row r="605" spans="1:20" x14ac:dyDescent="0.25">
      <c r="A605" s="1">
        <v>42123</v>
      </c>
      <c r="B605">
        <v>1231.25</v>
      </c>
      <c r="C605">
        <v>1257</v>
      </c>
      <c r="D605">
        <v>1231.25</v>
      </c>
      <c r="E605">
        <v>1240.55</v>
      </c>
      <c r="F605">
        <v>790757</v>
      </c>
      <c r="G605" s="4">
        <f t="shared" si="127"/>
        <v>0.20000000000004547</v>
      </c>
      <c r="H605" s="4">
        <f t="shared" si="128"/>
        <v>0</v>
      </c>
      <c r="I605" s="6">
        <f t="shared" si="133"/>
        <v>2.5749999999999966</v>
      </c>
      <c r="J605" s="6">
        <f t="shared" si="134"/>
        <v>2.0035714285714255</v>
      </c>
      <c r="K605" s="4">
        <f t="shared" si="135"/>
        <v>1.2852049910873444</v>
      </c>
      <c r="L605">
        <f t="shared" si="136"/>
        <v>56.24024960998441</v>
      </c>
      <c r="M605" s="14" t="str">
        <f t="shared" si="129"/>
        <v/>
      </c>
      <c r="N605" s="7">
        <f t="shared" si="130"/>
        <v>0</v>
      </c>
      <c r="O605" s="7">
        <f t="shared" si="137"/>
        <v>0</v>
      </c>
      <c r="P605" s="7">
        <f t="shared" si="138"/>
        <v>-1</v>
      </c>
      <c r="Q605" s="10" t="e">
        <f t="shared" si="131"/>
        <v>#N/A</v>
      </c>
      <c r="R605" s="10" t="e">
        <f t="shared" si="132"/>
        <v>#N/A</v>
      </c>
      <c r="S605" s="7">
        <f t="shared" si="139"/>
        <v>1279.5</v>
      </c>
      <c r="T605" s="7">
        <f t="shared" si="140"/>
        <v>0</v>
      </c>
    </row>
    <row r="606" spans="1:20" x14ac:dyDescent="0.25">
      <c r="A606" s="1">
        <v>42124</v>
      </c>
      <c r="B606">
        <v>1221</v>
      </c>
      <c r="C606">
        <v>1255.9000000000001</v>
      </c>
      <c r="D606">
        <v>1221</v>
      </c>
      <c r="E606">
        <v>1245.3499999999999</v>
      </c>
      <c r="F606">
        <v>2205801</v>
      </c>
      <c r="G606" s="4">
        <f t="shared" si="127"/>
        <v>4.7999999999999545</v>
      </c>
      <c r="H606" s="4">
        <f t="shared" si="128"/>
        <v>0</v>
      </c>
      <c r="I606" s="6">
        <f t="shared" si="133"/>
        <v>2.9178571428571365</v>
      </c>
      <c r="J606" s="6">
        <f t="shared" si="134"/>
        <v>1.875</v>
      </c>
      <c r="K606" s="4">
        <f t="shared" si="135"/>
        <v>1.5561904761904728</v>
      </c>
      <c r="L606">
        <f t="shared" si="136"/>
        <v>60.879284649776402</v>
      </c>
      <c r="M606" s="14" t="str">
        <f t="shared" si="129"/>
        <v/>
      </c>
      <c r="N606" s="7">
        <f t="shared" si="130"/>
        <v>0</v>
      </c>
      <c r="O606" s="7">
        <f t="shared" si="137"/>
        <v>0</v>
      </c>
      <c r="P606" s="7">
        <f t="shared" si="138"/>
        <v>-1</v>
      </c>
      <c r="Q606" s="10" t="e">
        <f t="shared" si="131"/>
        <v>#N/A</v>
      </c>
      <c r="R606" s="10" t="e">
        <f t="shared" si="132"/>
        <v>#N/A</v>
      </c>
      <c r="S606" s="7">
        <f t="shared" si="139"/>
        <v>1279.5</v>
      </c>
      <c r="T606" s="7">
        <f t="shared" si="140"/>
        <v>0</v>
      </c>
    </row>
    <row r="607" spans="1:20" x14ac:dyDescent="0.25">
      <c r="A607" s="1">
        <v>42125</v>
      </c>
      <c r="B607">
        <v>1240</v>
      </c>
      <c r="C607">
        <v>1245</v>
      </c>
      <c r="D607">
        <v>1218.5</v>
      </c>
      <c r="E607">
        <v>1224.5999999999999</v>
      </c>
      <c r="F607">
        <v>739764</v>
      </c>
      <c r="G607" s="4">
        <f t="shared" si="127"/>
        <v>0</v>
      </c>
      <c r="H607" s="4">
        <f t="shared" si="128"/>
        <v>20.75</v>
      </c>
      <c r="I607" s="6">
        <f t="shared" si="133"/>
        <v>2.9178571428571365</v>
      </c>
      <c r="J607" s="6">
        <f t="shared" si="134"/>
        <v>3.0142857142857173</v>
      </c>
      <c r="K607" s="4">
        <f t="shared" si="135"/>
        <v>0.9680094786729827</v>
      </c>
      <c r="L607">
        <f t="shared" si="136"/>
        <v>49.187236604455066</v>
      </c>
      <c r="M607" s="14" t="str">
        <f t="shared" si="129"/>
        <v/>
      </c>
      <c r="N607" s="7">
        <f t="shared" si="130"/>
        <v>0</v>
      </c>
      <c r="O607" s="7">
        <f t="shared" si="137"/>
        <v>0</v>
      </c>
      <c r="P607" s="7">
        <f t="shared" si="138"/>
        <v>-1</v>
      </c>
      <c r="Q607" s="10" t="e">
        <f t="shared" si="131"/>
        <v>#N/A</v>
      </c>
      <c r="R607" s="10" t="e">
        <f t="shared" si="132"/>
        <v>#N/A</v>
      </c>
      <c r="S607" s="7">
        <f t="shared" si="139"/>
        <v>1279.5</v>
      </c>
      <c r="T607" s="7">
        <f t="shared" si="140"/>
        <v>0</v>
      </c>
    </row>
    <row r="608" spans="1:20" x14ac:dyDescent="0.25">
      <c r="A608" s="1">
        <v>42128</v>
      </c>
      <c r="B608">
        <v>1210</v>
      </c>
      <c r="C608">
        <v>1216</v>
      </c>
      <c r="D608">
        <v>1196.2</v>
      </c>
      <c r="E608">
        <v>1213.25</v>
      </c>
      <c r="F608">
        <v>602215</v>
      </c>
      <c r="G608" s="4">
        <f t="shared" si="127"/>
        <v>0</v>
      </c>
      <c r="H608" s="4">
        <f t="shared" si="128"/>
        <v>11.349999999999909</v>
      </c>
      <c r="I608" s="6">
        <f t="shared" si="133"/>
        <v>2.8928571428571428</v>
      </c>
      <c r="J608" s="6">
        <f t="shared" si="134"/>
        <v>3.8249999999999966</v>
      </c>
      <c r="K608" s="4">
        <f t="shared" si="135"/>
        <v>0.75630252100840401</v>
      </c>
      <c r="L608">
        <f t="shared" si="136"/>
        <v>43.062200956937822</v>
      </c>
      <c r="M608" s="14" t="str">
        <f t="shared" si="129"/>
        <v/>
      </c>
      <c r="N608" s="7">
        <f t="shared" si="130"/>
        <v>0</v>
      </c>
      <c r="O608" s="7">
        <f t="shared" si="137"/>
        <v>0</v>
      </c>
      <c r="P608" s="7">
        <f t="shared" si="138"/>
        <v>-1</v>
      </c>
      <c r="Q608" s="10" t="e">
        <f t="shared" si="131"/>
        <v>#N/A</v>
      </c>
      <c r="R608" s="10" t="e">
        <f t="shared" si="132"/>
        <v>#N/A</v>
      </c>
      <c r="S608" s="7">
        <f t="shared" si="139"/>
        <v>1279.5</v>
      </c>
      <c r="T608" s="7">
        <f t="shared" si="140"/>
        <v>0</v>
      </c>
    </row>
    <row r="609" spans="1:20" x14ac:dyDescent="0.25">
      <c r="A609" s="1">
        <v>42129</v>
      </c>
      <c r="B609">
        <v>1214</v>
      </c>
      <c r="C609">
        <v>1230.9000000000001</v>
      </c>
      <c r="D609">
        <v>1214</v>
      </c>
      <c r="E609">
        <v>1226.5</v>
      </c>
      <c r="F609">
        <v>1031699</v>
      </c>
      <c r="G609" s="4">
        <f t="shared" si="127"/>
        <v>13.25</v>
      </c>
      <c r="H609" s="4">
        <f t="shared" si="128"/>
        <v>0</v>
      </c>
      <c r="I609" s="6">
        <f t="shared" si="133"/>
        <v>3.8392857142857144</v>
      </c>
      <c r="J609" s="6">
        <f t="shared" si="134"/>
        <v>3.6178571428571495</v>
      </c>
      <c r="K609" s="4">
        <f t="shared" si="135"/>
        <v>1.0612043435340552</v>
      </c>
      <c r="L609">
        <f t="shared" si="136"/>
        <v>51.484674329501871</v>
      </c>
      <c r="M609" s="14" t="str">
        <f t="shared" si="129"/>
        <v/>
      </c>
      <c r="N609" s="7">
        <f t="shared" si="130"/>
        <v>0</v>
      </c>
      <c r="O609" s="7">
        <f t="shared" si="137"/>
        <v>0</v>
      </c>
      <c r="P609" s="7">
        <f t="shared" si="138"/>
        <v>-1</v>
      </c>
      <c r="Q609" s="10" t="e">
        <f t="shared" si="131"/>
        <v>#N/A</v>
      </c>
      <c r="R609" s="10" t="e">
        <f t="shared" si="132"/>
        <v>#N/A</v>
      </c>
      <c r="S609" s="7">
        <f t="shared" si="139"/>
        <v>1279.5</v>
      </c>
      <c r="T609" s="7">
        <f t="shared" si="140"/>
        <v>0</v>
      </c>
    </row>
    <row r="610" spans="1:20" x14ac:dyDescent="0.25">
      <c r="A610" s="1">
        <v>42130</v>
      </c>
      <c r="B610">
        <v>1230</v>
      </c>
      <c r="C610">
        <v>1263.75</v>
      </c>
      <c r="D610">
        <v>1229.0999999999999</v>
      </c>
      <c r="E610">
        <v>1251.1500000000001</v>
      </c>
      <c r="F610">
        <v>1645954</v>
      </c>
      <c r="G610" s="4">
        <f t="shared" si="127"/>
        <v>24.650000000000091</v>
      </c>
      <c r="H610" s="4">
        <f t="shared" si="128"/>
        <v>0</v>
      </c>
      <c r="I610" s="6">
        <f t="shared" si="133"/>
        <v>5.6000000000000068</v>
      </c>
      <c r="J610" s="6">
        <f t="shared" si="134"/>
        <v>3.5178571428571428</v>
      </c>
      <c r="K610" s="4">
        <f t="shared" si="135"/>
        <v>1.5918781725888345</v>
      </c>
      <c r="L610">
        <f t="shared" si="136"/>
        <v>61.417939678809269</v>
      </c>
      <c r="M610" s="14" t="str">
        <f t="shared" si="129"/>
        <v/>
      </c>
      <c r="N610" s="7">
        <f t="shared" si="130"/>
        <v>0</v>
      </c>
      <c r="O610" s="7">
        <f t="shared" si="137"/>
        <v>0</v>
      </c>
      <c r="P610" s="7">
        <f t="shared" si="138"/>
        <v>-1</v>
      </c>
      <c r="Q610" s="10" t="e">
        <f t="shared" si="131"/>
        <v>#N/A</v>
      </c>
      <c r="R610" s="10" t="e">
        <f t="shared" si="132"/>
        <v>#N/A</v>
      </c>
      <c r="S610" s="7">
        <f t="shared" si="139"/>
        <v>1279.5</v>
      </c>
      <c r="T610" s="7">
        <f t="shared" si="140"/>
        <v>0</v>
      </c>
    </row>
    <row r="611" spans="1:20" x14ac:dyDescent="0.25">
      <c r="A611" s="1">
        <v>42131</v>
      </c>
      <c r="B611">
        <v>1247</v>
      </c>
      <c r="C611">
        <v>1249.9000000000001</v>
      </c>
      <c r="D611">
        <v>1231.55</v>
      </c>
      <c r="E611">
        <v>1240.2</v>
      </c>
      <c r="F611">
        <v>1074864</v>
      </c>
      <c r="G611" s="4">
        <f t="shared" si="127"/>
        <v>0</v>
      </c>
      <c r="H611" s="4">
        <f t="shared" si="128"/>
        <v>10.950000000000045</v>
      </c>
      <c r="I611" s="6">
        <f t="shared" si="133"/>
        <v>5.6000000000000068</v>
      </c>
      <c r="J611" s="6">
        <f t="shared" si="134"/>
        <v>3.4892857142857241</v>
      </c>
      <c r="K611" s="4">
        <f t="shared" si="135"/>
        <v>1.6049129989764559</v>
      </c>
      <c r="L611">
        <f t="shared" si="136"/>
        <v>61.6110019646365</v>
      </c>
      <c r="M611" s="14" t="str">
        <f t="shared" si="129"/>
        <v/>
      </c>
      <c r="N611" s="7">
        <f t="shared" si="130"/>
        <v>0</v>
      </c>
      <c r="O611" s="7">
        <f t="shared" si="137"/>
        <v>0</v>
      </c>
      <c r="P611" s="7">
        <f t="shared" si="138"/>
        <v>-1</v>
      </c>
      <c r="Q611" s="10" t="e">
        <f t="shared" si="131"/>
        <v>#N/A</v>
      </c>
      <c r="R611" s="10" t="e">
        <f t="shared" si="132"/>
        <v>#N/A</v>
      </c>
      <c r="S611" s="7">
        <f t="shared" si="139"/>
        <v>1279.5</v>
      </c>
      <c r="T611" s="7">
        <f t="shared" si="140"/>
        <v>0</v>
      </c>
    </row>
    <row r="612" spans="1:20" x14ac:dyDescent="0.25">
      <c r="A612" s="1">
        <v>42132</v>
      </c>
      <c r="B612">
        <v>1231.2</v>
      </c>
      <c r="C612">
        <v>1242.5999999999999</v>
      </c>
      <c r="D612">
        <v>1224.1500000000001</v>
      </c>
      <c r="E612">
        <v>1230.9000000000001</v>
      </c>
      <c r="F612">
        <v>1200122</v>
      </c>
      <c r="G612" s="4">
        <f t="shared" si="127"/>
        <v>0</v>
      </c>
      <c r="H612" s="4">
        <f t="shared" si="128"/>
        <v>9.2999999999999545</v>
      </c>
      <c r="I612" s="6">
        <f t="shared" si="133"/>
        <v>5.6000000000000068</v>
      </c>
      <c r="J612" s="6">
        <f t="shared" si="134"/>
        <v>4.0500000000000034</v>
      </c>
      <c r="K612" s="4">
        <f t="shared" si="135"/>
        <v>1.3827160493827166</v>
      </c>
      <c r="L612">
        <f t="shared" si="136"/>
        <v>58.031088082901569</v>
      </c>
      <c r="M612" s="14" t="str">
        <f t="shared" si="129"/>
        <v/>
      </c>
      <c r="N612" s="7">
        <f t="shared" si="130"/>
        <v>0</v>
      </c>
      <c r="O612" s="7">
        <f t="shared" si="137"/>
        <v>0</v>
      </c>
      <c r="P612" s="7">
        <f t="shared" si="138"/>
        <v>-1</v>
      </c>
      <c r="Q612" s="10" t="e">
        <f t="shared" si="131"/>
        <v>#N/A</v>
      </c>
      <c r="R612" s="10" t="e">
        <f t="shared" si="132"/>
        <v>#N/A</v>
      </c>
      <c r="S612" s="7">
        <f t="shared" si="139"/>
        <v>1279.5</v>
      </c>
      <c r="T612" s="7">
        <f t="shared" si="140"/>
        <v>0</v>
      </c>
    </row>
    <row r="613" spans="1:20" x14ac:dyDescent="0.25">
      <c r="A613" s="1">
        <v>42135</v>
      </c>
      <c r="B613">
        <v>1233</v>
      </c>
      <c r="C613">
        <v>1246.05</v>
      </c>
      <c r="D613">
        <v>1227.0999999999999</v>
      </c>
      <c r="E613">
        <v>1233.55</v>
      </c>
      <c r="F613">
        <v>772524</v>
      </c>
      <c r="G613" s="4">
        <f t="shared" si="127"/>
        <v>2.6499999999998636</v>
      </c>
      <c r="H613" s="4">
        <f t="shared" si="128"/>
        <v>0</v>
      </c>
      <c r="I613" s="6">
        <f t="shared" si="133"/>
        <v>4.7285714285714322</v>
      </c>
      <c r="J613" s="6">
        <f t="shared" si="134"/>
        <v>4.0500000000000034</v>
      </c>
      <c r="K613" s="4">
        <f t="shared" si="135"/>
        <v>1.167548500881834</v>
      </c>
      <c r="L613">
        <f t="shared" si="136"/>
        <v>53.864930838079729</v>
      </c>
      <c r="M613" s="14" t="str">
        <f t="shared" si="129"/>
        <v/>
      </c>
      <c r="N613" s="7">
        <f t="shared" si="130"/>
        <v>0</v>
      </c>
      <c r="O613" s="7">
        <f t="shared" si="137"/>
        <v>0</v>
      </c>
      <c r="P613" s="7">
        <f t="shared" si="138"/>
        <v>-1</v>
      </c>
      <c r="Q613" s="10" t="e">
        <f t="shared" si="131"/>
        <v>#N/A</v>
      </c>
      <c r="R613" s="10" t="e">
        <f t="shared" si="132"/>
        <v>#N/A</v>
      </c>
      <c r="S613" s="7">
        <f t="shared" si="139"/>
        <v>1279.5</v>
      </c>
      <c r="T613" s="7">
        <f t="shared" si="140"/>
        <v>0</v>
      </c>
    </row>
    <row r="614" spans="1:20" x14ac:dyDescent="0.25">
      <c r="A614" s="1">
        <v>42136</v>
      </c>
      <c r="B614">
        <v>1221.0999999999999</v>
      </c>
      <c r="C614">
        <v>1253</v>
      </c>
      <c r="D614">
        <v>1221.0999999999999</v>
      </c>
      <c r="E614">
        <v>1248.0999999999999</v>
      </c>
      <c r="F614">
        <v>546071</v>
      </c>
      <c r="G614" s="4">
        <f t="shared" si="127"/>
        <v>14.549999999999955</v>
      </c>
      <c r="H614" s="4">
        <f t="shared" si="128"/>
        <v>0</v>
      </c>
      <c r="I614" s="6">
        <f t="shared" si="133"/>
        <v>5.6892857142857043</v>
      </c>
      <c r="J614" s="6">
        <f t="shared" si="134"/>
        <v>4.0500000000000034</v>
      </c>
      <c r="K614" s="4">
        <f t="shared" si="135"/>
        <v>1.4047619047619011</v>
      </c>
      <c r="L614">
        <f t="shared" si="136"/>
        <v>58.41584158415835</v>
      </c>
      <c r="M614" s="14" t="str">
        <f t="shared" si="129"/>
        <v/>
      </c>
      <c r="N614" s="7">
        <f t="shared" si="130"/>
        <v>0</v>
      </c>
      <c r="O614" s="7">
        <f t="shared" si="137"/>
        <v>0</v>
      </c>
      <c r="P614" s="7">
        <f t="shared" si="138"/>
        <v>-1</v>
      </c>
      <c r="Q614" s="10" t="e">
        <f t="shared" si="131"/>
        <v>#N/A</v>
      </c>
      <c r="R614" s="10" t="e">
        <f t="shared" si="132"/>
        <v>#N/A</v>
      </c>
      <c r="S614" s="7">
        <f t="shared" si="139"/>
        <v>1279.5</v>
      </c>
      <c r="T614" s="7">
        <f t="shared" si="140"/>
        <v>0</v>
      </c>
    </row>
    <row r="615" spans="1:20" x14ac:dyDescent="0.25">
      <c r="A615" s="1">
        <v>42137</v>
      </c>
      <c r="B615">
        <v>1249</v>
      </c>
      <c r="C615">
        <v>1260</v>
      </c>
      <c r="D615">
        <v>1242.5999999999999</v>
      </c>
      <c r="E615">
        <v>1250.4000000000001</v>
      </c>
      <c r="F615">
        <v>725429</v>
      </c>
      <c r="G615" s="4">
        <f t="shared" si="127"/>
        <v>2.3000000000001819</v>
      </c>
      <c r="H615" s="4">
        <f t="shared" si="128"/>
        <v>0</v>
      </c>
      <c r="I615" s="6">
        <f t="shared" si="133"/>
        <v>5.8535714285714322</v>
      </c>
      <c r="J615" s="6">
        <f t="shared" si="134"/>
        <v>3.7857142857142856</v>
      </c>
      <c r="K615" s="4">
        <f t="shared" si="135"/>
        <v>1.5462264150943406</v>
      </c>
      <c r="L615">
        <f t="shared" si="136"/>
        <v>60.726194886995195</v>
      </c>
      <c r="M615" s="14" t="str">
        <f t="shared" si="129"/>
        <v/>
      </c>
      <c r="N615" s="7">
        <f t="shared" si="130"/>
        <v>0</v>
      </c>
      <c r="O615" s="7">
        <f t="shared" si="137"/>
        <v>0</v>
      </c>
      <c r="P615" s="7">
        <f t="shared" si="138"/>
        <v>-1</v>
      </c>
      <c r="Q615" s="10" t="e">
        <f t="shared" si="131"/>
        <v>#N/A</v>
      </c>
      <c r="R615" s="10" t="e">
        <f t="shared" si="132"/>
        <v>#N/A</v>
      </c>
      <c r="S615" s="7">
        <f t="shared" si="139"/>
        <v>1279.5</v>
      </c>
      <c r="T615" s="7">
        <f t="shared" si="140"/>
        <v>0</v>
      </c>
    </row>
    <row r="616" spans="1:20" x14ac:dyDescent="0.25">
      <c r="A616" s="1">
        <v>42138</v>
      </c>
      <c r="B616">
        <v>1249</v>
      </c>
      <c r="C616">
        <v>1261.5</v>
      </c>
      <c r="D616">
        <v>1245</v>
      </c>
      <c r="E616">
        <v>1254</v>
      </c>
      <c r="F616">
        <v>735562</v>
      </c>
      <c r="G616" s="4">
        <f t="shared" si="127"/>
        <v>3.5999999999999091</v>
      </c>
      <c r="H616" s="4">
        <f t="shared" si="128"/>
        <v>0</v>
      </c>
      <c r="I616" s="6">
        <f t="shared" si="133"/>
        <v>6.1107142857142822</v>
      </c>
      <c r="J616" s="6">
        <f t="shared" si="134"/>
        <v>3.7392857142857077</v>
      </c>
      <c r="K616" s="4">
        <f t="shared" si="135"/>
        <v>1.6341929321872035</v>
      </c>
      <c r="L616">
        <f t="shared" si="136"/>
        <v>62.037708484409023</v>
      </c>
      <c r="M616" s="14" t="str">
        <f t="shared" si="129"/>
        <v/>
      </c>
      <c r="N616" s="7">
        <f t="shared" si="130"/>
        <v>0</v>
      </c>
      <c r="O616" s="7">
        <f t="shared" si="137"/>
        <v>0</v>
      </c>
      <c r="P616" s="7">
        <f t="shared" si="138"/>
        <v>-1</v>
      </c>
      <c r="Q616" s="10" t="e">
        <f t="shared" si="131"/>
        <v>#N/A</v>
      </c>
      <c r="R616" s="10" t="e">
        <f t="shared" si="132"/>
        <v>#N/A</v>
      </c>
      <c r="S616" s="7">
        <f t="shared" si="139"/>
        <v>1279.5</v>
      </c>
      <c r="T616" s="7">
        <f t="shared" si="140"/>
        <v>0</v>
      </c>
    </row>
    <row r="617" spans="1:20" x14ac:dyDescent="0.25">
      <c r="A617" s="1">
        <v>42139</v>
      </c>
      <c r="B617">
        <v>1254.05</v>
      </c>
      <c r="C617">
        <v>1280</v>
      </c>
      <c r="D617">
        <v>1249</v>
      </c>
      <c r="E617">
        <v>1272.45</v>
      </c>
      <c r="F617">
        <v>993020</v>
      </c>
      <c r="G617" s="4">
        <f t="shared" si="127"/>
        <v>18.450000000000045</v>
      </c>
      <c r="H617" s="4">
        <f t="shared" si="128"/>
        <v>0</v>
      </c>
      <c r="I617" s="6">
        <f t="shared" si="133"/>
        <v>7.1499999999999932</v>
      </c>
      <c r="J617" s="6">
        <f t="shared" si="134"/>
        <v>3.7392857142857077</v>
      </c>
      <c r="K617" s="4">
        <f t="shared" si="135"/>
        <v>1.9121298949379195</v>
      </c>
      <c r="L617">
        <f t="shared" si="136"/>
        <v>65.660872417185985</v>
      </c>
      <c r="M617" s="14" t="str">
        <f t="shared" si="129"/>
        <v/>
      </c>
      <c r="N617" s="7">
        <f t="shared" si="130"/>
        <v>0</v>
      </c>
      <c r="O617" s="7">
        <f t="shared" si="137"/>
        <v>0</v>
      </c>
      <c r="P617" s="7">
        <f t="shared" si="138"/>
        <v>-1</v>
      </c>
      <c r="Q617" s="10" t="e">
        <f t="shared" si="131"/>
        <v>#N/A</v>
      </c>
      <c r="R617" s="10" t="e">
        <f t="shared" si="132"/>
        <v>#N/A</v>
      </c>
      <c r="S617" s="7">
        <f t="shared" si="139"/>
        <v>1279.5</v>
      </c>
      <c r="T617" s="7">
        <f t="shared" si="140"/>
        <v>0</v>
      </c>
    </row>
    <row r="618" spans="1:20" x14ac:dyDescent="0.25">
      <c r="A618" s="1">
        <v>42142</v>
      </c>
      <c r="B618">
        <v>1276</v>
      </c>
      <c r="C618">
        <v>1286.3499999999999</v>
      </c>
      <c r="D618">
        <v>1250</v>
      </c>
      <c r="E618">
        <v>1257.1500000000001</v>
      </c>
      <c r="F618">
        <v>747694</v>
      </c>
      <c r="G618" s="4">
        <f t="shared" si="127"/>
        <v>0</v>
      </c>
      <c r="H618" s="4">
        <f t="shared" si="128"/>
        <v>15.299999999999955</v>
      </c>
      <c r="I618" s="6">
        <f t="shared" si="133"/>
        <v>6.0321428571428601</v>
      </c>
      <c r="J618" s="6">
        <f t="shared" si="134"/>
        <v>4.8321428571428475</v>
      </c>
      <c r="K618" s="4">
        <f t="shared" si="135"/>
        <v>1.2483370288248368</v>
      </c>
      <c r="L618">
        <f t="shared" si="136"/>
        <v>55.522682445759436</v>
      </c>
      <c r="M618" s="14" t="str">
        <f t="shared" si="129"/>
        <v/>
      </c>
      <c r="N618" s="7">
        <f t="shared" si="130"/>
        <v>0</v>
      </c>
      <c r="O618" s="7">
        <f t="shared" si="137"/>
        <v>0</v>
      </c>
      <c r="P618" s="7">
        <f t="shared" si="138"/>
        <v>-1</v>
      </c>
      <c r="Q618" s="10" t="e">
        <f t="shared" si="131"/>
        <v>#N/A</v>
      </c>
      <c r="R618" s="10" t="e">
        <f t="shared" si="132"/>
        <v>#N/A</v>
      </c>
      <c r="S618" s="7">
        <f t="shared" si="139"/>
        <v>1279.5</v>
      </c>
      <c r="T618" s="7">
        <f t="shared" si="140"/>
        <v>0</v>
      </c>
    </row>
    <row r="619" spans="1:20" x14ac:dyDescent="0.25">
      <c r="A619" s="1">
        <v>42143</v>
      </c>
      <c r="B619">
        <v>1256.9000000000001</v>
      </c>
      <c r="C619">
        <v>1279.25</v>
      </c>
      <c r="D619">
        <v>1255.0999999999999</v>
      </c>
      <c r="E619">
        <v>1273.95</v>
      </c>
      <c r="F619">
        <v>884529</v>
      </c>
      <c r="G619" s="4">
        <f t="shared" si="127"/>
        <v>16.799999999999955</v>
      </c>
      <c r="H619" s="4">
        <f t="shared" si="128"/>
        <v>0</v>
      </c>
      <c r="I619" s="6">
        <f t="shared" si="133"/>
        <v>7.2178571428571399</v>
      </c>
      <c r="J619" s="6">
        <f t="shared" si="134"/>
        <v>4.8321428571428475</v>
      </c>
      <c r="K619" s="4">
        <f t="shared" si="135"/>
        <v>1.4937176644493741</v>
      </c>
      <c r="L619">
        <f t="shared" si="136"/>
        <v>59.899229401304126</v>
      </c>
      <c r="M619" s="14" t="str">
        <f t="shared" si="129"/>
        <v/>
      </c>
      <c r="N619" s="7">
        <f t="shared" si="130"/>
        <v>0</v>
      </c>
      <c r="O619" s="7">
        <f t="shared" si="137"/>
        <v>0</v>
      </c>
      <c r="P619" s="7">
        <f t="shared" si="138"/>
        <v>-1</v>
      </c>
      <c r="Q619" s="10" t="e">
        <f t="shared" si="131"/>
        <v>#N/A</v>
      </c>
      <c r="R619" s="10" t="e">
        <f t="shared" si="132"/>
        <v>#N/A</v>
      </c>
      <c r="S619" s="7">
        <f t="shared" si="139"/>
        <v>1279.5</v>
      </c>
      <c r="T619" s="7">
        <f t="shared" si="140"/>
        <v>0</v>
      </c>
    </row>
    <row r="620" spans="1:20" x14ac:dyDescent="0.25">
      <c r="A620" s="1">
        <v>42144</v>
      </c>
      <c r="B620">
        <v>1274</v>
      </c>
      <c r="C620">
        <v>1274</v>
      </c>
      <c r="D620">
        <v>1243.3</v>
      </c>
      <c r="E620">
        <v>1252.8</v>
      </c>
      <c r="F620">
        <v>876870</v>
      </c>
      <c r="G620" s="4">
        <f t="shared" si="127"/>
        <v>0</v>
      </c>
      <c r="H620" s="4">
        <f t="shared" si="128"/>
        <v>21.150000000000091</v>
      </c>
      <c r="I620" s="6">
        <f t="shared" si="133"/>
        <v>6.875</v>
      </c>
      <c r="J620" s="6">
        <f t="shared" si="134"/>
        <v>6.3428571428571399</v>
      </c>
      <c r="K620" s="4">
        <f t="shared" si="135"/>
        <v>1.083896396396397</v>
      </c>
      <c r="L620">
        <f t="shared" si="136"/>
        <v>52.012969467711436</v>
      </c>
      <c r="M620" s="14" t="str">
        <f t="shared" si="129"/>
        <v/>
      </c>
      <c r="N620" s="7">
        <f t="shared" si="130"/>
        <v>0</v>
      </c>
      <c r="O620" s="7">
        <f t="shared" si="137"/>
        <v>0</v>
      </c>
      <c r="P620" s="7">
        <f t="shared" si="138"/>
        <v>-1</v>
      </c>
      <c r="Q620" s="10" t="e">
        <f t="shared" si="131"/>
        <v>#N/A</v>
      </c>
      <c r="R620" s="10" t="e">
        <f t="shared" si="132"/>
        <v>#N/A</v>
      </c>
      <c r="S620" s="7">
        <f t="shared" si="139"/>
        <v>1279.5</v>
      </c>
      <c r="T620" s="7">
        <f t="shared" si="140"/>
        <v>0</v>
      </c>
    </row>
    <row r="621" spans="1:20" x14ac:dyDescent="0.25">
      <c r="A621" s="1">
        <v>42145</v>
      </c>
      <c r="B621">
        <v>1245.05</v>
      </c>
      <c r="C621">
        <v>1252</v>
      </c>
      <c r="D621">
        <v>1209</v>
      </c>
      <c r="E621">
        <v>1224.05</v>
      </c>
      <c r="F621">
        <v>2077990</v>
      </c>
      <c r="G621" s="4">
        <f t="shared" si="127"/>
        <v>0</v>
      </c>
      <c r="H621" s="4">
        <f t="shared" si="128"/>
        <v>28.75</v>
      </c>
      <c r="I621" s="6">
        <f t="shared" si="133"/>
        <v>6.875</v>
      </c>
      <c r="J621" s="6">
        <f t="shared" si="134"/>
        <v>6.914285714285711</v>
      </c>
      <c r="K621" s="4">
        <f t="shared" si="135"/>
        <v>0.99431818181818232</v>
      </c>
      <c r="L621">
        <f t="shared" si="136"/>
        <v>49.85754985754987</v>
      </c>
      <c r="M621" s="14" t="str">
        <f t="shared" si="129"/>
        <v/>
      </c>
      <c r="N621" s="7">
        <f t="shared" si="130"/>
        <v>0</v>
      </c>
      <c r="O621" s="7">
        <f t="shared" si="137"/>
        <v>0</v>
      </c>
      <c r="P621" s="7">
        <f t="shared" si="138"/>
        <v>-1</v>
      </c>
      <c r="Q621" s="10" t="e">
        <f t="shared" si="131"/>
        <v>#N/A</v>
      </c>
      <c r="R621" s="10" t="e">
        <f t="shared" si="132"/>
        <v>#N/A</v>
      </c>
      <c r="S621" s="7">
        <f t="shared" si="139"/>
        <v>1279.5</v>
      </c>
      <c r="T621" s="7">
        <f t="shared" si="140"/>
        <v>0</v>
      </c>
    </row>
    <row r="622" spans="1:20" x14ac:dyDescent="0.25">
      <c r="A622" s="1">
        <v>42146</v>
      </c>
      <c r="B622">
        <v>1214.25</v>
      </c>
      <c r="C622">
        <v>1239.9000000000001</v>
      </c>
      <c r="D622">
        <v>1214.25</v>
      </c>
      <c r="E622">
        <v>1233.45</v>
      </c>
      <c r="F622">
        <v>959780</v>
      </c>
      <c r="G622" s="4">
        <f t="shared" si="127"/>
        <v>9.4000000000000909</v>
      </c>
      <c r="H622" s="4">
        <f t="shared" si="128"/>
        <v>0</v>
      </c>
      <c r="I622" s="6">
        <f t="shared" si="133"/>
        <v>7.5464285714285779</v>
      </c>
      <c r="J622" s="6">
        <f t="shared" si="134"/>
        <v>6.1035714285714322</v>
      </c>
      <c r="K622" s="4">
        <f t="shared" si="135"/>
        <v>1.2363955529549446</v>
      </c>
      <c r="L622">
        <f t="shared" si="136"/>
        <v>55.285190999476725</v>
      </c>
      <c r="M622" s="14" t="str">
        <f t="shared" si="129"/>
        <v/>
      </c>
      <c r="N622" s="7">
        <f t="shared" si="130"/>
        <v>0</v>
      </c>
      <c r="O622" s="7">
        <f t="shared" si="137"/>
        <v>0</v>
      </c>
      <c r="P622" s="7">
        <f t="shared" si="138"/>
        <v>-1</v>
      </c>
      <c r="Q622" s="10" t="e">
        <f t="shared" si="131"/>
        <v>#N/A</v>
      </c>
      <c r="R622" s="10" t="e">
        <f t="shared" si="132"/>
        <v>#N/A</v>
      </c>
      <c r="S622" s="7">
        <f t="shared" si="139"/>
        <v>1279.5</v>
      </c>
      <c r="T622" s="7">
        <f t="shared" si="140"/>
        <v>0</v>
      </c>
    </row>
    <row r="623" spans="1:20" x14ac:dyDescent="0.25">
      <c r="A623" s="1">
        <v>42149</v>
      </c>
      <c r="B623">
        <v>1237</v>
      </c>
      <c r="C623">
        <v>1238.5</v>
      </c>
      <c r="D623">
        <v>1211</v>
      </c>
      <c r="E623">
        <v>1216.75</v>
      </c>
      <c r="F623">
        <v>794379</v>
      </c>
      <c r="G623" s="4">
        <f t="shared" si="127"/>
        <v>0</v>
      </c>
      <c r="H623" s="4">
        <f t="shared" si="128"/>
        <v>16.700000000000045</v>
      </c>
      <c r="I623" s="6">
        <f t="shared" si="133"/>
        <v>6.6000000000000068</v>
      </c>
      <c r="J623" s="6">
        <f t="shared" si="134"/>
        <v>7.2964285714285779</v>
      </c>
      <c r="K623" s="4">
        <f t="shared" si="135"/>
        <v>0.90455212922173289</v>
      </c>
      <c r="L623">
        <f t="shared" si="136"/>
        <v>47.49421742482653</v>
      </c>
      <c r="M623" s="14" t="str">
        <f t="shared" si="129"/>
        <v/>
      </c>
      <c r="N623" s="7">
        <f t="shared" si="130"/>
        <v>0</v>
      </c>
      <c r="O623" s="7">
        <f t="shared" si="137"/>
        <v>0</v>
      </c>
      <c r="P623" s="7">
        <f t="shared" si="138"/>
        <v>-1</v>
      </c>
      <c r="Q623" s="10" t="e">
        <f t="shared" si="131"/>
        <v>#N/A</v>
      </c>
      <c r="R623" s="10" t="e">
        <f t="shared" si="132"/>
        <v>#N/A</v>
      </c>
      <c r="S623" s="7">
        <f t="shared" si="139"/>
        <v>1279.5</v>
      </c>
      <c r="T623" s="7">
        <f t="shared" si="140"/>
        <v>0</v>
      </c>
    </row>
    <row r="624" spans="1:20" x14ac:dyDescent="0.25">
      <c r="A624" s="1">
        <v>42150</v>
      </c>
      <c r="B624">
        <v>1217.5</v>
      </c>
      <c r="C624">
        <v>1237</v>
      </c>
      <c r="D624">
        <v>1217.05</v>
      </c>
      <c r="E624">
        <v>1235.0999999999999</v>
      </c>
      <c r="F624">
        <v>554857</v>
      </c>
      <c r="G624" s="4">
        <f t="shared" si="127"/>
        <v>18.349999999999909</v>
      </c>
      <c r="H624" s="4">
        <f t="shared" si="128"/>
        <v>0</v>
      </c>
      <c r="I624" s="6">
        <f t="shared" si="133"/>
        <v>6.1499999999999932</v>
      </c>
      <c r="J624" s="6">
        <f t="shared" si="134"/>
        <v>7.2964285714285779</v>
      </c>
      <c r="K624" s="4">
        <f t="shared" si="135"/>
        <v>0.84287812041115839</v>
      </c>
      <c r="L624">
        <f t="shared" si="136"/>
        <v>45.737051792828638</v>
      </c>
      <c r="M624" s="14" t="str">
        <f t="shared" si="129"/>
        <v/>
      </c>
      <c r="N624" s="7">
        <f t="shared" si="130"/>
        <v>0</v>
      </c>
      <c r="O624" s="7">
        <f t="shared" si="137"/>
        <v>0</v>
      </c>
      <c r="P624" s="7">
        <f t="shared" si="138"/>
        <v>-1</v>
      </c>
      <c r="Q624" s="10" t="e">
        <f t="shared" si="131"/>
        <v>#N/A</v>
      </c>
      <c r="R624" s="10" t="e">
        <f t="shared" si="132"/>
        <v>#N/A</v>
      </c>
      <c r="S624" s="7">
        <f t="shared" si="139"/>
        <v>1279.5</v>
      </c>
      <c r="T624" s="7">
        <f t="shared" si="140"/>
        <v>0</v>
      </c>
    </row>
    <row r="625" spans="1:20" x14ac:dyDescent="0.25">
      <c r="A625" s="1">
        <v>42151</v>
      </c>
      <c r="B625">
        <v>1236.25</v>
      </c>
      <c r="C625">
        <v>1258.8</v>
      </c>
      <c r="D625">
        <v>1236.25</v>
      </c>
      <c r="E625">
        <v>1246.7</v>
      </c>
      <c r="F625">
        <v>1152931</v>
      </c>
      <c r="G625" s="4">
        <f t="shared" si="127"/>
        <v>11.600000000000136</v>
      </c>
      <c r="H625" s="4">
        <f t="shared" si="128"/>
        <v>0</v>
      </c>
      <c r="I625" s="6">
        <f t="shared" si="133"/>
        <v>6.9785714285714322</v>
      </c>
      <c r="J625" s="6">
        <f t="shared" si="134"/>
        <v>6.5142857142857178</v>
      </c>
      <c r="K625" s="4">
        <f t="shared" si="135"/>
        <v>1.0712719298245614</v>
      </c>
      <c r="L625">
        <f t="shared" si="136"/>
        <v>51.720487030174702</v>
      </c>
      <c r="M625" s="14" t="str">
        <f t="shared" si="129"/>
        <v/>
      </c>
      <c r="N625" s="7">
        <f t="shared" si="130"/>
        <v>0</v>
      </c>
      <c r="O625" s="7">
        <f t="shared" si="137"/>
        <v>0</v>
      </c>
      <c r="P625" s="7">
        <f t="shared" si="138"/>
        <v>-1</v>
      </c>
      <c r="Q625" s="10" t="e">
        <f t="shared" si="131"/>
        <v>#N/A</v>
      </c>
      <c r="R625" s="10" t="e">
        <f t="shared" si="132"/>
        <v>#N/A</v>
      </c>
      <c r="S625" s="7">
        <f t="shared" si="139"/>
        <v>1279.5</v>
      </c>
      <c r="T625" s="7">
        <f t="shared" si="140"/>
        <v>0</v>
      </c>
    </row>
    <row r="626" spans="1:20" x14ac:dyDescent="0.25">
      <c r="A626" s="1">
        <v>42152</v>
      </c>
      <c r="B626">
        <v>1246.95</v>
      </c>
      <c r="C626">
        <v>1263.9000000000001</v>
      </c>
      <c r="D626">
        <v>1236.25</v>
      </c>
      <c r="E626">
        <v>1258.8499999999999</v>
      </c>
      <c r="F626">
        <v>947114</v>
      </c>
      <c r="G626" s="4">
        <f t="shared" si="127"/>
        <v>12.149999999999864</v>
      </c>
      <c r="H626" s="4">
        <f t="shared" si="128"/>
        <v>0</v>
      </c>
      <c r="I626" s="6">
        <f t="shared" si="133"/>
        <v>7.8464285714285653</v>
      </c>
      <c r="J626" s="6">
        <f t="shared" si="134"/>
        <v>5.8500000000000068</v>
      </c>
      <c r="K626" s="4">
        <f t="shared" si="135"/>
        <v>1.3412698412698387</v>
      </c>
      <c r="L626">
        <f t="shared" si="136"/>
        <v>57.288135593220289</v>
      </c>
      <c r="M626" s="14" t="str">
        <f t="shared" si="129"/>
        <v/>
      </c>
      <c r="N626" s="7">
        <f t="shared" si="130"/>
        <v>0</v>
      </c>
      <c r="O626" s="7">
        <f t="shared" si="137"/>
        <v>0</v>
      </c>
      <c r="P626" s="7">
        <f t="shared" si="138"/>
        <v>-1</v>
      </c>
      <c r="Q626" s="10" t="e">
        <f t="shared" si="131"/>
        <v>#N/A</v>
      </c>
      <c r="R626" s="10" t="e">
        <f t="shared" si="132"/>
        <v>#N/A</v>
      </c>
      <c r="S626" s="7">
        <f t="shared" si="139"/>
        <v>1279.5</v>
      </c>
      <c r="T626" s="7">
        <f t="shared" si="140"/>
        <v>0</v>
      </c>
    </row>
    <row r="627" spans="1:20" x14ac:dyDescent="0.25">
      <c r="A627" s="1">
        <v>42153</v>
      </c>
      <c r="B627">
        <v>1263.3499999999999</v>
      </c>
      <c r="C627">
        <v>1287</v>
      </c>
      <c r="D627">
        <v>1262.9000000000001</v>
      </c>
      <c r="E627">
        <v>1277.45</v>
      </c>
      <c r="F627">
        <v>995075</v>
      </c>
      <c r="G627" s="4">
        <f t="shared" si="127"/>
        <v>18.600000000000136</v>
      </c>
      <c r="H627" s="4">
        <f t="shared" si="128"/>
        <v>0</v>
      </c>
      <c r="I627" s="6">
        <f t="shared" si="133"/>
        <v>8.9857142857142982</v>
      </c>
      <c r="J627" s="6">
        <f t="shared" si="134"/>
        <v>5.8500000000000068</v>
      </c>
      <c r="K627" s="4">
        <f t="shared" si="135"/>
        <v>1.5360195360195363</v>
      </c>
      <c r="L627">
        <f t="shared" si="136"/>
        <v>60.568127106403473</v>
      </c>
      <c r="M627" s="14" t="str">
        <f t="shared" si="129"/>
        <v/>
      </c>
      <c r="N627" s="7">
        <f t="shared" si="130"/>
        <v>0</v>
      </c>
      <c r="O627" s="7">
        <f t="shared" si="137"/>
        <v>0</v>
      </c>
      <c r="P627" s="7">
        <f t="shared" si="138"/>
        <v>-1</v>
      </c>
      <c r="Q627" s="10" t="e">
        <f t="shared" si="131"/>
        <v>#N/A</v>
      </c>
      <c r="R627" s="10" t="e">
        <f t="shared" si="132"/>
        <v>#N/A</v>
      </c>
      <c r="S627" s="7">
        <f t="shared" si="139"/>
        <v>1279.5</v>
      </c>
      <c r="T627" s="7">
        <f t="shared" si="140"/>
        <v>0</v>
      </c>
    </row>
    <row r="628" spans="1:20" x14ac:dyDescent="0.25">
      <c r="A628" s="1">
        <v>42156</v>
      </c>
      <c r="B628">
        <v>1279</v>
      </c>
      <c r="C628">
        <v>1279</v>
      </c>
      <c r="D628">
        <v>1256.45</v>
      </c>
      <c r="E628">
        <v>1259.45</v>
      </c>
      <c r="F628">
        <v>1055550</v>
      </c>
      <c r="G628" s="4">
        <f t="shared" si="127"/>
        <v>0</v>
      </c>
      <c r="H628" s="4">
        <f t="shared" si="128"/>
        <v>18</v>
      </c>
      <c r="I628" s="6">
        <f t="shared" si="133"/>
        <v>7.9464285714285881</v>
      </c>
      <c r="J628" s="6">
        <f t="shared" si="134"/>
        <v>7.1357142857142923</v>
      </c>
      <c r="K628" s="4">
        <f t="shared" si="135"/>
        <v>1.113613613613615</v>
      </c>
      <c r="L628">
        <f t="shared" si="136"/>
        <v>52.687662798958115</v>
      </c>
      <c r="M628" s="14" t="str">
        <f t="shared" si="129"/>
        <v/>
      </c>
      <c r="N628" s="7">
        <f t="shared" si="130"/>
        <v>0</v>
      </c>
      <c r="O628" s="7">
        <f t="shared" si="137"/>
        <v>0</v>
      </c>
      <c r="P628" s="7">
        <f t="shared" si="138"/>
        <v>-1</v>
      </c>
      <c r="Q628" s="10" t="e">
        <f t="shared" si="131"/>
        <v>#N/A</v>
      </c>
      <c r="R628" s="10" t="e">
        <f t="shared" si="132"/>
        <v>#N/A</v>
      </c>
      <c r="S628" s="7">
        <f t="shared" si="139"/>
        <v>1279.5</v>
      </c>
      <c r="T628" s="7">
        <f t="shared" si="140"/>
        <v>0</v>
      </c>
    </row>
    <row r="629" spans="1:20" x14ac:dyDescent="0.25">
      <c r="A629" s="1">
        <v>42157</v>
      </c>
      <c r="B629">
        <v>1265</v>
      </c>
      <c r="C629">
        <v>1269.8</v>
      </c>
      <c r="D629">
        <v>1230.3</v>
      </c>
      <c r="E629">
        <v>1239.4000000000001</v>
      </c>
      <c r="F629">
        <v>1113646</v>
      </c>
      <c r="G629" s="4">
        <f t="shared" si="127"/>
        <v>0</v>
      </c>
      <c r="H629" s="4">
        <f t="shared" si="128"/>
        <v>20.049999999999955</v>
      </c>
      <c r="I629" s="6">
        <f t="shared" si="133"/>
        <v>7.7821428571428601</v>
      </c>
      <c r="J629" s="6">
        <f t="shared" si="134"/>
        <v>8.5678571428571466</v>
      </c>
      <c r="K629" s="4">
        <f t="shared" si="135"/>
        <v>0.90829512296790327</v>
      </c>
      <c r="L629">
        <f t="shared" si="136"/>
        <v>47.597204019222367</v>
      </c>
      <c r="M629" s="14" t="str">
        <f t="shared" si="129"/>
        <v/>
      </c>
      <c r="N629" s="7">
        <f t="shared" si="130"/>
        <v>0</v>
      </c>
      <c r="O629" s="7">
        <f t="shared" si="137"/>
        <v>0</v>
      </c>
      <c r="P629" s="7">
        <f t="shared" si="138"/>
        <v>-1</v>
      </c>
      <c r="Q629" s="10" t="e">
        <f t="shared" si="131"/>
        <v>#N/A</v>
      </c>
      <c r="R629" s="10" t="e">
        <f t="shared" si="132"/>
        <v>#N/A</v>
      </c>
      <c r="S629" s="7">
        <f t="shared" si="139"/>
        <v>1279.5</v>
      </c>
      <c r="T629" s="7">
        <f t="shared" si="140"/>
        <v>0</v>
      </c>
    </row>
    <row r="630" spans="1:20" x14ac:dyDescent="0.25">
      <c r="A630" s="1">
        <v>42158</v>
      </c>
      <c r="B630">
        <v>1243.5</v>
      </c>
      <c r="C630">
        <v>1249.5</v>
      </c>
      <c r="D630">
        <v>1231.55</v>
      </c>
      <c r="E630">
        <v>1247.8499999999999</v>
      </c>
      <c r="F630">
        <v>650903</v>
      </c>
      <c r="G630" s="4">
        <f t="shared" si="127"/>
        <v>8.4499999999998181</v>
      </c>
      <c r="H630" s="4">
        <f t="shared" si="128"/>
        <v>0</v>
      </c>
      <c r="I630" s="6">
        <f t="shared" si="133"/>
        <v>8.1285714285714246</v>
      </c>
      <c r="J630" s="6">
        <f t="shared" si="134"/>
        <v>8.5678571428571466</v>
      </c>
      <c r="K630" s="4">
        <f t="shared" si="135"/>
        <v>0.94872863693205411</v>
      </c>
      <c r="L630">
        <f t="shared" si="136"/>
        <v>48.684491978609607</v>
      </c>
      <c r="M630" s="14" t="str">
        <f t="shared" si="129"/>
        <v/>
      </c>
      <c r="N630" s="7">
        <f t="shared" si="130"/>
        <v>0</v>
      </c>
      <c r="O630" s="7">
        <f t="shared" si="137"/>
        <v>0</v>
      </c>
      <c r="P630" s="7">
        <f t="shared" si="138"/>
        <v>-1</v>
      </c>
      <c r="Q630" s="10" t="e">
        <f t="shared" si="131"/>
        <v>#N/A</v>
      </c>
      <c r="R630" s="10" t="e">
        <f t="shared" si="132"/>
        <v>#N/A</v>
      </c>
      <c r="S630" s="7">
        <f t="shared" si="139"/>
        <v>1279.5</v>
      </c>
      <c r="T630" s="7">
        <f t="shared" si="140"/>
        <v>0</v>
      </c>
    </row>
    <row r="631" spans="1:20" x14ac:dyDescent="0.25">
      <c r="A631" s="1">
        <v>42159</v>
      </c>
      <c r="B631">
        <v>1247.8499999999999</v>
      </c>
      <c r="C631">
        <v>1247.8499999999999</v>
      </c>
      <c r="D631">
        <v>1235.2</v>
      </c>
      <c r="E631">
        <v>1240.5999999999999</v>
      </c>
      <c r="F631">
        <v>760438</v>
      </c>
      <c r="G631" s="4">
        <f t="shared" si="127"/>
        <v>0</v>
      </c>
      <c r="H631" s="4">
        <f t="shared" si="128"/>
        <v>7.25</v>
      </c>
      <c r="I631" s="6">
        <f t="shared" si="133"/>
        <v>6.8107142857142788</v>
      </c>
      <c r="J631" s="6">
        <f t="shared" si="134"/>
        <v>9.085714285714289</v>
      </c>
      <c r="K631" s="4">
        <f t="shared" si="135"/>
        <v>0.74960691823899273</v>
      </c>
      <c r="L631">
        <f t="shared" si="136"/>
        <v>42.844304650640275</v>
      </c>
      <c r="M631" s="14" t="str">
        <f t="shared" si="129"/>
        <v/>
      </c>
      <c r="N631" s="7">
        <f t="shared" si="130"/>
        <v>0</v>
      </c>
      <c r="O631" s="7">
        <f t="shared" si="137"/>
        <v>0</v>
      </c>
      <c r="P631" s="7">
        <f t="shared" si="138"/>
        <v>-1</v>
      </c>
      <c r="Q631" s="10" t="e">
        <f t="shared" si="131"/>
        <v>#N/A</v>
      </c>
      <c r="R631" s="10" t="e">
        <f t="shared" si="132"/>
        <v>#N/A</v>
      </c>
      <c r="S631" s="7">
        <f t="shared" si="139"/>
        <v>1279.5</v>
      </c>
      <c r="T631" s="7">
        <f t="shared" si="140"/>
        <v>0</v>
      </c>
    </row>
    <row r="632" spans="1:20" x14ac:dyDescent="0.25">
      <c r="A632" s="1">
        <v>42160</v>
      </c>
      <c r="B632">
        <v>1240</v>
      </c>
      <c r="C632">
        <v>1252.8</v>
      </c>
      <c r="D632">
        <v>1227</v>
      </c>
      <c r="E632">
        <v>1247.75</v>
      </c>
      <c r="F632">
        <v>964964</v>
      </c>
      <c r="G632" s="4">
        <f t="shared" si="127"/>
        <v>7.1500000000000909</v>
      </c>
      <c r="H632" s="4">
        <f t="shared" si="128"/>
        <v>0</v>
      </c>
      <c r="I632" s="6">
        <f t="shared" si="133"/>
        <v>7.3214285714285712</v>
      </c>
      <c r="J632" s="6">
        <f t="shared" si="134"/>
        <v>7.9928571428571491</v>
      </c>
      <c r="K632" s="4">
        <f t="shared" si="135"/>
        <v>0.91599642537980264</v>
      </c>
      <c r="L632">
        <f t="shared" si="136"/>
        <v>47.807835820895505</v>
      </c>
      <c r="M632" s="14" t="str">
        <f t="shared" si="129"/>
        <v/>
      </c>
      <c r="N632" s="7">
        <f t="shared" si="130"/>
        <v>0</v>
      </c>
      <c r="O632" s="7">
        <f t="shared" si="137"/>
        <v>0</v>
      </c>
      <c r="P632" s="7">
        <f t="shared" si="138"/>
        <v>-1</v>
      </c>
      <c r="Q632" s="10" t="e">
        <f t="shared" si="131"/>
        <v>#N/A</v>
      </c>
      <c r="R632" s="10" t="e">
        <f t="shared" si="132"/>
        <v>#N/A</v>
      </c>
      <c r="S632" s="7">
        <f t="shared" si="139"/>
        <v>1279.5</v>
      </c>
      <c r="T632" s="7">
        <f t="shared" si="140"/>
        <v>0</v>
      </c>
    </row>
    <row r="633" spans="1:20" x14ac:dyDescent="0.25">
      <c r="A633" s="1">
        <v>42163</v>
      </c>
      <c r="B633">
        <v>1245</v>
      </c>
      <c r="C633">
        <v>1264.55</v>
      </c>
      <c r="D633">
        <v>1243.3499999999999</v>
      </c>
      <c r="E633">
        <v>1259.4000000000001</v>
      </c>
      <c r="F633">
        <v>956384</v>
      </c>
      <c r="G633" s="4">
        <f t="shared" si="127"/>
        <v>11.650000000000091</v>
      </c>
      <c r="H633" s="4">
        <f t="shared" si="128"/>
        <v>0</v>
      </c>
      <c r="I633" s="6">
        <f t="shared" si="133"/>
        <v>6.9535714285714381</v>
      </c>
      <c r="J633" s="6">
        <f t="shared" si="134"/>
        <v>7.9928571428571491</v>
      </c>
      <c r="K633" s="4">
        <f t="shared" si="135"/>
        <v>0.86997319034852594</v>
      </c>
      <c r="L633">
        <f t="shared" si="136"/>
        <v>46.523297491039443</v>
      </c>
      <c r="M633" s="14" t="str">
        <f t="shared" si="129"/>
        <v/>
      </c>
      <c r="N633" s="7">
        <f t="shared" si="130"/>
        <v>0</v>
      </c>
      <c r="O633" s="7">
        <f t="shared" si="137"/>
        <v>0</v>
      </c>
      <c r="P633" s="7">
        <f t="shared" si="138"/>
        <v>-1</v>
      </c>
      <c r="Q633" s="10" t="e">
        <f t="shared" si="131"/>
        <v>#N/A</v>
      </c>
      <c r="R633" s="10" t="e">
        <f t="shared" si="132"/>
        <v>#N/A</v>
      </c>
      <c r="S633" s="7">
        <f t="shared" si="139"/>
        <v>1279.5</v>
      </c>
      <c r="T633" s="7">
        <f t="shared" si="140"/>
        <v>0</v>
      </c>
    </row>
    <row r="634" spans="1:20" x14ac:dyDescent="0.25">
      <c r="A634" s="1">
        <v>42164</v>
      </c>
      <c r="B634">
        <v>1265</v>
      </c>
      <c r="C634">
        <v>1270.25</v>
      </c>
      <c r="D634">
        <v>1249.55</v>
      </c>
      <c r="E634">
        <v>1261.7</v>
      </c>
      <c r="F634">
        <v>1258799</v>
      </c>
      <c r="G634" s="4">
        <f t="shared" si="127"/>
        <v>2.2999999999999545</v>
      </c>
      <c r="H634" s="4">
        <f t="shared" si="128"/>
        <v>0</v>
      </c>
      <c r="I634" s="6">
        <f t="shared" si="133"/>
        <v>7.1178571428571491</v>
      </c>
      <c r="J634" s="6">
        <f t="shared" si="134"/>
        <v>6.4821428571428568</v>
      </c>
      <c r="K634" s="4">
        <f t="shared" si="135"/>
        <v>1.0980716253443537</v>
      </c>
      <c r="L634">
        <f t="shared" si="136"/>
        <v>52.337184873949603</v>
      </c>
      <c r="M634" s="14" t="str">
        <f t="shared" si="129"/>
        <v/>
      </c>
      <c r="N634" s="7">
        <f t="shared" si="130"/>
        <v>0</v>
      </c>
      <c r="O634" s="7">
        <f t="shared" si="137"/>
        <v>0</v>
      </c>
      <c r="P634" s="7">
        <f t="shared" si="138"/>
        <v>-1</v>
      </c>
      <c r="Q634" s="10" t="e">
        <f t="shared" si="131"/>
        <v>#N/A</v>
      </c>
      <c r="R634" s="10" t="e">
        <f t="shared" si="132"/>
        <v>#N/A</v>
      </c>
      <c r="S634" s="7">
        <f t="shared" si="139"/>
        <v>1279.5</v>
      </c>
      <c r="T634" s="7">
        <f t="shared" si="140"/>
        <v>0</v>
      </c>
    </row>
    <row r="635" spans="1:20" x14ac:dyDescent="0.25">
      <c r="A635" s="1">
        <v>42165</v>
      </c>
      <c r="B635">
        <v>1253.25</v>
      </c>
      <c r="C635">
        <v>1274.5</v>
      </c>
      <c r="D635">
        <v>1253.25</v>
      </c>
      <c r="E635">
        <v>1258.3</v>
      </c>
      <c r="F635">
        <v>1017269</v>
      </c>
      <c r="G635" s="4">
        <f t="shared" si="127"/>
        <v>0</v>
      </c>
      <c r="H635" s="4">
        <f t="shared" si="128"/>
        <v>3.4000000000000909</v>
      </c>
      <c r="I635" s="6">
        <f t="shared" si="133"/>
        <v>7.1178571428571491</v>
      </c>
      <c r="J635" s="6">
        <f t="shared" si="134"/>
        <v>4.6714285714285779</v>
      </c>
      <c r="K635" s="4">
        <f t="shared" si="135"/>
        <v>1.5237003058103968</v>
      </c>
      <c r="L635">
        <f t="shared" si="136"/>
        <v>60.375643744319895</v>
      </c>
      <c r="M635" s="14" t="str">
        <f t="shared" si="129"/>
        <v/>
      </c>
      <c r="N635" s="7">
        <f t="shared" si="130"/>
        <v>0</v>
      </c>
      <c r="O635" s="7">
        <f t="shared" si="137"/>
        <v>0</v>
      </c>
      <c r="P635" s="7">
        <f t="shared" si="138"/>
        <v>-1</v>
      </c>
      <c r="Q635" s="10" t="e">
        <f t="shared" si="131"/>
        <v>#N/A</v>
      </c>
      <c r="R635" s="10" t="e">
        <f t="shared" si="132"/>
        <v>#N/A</v>
      </c>
      <c r="S635" s="7">
        <f t="shared" si="139"/>
        <v>1279.5</v>
      </c>
      <c r="T635" s="7">
        <f t="shared" si="140"/>
        <v>0</v>
      </c>
    </row>
    <row r="636" spans="1:20" x14ac:dyDescent="0.25">
      <c r="A636" s="1">
        <v>42166</v>
      </c>
      <c r="B636">
        <v>1225</v>
      </c>
      <c r="C636">
        <v>1250</v>
      </c>
      <c r="D636">
        <v>1219.3</v>
      </c>
      <c r="E636">
        <v>1236</v>
      </c>
      <c r="F636">
        <v>3929540</v>
      </c>
      <c r="G636" s="4">
        <f t="shared" si="127"/>
        <v>0</v>
      </c>
      <c r="H636" s="4">
        <f t="shared" si="128"/>
        <v>22.299999999999955</v>
      </c>
      <c r="I636" s="6">
        <f t="shared" si="133"/>
        <v>6.4464285714285712</v>
      </c>
      <c r="J636" s="6">
        <f t="shared" si="134"/>
        <v>6.2642857142857178</v>
      </c>
      <c r="K636" s="4">
        <f t="shared" si="135"/>
        <v>1.0290763968072969</v>
      </c>
      <c r="L636">
        <f t="shared" si="136"/>
        <v>50.716493397021623</v>
      </c>
      <c r="M636" s="14" t="str">
        <f t="shared" si="129"/>
        <v/>
      </c>
      <c r="N636" s="7">
        <f t="shared" si="130"/>
        <v>0</v>
      </c>
      <c r="O636" s="7">
        <f t="shared" si="137"/>
        <v>0</v>
      </c>
      <c r="P636" s="7">
        <f t="shared" si="138"/>
        <v>-1</v>
      </c>
      <c r="Q636" s="10" t="e">
        <f t="shared" si="131"/>
        <v>#N/A</v>
      </c>
      <c r="R636" s="10" t="e">
        <f t="shared" si="132"/>
        <v>#N/A</v>
      </c>
      <c r="S636" s="7">
        <f t="shared" si="139"/>
        <v>1279.5</v>
      </c>
      <c r="T636" s="7">
        <f t="shared" si="140"/>
        <v>0</v>
      </c>
    </row>
    <row r="637" spans="1:20" x14ac:dyDescent="0.25">
      <c r="A637" s="1">
        <v>42167</v>
      </c>
      <c r="B637">
        <v>1273.8</v>
      </c>
      <c r="C637">
        <v>1284</v>
      </c>
      <c r="D637">
        <v>1243</v>
      </c>
      <c r="E637">
        <v>1249.4000000000001</v>
      </c>
      <c r="F637">
        <v>3608577</v>
      </c>
      <c r="G637" s="4">
        <f t="shared" si="127"/>
        <v>13.400000000000091</v>
      </c>
      <c r="H637" s="4">
        <f t="shared" si="128"/>
        <v>0</v>
      </c>
      <c r="I637" s="6">
        <f t="shared" si="133"/>
        <v>7.4035714285714347</v>
      </c>
      <c r="J637" s="6">
        <f t="shared" si="134"/>
        <v>5.0714285714285712</v>
      </c>
      <c r="K637" s="4">
        <f t="shared" si="135"/>
        <v>1.4598591549295787</v>
      </c>
      <c r="L637">
        <f t="shared" si="136"/>
        <v>59.347265960492436</v>
      </c>
      <c r="M637" s="14" t="str">
        <f t="shared" si="129"/>
        <v/>
      </c>
      <c r="N637" s="7">
        <f t="shared" si="130"/>
        <v>0</v>
      </c>
      <c r="O637" s="7">
        <f t="shared" si="137"/>
        <v>0</v>
      </c>
      <c r="P637" s="7">
        <f t="shared" si="138"/>
        <v>-1</v>
      </c>
      <c r="Q637" s="10" t="e">
        <f t="shared" si="131"/>
        <v>#N/A</v>
      </c>
      <c r="R637" s="10" t="e">
        <f t="shared" si="132"/>
        <v>#N/A</v>
      </c>
      <c r="S637" s="7">
        <f t="shared" si="139"/>
        <v>1279.5</v>
      </c>
      <c r="T637" s="7">
        <f t="shared" si="140"/>
        <v>0</v>
      </c>
    </row>
    <row r="638" spans="1:20" x14ac:dyDescent="0.25">
      <c r="A638" s="1">
        <v>42170</v>
      </c>
      <c r="B638">
        <v>1249</v>
      </c>
      <c r="C638">
        <v>1259.25</v>
      </c>
      <c r="D638">
        <v>1202.9000000000001</v>
      </c>
      <c r="E638">
        <v>1207.3499999999999</v>
      </c>
      <c r="F638">
        <v>1810313</v>
      </c>
      <c r="G638" s="4">
        <f t="shared" si="127"/>
        <v>0</v>
      </c>
      <c r="H638" s="4">
        <f t="shared" si="128"/>
        <v>42.050000000000182</v>
      </c>
      <c r="I638" s="6">
        <f t="shared" si="133"/>
        <v>6.0928571428571558</v>
      </c>
      <c r="J638" s="6">
        <f t="shared" si="134"/>
        <v>8.0750000000000135</v>
      </c>
      <c r="K638" s="4">
        <f t="shared" si="135"/>
        <v>0.75453339230429051</v>
      </c>
      <c r="L638">
        <f t="shared" si="136"/>
        <v>43.004789513486273</v>
      </c>
      <c r="M638" s="14" t="str">
        <f t="shared" si="129"/>
        <v/>
      </c>
      <c r="N638" s="7">
        <f t="shared" si="130"/>
        <v>0</v>
      </c>
      <c r="O638" s="7">
        <f t="shared" si="137"/>
        <v>0</v>
      </c>
      <c r="P638" s="7">
        <f t="shared" si="138"/>
        <v>-1</v>
      </c>
      <c r="Q638" s="10" t="e">
        <f t="shared" si="131"/>
        <v>#N/A</v>
      </c>
      <c r="R638" s="10" t="e">
        <f t="shared" si="132"/>
        <v>#N/A</v>
      </c>
      <c r="S638" s="7">
        <f t="shared" si="139"/>
        <v>1279.5</v>
      </c>
      <c r="T638" s="7">
        <f t="shared" si="140"/>
        <v>0</v>
      </c>
    </row>
    <row r="639" spans="1:20" x14ac:dyDescent="0.25">
      <c r="A639" s="1">
        <v>42171</v>
      </c>
      <c r="B639">
        <v>1218</v>
      </c>
      <c r="C639">
        <v>1224</v>
      </c>
      <c r="D639">
        <v>1175.2</v>
      </c>
      <c r="E639">
        <v>1185.9000000000001</v>
      </c>
      <c r="F639">
        <v>3191908</v>
      </c>
      <c r="G639" s="4">
        <f t="shared" si="127"/>
        <v>0</v>
      </c>
      <c r="H639" s="4">
        <f t="shared" si="128"/>
        <v>21.449999999999818</v>
      </c>
      <c r="I639" s="6">
        <f t="shared" si="133"/>
        <v>5.2642857142857178</v>
      </c>
      <c r="J639" s="6">
        <f t="shared" si="134"/>
        <v>9.6071428571428577</v>
      </c>
      <c r="K639" s="4">
        <f t="shared" si="135"/>
        <v>0.54795539033457286</v>
      </c>
      <c r="L639">
        <f t="shared" si="136"/>
        <v>35.398655139289161</v>
      </c>
      <c r="M639" s="14" t="str">
        <f t="shared" si="129"/>
        <v/>
      </c>
      <c r="N639" s="7">
        <f t="shared" si="130"/>
        <v>0</v>
      </c>
      <c r="O639" s="7">
        <f t="shared" si="137"/>
        <v>0</v>
      </c>
      <c r="P639" s="7">
        <f t="shared" si="138"/>
        <v>-1</v>
      </c>
      <c r="Q639" s="10" t="e">
        <f t="shared" si="131"/>
        <v>#N/A</v>
      </c>
      <c r="R639" s="10" t="e">
        <f t="shared" si="132"/>
        <v>#N/A</v>
      </c>
      <c r="S639" s="7">
        <f t="shared" si="139"/>
        <v>1279.5</v>
      </c>
      <c r="T639" s="7">
        <f t="shared" si="140"/>
        <v>0</v>
      </c>
    </row>
    <row r="640" spans="1:20" x14ac:dyDescent="0.25">
      <c r="A640" s="1">
        <v>42172</v>
      </c>
      <c r="B640">
        <v>1195</v>
      </c>
      <c r="C640">
        <v>1204.4000000000001</v>
      </c>
      <c r="D640">
        <v>1178.5</v>
      </c>
      <c r="E640">
        <v>1195.3</v>
      </c>
      <c r="F640">
        <v>1487643</v>
      </c>
      <c r="G640" s="4">
        <f t="shared" si="127"/>
        <v>9.3999999999998636</v>
      </c>
      <c r="H640" s="4">
        <f t="shared" si="128"/>
        <v>0</v>
      </c>
      <c r="I640" s="6">
        <f t="shared" si="133"/>
        <v>5.0678571428571457</v>
      </c>
      <c r="J640" s="6">
        <f t="shared" si="134"/>
        <v>9.6071428571428577</v>
      </c>
      <c r="K640" s="4">
        <f t="shared" si="135"/>
        <v>0.52750929368029764</v>
      </c>
      <c r="L640">
        <f t="shared" si="136"/>
        <v>34.533949866147495</v>
      </c>
      <c r="M640" s="14" t="str">
        <f t="shared" si="129"/>
        <v/>
      </c>
      <c r="N640" s="7">
        <f t="shared" si="130"/>
        <v>0</v>
      </c>
      <c r="O640" s="7">
        <f t="shared" si="137"/>
        <v>0</v>
      </c>
      <c r="P640" s="7">
        <f t="shared" si="138"/>
        <v>-1</v>
      </c>
      <c r="Q640" s="10" t="e">
        <f t="shared" si="131"/>
        <v>#N/A</v>
      </c>
      <c r="R640" s="10" t="e">
        <f t="shared" si="132"/>
        <v>#N/A</v>
      </c>
      <c r="S640" s="7">
        <f t="shared" si="139"/>
        <v>1279.5</v>
      </c>
      <c r="T640" s="7">
        <f t="shared" si="140"/>
        <v>0</v>
      </c>
    </row>
    <row r="641" spans="1:20" x14ac:dyDescent="0.25">
      <c r="A641" s="1">
        <v>42173</v>
      </c>
      <c r="B641">
        <v>1203</v>
      </c>
      <c r="C641">
        <v>1210</v>
      </c>
      <c r="D641">
        <v>1195.25</v>
      </c>
      <c r="E641">
        <v>1201</v>
      </c>
      <c r="F641">
        <v>667676</v>
      </c>
      <c r="G641" s="4">
        <f t="shared" si="127"/>
        <v>5.7000000000000455</v>
      </c>
      <c r="H641" s="4">
        <f t="shared" si="128"/>
        <v>0</v>
      </c>
      <c r="I641" s="6">
        <f t="shared" si="133"/>
        <v>4.1464285714285678</v>
      </c>
      <c r="J641" s="6">
        <f t="shared" si="134"/>
        <v>9.6071428571428577</v>
      </c>
      <c r="K641" s="4">
        <f t="shared" si="135"/>
        <v>0.43159851301115204</v>
      </c>
      <c r="L641">
        <f t="shared" si="136"/>
        <v>30.148013502986217</v>
      </c>
      <c r="M641" s="14" t="str">
        <f t="shared" si="129"/>
        <v/>
      </c>
      <c r="N641" s="7">
        <f t="shared" si="130"/>
        <v>0</v>
      </c>
      <c r="O641" s="7">
        <f t="shared" si="137"/>
        <v>0</v>
      </c>
      <c r="P641" s="7">
        <f t="shared" si="138"/>
        <v>-1</v>
      </c>
      <c r="Q641" s="10" t="e">
        <f t="shared" si="131"/>
        <v>#N/A</v>
      </c>
      <c r="R641" s="10" t="e">
        <f t="shared" si="132"/>
        <v>#N/A</v>
      </c>
      <c r="S641" s="7">
        <f t="shared" si="139"/>
        <v>1279.5</v>
      </c>
      <c r="T641" s="7">
        <f t="shared" si="140"/>
        <v>0</v>
      </c>
    </row>
    <row r="642" spans="1:20" x14ac:dyDescent="0.25">
      <c r="A642" s="1">
        <v>42174</v>
      </c>
      <c r="B642">
        <v>1201</v>
      </c>
      <c r="C642">
        <v>1228</v>
      </c>
      <c r="D642">
        <v>1200.3</v>
      </c>
      <c r="E642">
        <v>1223.05</v>
      </c>
      <c r="F642">
        <v>1689113</v>
      </c>
      <c r="G642" s="4">
        <f t="shared" si="127"/>
        <v>22.049999999999955</v>
      </c>
      <c r="H642" s="4">
        <f t="shared" si="128"/>
        <v>0</v>
      </c>
      <c r="I642" s="6">
        <f t="shared" si="133"/>
        <v>5.7214285714285653</v>
      </c>
      <c r="J642" s="6">
        <f t="shared" si="134"/>
        <v>8.3214285714285712</v>
      </c>
      <c r="K642" s="4">
        <f t="shared" si="135"/>
        <v>0.68755364806866881</v>
      </c>
      <c r="L642">
        <f t="shared" si="136"/>
        <v>40.742624618514725</v>
      </c>
      <c r="M642" s="14" t="str">
        <f t="shared" si="129"/>
        <v/>
      </c>
      <c r="N642" s="7">
        <f t="shared" si="130"/>
        <v>0</v>
      </c>
      <c r="O642" s="7">
        <f t="shared" si="137"/>
        <v>0</v>
      </c>
      <c r="P642" s="7">
        <f t="shared" si="138"/>
        <v>-1</v>
      </c>
      <c r="Q642" s="10" t="e">
        <f t="shared" si="131"/>
        <v>#N/A</v>
      </c>
      <c r="R642" s="10" t="e">
        <f t="shared" si="132"/>
        <v>#N/A</v>
      </c>
      <c r="S642" s="7">
        <f t="shared" si="139"/>
        <v>1279.5</v>
      </c>
      <c r="T642" s="7">
        <f t="shared" si="140"/>
        <v>0</v>
      </c>
    </row>
    <row r="643" spans="1:20" x14ac:dyDescent="0.25">
      <c r="A643" s="1">
        <v>42177</v>
      </c>
      <c r="B643">
        <v>1208</v>
      </c>
      <c r="C643">
        <v>1227.2</v>
      </c>
      <c r="D643">
        <v>1201</v>
      </c>
      <c r="E643">
        <v>1214.25</v>
      </c>
      <c r="F643">
        <v>1451599</v>
      </c>
      <c r="G643" s="4">
        <f t="shared" si="127"/>
        <v>0</v>
      </c>
      <c r="H643" s="4">
        <f t="shared" si="128"/>
        <v>8.7999999999999545</v>
      </c>
      <c r="I643" s="6">
        <f t="shared" si="133"/>
        <v>5.7214285714285653</v>
      </c>
      <c r="J643" s="6">
        <f t="shared" si="134"/>
        <v>7.5178571428571432</v>
      </c>
      <c r="K643" s="4">
        <f t="shared" si="135"/>
        <v>0.76104513064132928</v>
      </c>
      <c r="L643">
        <f t="shared" si="136"/>
        <v>43.21553817102776</v>
      </c>
      <c r="M643" s="14" t="str">
        <f t="shared" si="129"/>
        <v/>
      </c>
      <c r="N643" s="7">
        <f t="shared" si="130"/>
        <v>0</v>
      </c>
      <c r="O643" s="7">
        <f t="shared" si="137"/>
        <v>0</v>
      </c>
      <c r="P643" s="7">
        <f t="shared" si="138"/>
        <v>-1</v>
      </c>
      <c r="Q643" s="10" t="e">
        <f t="shared" si="131"/>
        <v>#N/A</v>
      </c>
      <c r="R643" s="10" t="e">
        <f t="shared" si="132"/>
        <v>#N/A</v>
      </c>
      <c r="S643" s="7">
        <f t="shared" si="139"/>
        <v>1279.5</v>
      </c>
      <c r="T643" s="7">
        <f t="shared" si="140"/>
        <v>0</v>
      </c>
    </row>
    <row r="644" spans="1:20" x14ac:dyDescent="0.25">
      <c r="A644" s="1">
        <v>42178</v>
      </c>
      <c r="B644">
        <v>1208.0999999999999</v>
      </c>
      <c r="C644">
        <v>1218.6500000000001</v>
      </c>
      <c r="D644">
        <v>1197.0999999999999</v>
      </c>
      <c r="E644">
        <v>1209.1500000000001</v>
      </c>
      <c r="F644">
        <v>824046</v>
      </c>
      <c r="G644" s="4">
        <f t="shared" ref="G644:G707" si="141">IF(E644&gt;E643,E644-E643,0)</f>
        <v>0</v>
      </c>
      <c r="H644" s="4">
        <f t="shared" ref="H644:H707" si="142">IF(E644&lt;E643,E643-E644,0)</f>
        <v>5.0999999999999091</v>
      </c>
      <c r="I644" s="6">
        <f t="shared" si="133"/>
        <v>5.1178571428571491</v>
      </c>
      <c r="J644" s="6">
        <f t="shared" si="134"/>
        <v>7.8821428571428509</v>
      </c>
      <c r="K644" s="4">
        <f t="shared" si="135"/>
        <v>0.64929768917082142</v>
      </c>
      <c r="L644">
        <f t="shared" si="136"/>
        <v>39.368131868131918</v>
      </c>
      <c r="M644" s="14" t="str">
        <f t="shared" si="129"/>
        <v/>
      </c>
      <c r="N644" s="7">
        <f t="shared" si="130"/>
        <v>0</v>
      </c>
      <c r="O644" s="7">
        <f t="shared" si="137"/>
        <v>0</v>
      </c>
      <c r="P644" s="7">
        <f t="shared" si="138"/>
        <v>-1</v>
      </c>
      <c r="Q644" s="10" t="e">
        <f t="shared" si="131"/>
        <v>#N/A</v>
      </c>
      <c r="R644" s="10" t="e">
        <f t="shared" si="132"/>
        <v>#N/A</v>
      </c>
      <c r="S644" s="7">
        <f t="shared" si="139"/>
        <v>1279.5</v>
      </c>
      <c r="T644" s="7">
        <f t="shared" si="140"/>
        <v>0</v>
      </c>
    </row>
    <row r="645" spans="1:20" x14ac:dyDescent="0.25">
      <c r="A645" s="1">
        <v>42179</v>
      </c>
      <c r="B645">
        <v>1204</v>
      </c>
      <c r="C645">
        <v>1217</v>
      </c>
      <c r="D645">
        <v>1196.9000000000001</v>
      </c>
      <c r="E645">
        <v>1213.1500000000001</v>
      </c>
      <c r="F645">
        <v>833015</v>
      </c>
      <c r="G645" s="4">
        <f t="shared" si="141"/>
        <v>4</v>
      </c>
      <c r="H645" s="4">
        <f t="shared" si="142"/>
        <v>0</v>
      </c>
      <c r="I645" s="6">
        <f t="shared" si="133"/>
        <v>5.4035714285714347</v>
      </c>
      <c r="J645" s="6">
        <f t="shared" si="134"/>
        <v>7.3642857142857077</v>
      </c>
      <c r="K645" s="4">
        <f t="shared" si="135"/>
        <v>0.73375363724539433</v>
      </c>
      <c r="L645">
        <f t="shared" si="136"/>
        <v>42.32167832167837</v>
      </c>
      <c r="M645" s="14" t="str">
        <f t="shared" si="129"/>
        <v/>
      </c>
      <c r="N645" s="7">
        <f t="shared" si="130"/>
        <v>0</v>
      </c>
      <c r="O645" s="7">
        <f t="shared" si="137"/>
        <v>0</v>
      </c>
      <c r="P645" s="7">
        <f t="shared" si="138"/>
        <v>-1</v>
      </c>
      <c r="Q645" s="10" t="e">
        <f t="shared" si="131"/>
        <v>#N/A</v>
      </c>
      <c r="R645" s="10" t="e">
        <f t="shared" si="132"/>
        <v>#N/A</v>
      </c>
      <c r="S645" s="7">
        <f t="shared" si="139"/>
        <v>1279.5</v>
      </c>
      <c r="T645" s="7">
        <f t="shared" si="140"/>
        <v>0</v>
      </c>
    </row>
    <row r="646" spans="1:20" x14ac:dyDescent="0.25">
      <c r="A646" s="1">
        <v>42180</v>
      </c>
      <c r="B646">
        <v>1213</v>
      </c>
      <c r="C646">
        <v>1221</v>
      </c>
      <c r="D646">
        <v>1190.2</v>
      </c>
      <c r="E646">
        <v>1198.45</v>
      </c>
      <c r="F646">
        <v>1472873</v>
      </c>
      <c r="G646" s="4">
        <f t="shared" si="141"/>
        <v>0</v>
      </c>
      <c r="H646" s="4">
        <f t="shared" si="142"/>
        <v>14.700000000000045</v>
      </c>
      <c r="I646" s="6">
        <f t="shared" si="133"/>
        <v>4.8928571428571432</v>
      </c>
      <c r="J646" s="6">
        <f t="shared" si="134"/>
        <v>8.414285714285711</v>
      </c>
      <c r="K646" s="4">
        <f t="shared" si="135"/>
        <v>0.58149405772495788</v>
      </c>
      <c r="L646">
        <f t="shared" si="136"/>
        <v>36.768652710681707</v>
      </c>
      <c r="M646" s="14" t="str">
        <f t="shared" si="129"/>
        <v/>
      </c>
      <c r="N646" s="7">
        <f t="shared" si="130"/>
        <v>0</v>
      </c>
      <c r="O646" s="7">
        <f t="shared" si="137"/>
        <v>0</v>
      </c>
      <c r="P646" s="7">
        <f t="shared" si="138"/>
        <v>-1</v>
      </c>
      <c r="Q646" s="10" t="e">
        <f t="shared" si="131"/>
        <v>#N/A</v>
      </c>
      <c r="R646" s="10" t="e">
        <f t="shared" si="132"/>
        <v>#N/A</v>
      </c>
      <c r="S646" s="7">
        <f t="shared" si="139"/>
        <v>1279.5</v>
      </c>
      <c r="T646" s="7">
        <f t="shared" si="140"/>
        <v>0</v>
      </c>
    </row>
    <row r="647" spans="1:20" x14ac:dyDescent="0.25">
      <c r="A647" s="1">
        <v>42181</v>
      </c>
      <c r="B647">
        <v>1215</v>
      </c>
      <c r="C647">
        <v>1230.2</v>
      </c>
      <c r="D647">
        <v>1203.25</v>
      </c>
      <c r="E647">
        <v>1225.3</v>
      </c>
      <c r="F647">
        <v>921488</v>
      </c>
      <c r="G647" s="4">
        <f t="shared" si="141"/>
        <v>26.849999999999909</v>
      </c>
      <c r="H647" s="4">
        <f t="shared" si="142"/>
        <v>0</v>
      </c>
      <c r="I647" s="6">
        <f t="shared" si="133"/>
        <v>5.9785714285714153</v>
      </c>
      <c r="J647" s="6">
        <f t="shared" si="134"/>
        <v>8.414285714285711</v>
      </c>
      <c r="K647" s="4">
        <f t="shared" si="135"/>
        <v>0.71052631578947234</v>
      </c>
      <c r="L647">
        <f t="shared" si="136"/>
        <v>41.53846153846149</v>
      </c>
      <c r="M647" s="14" t="str">
        <f t="shared" si="129"/>
        <v/>
      </c>
      <c r="N647" s="7">
        <f t="shared" si="130"/>
        <v>0</v>
      </c>
      <c r="O647" s="7">
        <f t="shared" si="137"/>
        <v>0</v>
      </c>
      <c r="P647" s="7">
        <f t="shared" si="138"/>
        <v>-1</v>
      </c>
      <c r="Q647" s="10" t="e">
        <f t="shared" si="131"/>
        <v>#N/A</v>
      </c>
      <c r="R647" s="10" t="e">
        <f t="shared" si="132"/>
        <v>#N/A</v>
      </c>
      <c r="S647" s="7">
        <f t="shared" si="139"/>
        <v>1279.5</v>
      </c>
      <c r="T647" s="7">
        <f t="shared" si="140"/>
        <v>0</v>
      </c>
    </row>
    <row r="648" spans="1:20" x14ac:dyDescent="0.25">
      <c r="A648" s="1">
        <v>42184</v>
      </c>
      <c r="B648">
        <v>1234.9000000000001</v>
      </c>
      <c r="C648">
        <v>1242.8499999999999</v>
      </c>
      <c r="D648">
        <v>1214.55</v>
      </c>
      <c r="E648">
        <v>1231</v>
      </c>
      <c r="F648">
        <v>1312856</v>
      </c>
      <c r="G648" s="4">
        <f t="shared" si="141"/>
        <v>5.7000000000000455</v>
      </c>
      <c r="H648" s="4">
        <f t="shared" si="142"/>
        <v>0</v>
      </c>
      <c r="I648" s="6">
        <f t="shared" si="133"/>
        <v>6.2214285714285653</v>
      </c>
      <c r="J648" s="6">
        <f t="shared" si="134"/>
        <v>8.414285714285711</v>
      </c>
      <c r="K648" s="4">
        <f t="shared" si="135"/>
        <v>0.73938879456706241</v>
      </c>
      <c r="L648">
        <f t="shared" si="136"/>
        <v>42.508540751586125</v>
      </c>
      <c r="M648" s="14" t="str">
        <f t="shared" si="129"/>
        <v/>
      </c>
      <c r="N648" s="7">
        <f t="shared" si="130"/>
        <v>0</v>
      </c>
      <c r="O648" s="7">
        <f t="shared" si="137"/>
        <v>0</v>
      </c>
      <c r="P648" s="7">
        <f t="shared" si="138"/>
        <v>-1</v>
      </c>
      <c r="Q648" s="10" t="e">
        <f t="shared" si="131"/>
        <v>#N/A</v>
      </c>
      <c r="R648" s="10" t="e">
        <f t="shared" si="132"/>
        <v>#N/A</v>
      </c>
      <c r="S648" s="7">
        <f t="shared" si="139"/>
        <v>1279.5</v>
      </c>
      <c r="T648" s="7">
        <f t="shared" si="140"/>
        <v>0</v>
      </c>
    </row>
    <row r="649" spans="1:20" x14ac:dyDescent="0.25">
      <c r="A649" s="1">
        <v>42185</v>
      </c>
      <c r="B649">
        <v>1235</v>
      </c>
      <c r="C649">
        <v>1249.25</v>
      </c>
      <c r="D649">
        <v>1226.25</v>
      </c>
      <c r="E649">
        <v>1243.6500000000001</v>
      </c>
      <c r="F649">
        <v>989982</v>
      </c>
      <c r="G649" s="4">
        <f t="shared" si="141"/>
        <v>12.650000000000091</v>
      </c>
      <c r="H649" s="4">
        <f t="shared" si="142"/>
        <v>0</v>
      </c>
      <c r="I649" s="6">
        <f t="shared" si="133"/>
        <v>7.125</v>
      </c>
      <c r="J649" s="6">
        <f t="shared" si="134"/>
        <v>8.1714285714285619</v>
      </c>
      <c r="K649" s="4">
        <f t="shared" si="135"/>
        <v>0.87194055944056048</v>
      </c>
      <c r="L649">
        <f t="shared" si="136"/>
        <v>46.579500350221835</v>
      </c>
      <c r="M649" s="14" t="str">
        <f t="shared" si="129"/>
        <v/>
      </c>
      <c r="N649" s="7">
        <f t="shared" si="130"/>
        <v>0</v>
      </c>
      <c r="O649" s="7">
        <f t="shared" si="137"/>
        <v>0</v>
      </c>
      <c r="P649" s="7">
        <f t="shared" si="138"/>
        <v>-1</v>
      </c>
      <c r="Q649" s="10" t="e">
        <f t="shared" si="131"/>
        <v>#N/A</v>
      </c>
      <c r="R649" s="10" t="e">
        <f t="shared" si="132"/>
        <v>#N/A</v>
      </c>
      <c r="S649" s="7">
        <f t="shared" si="139"/>
        <v>1279.5</v>
      </c>
      <c r="T649" s="7">
        <f t="shared" si="140"/>
        <v>0</v>
      </c>
    </row>
    <row r="650" spans="1:20" x14ac:dyDescent="0.25">
      <c r="A650" s="1">
        <v>42186</v>
      </c>
      <c r="B650">
        <v>1238.0999999999999</v>
      </c>
      <c r="C650">
        <v>1244.8</v>
      </c>
      <c r="D650">
        <v>1222.0999999999999</v>
      </c>
      <c r="E650">
        <v>1224.6500000000001</v>
      </c>
      <c r="F650">
        <v>647875</v>
      </c>
      <c r="G650" s="4">
        <f t="shared" si="141"/>
        <v>0</v>
      </c>
      <c r="H650" s="4">
        <f t="shared" si="142"/>
        <v>19</v>
      </c>
      <c r="I650" s="6">
        <f t="shared" si="133"/>
        <v>7.125</v>
      </c>
      <c r="J650" s="6">
        <f t="shared" si="134"/>
        <v>7.9357142857142788</v>
      </c>
      <c r="K650" s="4">
        <f t="shared" si="135"/>
        <v>0.89783978397839859</v>
      </c>
      <c r="L650">
        <f t="shared" si="136"/>
        <v>47.308513161014957</v>
      </c>
      <c r="M650" s="14" t="str">
        <f t="shared" si="129"/>
        <v/>
      </c>
      <c r="N650" s="7">
        <f t="shared" si="130"/>
        <v>0</v>
      </c>
      <c r="O650" s="7">
        <f t="shared" si="137"/>
        <v>0</v>
      </c>
      <c r="P650" s="7">
        <f t="shared" si="138"/>
        <v>-1</v>
      </c>
      <c r="Q650" s="10" t="e">
        <f t="shared" si="131"/>
        <v>#N/A</v>
      </c>
      <c r="R650" s="10" t="e">
        <f t="shared" si="132"/>
        <v>#N/A</v>
      </c>
      <c r="S650" s="7">
        <f t="shared" si="139"/>
        <v>1279.5</v>
      </c>
      <c r="T650" s="7">
        <f t="shared" si="140"/>
        <v>0</v>
      </c>
    </row>
    <row r="651" spans="1:20" x14ac:dyDescent="0.25">
      <c r="A651" s="1">
        <v>42187</v>
      </c>
      <c r="B651">
        <v>1229.95</v>
      </c>
      <c r="C651">
        <v>1236.7</v>
      </c>
      <c r="D651">
        <v>1222</v>
      </c>
      <c r="E651">
        <v>1232.8</v>
      </c>
      <c r="F651">
        <v>475529</v>
      </c>
      <c r="G651" s="4">
        <f t="shared" si="141"/>
        <v>8.1499999999998636</v>
      </c>
      <c r="H651" s="4">
        <f t="shared" si="142"/>
        <v>0</v>
      </c>
      <c r="I651" s="6">
        <f t="shared" si="133"/>
        <v>6.749999999999984</v>
      </c>
      <c r="J651" s="6">
        <f t="shared" si="134"/>
        <v>7.9357142857142788</v>
      </c>
      <c r="K651" s="4">
        <f t="shared" si="135"/>
        <v>0.85058505850584931</v>
      </c>
      <c r="L651">
        <f t="shared" si="136"/>
        <v>45.963035019455212</v>
      </c>
      <c r="M651" s="14" t="str">
        <f t="shared" si="129"/>
        <v/>
      </c>
      <c r="N651" s="7">
        <f t="shared" si="130"/>
        <v>0</v>
      </c>
      <c r="O651" s="7">
        <f t="shared" si="137"/>
        <v>0</v>
      </c>
      <c r="P651" s="7">
        <f t="shared" si="138"/>
        <v>-1</v>
      </c>
      <c r="Q651" s="10" t="e">
        <f t="shared" si="131"/>
        <v>#N/A</v>
      </c>
      <c r="R651" s="10" t="e">
        <f t="shared" si="132"/>
        <v>#N/A</v>
      </c>
      <c r="S651" s="7">
        <f t="shared" si="139"/>
        <v>1279.5</v>
      </c>
      <c r="T651" s="7">
        <f t="shared" si="140"/>
        <v>0</v>
      </c>
    </row>
    <row r="652" spans="1:20" x14ac:dyDescent="0.25">
      <c r="A652" s="1">
        <v>42188</v>
      </c>
      <c r="B652">
        <v>1228</v>
      </c>
      <c r="C652">
        <v>1240.25</v>
      </c>
      <c r="D652">
        <v>1218.0999999999999</v>
      </c>
      <c r="E652">
        <v>1236.9000000000001</v>
      </c>
      <c r="F652">
        <v>488868</v>
      </c>
      <c r="G652" s="4">
        <f t="shared" si="141"/>
        <v>4.1000000000001364</v>
      </c>
      <c r="H652" s="4">
        <f t="shared" si="142"/>
        <v>0</v>
      </c>
      <c r="I652" s="6">
        <f t="shared" si="133"/>
        <v>7.0428571428571365</v>
      </c>
      <c r="J652" s="6">
        <f t="shared" si="134"/>
        <v>4.9321428571428374</v>
      </c>
      <c r="K652" s="4">
        <f t="shared" si="135"/>
        <v>1.4279507603186141</v>
      </c>
      <c r="L652">
        <f t="shared" si="136"/>
        <v>58.813003280644281</v>
      </c>
      <c r="M652" s="14" t="str">
        <f t="shared" si="129"/>
        <v/>
      </c>
      <c r="N652" s="7">
        <f t="shared" si="130"/>
        <v>0</v>
      </c>
      <c r="O652" s="7">
        <f t="shared" si="137"/>
        <v>0</v>
      </c>
      <c r="P652" s="7">
        <f t="shared" si="138"/>
        <v>-1</v>
      </c>
      <c r="Q652" s="10" t="e">
        <f t="shared" si="131"/>
        <v>#N/A</v>
      </c>
      <c r="R652" s="10" t="e">
        <f t="shared" si="132"/>
        <v>#N/A</v>
      </c>
      <c r="S652" s="7">
        <f t="shared" si="139"/>
        <v>1279.5</v>
      </c>
      <c r="T652" s="7">
        <f t="shared" si="140"/>
        <v>0</v>
      </c>
    </row>
    <row r="653" spans="1:20" x14ac:dyDescent="0.25">
      <c r="A653" s="1">
        <v>42191</v>
      </c>
      <c r="B653">
        <v>1245</v>
      </c>
      <c r="C653">
        <v>1248</v>
      </c>
      <c r="D653">
        <v>1225.2</v>
      </c>
      <c r="E653">
        <v>1228.9000000000001</v>
      </c>
      <c r="F653">
        <v>507770</v>
      </c>
      <c r="G653" s="4">
        <f t="shared" si="141"/>
        <v>0</v>
      </c>
      <c r="H653" s="4">
        <f t="shared" si="142"/>
        <v>8</v>
      </c>
      <c r="I653" s="6">
        <f t="shared" si="133"/>
        <v>7.0428571428571365</v>
      </c>
      <c r="J653" s="6">
        <f t="shared" si="134"/>
        <v>3.9714285714285649</v>
      </c>
      <c r="K653" s="4">
        <f t="shared" si="135"/>
        <v>1.7733812949640302</v>
      </c>
      <c r="L653">
        <f t="shared" si="136"/>
        <v>63.942931258106377</v>
      </c>
      <c r="M653" s="14" t="str">
        <f t="shared" si="129"/>
        <v/>
      </c>
      <c r="N653" s="7">
        <f t="shared" si="130"/>
        <v>0</v>
      </c>
      <c r="O653" s="7">
        <f t="shared" si="137"/>
        <v>0</v>
      </c>
      <c r="P653" s="7">
        <f t="shared" si="138"/>
        <v>-1</v>
      </c>
      <c r="Q653" s="10" t="e">
        <f t="shared" si="131"/>
        <v>#N/A</v>
      </c>
      <c r="R653" s="10" t="e">
        <f t="shared" si="132"/>
        <v>#N/A</v>
      </c>
      <c r="S653" s="7">
        <f t="shared" si="139"/>
        <v>1279.5</v>
      </c>
      <c r="T653" s="7">
        <f t="shared" si="140"/>
        <v>0</v>
      </c>
    </row>
    <row r="654" spans="1:20" x14ac:dyDescent="0.25">
      <c r="A654" s="1">
        <v>42192</v>
      </c>
      <c r="B654">
        <v>1239</v>
      </c>
      <c r="C654">
        <v>1266.2</v>
      </c>
      <c r="D654">
        <v>1234.6500000000001</v>
      </c>
      <c r="E654">
        <v>1264.05</v>
      </c>
      <c r="F654">
        <v>1049577</v>
      </c>
      <c r="G654" s="4">
        <f t="shared" si="141"/>
        <v>35.149999999999864</v>
      </c>
      <c r="H654" s="4">
        <f t="shared" si="142"/>
        <v>0</v>
      </c>
      <c r="I654" s="6">
        <f t="shared" si="133"/>
        <v>8.8821428571428509</v>
      </c>
      <c r="J654" s="6">
        <f t="shared" si="134"/>
        <v>3.9714285714285649</v>
      </c>
      <c r="K654" s="4">
        <f t="shared" si="135"/>
        <v>2.2365107913669084</v>
      </c>
      <c r="L654">
        <f t="shared" si="136"/>
        <v>69.102528480133387</v>
      </c>
      <c r="M654" s="14" t="str">
        <f t="shared" si="129"/>
        <v/>
      </c>
      <c r="N654" s="7">
        <f t="shared" si="130"/>
        <v>0</v>
      </c>
      <c r="O654" s="7">
        <f t="shared" si="137"/>
        <v>0</v>
      </c>
      <c r="P654" s="7">
        <f t="shared" si="138"/>
        <v>-1</v>
      </c>
      <c r="Q654" s="10" t="e">
        <f t="shared" si="131"/>
        <v>#N/A</v>
      </c>
      <c r="R654" s="10" t="e">
        <f t="shared" si="132"/>
        <v>#N/A</v>
      </c>
      <c r="S654" s="7">
        <f t="shared" si="139"/>
        <v>1279.5</v>
      </c>
      <c r="T654" s="7">
        <f t="shared" si="140"/>
        <v>0</v>
      </c>
    </row>
    <row r="655" spans="1:20" x14ac:dyDescent="0.25">
      <c r="A655" s="1">
        <v>42193</v>
      </c>
      <c r="B655">
        <v>1265</v>
      </c>
      <c r="C655">
        <v>1266.6500000000001</v>
      </c>
      <c r="D655">
        <v>1246.4000000000001</v>
      </c>
      <c r="E655">
        <v>1249.2</v>
      </c>
      <c r="F655">
        <v>821500</v>
      </c>
      <c r="G655" s="4">
        <f t="shared" si="141"/>
        <v>0</v>
      </c>
      <c r="H655" s="4">
        <f t="shared" si="142"/>
        <v>14.849999999999909</v>
      </c>
      <c r="I655" s="6">
        <f t="shared" si="133"/>
        <v>8.4749999999999908</v>
      </c>
      <c r="J655" s="6">
        <f t="shared" si="134"/>
        <v>5.0321428571428442</v>
      </c>
      <c r="K655" s="4">
        <f t="shared" si="135"/>
        <v>1.684173172462742</v>
      </c>
      <c r="L655">
        <f t="shared" si="136"/>
        <v>62.744579587519866</v>
      </c>
      <c r="M655" s="14" t="str">
        <f t="shared" si="129"/>
        <v/>
      </c>
      <c r="N655" s="7">
        <f t="shared" si="130"/>
        <v>0</v>
      </c>
      <c r="O655" s="7">
        <f t="shared" si="137"/>
        <v>0</v>
      </c>
      <c r="P655" s="7">
        <f t="shared" si="138"/>
        <v>-1</v>
      </c>
      <c r="Q655" s="10" t="e">
        <f t="shared" si="131"/>
        <v>#N/A</v>
      </c>
      <c r="R655" s="10" t="e">
        <f t="shared" si="132"/>
        <v>#N/A</v>
      </c>
      <c r="S655" s="7">
        <f t="shared" si="139"/>
        <v>1279.5</v>
      </c>
      <c r="T655" s="7">
        <f t="shared" si="140"/>
        <v>0</v>
      </c>
    </row>
    <row r="656" spans="1:20" x14ac:dyDescent="0.25">
      <c r="A656" s="1">
        <v>42194</v>
      </c>
      <c r="B656">
        <v>1250.25</v>
      </c>
      <c r="C656">
        <v>1267.8499999999999</v>
      </c>
      <c r="D656">
        <v>1250.25</v>
      </c>
      <c r="E656">
        <v>1258.1500000000001</v>
      </c>
      <c r="F656">
        <v>564737</v>
      </c>
      <c r="G656" s="4">
        <f t="shared" si="141"/>
        <v>8.9500000000000455</v>
      </c>
      <c r="H656" s="4">
        <f t="shared" si="142"/>
        <v>0</v>
      </c>
      <c r="I656" s="6">
        <f t="shared" si="133"/>
        <v>7.539285714285711</v>
      </c>
      <c r="J656" s="6">
        <f t="shared" si="134"/>
        <v>5.0321428571428442</v>
      </c>
      <c r="K656" s="4">
        <f t="shared" si="135"/>
        <v>1.4982256919801309</v>
      </c>
      <c r="L656">
        <f t="shared" si="136"/>
        <v>59.971590909090956</v>
      </c>
      <c r="M656" s="14" t="str">
        <f t="shared" ref="M656:M719" si="143">IF(L656&gt;RSI_Overbought,"OVERBOUGHT",IF(L656&lt;RSI_Oversold,"OVERSOLD",""))</f>
        <v/>
      </c>
      <c r="N656" s="7">
        <f t="shared" ref="N656:N719" si="144">IF(L656&gt;RSI_Overbought,"SELL",IF(L656&lt;RSI_Oversold,"BUY",0))</f>
        <v>0</v>
      </c>
      <c r="O656" s="7">
        <f t="shared" si="137"/>
        <v>0</v>
      </c>
      <c r="P656" s="7">
        <f t="shared" si="138"/>
        <v>-1</v>
      </c>
      <c r="Q656" s="10" t="e">
        <f t="shared" ref="Q656:Q719" si="145">IF($O656="BUY",$E656,NA())</f>
        <v>#N/A</v>
      </c>
      <c r="R656" s="10" t="e">
        <f t="shared" ref="R656:R719" si="146">IF($O656="SELL",$E656,NA())</f>
        <v>#N/A</v>
      </c>
      <c r="S656" s="7">
        <f t="shared" si="139"/>
        <v>1279.5</v>
      </c>
      <c r="T656" s="7">
        <f t="shared" si="140"/>
        <v>0</v>
      </c>
    </row>
    <row r="657" spans="1:20" x14ac:dyDescent="0.25">
      <c r="A657" s="1">
        <v>42195</v>
      </c>
      <c r="B657">
        <v>1256</v>
      </c>
      <c r="C657">
        <v>1285</v>
      </c>
      <c r="D657">
        <v>1255.75</v>
      </c>
      <c r="E657">
        <v>1280.05</v>
      </c>
      <c r="F657">
        <v>1541178</v>
      </c>
      <c r="G657" s="4">
        <f t="shared" si="141"/>
        <v>21.899999999999864</v>
      </c>
      <c r="H657" s="4">
        <f t="shared" si="142"/>
        <v>0</v>
      </c>
      <c r="I657" s="6">
        <f t="shared" ref="I657:I720" si="147">AVERAGE(G644:G657)</f>
        <v>9.1035714285714153</v>
      </c>
      <c r="J657" s="6">
        <f t="shared" ref="J657:J720" si="148">AVERAGE(H644:H657)</f>
        <v>4.4035714285714187</v>
      </c>
      <c r="K657" s="4">
        <f t="shared" ref="K657:K720" si="149">I657/J657</f>
        <v>2.0673154906731566</v>
      </c>
      <c r="L657">
        <f t="shared" ref="L657:L720" si="150">100-(100/(K657+1))</f>
        <v>67.398202009518798</v>
      </c>
      <c r="M657" s="14" t="str">
        <f t="shared" si="143"/>
        <v/>
      </c>
      <c r="N657" s="7">
        <f t="shared" si="144"/>
        <v>0</v>
      </c>
      <c r="O657" s="7">
        <f t="shared" ref="O657:O720" si="151">IF(AND(N657="BUY",P656&lt;&gt;1),"BUY",IF(AND(N657="SELL",P656&lt;&gt;-1),"SELL",0))</f>
        <v>0</v>
      </c>
      <c r="P657" s="7">
        <f t="shared" ref="P657:P720" si="152">IF(O657="BUY",1,IF(O657="SELL",-1,P656))</f>
        <v>-1</v>
      </c>
      <c r="Q657" s="10" t="e">
        <f t="shared" si="145"/>
        <v>#N/A</v>
      </c>
      <c r="R657" s="10" t="e">
        <f t="shared" si="146"/>
        <v>#N/A</v>
      </c>
      <c r="S657" s="7">
        <f t="shared" ref="S657:S720" si="153">IF(O657&lt;&gt;0,E657,S656)</f>
        <v>1279.5</v>
      </c>
      <c r="T657" s="7">
        <f t="shared" si="140"/>
        <v>0</v>
      </c>
    </row>
    <row r="658" spans="1:20" x14ac:dyDescent="0.25">
      <c r="A658" s="1">
        <v>42198</v>
      </c>
      <c r="B658">
        <v>1279.0999999999999</v>
      </c>
      <c r="C658">
        <v>1279.0999999999999</v>
      </c>
      <c r="D658">
        <v>1257.25</v>
      </c>
      <c r="E658">
        <v>1266.3</v>
      </c>
      <c r="F658">
        <v>714019</v>
      </c>
      <c r="G658" s="4">
        <f t="shared" si="141"/>
        <v>0</v>
      </c>
      <c r="H658" s="4">
        <f t="shared" si="142"/>
        <v>13.75</v>
      </c>
      <c r="I658" s="6">
        <f t="shared" si="147"/>
        <v>9.1035714285714153</v>
      </c>
      <c r="J658" s="6">
        <f t="shared" si="148"/>
        <v>5.0214285714285678</v>
      </c>
      <c r="K658" s="4">
        <f t="shared" si="149"/>
        <v>1.8129445234708379</v>
      </c>
      <c r="L658">
        <f t="shared" si="150"/>
        <v>64.450063211125141</v>
      </c>
      <c r="M658" s="14" t="str">
        <f t="shared" si="143"/>
        <v/>
      </c>
      <c r="N658" s="7">
        <f t="shared" si="144"/>
        <v>0</v>
      </c>
      <c r="O658" s="7">
        <f t="shared" si="151"/>
        <v>0</v>
      </c>
      <c r="P658" s="7">
        <f t="shared" si="152"/>
        <v>-1</v>
      </c>
      <c r="Q658" s="10" t="e">
        <f t="shared" si="145"/>
        <v>#N/A</v>
      </c>
      <c r="R658" s="10" t="e">
        <f t="shared" si="146"/>
        <v>#N/A</v>
      </c>
      <c r="S658" s="7">
        <f t="shared" si="153"/>
        <v>1279.5</v>
      </c>
      <c r="T658" s="7">
        <f t="shared" si="140"/>
        <v>0</v>
      </c>
    </row>
    <row r="659" spans="1:20" x14ac:dyDescent="0.25">
      <c r="A659" s="1">
        <v>42199</v>
      </c>
      <c r="B659">
        <v>1260</v>
      </c>
      <c r="C659">
        <v>1273.25</v>
      </c>
      <c r="D659">
        <v>1259.25</v>
      </c>
      <c r="E659">
        <v>1268.4000000000001</v>
      </c>
      <c r="F659">
        <v>568465</v>
      </c>
      <c r="G659" s="4">
        <f t="shared" si="141"/>
        <v>2.1000000000001364</v>
      </c>
      <c r="H659" s="4">
        <f t="shared" si="142"/>
        <v>0</v>
      </c>
      <c r="I659" s="6">
        <f t="shared" si="147"/>
        <v>8.9678571428571399</v>
      </c>
      <c r="J659" s="6">
        <f t="shared" si="148"/>
        <v>5.0214285714285678</v>
      </c>
      <c r="K659" s="4">
        <f t="shared" si="149"/>
        <v>1.7859174964438129</v>
      </c>
      <c r="L659">
        <f t="shared" si="150"/>
        <v>64.105182537656376</v>
      </c>
      <c r="M659" s="14" t="str">
        <f t="shared" si="143"/>
        <v/>
      </c>
      <c r="N659" s="7">
        <f t="shared" si="144"/>
        <v>0</v>
      </c>
      <c r="O659" s="7">
        <f t="shared" si="151"/>
        <v>0</v>
      </c>
      <c r="P659" s="7">
        <f t="shared" si="152"/>
        <v>-1</v>
      </c>
      <c r="Q659" s="10" t="e">
        <f t="shared" si="145"/>
        <v>#N/A</v>
      </c>
      <c r="R659" s="10" t="e">
        <f t="shared" si="146"/>
        <v>#N/A</v>
      </c>
      <c r="S659" s="7">
        <f t="shared" si="153"/>
        <v>1279.5</v>
      </c>
      <c r="T659" s="7">
        <f t="shared" si="140"/>
        <v>0</v>
      </c>
    </row>
    <row r="660" spans="1:20" x14ac:dyDescent="0.25">
      <c r="A660" s="1">
        <v>42200</v>
      </c>
      <c r="B660">
        <v>1270.1500000000001</v>
      </c>
      <c r="C660">
        <v>1271.55</v>
      </c>
      <c r="D660">
        <v>1252.0999999999999</v>
      </c>
      <c r="E660">
        <v>1263.55</v>
      </c>
      <c r="F660">
        <v>894146</v>
      </c>
      <c r="G660" s="4">
        <f t="shared" si="141"/>
        <v>0</v>
      </c>
      <c r="H660" s="4">
        <f t="shared" si="142"/>
        <v>4.8500000000001364</v>
      </c>
      <c r="I660" s="6">
        <f t="shared" si="147"/>
        <v>8.9678571428571399</v>
      </c>
      <c r="J660" s="6">
        <f t="shared" si="148"/>
        <v>4.3178571428571457</v>
      </c>
      <c r="K660" s="4">
        <f t="shared" si="149"/>
        <v>2.0769230769230749</v>
      </c>
      <c r="L660">
        <f t="shared" si="150"/>
        <v>67.499999999999972</v>
      </c>
      <c r="M660" s="14" t="str">
        <f t="shared" si="143"/>
        <v/>
      </c>
      <c r="N660" s="7">
        <f t="shared" si="144"/>
        <v>0</v>
      </c>
      <c r="O660" s="7">
        <f t="shared" si="151"/>
        <v>0</v>
      </c>
      <c r="P660" s="7">
        <f t="shared" si="152"/>
        <v>-1</v>
      </c>
      <c r="Q660" s="10" t="e">
        <f t="shared" si="145"/>
        <v>#N/A</v>
      </c>
      <c r="R660" s="10" t="e">
        <f t="shared" si="146"/>
        <v>#N/A</v>
      </c>
      <c r="S660" s="7">
        <f t="shared" si="153"/>
        <v>1279.5</v>
      </c>
      <c r="T660" s="7">
        <f t="shared" si="140"/>
        <v>0</v>
      </c>
    </row>
    <row r="661" spans="1:20" x14ac:dyDescent="0.25">
      <c r="A661" s="1">
        <v>42201</v>
      </c>
      <c r="B661">
        <v>1265.05</v>
      </c>
      <c r="C661">
        <v>1284.5</v>
      </c>
      <c r="D661">
        <v>1264</v>
      </c>
      <c r="E661">
        <v>1278.5999999999999</v>
      </c>
      <c r="F661">
        <v>643788</v>
      </c>
      <c r="G661" s="4">
        <f t="shared" si="141"/>
        <v>15.049999999999955</v>
      </c>
      <c r="H661" s="4">
        <f t="shared" si="142"/>
        <v>0</v>
      </c>
      <c r="I661" s="6">
        <f t="shared" si="147"/>
        <v>8.125</v>
      </c>
      <c r="J661" s="6">
        <f t="shared" si="148"/>
        <v>4.3178571428571457</v>
      </c>
      <c r="K661" s="4">
        <f t="shared" si="149"/>
        <v>1.8817204301075257</v>
      </c>
      <c r="L661">
        <f t="shared" si="150"/>
        <v>65.298507462686558</v>
      </c>
      <c r="M661" s="14" t="str">
        <f t="shared" si="143"/>
        <v/>
      </c>
      <c r="N661" s="7">
        <f t="shared" si="144"/>
        <v>0</v>
      </c>
      <c r="O661" s="7">
        <f t="shared" si="151"/>
        <v>0</v>
      </c>
      <c r="P661" s="7">
        <f t="shared" si="152"/>
        <v>-1</v>
      </c>
      <c r="Q661" s="10" t="e">
        <f t="shared" si="145"/>
        <v>#N/A</v>
      </c>
      <c r="R661" s="10" t="e">
        <f t="shared" si="146"/>
        <v>#N/A</v>
      </c>
      <c r="S661" s="7">
        <f t="shared" si="153"/>
        <v>1279.5</v>
      </c>
      <c r="T661" s="7">
        <f t="shared" si="140"/>
        <v>0</v>
      </c>
    </row>
    <row r="662" spans="1:20" x14ac:dyDescent="0.25">
      <c r="A662" s="1">
        <v>42202</v>
      </c>
      <c r="B662">
        <v>1279.9000000000001</v>
      </c>
      <c r="C662">
        <v>1305</v>
      </c>
      <c r="D662">
        <v>1277.0999999999999</v>
      </c>
      <c r="E662">
        <v>1298.6500000000001</v>
      </c>
      <c r="F662">
        <v>1025788</v>
      </c>
      <c r="G662" s="4">
        <f t="shared" si="141"/>
        <v>20.050000000000182</v>
      </c>
      <c r="H662" s="4">
        <f t="shared" si="142"/>
        <v>0</v>
      </c>
      <c r="I662" s="6">
        <f t="shared" si="147"/>
        <v>9.1500000000000092</v>
      </c>
      <c r="J662" s="6">
        <f t="shared" si="148"/>
        <v>4.3178571428571457</v>
      </c>
      <c r="K662" s="4">
        <f t="shared" si="149"/>
        <v>2.1191066997518617</v>
      </c>
      <c r="L662">
        <f t="shared" si="150"/>
        <v>67.939538583930002</v>
      </c>
      <c r="M662" s="14" t="str">
        <f t="shared" si="143"/>
        <v/>
      </c>
      <c r="N662" s="7">
        <f t="shared" si="144"/>
        <v>0</v>
      </c>
      <c r="O662" s="7">
        <f t="shared" si="151"/>
        <v>0</v>
      </c>
      <c r="P662" s="7">
        <f t="shared" si="152"/>
        <v>-1</v>
      </c>
      <c r="Q662" s="10" t="e">
        <f t="shared" si="145"/>
        <v>#N/A</v>
      </c>
      <c r="R662" s="10" t="e">
        <f t="shared" si="146"/>
        <v>#N/A</v>
      </c>
      <c r="S662" s="7">
        <f t="shared" si="153"/>
        <v>1279.5</v>
      </c>
      <c r="T662" s="7">
        <f t="shared" si="140"/>
        <v>0</v>
      </c>
    </row>
    <row r="663" spans="1:20" x14ac:dyDescent="0.25">
      <c r="A663" s="1">
        <v>42205</v>
      </c>
      <c r="B663">
        <v>1295.9000000000001</v>
      </c>
      <c r="C663">
        <v>1309</v>
      </c>
      <c r="D663">
        <v>1288.0999999999999</v>
      </c>
      <c r="E663">
        <v>1291.6500000000001</v>
      </c>
      <c r="F663">
        <v>567048</v>
      </c>
      <c r="G663" s="4">
        <f t="shared" si="141"/>
        <v>0</v>
      </c>
      <c r="H663" s="4">
        <f t="shared" si="142"/>
        <v>7</v>
      </c>
      <c r="I663" s="6">
        <f t="shared" si="147"/>
        <v>8.2464285714285754</v>
      </c>
      <c r="J663" s="6">
        <f t="shared" si="148"/>
        <v>4.8178571428571457</v>
      </c>
      <c r="K663" s="4">
        <f t="shared" si="149"/>
        <v>1.7116382505559673</v>
      </c>
      <c r="L663">
        <f t="shared" si="150"/>
        <v>63.121924548933841</v>
      </c>
      <c r="M663" s="14" t="str">
        <f t="shared" si="143"/>
        <v/>
      </c>
      <c r="N663" s="7">
        <f t="shared" si="144"/>
        <v>0</v>
      </c>
      <c r="O663" s="7">
        <f t="shared" si="151"/>
        <v>0</v>
      </c>
      <c r="P663" s="7">
        <f t="shared" si="152"/>
        <v>-1</v>
      </c>
      <c r="Q663" s="10" t="e">
        <f t="shared" si="145"/>
        <v>#N/A</v>
      </c>
      <c r="R663" s="10" t="e">
        <f t="shared" si="146"/>
        <v>#N/A</v>
      </c>
      <c r="S663" s="7">
        <f t="shared" si="153"/>
        <v>1279.5</v>
      </c>
      <c r="T663" s="7">
        <f t="shared" si="140"/>
        <v>0</v>
      </c>
    </row>
    <row r="664" spans="1:20" x14ac:dyDescent="0.25">
      <c r="A664" s="1">
        <v>42206</v>
      </c>
      <c r="B664">
        <v>1291.75</v>
      </c>
      <c r="C664">
        <v>1326</v>
      </c>
      <c r="D664">
        <v>1291.75</v>
      </c>
      <c r="E664">
        <v>1323.45</v>
      </c>
      <c r="F664">
        <v>1168657</v>
      </c>
      <c r="G664" s="4">
        <f t="shared" si="141"/>
        <v>31.799999999999955</v>
      </c>
      <c r="H664" s="4">
        <f t="shared" si="142"/>
        <v>0</v>
      </c>
      <c r="I664" s="6">
        <f t="shared" si="147"/>
        <v>10.517857142857142</v>
      </c>
      <c r="J664" s="6">
        <f t="shared" si="148"/>
        <v>3.460714285714289</v>
      </c>
      <c r="K664" s="4">
        <f t="shared" si="149"/>
        <v>3.039215686274507</v>
      </c>
      <c r="L664">
        <f t="shared" si="150"/>
        <v>75.242718446601927</v>
      </c>
      <c r="M664" s="14" t="str">
        <f t="shared" si="143"/>
        <v>OVERBOUGHT</v>
      </c>
      <c r="N664" s="7" t="str">
        <f t="shared" si="144"/>
        <v>SELL</v>
      </c>
      <c r="O664" s="7">
        <f t="shared" si="151"/>
        <v>0</v>
      </c>
      <c r="P664" s="7">
        <f t="shared" si="152"/>
        <v>-1</v>
      </c>
      <c r="Q664" s="10" t="e">
        <f t="shared" si="145"/>
        <v>#N/A</v>
      </c>
      <c r="R664" s="10" t="e">
        <f t="shared" si="146"/>
        <v>#N/A</v>
      </c>
      <c r="S664" s="7">
        <f t="shared" si="153"/>
        <v>1279.5</v>
      </c>
      <c r="T664" s="7">
        <f t="shared" si="140"/>
        <v>0</v>
      </c>
    </row>
    <row r="665" spans="1:20" x14ac:dyDescent="0.25">
      <c r="A665" s="1">
        <v>42207</v>
      </c>
      <c r="B665">
        <v>1320</v>
      </c>
      <c r="C665">
        <v>1328.4</v>
      </c>
      <c r="D665">
        <v>1313</v>
      </c>
      <c r="E665">
        <v>1322.85</v>
      </c>
      <c r="F665">
        <v>789469</v>
      </c>
      <c r="G665" s="4">
        <f t="shared" si="141"/>
        <v>0</v>
      </c>
      <c r="H665" s="4">
        <f t="shared" si="142"/>
        <v>0.60000000000013642</v>
      </c>
      <c r="I665" s="6">
        <f t="shared" si="147"/>
        <v>9.9357142857142957</v>
      </c>
      <c r="J665" s="6">
        <f t="shared" si="148"/>
        <v>3.5035714285714414</v>
      </c>
      <c r="K665" s="4">
        <f t="shared" si="149"/>
        <v>2.8358817533129383</v>
      </c>
      <c r="L665">
        <f t="shared" si="150"/>
        <v>73.930374701036357</v>
      </c>
      <c r="M665" s="14" t="str">
        <f t="shared" si="143"/>
        <v>OVERBOUGHT</v>
      </c>
      <c r="N665" s="7" t="str">
        <f t="shared" si="144"/>
        <v>SELL</v>
      </c>
      <c r="O665" s="7">
        <f t="shared" si="151"/>
        <v>0</v>
      </c>
      <c r="P665" s="7">
        <f t="shared" si="152"/>
        <v>-1</v>
      </c>
      <c r="Q665" s="10" t="e">
        <f t="shared" si="145"/>
        <v>#N/A</v>
      </c>
      <c r="R665" s="10" t="e">
        <f t="shared" si="146"/>
        <v>#N/A</v>
      </c>
      <c r="S665" s="7">
        <f t="shared" si="153"/>
        <v>1279.5</v>
      </c>
      <c r="T665" s="7">
        <f t="shared" si="140"/>
        <v>0</v>
      </c>
    </row>
    <row r="666" spans="1:20" x14ac:dyDescent="0.25">
      <c r="A666" s="1">
        <v>42208</v>
      </c>
      <c r="B666">
        <v>1316.2</v>
      </c>
      <c r="C666">
        <v>1330.9</v>
      </c>
      <c r="D666">
        <v>1315</v>
      </c>
      <c r="E666">
        <v>1320.45</v>
      </c>
      <c r="F666">
        <v>483600</v>
      </c>
      <c r="G666" s="4">
        <f t="shared" si="141"/>
        <v>0</v>
      </c>
      <c r="H666" s="4">
        <f t="shared" si="142"/>
        <v>2.3999999999998636</v>
      </c>
      <c r="I666" s="6">
        <f t="shared" si="147"/>
        <v>9.6428571428571423</v>
      </c>
      <c r="J666" s="6">
        <f t="shared" si="148"/>
        <v>3.6750000000000034</v>
      </c>
      <c r="K666" s="4">
        <f t="shared" si="149"/>
        <v>2.6239067055393561</v>
      </c>
      <c r="L666">
        <f t="shared" si="150"/>
        <v>72.405470635559112</v>
      </c>
      <c r="M666" s="14" t="str">
        <f t="shared" si="143"/>
        <v>OVERBOUGHT</v>
      </c>
      <c r="N666" s="7" t="str">
        <f t="shared" si="144"/>
        <v>SELL</v>
      </c>
      <c r="O666" s="7">
        <f t="shared" si="151"/>
        <v>0</v>
      </c>
      <c r="P666" s="7">
        <f t="shared" si="152"/>
        <v>-1</v>
      </c>
      <c r="Q666" s="10" t="e">
        <f t="shared" si="145"/>
        <v>#N/A</v>
      </c>
      <c r="R666" s="10" t="e">
        <f t="shared" si="146"/>
        <v>#N/A</v>
      </c>
      <c r="S666" s="7">
        <f t="shared" si="153"/>
        <v>1279.5</v>
      </c>
      <c r="T666" s="7">
        <f t="shared" ref="T666:T729" si="154">IF(O666="BUY",(S665-S666)/S665,IF(O666="SELL",(S666-S665)/S665,0))</f>
        <v>0</v>
      </c>
    </row>
    <row r="667" spans="1:20" x14ac:dyDescent="0.25">
      <c r="A667" s="1">
        <v>42209</v>
      </c>
      <c r="B667">
        <v>1326.95</v>
      </c>
      <c r="C667">
        <v>1354.65</v>
      </c>
      <c r="D667">
        <v>1315</v>
      </c>
      <c r="E667">
        <v>1350.9</v>
      </c>
      <c r="F667">
        <v>1133102</v>
      </c>
      <c r="G667" s="4">
        <f t="shared" si="141"/>
        <v>30.450000000000045</v>
      </c>
      <c r="H667" s="4">
        <f t="shared" si="142"/>
        <v>0</v>
      </c>
      <c r="I667" s="6">
        <f t="shared" si="147"/>
        <v>11.817857142857147</v>
      </c>
      <c r="J667" s="6">
        <f t="shared" si="148"/>
        <v>3.1035714285714318</v>
      </c>
      <c r="K667" s="4">
        <f t="shared" si="149"/>
        <v>3.8078250863060963</v>
      </c>
      <c r="L667">
        <f t="shared" si="150"/>
        <v>79.200574437529909</v>
      </c>
      <c r="M667" s="14" t="str">
        <f t="shared" si="143"/>
        <v>OVERBOUGHT</v>
      </c>
      <c r="N667" s="7" t="str">
        <f t="shared" si="144"/>
        <v>SELL</v>
      </c>
      <c r="O667" s="7">
        <f t="shared" si="151"/>
        <v>0</v>
      </c>
      <c r="P667" s="7">
        <f t="shared" si="152"/>
        <v>-1</v>
      </c>
      <c r="Q667" s="10" t="e">
        <f t="shared" si="145"/>
        <v>#N/A</v>
      </c>
      <c r="R667" s="10" t="e">
        <f t="shared" si="146"/>
        <v>#N/A</v>
      </c>
      <c r="S667" s="7">
        <f t="shared" si="153"/>
        <v>1279.5</v>
      </c>
      <c r="T667" s="7">
        <f t="shared" si="154"/>
        <v>0</v>
      </c>
    </row>
    <row r="668" spans="1:20" x14ac:dyDescent="0.25">
      <c r="A668" s="1">
        <v>42212</v>
      </c>
      <c r="B668">
        <v>1350</v>
      </c>
      <c r="C668">
        <v>1358</v>
      </c>
      <c r="D668">
        <v>1335</v>
      </c>
      <c r="E668">
        <v>1343.3</v>
      </c>
      <c r="F668">
        <v>1069645</v>
      </c>
      <c r="G668" s="4">
        <f t="shared" si="141"/>
        <v>0</v>
      </c>
      <c r="H668" s="4">
        <f t="shared" si="142"/>
        <v>7.6000000000001364</v>
      </c>
      <c r="I668" s="6">
        <f t="shared" si="147"/>
        <v>9.3071428571428694</v>
      </c>
      <c r="J668" s="6">
        <f t="shared" si="148"/>
        <v>3.6464285714285842</v>
      </c>
      <c r="K668" s="4">
        <f t="shared" si="149"/>
        <v>2.5523996082272227</v>
      </c>
      <c r="L668">
        <f t="shared" si="150"/>
        <v>71.850013785497609</v>
      </c>
      <c r="M668" s="14" t="str">
        <f t="shared" si="143"/>
        <v>OVERBOUGHT</v>
      </c>
      <c r="N668" s="7" t="str">
        <f t="shared" si="144"/>
        <v>SELL</v>
      </c>
      <c r="O668" s="7">
        <f t="shared" si="151"/>
        <v>0</v>
      </c>
      <c r="P668" s="7">
        <f t="shared" si="152"/>
        <v>-1</v>
      </c>
      <c r="Q668" s="10" t="e">
        <f t="shared" si="145"/>
        <v>#N/A</v>
      </c>
      <c r="R668" s="10" t="e">
        <f t="shared" si="146"/>
        <v>#N/A</v>
      </c>
      <c r="S668" s="7">
        <f t="shared" si="153"/>
        <v>1279.5</v>
      </c>
      <c r="T668" s="7">
        <f t="shared" si="154"/>
        <v>0</v>
      </c>
    </row>
    <row r="669" spans="1:20" x14ac:dyDescent="0.25">
      <c r="A669" s="1">
        <v>42213</v>
      </c>
      <c r="B669">
        <v>1339.9</v>
      </c>
      <c r="C669">
        <v>1388.8</v>
      </c>
      <c r="D669">
        <v>1323.4</v>
      </c>
      <c r="E669">
        <v>1367.15</v>
      </c>
      <c r="F669">
        <v>1666716</v>
      </c>
      <c r="G669" s="4">
        <f t="shared" si="141"/>
        <v>23.850000000000136</v>
      </c>
      <c r="H669" s="4">
        <f t="shared" si="142"/>
        <v>0</v>
      </c>
      <c r="I669" s="6">
        <f t="shared" si="147"/>
        <v>11.010714285714309</v>
      </c>
      <c r="J669" s="6">
        <f t="shared" si="148"/>
        <v>2.5857142857143054</v>
      </c>
      <c r="K669" s="4">
        <f t="shared" si="149"/>
        <v>4.2582872928176565</v>
      </c>
      <c r="L669">
        <f t="shared" si="150"/>
        <v>80.982400840556778</v>
      </c>
      <c r="M669" s="14" t="str">
        <f t="shared" si="143"/>
        <v>OVERBOUGHT</v>
      </c>
      <c r="N669" s="7" t="str">
        <f t="shared" si="144"/>
        <v>SELL</v>
      </c>
      <c r="O669" s="7">
        <f t="shared" si="151"/>
        <v>0</v>
      </c>
      <c r="P669" s="7">
        <f t="shared" si="152"/>
        <v>-1</v>
      </c>
      <c r="Q669" s="10" t="e">
        <f t="shared" si="145"/>
        <v>#N/A</v>
      </c>
      <c r="R669" s="10" t="e">
        <f t="shared" si="146"/>
        <v>#N/A</v>
      </c>
      <c r="S669" s="7">
        <f t="shared" si="153"/>
        <v>1279.5</v>
      </c>
      <c r="T669" s="7">
        <f t="shared" si="154"/>
        <v>0</v>
      </c>
    </row>
    <row r="670" spans="1:20" x14ac:dyDescent="0.25">
      <c r="A670" s="1">
        <v>42214</v>
      </c>
      <c r="B670">
        <v>1357</v>
      </c>
      <c r="C670">
        <v>1359</v>
      </c>
      <c r="D670">
        <v>1334.65</v>
      </c>
      <c r="E670">
        <v>1343.75</v>
      </c>
      <c r="F670">
        <v>886924</v>
      </c>
      <c r="G670" s="4">
        <f t="shared" si="141"/>
        <v>0</v>
      </c>
      <c r="H670" s="4">
        <f t="shared" si="142"/>
        <v>23.400000000000091</v>
      </c>
      <c r="I670" s="6">
        <f t="shared" si="147"/>
        <v>10.371428571428591</v>
      </c>
      <c r="J670" s="6">
        <f t="shared" si="148"/>
        <v>4.2571428571428829</v>
      </c>
      <c r="K670" s="4">
        <f t="shared" si="149"/>
        <v>2.4362416107382452</v>
      </c>
      <c r="L670">
        <f t="shared" si="150"/>
        <v>70.898437499999915</v>
      </c>
      <c r="M670" s="14" t="str">
        <f t="shared" si="143"/>
        <v>OVERBOUGHT</v>
      </c>
      <c r="N670" s="7" t="str">
        <f t="shared" si="144"/>
        <v>SELL</v>
      </c>
      <c r="O670" s="7">
        <f t="shared" si="151"/>
        <v>0</v>
      </c>
      <c r="P670" s="7">
        <f t="shared" si="152"/>
        <v>-1</v>
      </c>
      <c r="Q670" s="10" t="e">
        <f t="shared" si="145"/>
        <v>#N/A</v>
      </c>
      <c r="R670" s="10" t="e">
        <f t="shared" si="146"/>
        <v>#N/A</v>
      </c>
      <c r="S670" s="7">
        <f t="shared" si="153"/>
        <v>1279.5</v>
      </c>
      <c r="T670" s="7">
        <f t="shared" si="154"/>
        <v>0</v>
      </c>
    </row>
    <row r="671" spans="1:20" x14ac:dyDescent="0.25">
      <c r="A671" s="1">
        <v>42215</v>
      </c>
      <c r="B671">
        <v>1350</v>
      </c>
      <c r="C671">
        <v>1354.9</v>
      </c>
      <c r="D671">
        <v>1333</v>
      </c>
      <c r="E671">
        <v>1337.85</v>
      </c>
      <c r="F671">
        <v>611913</v>
      </c>
      <c r="G671" s="4">
        <f t="shared" si="141"/>
        <v>0</v>
      </c>
      <c r="H671" s="4">
        <f t="shared" si="142"/>
        <v>5.9000000000000909</v>
      </c>
      <c r="I671" s="6">
        <f t="shared" si="147"/>
        <v>8.8071428571428871</v>
      </c>
      <c r="J671" s="6">
        <f t="shared" si="148"/>
        <v>4.6785714285714608</v>
      </c>
      <c r="K671" s="4">
        <f t="shared" si="149"/>
        <v>1.8824427480915964</v>
      </c>
      <c r="L671">
        <f t="shared" si="150"/>
        <v>65.30720338983042</v>
      </c>
      <c r="M671" s="14" t="str">
        <f t="shared" si="143"/>
        <v/>
      </c>
      <c r="N671" s="7">
        <f t="shared" si="144"/>
        <v>0</v>
      </c>
      <c r="O671" s="7">
        <f t="shared" si="151"/>
        <v>0</v>
      </c>
      <c r="P671" s="7">
        <f t="shared" si="152"/>
        <v>-1</v>
      </c>
      <c r="Q671" s="10" t="e">
        <f t="shared" si="145"/>
        <v>#N/A</v>
      </c>
      <c r="R671" s="10" t="e">
        <f t="shared" si="146"/>
        <v>#N/A</v>
      </c>
      <c r="S671" s="7">
        <f t="shared" si="153"/>
        <v>1279.5</v>
      </c>
      <c r="T671" s="7">
        <f t="shared" si="154"/>
        <v>0</v>
      </c>
    </row>
    <row r="672" spans="1:20" x14ac:dyDescent="0.25">
      <c r="A672" s="1">
        <v>42216</v>
      </c>
      <c r="B672">
        <v>1332.9</v>
      </c>
      <c r="C672">
        <v>1347</v>
      </c>
      <c r="D672">
        <v>1322.05</v>
      </c>
      <c r="E672">
        <v>1340.85</v>
      </c>
      <c r="F672">
        <v>754009</v>
      </c>
      <c r="G672" s="4">
        <f t="shared" si="141"/>
        <v>3</v>
      </c>
      <c r="H672" s="4">
        <f t="shared" si="142"/>
        <v>0</v>
      </c>
      <c r="I672" s="6">
        <f t="shared" si="147"/>
        <v>9.0214285714286007</v>
      </c>
      <c r="J672" s="6">
        <f t="shared" si="148"/>
        <v>3.696428571428604</v>
      </c>
      <c r="K672" s="4">
        <f t="shared" si="149"/>
        <v>2.440579710144914</v>
      </c>
      <c r="L672">
        <f t="shared" si="150"/>
        <v>70.935130581297273</v>
      </c>
      <c r="M672" s="14" t="str">
        <f t="shared" si="143"/>
        <v>OVERBOUGHT</v>
      </c>
      <c r="N672" s="7" t="str">
        <f t="shared" si="144"/>
        <v>SELL</v>
      </c>
      <c r="O672" s="7">
        <f t="shared" si="151"/>
        <v>0</v>
      </c>
      <c r="P672" s="7">
        <f t="shared" si="152"/>
        <v>-1</v>
      </c>
      <c r="Q672" s="10" t="e">
        <f t="shared" si="145"/>
        <v>#N/A</v>
      </c>
      <c r="R672" s="10" t="e">
        <f t="shared" si="146"/>
        <v>#N/A</v>
      </c>
      <c r="S672" s="7">
        <f t="shared" si="153"/>
        <v>1279.5</v>
      </c>
      <c r="T672" s="7">
        <f t="shared" si="154"/>
        <v>0</v>
      </c>
    </row>
    <row r="673" spans="1:20" x14ac:dyDescent="0.25">
      <c r="A673" s="1">
        <v>42219</v>
      </c>
      <c r="B673">
        <v>1339.5</v>
      </c>
      <c r="C673">
        <v>1371</v>
      </c>
      <c r="D673">
        <v>1332</v>
      </c>
      <c r="E673">
        <v>1364.5</v>
      </c>
      <c r="F673">
        <v>1014480</v>
      </c>
      <c r="G673" s="4">
        <f t="shared" si="141"/>
        <v>23.650000000000091</v>
      </c>
      <c r="H673" s="4">
        <f t="shared" si="142"/>
        <v>0</v>
      </c>
      <c r="I673" s="6">
        <f t="shared" si="147"/>
        <v>10.560714285714312</v>
      </c>
      <c r="J673" s="6">
        <f t="shared" si="148"/>
        <v>3.696428571428604</v>
      </c>
      <c r="K673" s="4">
        <f t="shared" si="149"/>
        <v>2.8570048309178562</v>
      </c>
      <c r="L673">
        <f t="shared" si="150"/>
        <v>74.073146292585051</v>
      </c>
      <c r="M673" s="14" t="str">
        <f t="shared" si="143"/>
        <v>OVERBOUGHT</v>
      </c>
      <c r="N673" s="7" t="str">
        <f t="shared" si="144"/>
        <v>SELL</v>
      </c>
      <c r="O673" s="7">
        <f t="shared" si="151"/>
        <v>0</v>
      </c>
      <c r="P673" s="7">
        <f t="shared" si="152"/>
        <v>-1</v>
      </c>
      <c r="Q673" s="10" t="e">
        <f t="shared" si="145"/>
        <v>#N/A</v>
      </c>
      <c r="R673" s="10" t="e">
        <f t="shared" si="146"/>
        <v>#N/A</v>
      </c>
      <c r="S673" s="7">
        <f t="shared" si="153"/>
        <v>1279.5</v>
      </c>
      <c r="T673" s="7">
        <f t="shared" si="154"/>
        <v>0</v>
      </c>
    </row>
    <row r="674" spans="1:20" x14ac:dyDescent="0.25">
      <c r="A674" s="1">
        <v>42220</v>
      </c>
      <c r="B674">
        <v>1364.1</v>
      </c>
      <c r="C674">
        <v>1379.9</v>
      </c>
      <c r="D674">
        <v>1353.65</v>
      </c>
      <c r="E674">
        <v>1375.6</v>
      </c>
      <c r="F674">
        <v>1145842</v>
      </c>
      <c r="G674" s="4">
        <f t="shared" si="141"/>
        <v>11.099999999999909</v>
      </c>
      <c r="H674" s="4">
        <f t="shared" si="142"/>
        <v>0</v>
      </c>
      <c r="I674" s="6">
        <f t="shared" si="147"/>
        <v>11.353571428571447</v>
      </c>
      <c r="J674" s="6">
        <f t="shared" si="148"/>
        <v>3.3500000000000227</v>
      </c>
      <c r="K674" s="4">
        <f t="shared" si="149"/>
        <v>3.3891257995735433</v>
      </c>
      <c r="L674">
        <f t="shared" si="150"/>
        <v>77.21641972309925</v>
      </c>
      <c r="M674" s="14" t="str">
        <f t="shared" si="143"/>
        <v>OVERBOUGHT</v>
      </c>
      <c r="N674" s="7" t="str">
        <f t="shared" si="144"/>
        <v>SELL</v>
      </c>
      <c r="O674" s="7">
        <f t="shared" si="151"/>
        <v>0</v>
      </c>
      <c r="P674" s="7">
        <f t="shared" si="152"/>
        <v>-1</v>
      </c>
      <c r="Q674" s="10" t="e">
        <f t="shared" si="145"/>
        <v>#N/A</v>
      </c>
      <c r="R674" s="10" t="e">
        <f t="shared" si="146"/>
        <v>#N/A</v>
      </c>
      <c r="S674" s="7">
        <f t="shared" si="153"/>
        <v>1279.5</v>
      </c>
      <c r="T674" s="7">
        <f t="shared" si="154"/>
        <v>0</v>
      </c>
    </row>
    <row r="675" spans="1:20" x14ac:dyDescent="0.25">
      <c r="A675" s="1">
        <v>42221</v>
      </c>
      <c r="B675">
        <v>1390</v>
      </c>
      <c r="C675">
        <v>1396.8</v>
      </c>
      <c r="D675">
        <v>1378.9</v>
      </c>
      <c r="E675">
        <v>1386.7</v>
      </c>
      <c r="F675">
        <v>1318328</v>
      </c>
      <c r="G675" s="4">
        <f t="shared" si="141"/>
        <v>11.100000000000136</v>
      </c>
      <c r="H675" s="4">
        <f t="shared" si="142"/>
        <v>0</v>
      </c>
      <c r="I675" s="6">
        <f t="shared" si="147"/>
        <v>11.071428571428603</v>
      </c>
      <c r="J675" s="6">
        <f t="shared" si="148"/>
        <v>3.3500000000000227</v>
      </c>
      <c r="K675" s="4">
        <f t="shared" si="149"/>
        <v>3.304904051172695</v>
      </c>
      <c r="L675">
        <f t="shared" si="150"/>
        <v>76.770678553739401</v>
      </c>
      <c r="M675" s="14" t="str">
        <f t="shared" si="143"/>
        <v>OVERBOUGHT</v>
      </c>
      <c r="N675" s="7" t="str">
        <f t="shared" si="144"/>
        <v>SELL</v>
      </c>
      <c r="O675" s="7">
        <f t="shared" si="151"/>
        <v>0</v>
      </c>
      <c r="P675" s="7">
        <f t="shared" si="152"/>
        <v>-1</v>
      </c>
      <c r="Q675" s="10" t="e">
        <f t="shared" si="145"/>
        <v>#N/A</v>
      </c>
      <c r="R675" s="10" t="e">
        <f t="shared" si="146"/>
        <v>#N/A</v>
      </c>
      <c r="S675" s="7">
        <f t="shared" si="153"/>
        <v>1279.5</v>
      </c>
      <c r="T675" s="7">
        <f t="shared" si="154"/>
        <v>0</v>
      </c>
    </row>
    <row r="676" spans="1:20" x14ac:dyDescent="0.25">
      <c r="A676" s="1">
        <v>42222</v>
      </c>
      <c r="B676">
        <v>1380.45</v>
      </c>
      <c r="C676">
        <v>1389.4</v>
      </c>
      <c r="D676">
        <v>1380.45</v>
      </c>
      <c r="E676">
        <v>1386.5</v>
      </c>
      <c r="F676">
        <v>42619</v>
      </c>
      <c r="G676" s="4">
        <f t="shared" si="141"/>
        <v>0</v>
      </c>
      <c r="H676" s="4">
        <f t="shared" si="142"/>
        <v>0.20000000000004547</v>
      </c>
      <c r="I676" s="6">
        <f t="shared" si="147"/>
        <v>9.6392857142857338</v>
      </c>
      <c r="J676" s="6">
        <f t="shared" si="148"/>
        <v>3.3642857142857401</v>
      </c>
      <c r="K676" s="4">
        <f t="shared" si="149"/>
        <v>2.865180467091279</v>
      </c>
      <c r="L676">
        <f t="shared" si="150"/>
        <v>74.127986816808459</v>
      </c>
      <c r="M676" s="14" t="str">
        <f t="shared" si="143"/>
        <v>OVERBOUGHT</v>
      </c>
      <c r="N676" s="7" t="str">
        <f t="shared" si="144"/>
        <v>SELL</v>
      </c>
      <c r="O676" s="7">
        <f t="shared" si="151"/>
        <v>0</v>
      </c>
      <c r="P676" s="7">
        <f t="shared" si="152"/>
        <v>-1</v>
      </c>
      <c r="Q676" s="10" t="e">
        <f t="shared" si="145"/>
        <v>#N/A</v>
      </c>
      <c r="R676" s="10" t="e">
        <f t="shared" si="146"/>
        <v>#N/A</v>
      </c>
      <c r="S676" s="7">
        <f t="shared" si="153"/>
        <v>1279.5</v>
      </c>
      <c r="T676" s="7">
        <f t="shared" si="154"/>
        <v>0</v>
      </c>
    </row>
    <row r="677" spans="1:20" x14ac:dyDescent="0.25">
      <c r="A677" s="1">
        <v>42223</v>
      </c>
      <c r="B677">
        <v>1383.2</v>
      </c>
      <c r="C677">
        <v>1383.9</v>
      </c>
      <c r="D677">
        <v>1365.95</v>
      </c>
      <c r="E677">
        <v>1371.45</v>
      </c>
      <c r="F677">
        <v>738012</v>
      </c>
      <c r="G677" s="4">
        <f t="shared" si="141"/>
        <v>0</v>
      </c>
      <c r="H677" s="4">
        <f t="shared" si="142"/>
        <v>15.049999999999955</v>
      </c>
      <c r="I677" s="6">
        <f t="shared" si="147"/>
        <v>9.6392857142857338</v>
      </c>
      <c r="J677" s="6">
        <f t="shared" si="148"/>
        <v>3.9392857142857371</v>
      </c>
      <c r="K677" s="4">
        <f t="shared" si="149"/>
        <v>2.4469628286491294</v>
      </c>
      <c r="L677">
        <f t="shared" si="150"/>
        <v>70.988953182535425</v>
      </c>
      <c r="M677" s="14" t="str">
        <f t="shared" si="143"/>
        <v>OVERBOUGHT</v>
      </c>
      <c r="N677" s="7" t="str">
        <f t="shared" si="144"/>
        <v>SELL</v>
      </c>
      <c r="O677" s="7">
        <f t="shared" si="151"/>
        <v>0</v>
      </c>
      <c r="P677" s="7">
        <f t="shared" si="152"/>
        <v>-1</v>
      </c>
      <c r="Q677" s="10" t="e">
        <f t="shared" si="145"/>
        <v>#N/A</v>
      </c>
      <c r="R677" s="10" t="e">
        <f t="shared" si="146"/>
        <v>#N/A</v>
      </c>
      <c r="S677" s="7">
        <f t="shared" si="153"/>
        <v>1279.5</v>
      </c>
      <c r="T677" s="7">
        <f t="shared" si="154"/>
        <v>0</v>
      </c>
    </row>
    <row r="678" spans="1:20" x14ac:dyDescent="0.25">
      <c r="A678" s="1">
        <v>42226</v>
      </c>
      <c r="B678">
        <v>1369</v>
      </c>
      <c r="C678">
        <v>1395.6</v>
      </c>
      <c r="D678">
        <v>1364.05</v>
      </c>
      <c r="E678">
        <v>1392.65</v>
      </c>
      <c r="F678">
        <v>637090</v>
      </c>
      <c r="G678" s="4">
        <f t="shared" si="141"/>
        <v>21.200000000000045</v>
      </c>
      <c r="H678" s="4">
        <f t="shared" si="142"/>
        <v>0</v>
      </c>
      <c r="I678" s="6">
        <f t="shared" si="147"/>
        <v>8.8821428571428829</v>
      </c>
      <c r="J678" s="6">
        <f t="shared" si="148"/>
        <v>3.9392857142857371</v>
      </c>
      <c r="K678" s="4">
        <f t="shared" si="149"/>
        <v>2.2547597461468656</v>
      </c>
      <c r="L678">
        <f t="shared" si="150"/>
        <v>69.275766016713021</v>
      </c>
      <c r="M678" s="14" t="str">
        <f t="shared" si="143"/>
        <v/>
      </c>
      <c r="N678" s="7">
        <f t="shared" si="144"/>
        <v>0</v>
      </c>
      <c r="O678" s="7">
        <f t="shared" si="151"/>
        <v>0</v>
      </c>
      <c r="P678" s="7">
        <f t="shared" si="152"/>
        <v>-1</v>
      </c>
      <c r="Q678" s="10" t="e">
        <f t="shared" si="145"/>
        <v>#N/A</v>
      </c>
      <c r="R678" s="10" t="e">
        <f t="shared" si="146"/>
        <v>#N/A</v>
      </c>
      <c r="S678" s="7">
        <f t="shared" si="153"/>
        <v>1279.5</v>
      </c>
      <c r="T678" s="7">
        <f t="shared" si="154"/>
        <v>0</v>
      </c>
    </row>
    <row r="679" spans="1:20" x14ac:dyDescent="0.25">
      <c r="A679" s="1">
        <v>42227</v>
      </c>
      <c r="B679">
        <v>1396.95</v>
      </c>
      <c r="C679">
        <v>1421</v>
      </c>
      <c r="D679">
        <v>1389.9</v>
      </c>
      <c r="E679">
        <v>1414.9</v>
      </c>
      <c r="F679">
        <v>1057233</v>
      </c>
      <c r="G679" s="4">
        <f t="shared" si="141"/>
        <v>22.25</v>
      </c>
      <c r="H679" s="4">
        <f t="shared" si="142"/>
        <v>0</v>
      </c>
      <c r="I679" s="6">
        <f t="shared" si="147"/>
        <v>10.471428571428598</v>
      </c>
      <c r="J679" s="6">
        <f t="shared" si="148"/>
        <v>3.8964285714285842</v>
      </c>
      <c r="K679" s="4">
        <f t="shared" si="149"/>
        <v>2.6874427131072389</v>
      </c>
      <c r="L679">
        <f t="shared" si="150"/>
        <v>72.880934625901048</v>
      </c>
      <c r="M679" s="14" t="str">
        <f t="shared" si="143"/>
        <v>OVERBOUGHT</v>
      </c>
      <c r="N679" s="7" t="str">
        <f t="shared" si="144"/>
        <v>SELL</v>
      </c>
      <c r="O679" s="7">
        <f t="shared" si="151"/>
        <v>0</v>
      </c>
      <c r="P679" s="7">
        <f t="shared" si="152"/>
        <v>-1</v>
      </c>
      <c r="Q679" s="10" t="e">
        <f t="shared" si="145"/>
        <v>#N/A</v>
      </c>
      <c r="R679" s="10" t="e">
        <f t="shared" si="146"/>
        <v>#N/A</v>
      </c>
      <c r="S679" s="7">
        <f t="shared" si="153"/>
        <v>1279.5</v>
      </c>
      <c r="T679" s="7">
        <f t="shared" si="154"/>
        <v>0</v>
      </c>
    </row>
    <row r="680" spans="1:20" x14ac:dyDescent="0.25">
      <c r="A680" s="1">
        <v>42228</v>
      </c>
      <c r="B680">
        <v>1413</v>
      </c>
      <c r="C680">
        <v>1423.95</v>
      </c>
      <c r="D680">
        <v>1409.55</v>
      </c>
      <c r="E680">
        <v>1417.7</v>
      </c>
      <c r="F680">
        <v>940605</v>
      </c>
      <c r="G680" s="4">
        <f t="shared" si="141"/>
        <v>2.7999999999999545</v>
      </c>
      <c r="H680" s="4">
        <f t="shared" si="142"/>
        <v>0</v>
      </c>
      <c r="I680" s="6">
        <f t="shared" si="147"/>
        <v>10.671428571428594</v>
      </c>
      <c r="J680" s="6">
        <f t="shared" si="148"/>
        <v>3.7250000000000227</v>
      </c>
      <c r="K680" s="4">
        <f t="shared" si="149"/>
        <v>2.8648130393096722</v>
      </c>
      <c r="L680">
        <f t="shared" si="150"/>
        <v>74.125527164475244</v>
      </c>
      <c r="M680" s="14" t="str">
        <f t="shared" si="143"/>
        <v>OVERBOUGHT</v>
      </c>
      <c r="N680" s="7" t="str">
        <f t="shared" si="144"/>
        <v>SELL</v>
      </c>
      <c r="O680" s="7">
        <f t="shared" si="151"/>
        <v>0</v>
      </c>
      <c r="P680" s="7">
        <f t="shared" si="152"/>
        <v>-1</v>
      </c>
      <c r="Q680" s="10" t="e">
        <f t="shared" si="145"/>
        <v>#N/A</v>
      </c>
      <c r="R680" s="10" t="e">
        <f t="shared" si="146"/>
        <v>#N/A</v>
      </c>
      <c r="S680" s="7">
        <f t="shared" si="153"/>
        <v>1279.5</v>
      </c>
      <c r="T680" s="7">
        <f t="shared" si="154"/>
        <v>0</v>
      </c>
    </row>
    <row r="681" spans="1:20" x14ac:dyDescent="0.25">
      <c r="A681" s="1">
        <v>42229</v>
      </c>
      <c r="B681">
        <v>1428</v>
      </c>
      <c r="C681">
        <v>1439.8</v>
      </c>
      <c r="D681">
        <v>1402.15</v>
      </c>
      <c r="E681">
        <v>1413.1</v>
      </c>
      <c r="F681">
        <v>1407420</v>
      </c>
      <c r="G681" s="4">
        <f t="shared" si="141"/>
        <v>0</v>
      </c>
      <c r="H681" s="4">
        <f t="shared" si="142"/>
        <v>4.6000000000001364</v>
      </c>
      <c r="I681" s="6">
        <f t="shared" si="147"/>
        <v>8.4964285714285914</v>
      </c>
      <c r="J681" s="6">
        <f t="shared" si="148"/>
        <v>4.0535714285714608</v>
      </c>
      <c r="K681" s="4">
        <f t="shared" si="149"/>
        <v>2.0960352422907373</v>
      </c>
      <c r="L681">
        <f t="shared" si="150"/>
        <v>67.700626067159817</v>
      </c>
      <c r="M681" s="14" t="str">
        <f t="shared" si="143"/>
        <v/>
      </c>
      <c r="N681" s="7">
        <f t="shared" si="144"/>
        <v>0</v>
      </c>
      <c r="O681" s="7">
        <f t="shared" si="151"/>
        <v>0</v>
      </c>
      <c r="P681" s="7">
        <f t="shared" si="152"/>
        <v>-1</v>
      </c>
      <c r="Q681" s="10" t="e">
        <f t="shared" si="145"/>
        <v>#N/A</v>
      </c>
      <c r="R681" s="10" t="e">
        <f t="shared" si="146"/>
        <v>#N/A</v>
      </c>
      <c r="S681" s="7">
        <f t="shared" si="153"/>
        <v>1279.5</v>
      </c>
      <c r="T681" s="7">
        <f t="shared" si="154"/>
        <v>0</v>
      </c>
    </row>
    <row r="682" spans="1:20" x14ac:dyDescent="0.25">
      <c r="A682" s="1">
        <v>42230</v>
      </c>
      <c r="B682">
        <v>1418.25</v>
      </c>
      <c r="C682">
        <v>1421.55</v>
      </c>
      <c r="D682">
        <v>1335.5</v>
      </c>
      <c r="E682">
        <v>1342.1</v>
      </c>
      <c r="F682">
        <v>2547195</v>
      </c>
      <c r="G682" s="4">
        <f t="shared" si="141"/>
        <v>0</v>
      </c>
      <c r="H682" s="4">
        <f t="shared" si="142"/>
        <v>71</v>
      </c>
      <c r="I682" s="6">
        <f t="shared" si="147"/>
        <v>8.4964285714285914</v>
      </c>
      <c r="J682" s="6">
        <f t="shared" si="148"/>
        <v>8.5821428571428804</v>
      </c>
      <c r="K682" s="4">
        <f t="shared" si="149"/>
        <v>0.99001248439450651</v>
      </c>
      <c r="L682">
        <f t="shared" si="150"/>
        <v>49.749058971141771</v>
      </c>
      <c r="M682" s="14" t="str">
        <f t="shared" si="143"/>
        <v/>
      </c>
      <c r="N682" s="7">
        <f t="shared" si="144"/>
        <v>0</v>
      </c>
      <c r="O682" s="7">
        <f t="shared" si="151"/>
        <v>0</v>
      </c>
      <c r="P682" s="7">
        <f t="shared" si="152"/>
        <v>-1</v>
      </c>
      <c r="Q682" s="10" t="e">
        <f t="shared" si="145"/>
        <v>#N/A</v>
      </c>
      <c r="R682" s="10" t="e">
        <f t="shared" si="146"/>
        <v>#N/A</v>
      </c>
      <c r="S682" s="7">
        <f t="shared" si="153"/>
        <v>1279.5</v>
      </c>
      <c r="T682" s="7">
        <f t="shared" si="154"/>
        <v>0</v>
      </c>
    </row>
    <row r="683" spans="1:20" x14ac:dyDescent="0.25">
      <c r="A683" s="1">
        <v>42233</v>
      </c>
      <c r="B683">
        <v>1345</v>
      </c>
      <c r="C683">
        <v>1345</v>
      </c>
      <c r="D683">
        <v>1292.55</v>
      </c>
      <c r="E683">
        <v>1299.8</v>
      </c>
      <c r="F683">
        <v>3610103</v>
      </c>
      <c r="G683" s="4">
        <f t="shared" si="141"/>
        <v>0</v>
      </c>
      <c r="H683" s="4">
        <f t="shared" si="142"/>
        <v>42.299999999999955</v>
      </c>
      <c r="I683" s="6">
        <f t="shared" si="147"/>
        <v>6.7928571428571525</v>
      </c>
      <c r="J683" s="6">
        <f t="shared" si="148"/>
        <v>11.603571428571447</v>
      </c>
      <c r="K683" s="4">
        <f t="shared" si="149"/>
        <v>0.58541089566020299</v>
      </c>
      <c r="L683">
        <f t="shared" si="150"/>
        <v>36.924868957483973</v>
      </c>
      <c r="M683" s="14" t="str">
        <f t="shared" si="143"/>
        <v/>
      </c>
      <c r="N683" s="7">
        <f t="shared" si="144"/>
        <v>0</v>
      </c>
      <c r="O683" s="7">
        <f t="shared" si="151"/>
        <v>0</v>
      </c>
      <c r="P683" s="7">
        <f t="shared" si="152"/>
        <v>-1</v>
      </c>
      <c r="Q683" s="10" t="e">
        <f t="shared" si="145"/>
        <v>#N/A</v>
      </c>
      <c r="R683" s="10" t="e">
        <f t="shared" si="146"/>
        <v>#N/A</v>
      </c>
      <c r="S683" s="7">
        <f t="shared" si="153"/>
        <v>1279.5</v>
      </c>
      <c r="T683" s="7">
        <f t="shared" si="154"/>
        <v>0</v>
      </c>
    </row>
    <row r="684" spans="1:20" x14ac:dyDescent="0.25">
      <c r="A684" s="1">
        <v>42234</v>
      </c>
      <c r="B684">
        <v>1295</v>
      </c>
      <c r="C684">
        <v>1336.9</v>
      </c>
      <c r="D684">
        <v>1291.5999999999999</v>
      </c>
      <c r="E684">
        <v>1322</v>
      </c>
      <c r="F684">
        <v>2021253</v>
      </c>
      <c r="G684" s="4">
        <f t="shared" si="141"/>
        <v>22.200000000000045</v>
      </c>
      <c r="H684" s="4">
        <f t="shared" si="142"/>
        <v>0</v>
      </c>
      <c r="I684" s="6">
        <f t="shared" si="147"/>
        <v>8.3785714285714423</v>
      </c>
      <c r="J684" s="6">
        <f t="shared" si="148"/>
        <v>9.9321428571428694</v>
      </c>
      <c r="K684" s="4">
        <f t="shared" si="149"/>
        <v>0.84358144552319347</v>
      </c>
      <c r="L684">
        <f t="shared" si="150"/>
        <v>45.757753071971919</v>
      </c>
      <c r="M684" s="14" t="str">
        <f t="shared" si="143"/>
        <v/>
      </c>
      <c r="N684" s="7">
        <f t="shared" si="144"/>
        <v>0</v>
      </c>
      <c r="O684" s="7">
        <f t="shared" si="151"/>
        <v>0</v>
      </c>
      <c r="P684" s="7">
        <f t="shared" si="152"/>
        <v>-1</v>
      </c>
      <c r="Q684" s="10" t="e">
        <f t="shared" si="145"/>
        <v>#N/A</v>
      </c>
      <c r="R684" s="10" t="e">
        <f t="shared" si="146"/>
        <v>#N/A</v>
      </c>
      <c r="S684" s="7">
        <f t="shared" si="153"/>
        <v>1279.5</v>
      </c>
      <c r="T684" s="7">
        <f t="shared" si="154"/>
        <v>0</v>
      </c>
    </row>
    <row r="685" spans="1:20" x14ac:dyDescent="0.25">
      <c r="A685" s="1">
        <v>42235</v>
      </c>
      <c r="B685">
        <v>1324.9</v>
      </c>
      <c r="C685">
        <v>1332.3</v>
      </c>
      <c r="D685">
        <v>1298.3</v>
      </c>
      <c r="E685">
        <v>1304.05</v>
      </c>
      <c r="F685">
        <v>2123879</v>
      </c>
      <c r="G685" s="4">
        <f t="shared" si="141"/>
        <v>0</v>
      </c>
      <c r="H685" s="4">
        <f t="shared" si="142"/>
        <v>17.950000000000045</v>
      </c>
      <c r="I685" s="6">
        <f t="shared" si="147"/>
        <v>8.3785714285714423</v>
      </c>
      <c r="J685" s="6">
        <f t="shared" si="148"/>
        <v>10.792857142857153</v>
      </c>
      <c r="K685" s="4">
        <f t="shared" si="149"/>
        <v>0.77630708140304483</v>
      </c>
      <c r="L685">
        <f t="shared" si="150"/>
        <v>43.703427719821178</v>
      </c>
      <c r="M685" s="14" t="str">
        <f t="shared" si="143"/>
        <v/>
      </c>
      <c r="N685" s="7">
        <f t="shared" si="144"/>
        <v>0</v>
      </c>
      <c r="O685" s="7">
        <f t="shared" si="151"/>
        <v>0</v>
      </c>
      <c r="P685" s="7">
        <f t="shared" si="152"/>
        <v>-1</v>
      </c>
      <c r="Q685" s="10" t="e">
        <f t="shared" si="145"/>
        <v>#N/A</v>
      </c>
      <c r="R685" s="10" t="e">
        <f t="shared" si="146"/>
        <v>#N/A</v>
      </c>
      <c r="S685" s="7">
        <f t="shared" si="153"/>
        <v>1279.5</v>
      </c>
      <c r="T685" s="7">
        <f t="shared" si="154"/>
        <v>0</v>
      </c>
    </row>
    <row r="686" spans="1:20" x14ac:dyDescent="0.25">
      <c r="A686" s="1">
        <v>42236</v>
      </c>
      <c r="B686">
        <v>1310</v>
      </c>
      <c r="C686">
        <v>1313</v>
      </c>
      <c r="D686">
        <v>1277</v>
      </c>
      <c r="E686">
        <v>1289.45</v>
      </c>
      <c r="F686">
        <v>2468510</v>
      </c>
      <c r="G686" s="4">
        <f t="shared" si="141"/>
        <v>0</v>
      </c>
      <c r="H686" s="4">
        <f t="shared" si="142"/>
        <v>14.599999999999909</v>
      </c>
      <c r="I686" s="6">
        <f t="shared" si="147"/>
        <v>8.164285714285727</v>
      </c>
      <c r="J686" s="6">
        <f t="shared" si="148"/>
        <v>11.835714285714289</v>
      </c>
      <c r="K686" s="4">
        <f t="shared" si="149"/>
        <v>0.68980084490042337</v>
      </c>
      <c r="L686">
        <f t="shared" si="150"/>
        <v>40.821428571428605</v>
      </c>
      <c r="M686" s="14" t="str">
        <f t="shared" si="143"/>
        <v/>
      </c>
      <c r="N686" s="7">
        <f t="shared" si="144"/>
        <v>0</v>
      </c>
      <c r="O686" s="7">
        <f t="shared" si="151"/>
        <v>0</v>
      </c>
      <c r="P686" s="7">
        <f t="shared" si="152"/>
        <v>-1</v>
      </c>
      <c r="Q686" s="10" t="e">
        <f t="shared" si="145"/>
        <v>#N/A</v>
      </c>
      <c r="R686" s="10" t="e">
        <f t="shared" si="146"/>
        <v>#N/A</v>
      </c>
      <c r="S686" s="7">
        <f t="shared" si="153"/>
        <v>1279.5</v>
      </c>
      <c r="T686" s="7">
        <f t="shared" si="154"/>
        <v>0</v>
      </c>
    </row>
    <row r="687" spans="1:20" x14ac:dyDescent="0.25">
      <c r="A687" s="1">
        <v>42237</v>
      </c>
      <c r="B687">
        <v>1290.0999999999999</v>
      </c>
      <c r="C687">
        <v>1309.75</v>
      </c>
      <c r="D687">
        <v>1282.3</v>
      </c>
      <c r="E687">
        <v>1293.2</v>
      </c>
      <c r="F687">
        <v>1911847</v>
      </c>
      <c r="G687" s="4">
        <f t="shared" si="141"/>
        <v>3.75</v>
      </c>
      <c r="H687" s="4">
        <f t="shared" si="142"/>
        <v>0</v>
      </c>
      <c r="I687" s="6">
        <f t="shared" si="147"/>
        <v>6.7428571428571491</v>
      </c>
      <c r="J687" s="6">
        <f t="shared" si="148"/>
        <v>11.835714285714289</v>
      </c>
      <c r="K687" s="4">
        <f t="shared" si="149"/>
        <v>0.56970428485214275</v>
      </c>
      <c r="L687">
        <f t="shared" si="150"/>
        <v>36.293733179546344</v>
      </c>
      <c r="M687" s="14" t="str">
        <f t="shared" si="143"/>
        <v/>
      </c>
      <c r="N687" s="7">
        <f t="shared" si="144"/>
        <v>0</v>
      </c>
      <c r="O687" s="7">
        <f t="shared" si="151"/>
        <v>0</v>
      </c>
      <c r="P687" s="7">
        <f t="shared" si="152"/>
        <v>-1</v>
      </c>
      <c r="Q687" s="10" t="e">
        <f t="shared" si="145"/>
        <v>#N/A</v>
      </c>
      <c r="R687" s="10" t="e">
        <f t="shared" si="146"/>
        <v>#N/A</v>
      </c>
      <c r="S687" s="7">
        <f t="shared" si="153"/>
        <v>1279.5</v>
      </c>
      <c r="T687" s="7">
        <f t="shared" si="154"/>
        <v>0</v>
      </c>
    </row>
    <row r="688" spans="1:20" x14ac:dyDescent="0.25">
      <c r="A688" s="1">
        <v>42240</v>
      </c>
      <c r="B688">
        <v>1295.2</v>
      </c>
      <c r="C688">
        <v>1305</v>
      </c>
      <c r="D688">
        <v>1282</v>
      </c>
      <c r="E688">
        <v>1285.5999999999999</v>
      </c>
      <c r="F688">
        <v>1646406</v>
      </c>
      <c r="G688" s="4">
        <f t="shared" si="141"/>
        <v>0</v>
      </c>
      <c r="H688" s="4">
        <f t="shared" si="142"/>
        <v>7.6000000000001364</v>
      </c>
      <c r="I688" s="6">
        <f t="shared" si="147"/>
        <v>5.9500000000000126</v>
      </c>
      <c r="J688" s="6">
        <f t="shared" si="148"/>
        <v>12.378571428571442</v>
      </c>
      <c r="K688" s="4">
        <f t="shared" si="149"/>
        <v>0.48066935949221051</v>
      </c>
      <c r="L688">
        <f t="shared" si="150"/>
        <v>32.462977396726444</v>
      </c>
      <c r="M688" s="14" t="str">
        <f t="shared" si="143"/>
        <v/>
      </c>
      <c r="N688" s="7">
        <f t="shared" si="144"/>
        <v>0</v>
      </c>
      <c r="O688" s="7">
        <f t="shared" si="151"/>
        <v>0</v>
      </c>
      <c r="P688" s="7">
        <f t="shared" si="152"/>
        <v>-1</v>
      </c>
      <c r="Q688" s="10" t="e">
        <f t="shared" si="145"/>
        <v>#N/A</v>
      </c>
      <c r="R688" s="10" t="e">
        <f t="shared" si="146"/>
        <v>#N/A</v>
      </c>
      <c r="S688" s="7">
        <f t="shared" si="153"/>
        <v>1279.5</v>
      </c>
      <c r="T688" s="7">
        <f t="shared" si="154"/>
        <v>0</v>
      </c>
    </row>
    <row r="689" spans="1:20" x14ac:dyDescent="0.25">
      <c r="A689" s="1">
        <v>42241</v>
      </c>
      <c r="B689">
        <v>1280.0999999999999</v>
      </c>
      <c r="C689">
        <v>1299.5</v>
      </c>
      <c r="D689">
        <v>1261.0999999999999</v>
      </c>
      <c r="E689">
        <v>1271.55</v>
      </c>
      <c r="F689">
        <v>2802699</v>
      </c>
      <c r="G689" s="4">
        <f t="shared" si="141"/>
        <v>0</v>
      </c>
      <c r="H689" s="4">
        <f t="shared" si="142"/>
        <v>14.049999999999955</v>
      </c>
      <c r="I689" s="6">
        <f t="shared" si="147"/>
        <v>5.1571428571428601</v>
      </c>
      <c r="J689" s="6">
        <f t="shared" si="148"/>
        <v>13.382142857142867</v>
      </c>
      <c r="K689" s="4">
        <f t="shared" si="149"/>
        <v>0.38537496663997861</v>
      </c>
      <c r="L689">
        <f t="shared" si="150"/>
        <v>27.81737622808707</v>
      </c>
      <c r="M689" s="14" t="str">
        <f t="shared" si="143"/>
        <v>OVERSOLD</v>
      </c>
      <c r="N689" s="7" t="str">
        <f t="shared" si="144"/>
        <v>BUY</v>
      </c>
      <c r="O689" s="7" t="str">
        <f t="shared" si="151"/>
        <v>BUY</v>
      </c>
      <c r="P689" s="7">
        <f t="shared" si="152"/>
        <v>1</v>
      </c>
      <c r="Q689" s="10">
        <f t="shared" si="145"/>
        <v>1271.55</v>
      </c>
      <c r="R689" s="10" t="e">
        <f t="shared" si="146"/>
        <v>#N/A</v>
      </c>
      <c r="S689" s="7">
        <f t="shared" si="153"/>
        <v>1271.55</v>
      </c>
      <c r="T689" s="7">
        <f t="shared" si="154"/>
        <v>6.2133645955451703E-3</v>
      </c>
    </row>
    <row r="690" spans="1:20" x14ac:dyDescent="0.25">
      <c r="A690" s="1">
        <v>42242</v>
      </c>
      <c r="B690">
        <v>1278.8</v>
      </c>
      <c r="C690">
        <v>1305</v>
      </c>
      <c r="D690">
        <v>1276.5</v>
      </c>
      <c r="E690">
        <v>1295.9000000000001</v>
      </c>
      <c r="F690">
        <v>1456498</v>
      </c>
      <c r="G690" s="4">
        <f t="shared" si="141"/>
        <v>24.350000000000136</v>
      </c>
      <c r="H690" s="4">
        <f t="shared" si="142"/>
        <v>0</v>
      </c>
      <c r="I690" s="6">
        <f t="shared" si="147"/>
        <v>6.8964285714285847</v>
      </c>
      <c r="J690" s="6">
        <f t="shared" si="148"/>
        <v>13.367857142857149</v>
      </c>
      <c r="K690" s="4">
        <f t="shared" si="149"/>
        <v>0.51589633983435823</v>
      </c>
      <c r="L690">
        <f t="shared" si="150"/>
        <v>34.032428621783609</v>
      </c>
      <c r="M690" s="14" t="str">
        <f t="shared" si="143"/>
        <v/>
      </c>
      <c r="N690" s="7">
        <f t="shared" si="144"/>
        <v>0</v>
      </c>
      <c r="O690" s="7">
        <f t="shared" si="151"/>
        <v>0</v>
      </c>
      <c r="P690" s="7">
        <f t="shared" si="152"/>
        <v>1</v>
      </c>
      <c r="Q690" s="10" t="e">
        <f t="shared" si="145"/>
        <v>#N/A</v>
      </c>
      <c r="R690" s="10" t="e">
        <f t="shared" si="146"/>
        <v>#N/A</v>
      </c>
      <c r="S690" s="7">
        <f t="shared" si="153"/>
        <v>1271.55</v>
      </c>
      <c r="T690" s="7">
        <f t="shared" si="154"/>
        <v>0</v>
      </c>
    </row>
    <row r="691" spans="1:20" x14ac:dyDescent="0.25">
      <c r="A691" s="1">
        <v>42243</v>
      </c>
      <c r="B691">
        <v>1295</v>
      </c>
      <c r="C691">
        <v>1309.8</v>
      </c>
      <c r="D691">
        <v>1293.05</v>
      </c>
      <c r="E691">
        <v>1302.95</v>
      </c>
      <c r="F691">
        <v>897809</v>
      </c>
      <c r="G691" s="4">
        <f t="shared" si="141"/>
        <v>7.0499999999999545</v>
      </c>
      <c r="H691" s="4">
        <f t="shared" si="142"/>
        <v>0</v>
      </c>
      <c r="I691" s="6">
        <f t="shared" si="147"/>
        <v>7.4000000000000101</v>
      </c>
      <c r="J691" s="6">
        <f t="shared" si="148"/>
        <v>12.292857142857153</v>
      </c>
      <c r="K691" s="4">
        <f t="shared" si="149"/>
        <v>0.60197559558396307</v>
      </c>
      <c r="L691">
        <f t="shared" si="150"/>
        <v>37.577076532462826</v>
      </c>
      <c r="M691" s="14" t="str">
        <f t="shared" si="143"/>
        <v/>
      </c>
      <c r="N691" s="7">
        <f t="shared" si="144"/>
        <v>0</v>
      </c>
      <c r="O691" s="7">
        <f t="shared" si="151"/>
        <v>0</v>
      </c>
      <c r="P691" s="7">
        <f t="shared" si="152"/>
        <v>1</v>
      </c>
      <c r="Q691" s="10" t="e">
        <f t="shared" si="145"/>
        <v>#N/A</v>
      </c>
      <c r="R691" s="10" t="e">
        <f t="shared" si="146"/>
        <v>#N/A</v>
      </c>
      <c r="S691" s="7">
        <f t="shared" si="153"/>
        <v>1271.55</v>
      </c>
      <c r="T691" s="7">
        <f t="shared" si="154"/>
        <v>0</v>
      </c>
    </row>
    <row r="692" spans="1:20" x14ac:dyDescent="0.25">
      <c r="A692" s="1">
        <v>42244</v>
      </c>
      <c r="B692">
        <v>1301</v>
      </c>
      <c r="C692">
        <v>1325</v>
      </c>
      <c r="D692">
        <v>1301</v>
      </c>
      <c r="E692">
        <v>1322.65</v>
      </c>
      <c r="F692">
        <v>1159115</v>
      </c>
      <c r="G692" s="4">
        <f t="shared" si="141"/>
        <v>19.700000000000045</v>
      </c>
      <c r="H692" s="4">
        <f t="shared" si="142"/>
        <v>0</v>
      </c>
      <c r="I692" s="6">
        <f t="shared" si="147"/>
        <v>7.2928571428571525</v>
      </c>
      <c r="J692" s="6">
        <f t="shared" si="148"/>
        <v>12.292857142857153</v>
      </c>
      <c r="K692" s="4">
        <f t="shared" si="149"/>
        <v>0.59325973271353893</v>
      </c>
      <c r="L692">
        <f t="shared" si="150"/>
        <v>37.235594456601035</v>
      </c>
      <c r="M692" s="14" t="str">
        <f t="shared" si="143"/>
        <v/>
      </c>
      <c r="N692" s="7">
        <f t="shared" si="144"/>
        <v>0</v>
      </c>
      <c r="O692" s="7">
        <f t="shared" si="151"/>
        <v>0</v>
      </c>
      <c r="P692" s="7">
        <f t="shared" si="152"/>
        <v>1</v>
      </c>
      <c r="Q692" s="10" t="e">
        <f t="shared" si="145"/>
        <v>#N/A</v>
      </c>
      <c r="R692" s="10" t="e">
        <f t="shared" si="146"/>
        <v>#N/A</v>
      </c>
      <c r="S692" s="7">
        <f t="shared" si="153"/>
        <v>1271.55</v>
      </c>
      <c r="T692" s="7">
        <f t="shared" si="154"/>
        <v>0</v>
      </c>
    </row>
    <row r="693" spans="1:20" x14ac:dyDescent="0.25">
      <c r="A693" s="1">
        <v>42247</v>
      </c>
      <c r="B693">
        <v>1320</v>
      </c>
      <c r="C693">
        <v>1321.65</v>
      </c>
      <c r="D693">
        <v>1308.6500000000001</v>
      </c>
      <c r="E693">
        <v>1317.15</v>
      </c>
      <c r="F693">
        <v>659642</v>
      </c>
      <c r="G693" s="4">
        <f t="shared" si="141"/>
        <v>0</v>
      </c>
      <c r="H693" s="4">
        <f t="shared" si="142"/>
        <v>5.5</v>
      </c>
      <c r="I693" s="6">
        <f t="shared" si="147"/>
        <v>5.7035714285714381</v>
      </c>
      <c r="J693" s="6">
        <f t="shared" si="148"/>
        <v>12.685714285714296</v>
      </c>
      <c r="K693" s="4">
        <f t="shared" si="149"/>
        <v>0.44960585585585627</v>
      </c>
      <c r="L693">
        <f t="shared" si="150"/>
        <v>31.015731209943695</v>
      </c>
      <c r="M693" s="14" t="str">
        <f t="shared" si="143"/>
        <v/>
      </c>
      <c r="N693" s="7">
        <f t="shared" si="144"/>
        <v>0</v>
      </c>
      <c r="O693" s="7">
        <f t="shared" si="151"/>
        <v>0</v>
      </c>
      <c r="P693" s="7">
        <f t="shared" si="152"/>
        <v>1</v>
      </c>
      <c r="Q693" s="10" t="e">
        <f t="shared" si="145"/>
        <v>#N/A</v>
      </c>
      <c r="R693" s="10" t="e">
        <f t="shared" si="146"/>
        <v>#N/A</v>
      </c>
      <c r="S693" s="7">
        <f t="shared" si="153"/>
        <v>1271.55</v>
      </c>
      <c r="T693" s="7">
        <f t="shared" si="154"/>
        <v>0</v>
      </c>
    </row>
    <row r="694" spans="1:20" x14ac:dyDescent="0.25">
      <c r="A694" s="1">
        <v>42248</v>
      </c>
      <c r="B694">
        <v>1310.25</v>
      </c>
      <c r="C694">
        <v>1319.35</v>
      </c>
      <c r="D694">
        <v>1055</v>
      </c>
      <c r="E694">
        <v>1304</v>
      </c>
      <c r="F694">
        <v>1918055</v>
      </c>
      <c r="G694" s="4">
        <f t="shared" si="141"/>
        <v>0</v>
      </c>
      <c r="H694" s="4">
        <f t="shared" si="142"/>
        <v>13.150000000000091</v>
      </c>
      <c r="I694" s="6">
        <f t="shared" si="147"/>
        <v>5.5035714285714414</v>
      </c>
      <c r="J694" s="6">
        <f t="shared" si="148"/>
        <v>13.625000000000016</v>
      </c>
      <c r="K694" s="4">
        <f t="shared" si="149"/>
        <v>0.4039318479685457</v>
      </c>
      <c r="L694">
        <f t="shared" si="150"/>
        <v>28.771471247199429</v>
      </c>
      <c r="M694" s="14" t="str">
        <f t="shared" si="143"/>
        <v>OVERSOLD</v>
      </c>
      <c r="N694" s="7" t="str">
        <f t="shared" si="144"/>
        <v>BUY</v>
      </c>
      <c r="O694" s="7">
        <f t="shared" si="151"/>
        <v>0</v>
      </c>
      <c r="P694" s="7">
        <f t="shared" si="152"/>
        <v>1</v>
      </c>
      <c r="Q694" s="10" t="e">
        <f t="shared" si="145"/>
        <v>#N/A</v>
      </c>
      <c r="R694" s="10" t="e">
        <f t="shared" si="146"/>
        <v>#N/A</v>
      </c>
      <c r="S694" s="7">
        <f t="shared" si="153"/>
        <v>1271.55</v>
      </c>
      <c r="T694" s="7">
        <f t="shared" si="154"/>
        <v>0</v>
      </c>
    </row>
    <row r="695" spans="1:20" x14ac:dyDescent="0.25">
      <c r="A695" s="1">
        <v>42249</v>
      </c>
      <c r="B695">
        <v>1310</v>
      </c>
      <c r="C695">
        <v>1315.25</v>
      </c>
      <c r="D695">
        <v>1285.45</v>
      </c>
      <c r="E695">
        <v>1292.7</v>
      </c>
      <c r="F695">
        <v>842704</v>
      </c>
      <c r="G695" s="4">
        <f t="shared" si="141"/>
        <v>0</v>
      </c>
      <c r="H695" s="4">
        <f t="shared" si="142"/>
        <v>11.299999999999955</v>
      </c>
      <c r="I695" s="6">
        <f t="shared" si="147"/>
        <v>5.5035714285714414</v>
      </c>
      <c r="J695" s="6">
        <f t="shared" si="148"/>
        <v>14.103571428571431</v>
      </c>
      <c r="K695" s="4">
        <f t="shared" si="149"/>
        <v>0.39022537351228243</v>
      </c>
      <c r="L695">
        <f t="shared" si="150"/>
        <v>28.069216757741387</v>
      </c>
      <c r="M695" s="14" t="str">
        <f t="shared" si="143"/>
        <v>OVERSOLD</v>
      </c>
      <c r="N695" s="7" t="str">
        <f t="shared" si="144"/>
        <v>BUY</v>
      </c>
      <c r="O695" s="7">
        <f t="shared" si="151"/>
        <v>0</v>
      </c>
      <c r="P695" s="7">
        <f t="shared" si="152"/>
        <v>1</v>
      </c>
      <c r="Q695" s="10" t="e">
        <f t="shared" si="145"/>
        <v>#N/A</v>
      </c>
      <c r="R695" s="10" t="e">
        <f t="shared" si="146"/>
        <v>#N/A</v>
      </c>
      <c r="S695" s="7">
        <f t="shared" si="153"/>
        <v>1271.55</v>
      </c>
      <c r="T695" s="7">
        <f t="shared" si="154"/>
        <v>0</v>
      </c>
    </row>
    <row r="696" spans="1:20" x14ac:dyDescent="0.25">
      <c r="A696" s="1">
        <v>42250</v>
      </c>
      <c r="B696">
        <v>1297.9000000000001</v>
      </c>
      <c r="C696">
        <v>1298.8</v>
      </c>
      <c r="D696">
        <v>1285</v>
      </c>
      <c r="E696">
        <v>1294.8499999999999</v>
      </c>
      <c r="F696">
        <v>645577</v>
      </c>
      <c r="G696" s="4">
        <f t="shared" si="141"/>
        <v>2.1499999999998636</v>
      </c>
      <c r="H696" s="4">
        <f t="shared" si="142"/>
        <v>0</v>
      </c>
      <c r="I696" s="6">
        <f t="shared" si="147"/>
        <v>5.6571428571428601</v>
      </c>
      <c r="J696" s="6">
        <f t="shared" si="148"/>
        <v>9.0321428571428601</v>
      </c>
      <c r="K696" s="4">
        <f t="shared" si="149"/>
        <v>0.62633451957295383</v>
      </c>
      <c r="L696">
        <f t="shared" si="150"/>
        <v>38.512035010940927</v>
      </c>
      <c r="M696" s="14" t="str">
        <f t="shared" si="143"/>
        <v/>
      </c>
      <c r="N696" s="7">
        <f t="shared" si="144"/>
        <v>0</v>
      </c>
      <c r="O696" s="7">
        <f t="shared" si="151"/>
        <v>0</v>
      </c>
      <c r="P696" s="7">
        <f t="shared" si="152"/>
        <v>1</v>
      </c>
      <c r="Q696" s="10" t="e">
        <f t="shared" si="145"/>
        <v>#N/A</v>
      </c>
      <c r="R696" s="10" t="e">
        <f t="shared" si="146"/>
        <v>#N/A</v>
      </c>
      <c r="S696" s="7">
        <f t="shared" si="153"/>
        <v>1271.55</v>
      </c>
      <c r="T696" s="7">
        <f t="shared" si="154"/>
        <v>0</v>
      </c>
    </row>
    <row r="697" spans="1:20" x14ac:dyDescent="0.25">
      <c r="A697" s="1">
        <v>42251</v>
      </c>
      <c r="B697">
        <v>1286</v>
      </c>
      <c r="C697">
        <v>1301.75</v>
      </c>
      <c r="D697">
        <v>1285</v>
      </c>
      <c r="E697">
        <v>1289.3499999999999</v>
      </c>
      <c r="F697">
        <v>581989</v>
      </c>
      <c r="G697" s="4">
        <f t="shared" si="141"/>
        <v>0</v>
      </c>
      <c r="H697" s="4">
        <f t="shared" si="142"/>
        <v>5.5</v>
      </c>
      <c r="I697" s="6">
        <f t="shared" si="147"/>
        <v>5.6571428571428601</v>
      </c>
      <c r="J697" s="6">
        <f t="shared" si="148"/>
        <v>6.4035714285714347</v>
      </c>
      <c r="K697" s="4">
        <f t="shared" si="149"/>
        <v>0.88343558282208556</v>
      </c>
      <c r="L697">
        <f t="shared" si="150"/>
        <v>46.90553745928338</v>
      </c>
      <c r="M697" s="14" t="str">
        <f t="shared" si="143"/>
        <v/>
      </c>
      <c r="N697" s="7">
        <f t="shared" si="144"/>
        <v>0</v>
      </c>
      <c r="O697" s="7">
        <f t="shared" si="151"/>
        <v>0</v>
      </c>
      <c r="P697" s="7">
        <f t="shared" si="152"/>
        <v>1</v>
      </c>
      <c r="Q697" s="10" t="e">
        <f t="shared" si="145"/>
        <v>#N/A</v>
      </c>
      <c r="R697" s="10" t="e">
        <f t="shared" si="146"/>
        <v>#N/A</v>
      </c>
      <c r="S697" s="7">
        <f t="shared" si="153"/>
        <v>1271.55</v>
      </c>
      <c r="T697" s="7">
        <f t="shared" si="154"/>
        <v>0</v>
      </c>
    </row>
    <row r="698" spans="1:20" x14ac:dyDescent="0.25">
      <c r="A698" s="1">
        <v>42254</v>
      </c>
      <c r="B698">
        <v>1290.25</v>
      </c>
      <c r="C698">
        <v>1301.55</v>
      </c>
      <c r="D698">
        <v>1286.05</v>
      </c>
      <c r="E698">
        <v>1289.45</v>
      </c>
      <c r="F698">
        <v>817763</v>
      </c>
      <c r="G698" s="4">
        <f t="shared" si="141"/>
        <v>0.10000000000013642</v>
      </c>
      <c r="H698" s="4">
        <f t="shared" si="142"/>
        <v>0</v>
      </c>
      <c r="I698" s="6">
        <f t="shared" si="147"/>
        <v>4.0785714285714381</v>
      </c>
      <c r="J698" s="6">
        <f t="shared" si="148"/>
        <v>6.4035714285714347</v>
      </c>
      <c r="K698" s="4">
        <f t="shared" si="149"/>
        <v>0.63692136084774209</v>
      </c>
      <c r="L698">
        <f t="shared" si="150"/>
        <v>38.909710391822856</v>
      </c>
      <c r="M698" s="14" t="str">
        <f t="shared" si="143"/>
        <v/>
      </c>
      <c r="N698" s="7">
        <f t="shared" si="144"/>
        <v>0</v>
      </c>
      <c r="O698" s="7">
        <f t="shared" si="151"/>
        <v>0</v>
      </c>
      <c r="P698" s="7">
        <f t="shared" si="152"/>
        <v>1</v>
      </c>
      <c r="Q698" s="10" t="e">
        <f t="shared" si="145"/>
        <v>#N/A</v>
      </c>
      <c r="R698" s="10" t="e">
        <f t="shared" si="146"/>
        <v>#N/A</v>
      </c>
      <c r="S698" s="7">
        <f t="shared" si="153"/>
        <v>1271.55</v>
      </c>
      <c r="T698" s="7">
        <f t="shared" si="154"/>
        <v>0</v>
      </c>
    </row>
    <row r="699" spans="1:20" x14ac:dyDescent="0.25">
      <c r="A699" s="1">
        <v>42255</v>
      </c>
      <c r="B699">
        <v>1278.8</v>
      </c>
      <c r="C699">
        <v>1313.65</v>
      </c>
      <c r="D699">
        <v>1273.2</v>
      </c>
      <c r="E699">
        <v>1298.45</v>
      </c>
      <c r="F699">
        <v>1234771</v>
      </c>
      <c r="G699" s="4">
        <f t="shared" si="141"/>
        <v>9</v>
      </c>
      <c r="H699" s="4">
        <f t="shared" si="142"/>
        <v>0</v>
      </c>
      <c r="I699" s="6">
        <f t="shared" si="147"/>
        <v>4.7214285714285813</v>
      </c>
      <c r="J699" s="6">
        <f t="shared" si="148"/>
        <v>5.1214285714285745</v>
      </c>
      <c r="K699" s="4">
        <f t="shared" si="149"/>
        <v>0.92189679218968057</v>
      </c>
      <c r="L699">
        <f t="shared" si="150"/>
        <v>47.968069666182913</v>
      </c>
      <c r="M699" s="14" t="str">
        <f t="shared" si="143"/>
        <v/>
      </c>
      <c r="N699" s="7">
        <f t="shared" si="144"/>
        <v>0</v>
      </c>
      <c r="O699" s="7">
        <f t="shared" si="151"/>
        <v>0</v>
      </c>
      <c r="P699" s="7">
        <f t="shared" si="152"/>
        <v>1</v>
      </c>
      <c r="Q699" s="10" t="e">
        <f t="shared" si="145"/>
        <v>#N/A</v>
      </c>
      <c r="R699" s="10" t="e">
        <f t="shared" si="146"/>
        <v>#N/A</v>
      </c>
      <c r="S699" s="7">
        <f t="shared" si="153"/>
        <v>1271.55</v>
      </c>
      <c r="T699" s="7">
        <f t="shared" si="154"/>
        <v>0</v>
      </c>
    </row>
    <row r="700" spans="1:20" x14ac:dyDescent="0.25">
      <c r="A700" s="1">
        <v>42256</v>
      </c>
      <c r="B700">
        <v>1294</v>
      </c>
      <c r="C700">
        <v>1302.4000000000001</v>
      </c>
      <c r="D700">
        <v>1287.5</v>
      </c>
      <c r="E700">
        <v>1294.6500000000001</v>
      </c>
      <c r="F700">
        <v>407264</v>
      </c>
      <c r="G700" s="4">
        <f t="shared" si="141"/>
        <v>0</v>
      </c>
      <c r="H700" s="4">
        <f t="shared" si="142"/>
        <v>3.7999999999999545</v>
      </c>
      <c r="I700" s="6">
        <f t="shared" si="147"/>
        <v>4.7214285714285813</v>
      </c>
      <c r="J700" s="6">
        <f t="shared" si="148"/>
        <v>4.3500000000000068</v>
      </c>
      <c r="K700" s="4">
        <f t="shared" si="149"/>
        <v>1.0853858784893273</v>
      </c>
      <c r="L700">
        <f t="shared" si="150"/>
        <v>52.0472440944882</v>
      </c>
      <c r="M700" s="14" t="str">
        <f t="shared" si="143"/>
        <v/>
      </c>
      <c r="N700" s="7">
        <f t="shared" si="144"/>
        <v>0</v>
      </c>
      <c r="O700" s="7">
        <f t="shared" si="151"/>
        <v>0</v>
      </c>
      <c r="P700" s="7">
        <f t="shared" si="152"/>
        <v>1</v>
      </c>
      <c r="Q700" s="10" t="e">
        <f t="shared" si="145"/>
        <v>#N/A</v>
      </c>
      <c r="R700" s="10" t="e">
        <f t="shared" si="146"/>
        <v>#N/A</v>
      </c>
      <c r="S700" s="7">
        <f t="shared" si="153"/>
        <v>1271.55</v>
      </c>
      <c r="T700" s="7">
        <f t="shared" si="154"/>
        <v>0</v>
      </c>
    </row>
    <row r="701" spans="1:20" x14ac:dyDescent="0.25">
      <c r="A701" s="1">
        <v>42257</v>
      </c>
      <c r="B701">
        <v>1297</v>
      </c>
      <c r="C701">
        <v>1310.2</v>
      </c>
      <c r="D701">
        <v>1287.8</v>
      </c>
      <c r="E701">
        <v>1295.9000000000001</v>
      </c>
      <c r="F701">
        <v>641372</v>
      </c>
      <c r="G701" s="4">
        <f t="shared" si="141"/>
        <v>1.25</v>
      </c>
      <c r="H701" s="4">
        <f t="shared" si="142"/>
        <v>0</v>
      </c>
      <c r="I701" s="6">
        <f t="shared" si="147"/>
        <v>4.5428571428571525</v>
      </c>
      <c r="J701" s="6">
        <f t="shared" si="148"/>
        <v>4.3500000000000068</v>
      </c>
      <c r="K701" s="4">
        <f t="shared" si="149"/>
        <v>1.0443349753694586</v>
      </c>
      <c r="L701">
        <f t="shared" si="150"/>
        <v>51.0843373493976</v>
      </c>
      <c r="M701" s="14" t="str">
        <f t="shared" si="143"/>
        <v/>
      </c>
      <c r="N701" s="7">
        <f t="shared" si="144"/>
        <v>0</v>
      </c>
      <c r="O701" s="7">
        <f t="shared" si="151"/>
        <v>0</v>
      </c>
      <c r="P701" s="7">
        <f t="shared" si="152"/>
        <v>1</v>
      </c>
      <c r="Q701" s="10" t="e">
        <f t="shared" si="145"/>
        <v>#N/A</v>
      </c>
      <c r="R701" s="10" t="e">
        <f t="shared" si="146"/>
        <v>#N/A</v>
      </c>
      <c r="S701" s="7">
        <f t="shared" si="153"/>
        <v>1271.55</v>
      </c>
      <c r="T701" s="7">
        <f t="shared" si="154"/>
        <v>0</v>
      </c>
    </row>
    <row r="702" spans="1:20" x14ac:dyDescent="0.25">
      <c r="A702" s="1">
        <v>42258</v>
      </c>
      <c r="B702">
        <v>1301.3</v>
      </c>
      <c r="C702">
        <v>1304.9000000000001</v>
      </c>
      <c r="D702">
        <v>1272</v>
      </c>
      <c r="E702">
        <v>1283.1500000000001</v>
      </c>
      <c r="F702">
        <v>798740</v>
      </c>
      <c r="G702" s="4">
        <f t="shared" si="141"/>
        <v>0</v>
      </c>
      <c r="H702" s="4">
        <f t="shared" si="142"/>
        <v>12.75</v>
      </c>
      <c r="I702" s="6">
        <f t="shared" si="147"/>
        <v>4.5428571428571525</v>
      </c>
      <c r="J702" s="6">
        <f t="shared" si="148"/>
        <v>4.7178571428571399</v>
      </c>
      <c r="K702" s="4">
        <f t="shared" si="149"/>
        <v>0.96290688872066876</v>
      </c>
      <c r="L702">
        <f t="shared" si="150"/>
        <v>49.055148476668023</v>
      </c>
      <c r="M702" s="14" t="str">
        <f t="shared" si="143"/>
        <v/>
      </c>
      <c r="N702" s="7">
        <f t="shared" si="144"/>
        <v>0</v>
      </c>
      <c r="O702" s="7">
        <f t="shared" si="151"/>
        <v>0</v>
      </c>
      <c r="P702" s="7">
        <f t="shared" si="152"/>
        <v>1</v>
      </c>
      <c r="Q702" s="10" t="e">
        <f t="shared" si="145"/>
        <v>#N/A</v>
      </c>
      <c r="R702" s="10" t="e">
        <f t="shared" si="146"/>
        <v>#N/A</v>
      </c>
      <c r="S702" s="7">
        <f t="shared" si="153"/>
        <v>1271.55</v>
      </c>
      <c r="T702" s="7">
        <f t="shared" si="154"/>
        <v>0</v>
      </c>
    </row>
    <row r="703" spans="1:20" x14ac:dyDescent="0.25">
      <c r="A703" s="1">
        <v>42261</v>
      </c>
      <c r="B703">
        <v>1286.25</v>
      </c>
      <c r="C703">
        <v>1311</v>
      </c>
      <c r="D703">
        <v>1280.2</v>
      </c>
      <c r="E703">
        <v>1307.3499999999999</v>
      </c>
      <c r="F703">
        <v>723564</v>
      </c>
      <c r="G703" s="4">
        <f t="shared" si="141"/>
        <v>24.199999999999818</v>
      </c>
      <c r="H703" s="4">
        <f t="shared" si="142"/>
        <v>0</v>
      </c>
      <c r="I703" s="6">
        <f t="shared" si="147"/>
        <v>6.2714285714285678</v>
      </c>
      <c r="J703" s="6">
        <f t="shared" si="148"/>
        <v>3.7142857142857144</v>
      </c>
      <c r="K703" s="4">
        <f t="shared" si="149"/>
        <v>1.6884615384615373</v>
      </c>
      <c r="L703">
        <f t="shared" si="150"/>
        <v>62.804005722460644</v>
      </c>
      <c r="M703" s="14" t="str">
        <f t="shared" si="143"/>
        <v/>
      </c>
      <c r="N703" s="7">
        <f t="shared" si="144"/>
        <v>0</v>
      </c>
      <c r="O703" s="7">
        <f t="shared" si="151"/>
        <v>0</v>
      </c>
      <c r="P703" s="7">
        <f t="shared" si="152"/>
        <v>1</v>
      </c>
      <c r="Q703" s="10" t="e">
        <f t="shared" si="145"/>
        <v>#N/A</v>
      </c>
      <c r="R703" s="10" t="e">
        <f t="shared" si="146"/>
        <v>#N/A</v>
      </c>
      <c r="S703" s="7">
        <f t="shared" si="153"/>
        <v>1271.55</v>
      </c>
      <c r="T703" s="7">
        <f t="shared" si="154"/>
        <v>0</v>
      </c>
    </row>
    <row r="704" spans="1:20" x14ac:dyDescent="0.25">
      <c r="A704" s="1">
        <v>42262</v>
      </c>
      <c r="B704">
        <v>1309</v>
      </c>
      <c r="C704">
        <v>1311.4</v>
      </c>
      <c r="D704">
        <v>1282</v>
      </c>
      <c r="E704">
        <v>1289.7</v>
      </c>
      <c r="F704">
        <v>1412808</v>
      </c>
      <c r="G704" s="4">
        <f t="shared" si="141"/>
        <v>0</v>
      </c>
      <c r="H704" s="4">
        <f t="shared" si="142"/>
        <v>17.649999999999864</v>
      </c>
      <c r="I704" s="6">
        <f t="shared" si="147"/>
        <v>4.5321428571428442</v>
      </c>
      <c r="J704" s="6">
        <f t="shared" si="148"/>
        <v>4.9749999999999899</v>
      </c>
      <c r="K704" s="4">
        <f t="shared" si="149"/>
        <v>0.91098348887293534</v>
      </c>
      <c r="L704">
        <f t="shared" si="150"/>
        <v>47.670924117205089</v>
      </c>
      <c r="M704" s="14" t="str">
        <f t="shared" si="143"/>
        <v/>
      </c>
      <c r="N704" s="7">
        <f t="shared" si="144"/>
        <v>0</v>
      </c>
      <c r="O704" s="7">
        <f t="shared" si="151"/>
        <v>0</v>
      </c>
      <c r="P704" s="7">
        <f t="shared" si="152"/>
        <v>1</v>
      </c>
      <c r="Q704" s="10" t="e">
        <f t="shared" si="145"/>
        <v>#N/A</v>
      </c>
      <c r="R704" s="10" t="e">
        <f t="shared" si="146"/>
        <v>#N/A</v>
      </c>
      <c r="S704" s="7">
        <f t="shared" si="153"/>
        <v>1271.55</v>
      </c>
      <c r="T704" s="7">
        <f t="shared" si="154"/>
        <v>0</v>
      </c>
    </row>
    <row r="705" spans="1:20" x14ac:dyDescent="0.25">
      <c r="A705" s="1">
        <v>42263</v>
      </c>
      <c r="B705">
        <v>1325.1</v>
      </c>
      <c r="C705">
        <v>1334.9</v>
      </c>
      <c r="D705">
        <v>1303</v>
      </c>
      <c r="E705">
        <v>1318.9</v>
      </c>
      <c r="F705">
        <v>2698671</v>
      </c>
      <c r="G705" s="4">
        <f t="shared" si="141"/>
        <v>29.200000000000045</v>
      </c>
      <c r="H705" s="4">
        <f t="shared" si="142"/>
        <v>0</v>
      </c>
      <c r="I705" s="6">
        <f t="shared" si="147"/>
        <v>6.1142857142857077</v>
      </c>
      <c r="J705" s="6">
        <f t="shared" si="148"/>
        <v>4.9749999999999899</v>
      </c>
      <c r="K705" s="4">
        <f t="shared" si="149"/>
        <v>1.2290021536252704</v>
      </c>
      <c r="L705">
        <f t="shared" si="150"/>
        <v>55.136876006441241</v>
      </c>
      <c r="M705" s="14" t="str">
        <f t="shared" si="143"/>
        <v/>
      </c>
      <c r="N705" s="7">
        <f t="shared" si="144"/>
        <v>0</v>
      </c>
      <c r="O705" s="7">
        <f t="shared" si="151"/>
        <v>0</v>
      </c>
      <c r="P705" s="7">
        <f t="shared" si="152"/>
        <v>1</v>
      </c>
      <c r="Q705" s="10" t="e">
        <f t="shared" si="145"/>
        <v>#N/A</v>
      </c>
      <c r="R705" s="10" t="e">
        <f t="shared" si="146"/>
        <v>#N/A</v>
      </c>
      <c r="S705" s="7">
        <f t="shared" si="153"/>
        <v>1271.55</v>
      </c>
      <c r="T705" s="7">
        <f t="shared" si="154"/>
        <v>0</v>
      </c>
    </row>
    <row r="706" spans="1:20" x14ac:dyDescent="0.25">
      <c r="A706" s="1">
        <v>42264</v>
      </c>
      <c r="B706">
        <v>1324</v>
      </c>
      <c r="C706">
        <v>1324</v>
      </c>
      <c r="D706">
        <v>1311.9</v>
      </c>
      <c r="E706">
        <v>1314.6</v>
      </c>
      <c r="F706">
        <v>568348</v>
      </c>
      <c r="G706" s="4">
        <f t="shared" si="141"/>
        <v>0</v>
      </c>
      <c r="H706" s="4">
        <f t="shared" si="142"/>
        <v>4.3000000000001819</v>
      </c>
      <c r="I706" s="6">
        <f t="shared" si="147"/>
        <v>4.7071428571428475</v>
      </c>
      <c r="J706" s="6">
        <f t="shared" si="148"/>
        <v>5.2821428571428601</v>
      </c>
      <c r="K706" s="4">
        <f t="shared" si="149"/>
        <v>0.89114266396213426</v>
      </c>
      <c r="L706">
        <f t="shared" si="150"/>
        <v>47.121916338934511</v>
      </c>
      <c r="M706" s="14" t="str">
        <f t="shared" si="143"/>
        <v/>
      </c>
      <c r="N706" s="7">
        <f t="shared" si="144"/>
        <v>0</v>
      </c>
      <c r="O706" s="7">
        <f t="shared" si="151"/>
        <v>0</v>
      </c>
      <c r="P706" s="7">
        <f t="shared" si="152"/>
        <v>1</v>
      </c>
      <c r="Q706" s="10" t="e">
        <f t="shared" si="145"/>
        <v>#N/A</v>
      </c>
      <c r="R706" s="10" t="e">
        <f t="shared" si="146"/>
        <v>#N/A</v>
      </c>
      <c r="S706" s="7">
        <f t="shared" si="153"/>
        <v>1271.55</v>
      </c>
      <c r="T706" s="7">
        <f t="shared" si="154"/>
        <v>0</v>
      </c>
    </row>
    <row r="707" spans="1:20" x14ac:dyDescent="0.25">
      <c r="A707" s="1">
        <v>42265</v>
      </c>
      <c r="B707">
        <v>1315</v>
      </c>
      <c r="C707">
        <v>1323.9</v>
      </c>
      <c r="D707">
        <v>1304.25</v>
      </c>
      <c r="E707">
        <v>1315.35</v>
      </c>
      <c r="F707">
        <v>1127235</v>
      </c>
      <c r="G707" s="4">
        <f t="shared" si="141"/>
        <v>0.75</v>
      </c>
      <c r="H707" s="4">
        <f t="shared" si="142"/>
        <v>0</v>
      </c>
      <c r="I707" s="6">
        <f t="shared" si="147"/>
        <v>4.7607142857142764</v>
      </c>
      <c r="J707" s="6">
        <f t="shared" si="148"/>
        <v>4.8892857142857178</v>
      </c>
      <c r="K707" s="4">
        <f t="shared" si="149"/>
        <v>0.97370343316288999</v>
      </c>
      <c r="L707">
        <f t="shared" si="150"/>
        <v>49.333826794966626</v>
      </c>
      <c r="M707" s="14" t="str">
        <f t="shared" si="143"/>
        <v/>
      </c>
      <c r="N707" s="7">
        <f t="shared" si="144"/>
        <v>0</v>
      </c>
      <c r="O707" s="7">
        <f t="shared" si="151"/>
        <v>0</v>
      </c>
      <c r="P707" s="7">
        <f t="shared" si="152"/>
        <v>1</v>
      </c>
      <c r="Q707" s="10" t="e">
        <f t="shared" si="145"/>
        <v>#N/A</v>
      </c>
      <c r="R707" s="10" t="e">
        <f t="shared" si="146"/>
        <v>#N/A</v>
      </c>
      <c r="S707" s="7">
        <f t="shared" si="153"/>
        <v>1271.55</v>
      </c>
      <c r="T707" s="7">
        <f t="shared" si="154"/>
        <v>0</v>
      </c>
    </row>
    <row r="708" spans="1:20" x14ac:dyDescent="0.25">
      <c r="A708" s="1">
        <v>42268</v>
      </c>
      <c r="B708">
        <v>1306.2</v>
      </c>
      <c r="C708">
        <v>1322</v>
      </c>
      <c r="D708">
        <v>1306.2</v>
      </c>
      <c r="E708">
        <v>1315.3</v>
      </c>
      <c r="F708">
        <v>523675</v>
      </c>
      <c r="G708" s="4">
        <f t="shared" ref="G708:G771" si="155">IF(E708&gt;E707,E708-E707,0)</f>
        <v>0</v>
      </c>
      <c r="H708" s="4">
        <f t="shared" ref="H708:H771" si="156">IF(E708&lt;E707,E707-E708,0)</f>
        <v>4.9999999999954525E-2</v>
      </c>
      <c r="I708" s="6">
        <f t="shared" si="147"/>
        <v>4.7607142857142764</v>
      </c>
      <c r="J708" s="6">
        <f t="shared" si="148"/>
        <v>3.9535714285714221</v>
      </c>
      <c r="K708" s="4">
        <f t="shared" si="149"/>
        <v>1.2041553748870819</v>
      </c>
      <c r="L708">
        <f t="shared" si="150"/>
        <v>54.631147540983598</v>
      </c>
      <c r="M708" s="14" t="str">
        <f t="shared" si="143"/>
        <v/>
      </c>
      <c r="N708" s="7">
        <f t="shared" si="144"/>
        <v>0</v>
      </c>
      <c r="O708" s="7">
        <f t="shared" si="151"/>
        <v>0</v>
      </c>
      <c r="P708" s="7">
        <f t="shared" si="152"/>
        <v>1</v>
      </c>
      <c r="Q708" s="10" t="e">
        <f t="shared" si="145"/>
        <v>#N/A</v>
      </c>
      <c r="R708" s="10" t="e">
        <f t="shared" si="146"/>
        <v>#N/A</v>
      </c>
      <c r="S708" s="7">
        <f t="shared" si="153"/>
        <v>1271.55</v>
      </c>
      <c r="T708" s="7">
        <f t="shared" si="154"/>
        <v>0</v>
      </c>
    </row>
    <row r="709" spans="1:20" x14ac:dyDescent="0.25">
      <c r="A709" s="1">
        <v>42269</v>
      </c>
      <c r="B709">
        <v>1311</v>
      </c>
      <c r="C709">
        <v>1319.8</v>
      </c>
      <c r="D709">
        <v>1300.8</v>
      </c>
      <c r="E709">
        <v>1308.4000000000001</v>
      </c>
      <c r="F709">
        <v>407814</v>
      </c>
      <c r="G709" s="4">
        <f t="shared" si="155"/>
        <v>0</v>
      </c>
      <c r="H709" s="4">
        <f t="shared" si="156"/>
        <v>6.8999999999998636</v>
      </c>
      <c r="I709" s="6">
        <f t="shared" si="147"/>
        <v>4.7607142857142764</v>
      </c>
      <c r="J709" s="6">
        <f t="shared" si="148"/>
        <v>3.6392857142857014</v>
      </c>
      <c r="K709" s="4">
        <f t="shared" si="149"/>
        <v>1.3081452404317979</v>
      </c>
      <c r="L709">
        <f t="shared" si="150"/>
        <v>56.675170068027242</v>
      </c>
      <c r="M709" s="14" t="str">
        <f t="shared" si="143"/>
        <v/>
      </c>
      <c r="N709" s="7">
        <f t="shared" si="144"/>
        <v>0</v>
      </c>
      <c r="O709" s="7">
        <f t="shared" si="151"/>
        <v>0</v>
      </c>
      <c r="P709" s="7">
        <f t="shared" si="152"/>
        <v>1</v>
      </c>
      <c r="Q709" s="10" t="e">
        <f t="shared" si="145"/>
        <v>#N/A</v>
      </c>
      <c r="R709" s="10" t="e">
        <f t="shared" si="146"/>
        <v>#N/A</v>
      </c>
      <c r="S709" s="7">
        <f t="shared" si="153"/>
        <v>1271.55</v>
      </c>
      <c r="T709" s="7">
        <f t="shared" si="154"/>
        <v>0</v>
      </c>
    </row>
    <row r="710" spans="1:20" x14ac:dyDescent="0.25">
      <c r="A710" s="1">
        <v>42270</v>
      </c>
      <c r="B710">
        <v>1304.4000000000001</v>
      </c>
      <c r="C710">
        <v>1322</v>
      </c>
      <c r="D710">
        <v>1304.4000000000001</v>
      </c>
      <c r="E710">
        <v>1311.5</v>
      </c>
      <c r="F710">
        <v>402634</v>
      </c>
      <c r="G710" s="4">
        <f t="shared" si="155"/>
        <v>3.0999999999999091</v>
      </c>
      <c r="H710" s="4">
        <f t="shared" si="156"/>
        <v>0</v>
      </c>
      <c r="I710" s="6">
        <f t="shared" si="147"/>
        <v>4.8285714285714221</v>
      </c>
      <c r="J710" s="6">
        <f t="shared" si="148"/>
        <v>3.6392857142857014</v>
      </c>
      <c r="K710" s="4">
        <f t="shared" si="149"/>
        <v>1.3267909715407291</v>
      </c>
      <c r="L710">
        <f t="shared" si="150"/>
        <v>57.022353437368253</v>
      </c>
      <c r="M710" s="14" t="str">
        <f t="shared" si="143"/>
        <v/>
      </c>
      <c r="N710" s="7">
        <f t="shared" si="144"/>
        <v>0</v>
      </c>
      <c r="O710" s="7">
        <f t="shared" si="151"/>
        <v>0</v>
      </c>
      <c r="P710" s="7">
        <f t="shared" si="152"/>
        <v>1</v>
      </c>
      <c r="Q710" s="10" t="e">
        <f t="shared" si="145"/>
        <v>#N/A</v>
      </c>
      <c r="R710" s="10" t="e">
        <f t="shared" si="146"/>
        <v>#N/A</v>
      </c>
      <c r="S710" s="7">
        <f t="shared" si="153"/>
        <v>1271.55</v>
      </c>
      <c r="T710" s="7">
        <f t="shared" si="154"/>
        <v>0</v>
      </c>
    </row>
    <row r="711" spans="1:20" x14ac:dyDescent="0.25">
      <c r="A711" s="1">
        <v>42271</v>
      </c>
      <c r="B711">
        <v>1309.0999999999999</v>
      </c>
      <c r="C711">
        <v>1316.8</v>
      </c>
      <c r="D711">
        <v>1304</v>
      </c>
      <c r="E711">
        <v>1315.5</v>
      </c>
      <c r="F711">
        <v>499768</v>
      </c>
      <c r="G711" s="4">
        <f t="shared" si="155"/>
        <v>4</v>
      </c>
      <c r="H711" s="4">
        <f t="shared" si="156"/>
        <v>0</v>
      </c>
      <c r="I711" s="6">
        <f t="shared" si="147"/>
        <v>5.1142857142857077</v>
      </c>
      <c r="J711" s="6">
        <f t="shared" si="148"/>
        <v>3.2464285714285586</v>
      </c>
      <c r="K711" s="4">
        <f t="shared" si="149"/>
        <v>1.5753575357535796</v>
      </c>
      <c r="L711">
        <f t="shared" si="150"/>
        <v>61.170439982913351</v>
      </c>
      <c r="M711" s="14" t="str">
        <f t="shared" si="143"/>
        <v/>
      </c>
      <c r="N711" s="7">
        <f t="shared" si="144"/>
        <v>0</v>
      </c>
      <c r="O711" s="7">
        <f t="shared" si="151"/>
        <v>0</v>
      </c>
      <c r="P711" s="7">
        <f t="shared" si="152"/>
        <v>1</v>
      </c>
      <c r="Q711" s="10" t="e">
        <f t="shared" si="145"/>
        <v>#N/A</v>
      </c>
      <c r="R711" s="10" t="e">
        <f t="shared" si="146"/>
        <v>#N/A</v>
      </c>
      <c r="S711" s="7">
        <f t="shared" si="153"/>
        <v>1271.55</v>
      </c>
      <c r="T711" s="7">
        <f t="shared" si="154"/>
        <v>0</v>
      </c>
    </row>
    <row r="712" spans="1:20" x14ac:dyDescent="0.25">
      <c r="A712" s="1">
        <v>42272</v>
      </c>
      <c r="B712">
        <v>1314.9</v>
      </c>
      <c r="C712">
        <v>1320.35</v>
      </c>
      <c r="D712">
        <v>1310.2</v>
      </c>
      <c r="E712">
        <v>1315.25</v>
      </c>
      <c r="F712">
        <v>789884</v>
      </c>
      <c r="G712" s="4">
        <f t="shared" si="155"/>
        <v>0</v>
      </c>
      <c r="H712" s="4">
        <f t="shared" si="156"/>
        <v>0.25</v>
      </c>
      <c r="I712" s="6">
        <f t="shared" si="147"/>
        <v>5.1071428571428408</v>
      </c>
      <c r="J712" s="6">
        <f t="shared" si="148"/>
        <v>3.2642857142857014</v>
      </c>
      <c r="K712" s="4">
        <f t="shared" si="149"/>
        <v>1.5645514223194761</v>
      </c>
      <c r="L712">
        <f t="shared" si="150"/>
        <v>61.006825938566571</v>
      </c>
      <c r="M712" s="14" t="str">
        <f t="shared" si="143"/>
        <v/>
      </c>
      <c r="N712" s="7">
        <f t="shared" si="144"/>
        <v>0</v>
      </c>
      <c r="O712" s="7">
        <f t="shared" si="151"/>
        <v>0</v>
      </c>
      <c r="P712" s="7">
        <f t="shared" si="152"/>
        <v>1</v>
      </c>
      <c r="Q712" s="10" t="e">
        <f t="shared" si="145"/>
        <v>#N/A</v>
      </c>
      <c r="R712" s="10" t="e">
        <f t="shared" si="146"/>
        <v>#N/A</v>
      </c>
      <c r="S712" s="7">
        <f t="shared" si="153"/>
        <v>1271.55</v>
      </c>
      <c r="T712" s="7">
        <f t="shared" si="154"/>
        <v>0</v>
      </c>
    </row>
    <row r="713" spans="1:20" x14ac:dyDescent="0.25">
      <c r="A713" s="1">
        <v>42275</v>
      </c>
      <c r="B713">
        <v>1324.9</v>
      </c>
      <c r="C713">
        <v>1338</v>
      </c>
      <c r="D713">
        <v>1318.4</v>
      </c>
      <c r="E713">
        <v>1331.2</v>
      </c>
      <c r="F713">
        <v>836987</v>
      </c>
      <c r="G713" s="4">
        <f t="shared" si="155"/>
        <v>15.950000000000045</v>
      </c>
      <c r="H713" s="4">
        <f t="shared" si="156"/>
        <v>0</v>
      </c>
      <c r="I713" s="6">
        <f t="shared" si="147"/>
        <v>5.6035714285714153</v>
      </c>
      <c r="J713" s="6">
        <f t="shared" si="148"/>
        <v>3.2642857142857014</v>
      </c>
      <c r="K713" s="4">
        <f t="shared" si="149"/>
        <v>1.7166301969365454</v>
      </c>
      <c r="L713">
        <f t="shared" si="150"/>
        <v>63.189689891260613</v>
      </c>
      <c r="M713" s="14" t="str">
        <f t="shared" si="143"/>
        <v/>
      </c>
      <c r="N713" s="7">
        <f t="shared" si="144"/>
        <v>0</v>
      </c>
      <c r="O713" s="7">
        <f t="shared" si="151"/>
        <v>0</v>
      </c>
      <c r="P713" s="7">
        <f t="shared" si="152"/>
        <v>1</v>
      </c>
      <c r="Q713" s="10" t="e">
        <f t="shared" si="145"/>
        <v>#N/A</v>
      </c>
      <c r="R713" s="10" t="e">
        <f t="shared" si="146"/>
        <v>#N/A</v>
      </c>
      <c r="S713" s="7">
        <f t="shared" si="153"/>
        <v>1271.55</v>
      </c>
      <c r="T713" s="7">
        <f t="shared" si="154"/>
        <v>0</v>
      </c>
    </row>
    <row r="714" spans="1:20" x14ac:dyDescent="0.25">
      <c r="A714" s="1">
        <v>42276</v>
      </c>
      <c r="B714">
        <v>1335.9</v>
      </c>
      <c r="C714">
        <v>1343.35</v>
      </c>
      <c r="D714">
        <v>1325.3</v>
      </c>
      <c r="E714">
        <v>1329.6</v>
      </c>
      <c r="F714">
        <v>611913</v>
      </c>
      <c r="G714" s="4">
        <f t="shared" si="155"/>
        <v>0</v>
      </c>
      <c r="H714" s="4">
        <f t="shared" si="156"/>
        <v>1.6000000000001364</v>
      </c>
      <c r="I714" s="6">
        <f t="shared" si="147"/>
        <v>5.6035714285714153</v>
      </c>
      <c r="J714" s="6">
        <f t="shared" si="148"/>
        <v>3.1071428571428572</v>
      </c>
      <c r="K714" s="4">
        <f t="shared" si="149"/>
        <v>1.8034482758620647</v>
      </c>
      <c r="L714">
        <f t="shared" si="150"/>
        <v>64.32964329643292</v>
      </c>
      <c r="M714" s="14" t="str">
        <f t="shared" si="143"/>
        <v/>
      </c>
      <c r="N714" s="7">
        <f t="shared" si="144"/>
        <v>0</v>
      </c>
      <c r="O714" s="7">
        <f t="shared" si="151"/>
        <v>0</v>
      </c>
      <c r="P714" s="7">
        <f t="shared" si="152"/>
        <v>1</v>
      </c>
      <c r="Q714" s="10" t="e">
        <f t="shared" si="145"/>
        <v>#N/A</v>
      </c>
      <c r="R714" s="10" t="e">
        <f t="shared" si="146"/>
        <v>#N/A</v>
      </c>
      <c r="S714" s="7">
        <f t="shared" si="153"/>
        <v>1271.55</v>
      </c>
      <c r="T714" s="7">
        <f t="shared" si="154"/>
        <v>0</v>
      </c>
    </row>
    <row r="715" spans="1:20" x14ac:dyDescent="0.25">
      <c r="A715" s="1">
        <v>42277</v>
      </c>
      <c r="B715">
        <v>1325</v>
      </c>
      <c r="C715">
        <v>1337.4</v>
      </c>
      <c r="D715">
        <v>1319.45</v>
      </c>
      <c r="E715">
        <v>1320.55</v>
      </c>
      <c r="F715">
        <v>648733</v>
      </c>
      <c r="G715" s="4">
        <f t="shared" si="155"/>
        <v>0</v>
      </c>
      <c r="H715" s="4">
        <f t="shared" si="156"/>
        <v>9.0499999999999545</v>
      </c>
      <c r="I715" s="6">
        <f t="shared" si="147"/>
        <v>5.5142857142857009</v>
      </c>
      <c r="J715" s="6">
        <f t="shared" si="148"/>
        <v>3.7535714285714255</v>
      </c>
      <c r="K715" s="4">
        <f t="shared" si="149"/>
        <v>1.4690770694576569</v>
      </c>
      <c r="L715">
        <f t="shared" si="150"/>
        <v>59.499036608863157</v>
      </c>
      <c r="M715" s="14" t="str">
        <f t="shared" si="143"/>
        <v/>
      </c>
      <c r="N715" s="7">
        <f t="shared" si="144"/>
        <v>0</v>
      </c>
      <c r="O715" s="7">
        <f t="shared" si="151"/>
        <v>0</v>
      </c>
      <c r="P715" s="7">
        <f t="shared" si="152"/>
        <v>1</v>
      </c>
      <c r="Q715" s="10" t="e">
        <f t="shared" si="145"/>
        <v>#N/A</v>
      </c>
      <c r="R715" s="10" t="e">
        <f t="shared" si="146"/>
        <v>#N/A</v>
      </c>
      <c r="S715" s="7">
        <f t="shared" si="153"/>
        <v>1271.55</v>
      </c>
      <c r="T715" s="7">
        <f t="shared" si="154"/>
        <v>0</v>
      </c>
    </row>
    <row r="716" spans="1:20" x14ac:dyDescent="0.25">
      <c r="A716" s="1">
        <v>42278</v>
      </c>
      <c r="B716">
        <v>1325</v>
      </c>
      <c r="C716">
        <v>1333.35</v>
      </c>
      <c r="D716">
        <v>1321.5</v>
      </c>
      <c r="E716">
        <v>1331.5</v>
      </c>
      <c r="F716">
        <v>529195</v>
      </c>
      <c r="G716" s="4">
        <f t="shared" si="155"/>
        <v>10.950000000000045</v>
      </c>
      <c r="H716" s="4">
        <f t="shared" si="156"/>
        <v>0</v>
      </c>
      <c r="I716" s="6">
        <f t="shared" si="147"/>
        <v>6.2964285714285619</v>
      </c>
      <c r="J716" s="6">
        <f t="shared" si="148"/>
        <v>2.8428571428571394</v>
      </c>
      <c r="K716" s="4">
        <f t="shared" si="149"/>
        <v>2.2148241206030144</v>
      </c>
      <c r="L716">
        <f t="shared" si="150"/>
        <v>68.89409925752247</v>
      </c>
      <c r="M716" s="14" t="str">
        <f t="shared" si="143"/>
        <v/>
      </c>
      <c r="N716" s="7">
        <f t="shared" si="144"/>
        <v>0</v>
      </c>
      <c r="O716" s="7">
        <f t="shared" si="151"/>
        <v>0</v>
      </c>
      <c r="P716" s="7">
        <f t="shared" si="152"/>
        <v>1</v>
      </c>
      <c r="Q716" s="10" t="e">
        <f t="shared" si="145"/>
        <v>#N/A</v>
      </c>
      <c r="R716" s="10" t="e">
        <f t="shared" si="146"/>
        <v>#N/A</v>
      </c>
      <c r="S716" s="7">
        <f t="shared" si="153"/>
        <v>1271.55</v>
      </c>
      <c r="T716" s="7">
        <f t="shared" si="154"/>
        <v>0</v>
      </c>
    </row>
    <row r="717" spans="1:20" x14ac:dyDescent="0.25">
      <c r="A717" s="1">
        <v>42279</v>
      </c>
      <c r="B717">
        <v>1324</v>
      </c>
      <c r="C717">
        <v>1334.7</v>
      </c>
      <c r="D717">
        <v>1316.6</v>
      </c>
      <c r="E717">
        <v>1331.2</v>
      </c>
      <c r="F717">
        <v>619522</v>
      </c>
      <c r="G717" s="4">
        <f t="shared" si="155"/>
        <v>0</v>
      </c>
      <c r="H717" s="4">
        <f t="shared" si="156"/>
        <v>0.29999999999995453</v>
      </c>
      <c r="I717" s="6">
        <f t="shared" si="147"/>
        <v>4.5678571428571457</v>
      </c>
      <c r="J717" s="6">
        <f t="shared" si="148"/>
        <v>2.8642857142857077</v>
      </c>
      <c r="K717" s="4">
        <f t="shared" si="149"/>
        <v>1.5947630922693314</v>
      </c>
      <c r="L717">
        <f t="shared" si="150"/>
        <v>61.460836136472913</v>
      </c>
      <c r="M717" s="14" t="str">
        <f t="shared" si="143"/>
        <v/>
      </c>
      <c r="N717" s="7">
        <f t="shared" si="144"/>
        <v>0</v>
      </c>
      <c r="O717" s="7">
        <f t="shared" si="151"/>
        <v>0</v>
      </c>
      <c r="P717" s="7">
        <f t="shared" si="152"/>
        <v>1</v>
      </c>
      <c r="Q717" s="10" t="e">
        <f t="shared" si="145"/>
        <v>#N/A</v>
      </c>
      <c r="R717" s="10" t="e">
        <f t="shared" si="146"/>
        <v>#N/A</v>
      </c>
      <c r="S717" s="7">
        <f t="shared" si="153"/>
        <v>1271.55</v>
      </c>
      <c r="T717" s="7">
        <f t="shared" si="154"/>
        <v>0</v>
      </c>
    </row>
    <row r="718" spans="1:20" x14ac:dyDescent="0.25">
      <c r="A718" s="1">
        <v>42282</v>
      </c>
      <c r="B718">
        <v>1330</v>
      </c>
      <c r="C718">
        <v>1333.25</v>
      </c>
      <c r="D718">
        <v>1320.9</v>
      </c>
      <c r="E718">
        <v>1324.95</v>
      </c>
      <c r="F718">
        <v>355691</v>
      </c>
      <c r="G718" s="4">
        <f t="shared" si="155"/>
        <v>0</v>
      </c>
      <c r="H718" s="4">
        <f t="shared" si="156"/>
        <v>6.25</v>
      </c>
      <c r="I718" s="6">
        <f t="shared" si="147"/>
        <v>4.5678571428571457</v>
      </c>
      <c r="J718" s="6">
        <f t="shared" si="148"/>
        <v>2.0500000000000034</v>
      </c>
      <c r="K718" s="4">
        <f t="shared" si="149"/>
        <v>2.2282229965156772</v>
      </c>
      <c r="L718">
        <f t="shared" si="150"/>
        <v>69.023205612520215</v>
      </c>
      <c r="M718" s="14" t="str">
        <f t="shared" si="143"/>
        <v/>
      </c>
      <c r="N718" s="7">
        <f t="shared" si="144"/>
        <v>0</v>
      </c>
      <c r="O718" s="7">
        <f t="shared" si="151"/>
        <v>0</v>
      </c>
      <c r="P718" s="7">
        <f t="shared" si="152"/>
        <v>1</v>
      </c>
      <c r="Q718" s="10" t="e">
        <f t="shared" si="145"/>
        <v>#N/A</v>
      </c>
      <c r="R718" s="10" t="e">
        <f t="shared" si="146"/>
        <v>#N/A</v>
      </c>
      <c r="S718" s="7">
        <f t="shared" si="153"/>
        <v>1271.55</v>
      </c>
      <c r="T718" s="7">
        <f t="shared" si="154"/>
        <v>0</v>
      </c>
    </row>
    <row r="719" spans="1:20" x14ac:dyDescent="0.25">
      <c r="A719" s="1">
        <v>42283</v>
      </c>
      <c r="B719">
        <v>1320</v>
      </c>
      <c r="C719">
        <v>1348</v>
      </c>
      <c r="D719">
        <v>1320</v>
      </c>
      <c r="E719">
        <v>1334.5</v>
      </c>
      <c r="F719">
        <v>733391</v>
      </c>
      <c r="G719" s="4">
        <f t="shared" si="155"/>
        <v>9.5499999999999545</v>
      </c>
      <c r="H719" s="4">
        <f t="shared" si="156"/>
        <v>0</v>
      </c>
      <c r="I719" s="6">
        <f t="shared" si="147"/>
        <v>3.164285714285711</v>
      </c>
      <c r="J719" s="6">
        <f t="shared" si="148"/>
        <v>2.0500000000000034</v>
      </c>
      <c r="K719" s="4">
        <f t="shared" si="149"/>
        <v>1.5435540069686371</v>
      </c>
      <c r="L719">
        <f t="shared" si="150"/>
        <v>60.684931506849253</v>
      </c>
      <c r="M719" s="14" t="str">
        <f t="shared" si="143"/>
        <v/>
      </c>
      <c r="N719" s="7">
        <f t="shared" si="144"/>
        <v>0</v>
      </c>
      <c r="O719" s="7">
        <f t="shared" si="151"/>
        <v>0</v>
      </c>
      <c r="P719" s="7">
        <f t="shared" si="152"/>
        <v>1</v>
      </c>
      <c r="Q719" s="10" t="e">
        <f t="shared" si="145"/>
        <v>#N/A</v>
      </c>
      <c r="R719" s="10" t="e">
        <f t="shared" si="146"/>
        <v>#N/A</v>
      </c>
      <c r="S719" s="7">
        <f t="shared" si="153"/>
        <v>1271.55</v>
      </c>
      <c r="T719" s="7">
        <f t="shared" si="154"/>
        <v>0</v>
      </c>
    </row>
    <row r="720" spans="1:20" x14ac:dyDescent="0.25">
      <c r="A720" s="1">
        <v>42284</v>
      </c>
      <c r="B720">
        <v>1335.15</v>
      </c>
      <c r="C720">
        <v>1337.2</v>
      </c>
      <c r="D720">
        <v>1322.05</v>
      </c>
      <c r="E720">
        <v>1325.3</v>
      </c>
      <c r="F720">
        <v>71507</v>
      </c>
      <c r="G720" s="4">
        <f t="shared" si="155"/>
        <v>0</v>
      </c>
      <c r="H720" s="4">
        <f t="shared" si="156"/>
        <v>9.2000000000000455</v>
      </c>
      <c r="I720" s="6">
        <f t="shared" si="147"/>
        <v>3.164285714285711</v>
      </c>
      <c r="J720" s="6">
        <f t="shared" si="148"/>
        <v>2.3999999999999937</v>
      </c>
      <c r="K720" s="4">
        <f t="shared" si="149"/>
        <v>1.3184523809523832</v>
      </c>
      <c r="L720">
        <f t="shared" si="150"/>
        <v>56.867779204107869</v>
      </c>
      <c r="M720" s="14" t="str">
        <f t="shared" ref="M720:M783" si="157">IF(L720&gt;RSI_Overbought,"OVERBOUGHT",IF(L720&lt;RSI_Oversold,"OVERSOLD",""))</f>
        <v/>
      </c>
      <c r="N720" s="7">
        <f t="shared" ref="N720:N783" si="158">IF(L720&gt;RSI_Overbought,"SELL",IF(L720&lt;RSI_Oversold,"BUY",0))</f>
        <v>0</v>
      </c>
      <c r="O720" s="7">
        <f t="shared" si="151"/>
        <v>0</v>
      </c>
      <c r="P720" s="7">
        <f t="shared" si="152"/>
        <v>1</v>
      </c>
      <c r="Q720" s="10" t="e">
        <f t="shared" ref="Q720:Q783" si="159">IF($O720="BUY",$E720,NA())</f>
        <v>#N/A</v>
      </c>
      <c r="R720" s="10" t="e">
        <f t="shared" ref="R720:R783" si="160">IF($O720="SELL",$E720,NA())</f>
        <v>#N/A</v>
      </c>
      <c r="S720" s="7">
        <f t="shared" si="153"/>
        <v>1271.55</v>
      </c>
      <c r="T720" s="7">
        <f t="shared" si="154"/>
        <v>0</v>
      </c>
    </row>
    <row r="721" spans="1:20" x14ac:dyDescent="0.25">
      <c r="A721" s="1">
        <v>42285</v>
      </c>
      <c r="B721">
        <v>1320.1</v>
      </c>
      <c r="C721">
        <v>1322</v>
      </c>
      <c r="D721">
        <v>1291</v>
      </c>
      <c r="E721">
        <v>1294.1500000000001</v>
      </c>
      <c r="F721">
        <v>867701</v>
      </c>
      <c r="G721" s="4">
        <f t="shared" si="155"/>
        <v>0</v>
      </c>
      <c r="H721" s="4">
        <f t="shared" si="156"/>
        <v>31.149999999999864</v>
      </c>
      <c r="I721" s="6">
        <f t="shared" ref="I721:I784" si="161">AVERAGE(G708:G721)</f>
        <v>3.1107142857142827</v>
      </c>
      <c r="J721" s="6">
        <f t="shared" ref="J721:J784" si="162">AVERAGE(H708:H721)</f>
        <v>4.624999999999984</v>
      </c>
      <c r="K721" s="4">
        <f t="shared" ref="K721:K784" si="163">I721/J721</f>
        <v>0.67258687258687422</v>
      </c>
      <c r="L721">
        <f t="shared" ref="L721:L784" si="164">100-(100/(K721+1))</f>
        <v>40.212373037857859</v>
      </c>
      <c r="M721" s="14" t="str">
        <f t="shared" si="157"/>
        <v/>
      </c>
      <c r="N721" s="7">
        <f t="shared" si="158"/>
        <v>0</v>
      </c>
      <c r="O721" s="7">
        <f t="shared" ref="O721:O784" si="165">IF(AND(N721="BUY",P720&lt;&gt;1),"BUY",IF(AND(N721="SELL",P720&lt;&gt;-1),"SELL",0))</f>
        <v>0</v>
      </c>
      <c r="P721" s="7">
        <f t="shared" ref="P721:P784" si="166">IF(O721="BUY",1,IF(O721="SELL",-1,P720))</f>
        <v>1</v>
      </c>
      <c r="Q721" s="10" t="e">
        <f t="shared" si="159"/>
        <v>#N/A</v>
      </c>
      <c r="R721" s="10" t="e">
        <f t="shared" si="160"/>
        <v>#N/A</v>
      </c>
      <c r="S721" s="7">
        <f t="shared" ref="S721:S784" si="167">IF(O721&lt;&gt;0,E721,S720)</f>
        <v>1271.55</v>
      </c>
      <c r="T721" s="7">
        <f t="shared" si="154"/>
        <v>0</v>
      </c>
    </row>
    <row r="722" spans="1:20" x14ac:dyDescent="0.25">
      <c r="A722" s="1">
        <v>42286</v>
      </c>
      <c r="B722">
        <v>1299.8</v>
      </c>
      <c r="C722">
        <v>1306.8</v>
      </c>
      <c r="D722">
        <v>1280.0999999999999</v>
      </c>
      <c r="E722">
        <v>1286.8</v>
      </c>
      <c r="F722">
        <v>799445</v>
      </c>
      <c r="G722" s="4">
        <f t="shared" si="155"/>
        <v>0</v>
      </c>
      <c r="H722" s="4">
        <f t="shared" si="156"/>
        <v>7.3500000000001364</v>
      </c>
      <c r="I722" s="6">
        <f t="shared" si="161"/>
        <v>3.1107142857142827</v>
      </c>
      <c r="J722" s="6">
        <f t="shared" si="162"/>
        <v>5.1464285714285678</v>
      </c>
      <c r="K722" s="4">
        <f t="shared" si="163"/>
        <v>0.60444136016655081</v>
      </c>
      <c r="L722">
        <f t="shared" si="164"/>
        <v>37.673010380622827</v>
      </c>
      <c r="M722" s="14" t="str">
        <f t="shared" si="157"/>
        <v/>
      </c>
      <c r="N722" s="7">
        <f t="shared" si="158"/>
        <v>0</v>
      </c>
      <c r="O722" s="7">
        <f t="shared" si="165"/>
        <v>0</v>
      </c>
      <c r="P722" s="7">
        <f t="shared" si="166"/>
        <v>1</v>
      </c>
      <c r="Q722" s="10" t="e">
        <f t="shared" si="159"/>
        <v>#N/A</v>
      </c>
      <c r="R722" s="10" t="e">
        <f t="shared" si="160"/>
        <v>#N/A</v>
      </c>
      <c r="S722" s="7">
        <f t="shared" si="167"/>
        <v>1271.55</v>
      </c>
      <c r="T722" s="7">
        <f t="shared" si="154"/>
        <v>0</v>
      </c>
    </row>
    <row r="723" spans="1:20" x14ac:dyDescent="0.25">
      <c r="A723" s="1">
        <v>42289</v>
      </c>
      <c r="B723">
        <v>1290.0999999999999</v>
      </c>
      <c r="C723">
        <v>1295</v>
      </c>
      <c r="D723">
        <v>1258.5</v>
      </c>
      <c r="E723">
        <v>1262.3499999999999</v>
      </c>
      <c r="F723">
        <v>838143</v>
      </c>
      <c r="G723" s="4">
        <f t="shared" si="155"/>
        <v>0</v>
      </c>
      <c r="H723" s="4">
        <f t="shared" si="156"/>
        <v>24.450000000000045</v>
      </c>
      <c r="I723" s="6">
        <f t="shared" si="161"/>
        <v>3.1107142857142827</v>
      </c>
      <c r="J723" s="6">
        <f t="shared" si="162"/>
        <v>6.4000000000000101</v>
      </c>
      <c r="K723" s="4">
        <f t="shared" si="163"/>
        <v>0.48604910714285587</v>
      </c>
      <c r="L723">
        <f t="shared" si="164"/>
        <v>32.707472775065654</v>
      </c>
      <c r="M723" s="14" t="str">
        <f t="shared" si="157"/>
        <v/>
      </c>
      <c r="N723" s="7">
        <f t="shared" si="158"/>
        <v>0</v>
      </c>
      <c r="O723" s="7">
        <f t="shared" si="165"/>
        <v>0</v>
      </c>
      <c r="P723" s="7">
        <f t="shared" si="166"/>
        <v>1</v>
      </c>
      <c r="Q723" s="10" t="e">
        <f t="shared" si="159"/>
        <v>#N/A</v>
      </c>
      <c r="R723" s="10" t="e">
        <f t="shared" si="160"/>
        <v>#N/A</v>
      </c>
      <c r="S723" s="7">
        <f t="shared" si="167"/>
        <v>1271.55</v>
      </c>
      <c r="T723" s="7">
        <f t="shared" si="154"/>
        <v>0</v>
      </c>
    </row>
    <row r="724" spans="1:20" x14ac:dyDescent="0.25">
      <c r="A724" s="1">
        <v>42290</v>
      </c>
      <c r="B724">
        <v>1275</v>
      </c>
      <c r="C724">
        <v>1282.9000000000001</v>
      </c>
      <c r="D724">
        <v>1256.05</v>
      </c>
      <c r="E724">
        <v>1272.8</v>
      </c>
      <c r="F724">
        <v>628020</v>
      </c>
      <c r="G724" s="4">
        <f t="shared" si="155"/>
        <v>10.450000000000045</v>
      </c>
      <c r="H724" s="4">
        <f t="shared" si="156"/>
        <v>0</v>
      </c>
      <c r="I724" s="6">
        <f t="shared" si="161"/>
        <v>3.6357142857142923</v>
      </c>
      <c r="J724" s="6">
        <f t="shared" si="162"/>
        <v>6.4000000000000101</v>
      </c>
      <c r="K724" s="4">
        <f t="shared" si="163"/>
        <v>0.56808035714285732</v>
      </c>
      <c r="L724">
        <f t="shared" si="164"/>
        <v>36.227758007117437</v>
      </c>
      <c r="M724" s="14" t="str">
        <f t="shared" si="157"/>
        <v/>
      </c>
      <c r="N724" s="7">
        <f t="shared" si="158"/>
        <v>0</v>
      </c>
      <c r="O724" s="7">
        <f t="shared" si="165"/>
        <v>0</v>
      </c>
      <c r="P724" s="7">
        <f t="shared" si="166"/>
        <v>1</v>
      </c>
      <c r="Q724" s="10" t="e">
        <f t="shared" si="159"/>
        <v>#N/A</v>
      </c>
      <c r="R724" s="10" t="e">
        <f t="shared" si="160"/>
        <v>#N/A</v>
      </c>
      <c r="S724" s="7">
        <f t="shared" si="167"/>
        <v>1271.55</v>
      </c>
      <c r="T724" s="7">
        <f t="shared" si="154"/>
        <v>0</v>
      </c>
    </row>
    <row r="725" spans="1:20" x14ac:dyDescent="0.25">
      <c r="A725" s="1">
        <v>42291</v>
      </c>
      <c r="B725">
        <v>1276.25</v>
      </c>
      <c r="C725">
        <v>1294.7</v>
      </c>
      <c r="D725">
        <v>1276.25</v>
      </c>
      <c r="E725">
        <v>1282.2</v>
      </c>
      <c r="F725">
        <v>470872</v>
      </c>
      <c r="G725" s="4">
        <f t="shared" si="155"/>
        <v>9.4000000000000909</v>
      </c>
      <c r="H725" s="4">
        <f t="shared" si="156"/>
        <v>0</v>
      </c>
      <c r="I725" s="6">
        <f t="shared" si="161"/>
        <v>4.0214285714285847</v>
      </c>
      <c r="J725" s="6">
        <f t="shared" si="162"/>
        <v>6.4000000000000101</v>
      </c>
      <c r="K725" s="4">
        <f t="shared" si="163"/>
        <v>0.62834821428571541</v>
      </c>
      <c r="L725">
        <f t="shared" si="164"/>
        <v>38.588074023303669</v>
      </c>
      <c r="M725" s="14" t="str">
        <f t="shared" si="157"/>
        <v/>
      </c>
      <c r="N725" s="7">
        <f t="shared" si="158"/>
        <v>0</v>
      </c>
      <c r="O725" s="7">
        <f t="shared" si="165"/>
        <v>0</v>
      </c>
      <c r="P725" s="7">
        <f t="shared" si="166"/>
        <v>1</v>
      </c>
      <c r="Q725" s="10" t="e">
        <f t="shared" si="159"/>
        <v>#N/A</v>
      </c>
      <c r="R725" s="10" t="e">
        <f t="shared" si="160"/>
        <v>#N/A</v>
      </c>
      <c r="S725" s="7">
        <f t="shared" si="167"/>
        <v>1271.55</v>
      </c>
      <c r="T725" s="7">
        <f t="shared" si="154"/>
        <v>0</v>
      </c>
    </row>
    <row r="726" spans="1:20" x14ac:dyDescent="0.25">
      <c r="A726" s="1">
        <v>42292</v>
      </c>
      <c r="B726">
        <v>1282.0999999999999</v>
      </c>
      <c r="C726">
        <v>1284.0999999999999</v>
      </c>
      <c r="D726">
        <v>1271</v>
      </c>
      <c r="E726">
        <v>1276.45</v>
      </c>
      <c r="F726">
        <v>305812</v>
      </c>
      <c r="G726" s="4">
        <f t="shared" si="155"/>
        <v>0</v>
      </c>
      <c r="H726" s="4">
        <f t="shared" si="156"/>
        <v>5.75</v>
      </c>
      <c r="I726" s="6">
        <f t="shared" si="161"/>
        <v>4.0214285714285847</v>
      </c>
      <c r="J726" s="6">
        <f t="shared" si="162"/>
        <v>6.7928571428571525</v>
      </c>
      <c r="K726" s="4">
        <f t="shared" si="163"/>
        <v>0.59200841219768774</v>
      </c>
      <c r="L726">
        <f t="shared" si="164"/>
        <v>37.186261558784722</v>
      </c>
      <c r="M726" s="14" t="str">
        <f t="shared" si="157"/>
        <v/>
      </c>
      <c r="N726" s="7">
        <f t="shared" si="158"/>
        <v>0</v>
      </c>
      <c r="O726" s="7">
        <f t="shared" si="165"/>
        <v>0</v>
      </c>
      <c r="P726" s="7">
        <f t="shared" si="166"/>
        <v>1</v>
      </c>
      <c r="Q726" s="10" t="e">
        <f t="shared" si="159"/>
        <v>#N/A</v>
      </c>
      <c r="R726" s="10" t="e">
        <f t="shared" si="160"/>
        <v>#N/A</v>
      </c>
      <c r="S726" s="7">
        <f t="shared" si="167"/>
        <v>1271.55</v>
      </c>
      <c r="T726" s="7">
        <f t="shared" si="154"/>
        <v>0</v>
      </c>
    </row>
    <row r="727" spans="1:20" x14ac:dyDescent="0.25">
      <c r="A727" s="1">
        <v>42293</v>
      </c>
      <c r="B727">
        <v>1282</v>
      </c>
      <c r="C727">
        <v>1291.4000000000001</v>
      </c>
      <c r="D727">
        <v>1271.25</v>
      </c>
      <c r="E727">
        <v>1288.5999999999999</v>
      </c>
      <c r="F727">
        <v>374838</v>
      </c>
      <c r="G727" s="4">
        <f t="shared" si="155"/>
        <v>12.149999999999864</v>
      </c>
      <c r="H727" s="4">
        <f t="shared" si="156"/>
        <v>0</v>
      </c>
      <c r="I727" s="6">
        <f t="shared" si="161"/>
        <v>3.75</v>
      </c>
      <c r="J727" s="6">
        <f t="shared" si="162"/>
        <v>6.7928571428571525</v>
      </c>
      <c r="K727" s="4">
        <f t="shared" si="163"/>
        <v>0.55205047318611911</v>
      </c>
      <c r="L727">
        <f t="shared" si="164"/>
        <v>35.569105691056876</v>
      </c>
      <c r="M727" s="14" t="str">
        <f t="shared" si="157"/>
        <v/>
      </c>
      <c r="N727" s="7">
        <f t="shared" si="158"/>
        <v>0</v>
      </c>
      <c r="O727" s="7">
        <f t="shared" si="165"/>
        <v>0</v>
      </c>
      <c r="P727" s="7">
        <f t="shared" si="166"/>
        <v>1</v>
      </c>
      <c r="Q727" s="10" t="e">
        <f t="shared" si="159"/>
        <v>#N/A</v>
      </c>
      <c r="R727" s="10" t="e">
        <f t="shared" si="160"/>
        <v>#N/A</v>
      </c>
      <c r="S727" s="7">
        <f t="shared" si="167"/>
        <v>1271.55</v>
      </c>
      <c r="T727" s="7">
        <f t="shared" si="154"/>
        <v>0</v>
      </c>
    </row>
    <row r="728" spans="1:20" x14ac:dyDescent="0.25">
      <c r="A728" s="1">
        <v>42296</v>
      </c>
      <c r="B728">
        <v>1288</v>
      </c>
      <c r="C728">
        <v>1295.7</v>
      </c>
      <c r="D728">
        <v>1285</v>
      </c>
      <c r="E728">
        <v>1293.7</v>
      </c>
      <c r="F728">
        <v>228167</v>
      </c>
      <c r="G728" s="4">
        <f t="shared" si="155"/>
        <v>5.1000000000001364</v>
      </c>
      <c r="H728" s="4">
        <f t="shared" si="156"/>
        <v>0</v>
      </c>
      <c r="I728" s="6">
        <f t="shared" si="161"/>
        <v>4.1142857142857236</v>
      </c>
      <c r="J728" s="6">
        <f t="shared" si="162"/>
        <v>6.6785714285714288</v>
      </c>
      <c r="K728" s="4">
        <f t="shared" si="163"/>
        <v>0.61604278074866448</v>
      </c>
      <c r="L728">
        <f t="shared" si="164"/>
        <v>38.120450033090727</v>
      </c>
      <c r="M728" s="14" t="str">
        <f t="shared" si="157"/>
        <v/>
      </c>
      <c r="N728" s="7">
        <f t="shared" si="158"/>
        <v>0</v>
      </c>
      <c r="O728" s="7">
        <f t="shared" si="165"/>
        <v>0</v>
      </c>
      <c r="P728" s="7">
        <f t="shared" si="166"/>
        <v>1</v>
      </c>
      <c r="Q728" s="10" t="e">
        <f t="shared" si="159"/>
        <v>#N/A</v>
      </c>
      <c r="R728" s="10" t="e">
        <f t="shared" si="160"/>
        <v>#N/A</v>
      </c>
      <c r="S728" s="7">
        <f t="shared" si="167"/>
        <v>1271.55</v>
      </c>
      <c r="T728" s="7">
        <f t="shared" si="154"/>
        <v>0</v>
      </c>
    </row>
    <row r="729" spans="1:20" x14ac:dyDescent="0.25">
      <c r="A729" s="1">
        <v>42297</v>
      </c>
      <c r="B729">
        <v>1299.9000000000001</v>
      </c>
      <c r="C729">
        <v>1299.9000000000001</v>
      </c>
      <c r="D729">
        <v>1288.3</v>
      </c>
      <c r="E729">
        <v>1295.2</v>
      </c>
      <c r="F729">
        <v>669080</v>
      </c>
      <c r="G729" s="4">
        <f t="shared" si="155"/>
        <v>1.5</v>
      </c>
      <c r="H729" s="4">
        <f t="shared" si="156"/>
        <v>0</v>
      </c>
      <c r="I729" s="6">
        <f t="shared" si="161"/>
        <v>4.2214285714285813</v>
      </c>
      <c r="J729" s="6">
        <f t="shared" si="162"/>
        <v>6.0321428571428601</v>
      </c>
      <c r="K729" s="4">
        <f t="shared" si="163"/>
        <v>0.69982238010657327</v>
      </c>
      <c r="L729">
        <f t="shared" si="164"/>
        <v>41.170323928944661</v>
      </c>
      <c r="M729" s="14" t="str">
        <f t="shared" si="157"/>
        <v/>
      </c>
      <c r="N729" s="7">
        <f t="shared" si="158"/>
        <v>0</v>
      </c>
      <c r="O729" s="7">
        <f t="shared" si="165"/>
        <v>0</v>
      </c>
      <c r="P729" s="7">
        <f t="shared" si="166"/>
        <v>1</v>
      </c>
      <c r="Q729" s="10" t="e">
        <f t="shared" si="159"/>
        <v>#N/A</v>
      </c>
      <c r="R729" s="10" t="e">
        <f t="shared" si="160"/>
        <v>#N/A</v>
      </c>
      <c r="S729" s="7">
        <f t="shared" si="167"/>
        <v>1271.55</v>
      </c>
      <c r="T729" s="7">
        <f t="shared" si="154"/>
        <v>0</v>
      </c>
    </row>
    <row r="730" spans="1:20" x14ac:dyDescent="0.25">
      <c r="A730" s="1">
        <v>42298</v>
      </c>
      <c r="B730">
        <v>1310</v>
      </c>
      <c r="C730">
        <v>1312</v>
      </c>
      <c r="D730">
        <v>1292.3499999999999</v>
      </c>
      <c r="E730">
        <v>1298.0999999999999</v>
      </c>
      <c r="F730">
        <v>1735289</v>
      </c>
      <c r="G730" s="4">
        <f t="shared" si="155"/>
        <v>2.8999999999998636</v>
      </c>
      <c r="H730" s="4">
        <f t="shared" si="156"/>
        <v>0</v>
      </c>
      <c r="I730" s="6">
        <f t="shared" si="161"/>
        <v>3.6464285714285682</v>
      </c>
      <c r="J730" s="6">
        <f t="shared" si="162"/>
        <v>6.0321428571428601</v>
      </c>
      <c r="K730" s="4">
        <f t="shared" si="163"/>
        <v>0.60449970396684349</v>
      </c>
      <c r="L730">
        <f t="shared" si="164"/>
        <v>37.675276752767502</v>
      </c>
      <c r="M730" s="14" t="str">
        <f t="shared" si="157"/>
        <v/>
      </c>
      <c r="N730" s="7">
        <f t="shared" si="158"/>
        <v>0</v>
      </c>
      <c r="O730" s="7">
        <f t="shared" si="165"/>
        <v>0</v>
      </c>
      <c r="P730" s="7">
        <f t="shared" si="166"/>
        <v>1</v>
      </c>
      <c r="Q730" s="10" t="e">
        <f t="shared" si="159"/>
        <v>#N/A</v>
      </c>
      <c r="R730" s="10" t="e">
        <f t="shared" si="160"/>
        <v>#N/A</v>
      </c>
      <c r="S730" s="7">
        <f t="shared" si="167"/>
        <v>1271.55</v>
      </c>
      <c r="T730" s="7">
        <f t="shared" ref="T730:T793" si="168">IF(O730="BUY",(S729-S730)/S729,IF(O730="SELL",(S730-S729)/S729,0))</f>
        <v>0</v>
      </c>
    </row>
    <row r="731" spans="1:20" x14ac:dyDescent="0.25">
      <c r="A731" s="1">
        <v>42299</v>
      </c>
      <c r="B731">
        <v>1295</v>
      </c>
      <c r="C731">
        <v>1325</v>
      </c>
      <c r="D731">
        <v>1291.0999999999999</v>
      </c>
      <c r="E731">
        <v>1314</v>
      </c>
      <c r="F731">
        <v>1789647</v>
      </c>
      <c r="G731" s="4">
        <f t="shared" si="155"/>
        <v>15.900000000000091</v>
      </c>
      <c r="H731" s="4">
        <f t="shared" si="156"/>
        <v>0</v>
      </c>
      <c r="I731" s="6">
        <f t="shared" si="161"/>
        <v>4.7821428571428601</v>
      </c>
      <c r="J731" s="6">
        <f t="shared" si="162"/>
        <v>6.0107142857142923</v>
      </c>
      <c r="K731" s="4">
        <f t="shared" si="163"/>
        <v>0.79560308972073646</v>
      </c>
      <c r="L731">
        <f t="shared" si="164"/>
        <v>44.308405029781589</v>
      </c>
      <c r="M731" s="14" t="str">
        <f t="shared" si="157"/>
        <v/>
      </c>
      <c r="N731" s="7">
        <f t="shared" si="158"/>
        <v>0</v>
      </c>
      <c r="O731" s="7">
        <f t="shared" si="165"/>
        <v>0</v>
      </c>
      <c r="P731" s="7">
        <f t="shared" si="166"/>
        <v>1</v>
      </c>
      <c r="Q731" s="10" t="e">
        <f t="shared" si="159"/>
        <v>#N/A</v>
      </c>
      <c r="R731" s="10" t="e">
        <f t="shared" si="160"/>
        <v>#N/A</v>
      </c>
      <c r="S731" s="7">
        <f t="shared" si="167"/>
        <v>1271.55</v>
      </c>
      <c r="T731" s="7">
        <f t="shared" si="168"/>
        <v>0</v>
      </c>
    </row>
    <row r="732" spans="1:20" x14ac:dyDescent="0.25">
      <c r="A732" s="1">
        <v>42300</v>
      </c>
      <c r="B732">
        <v>1315</v>
      </c>
      <c r="C732">
        <v>1322</v>
      </c>
      <c r="D732">
        <v>1305.2</v>
      </c>
      <c r="E732">
        <v>1316.8</v>
      </c>
      <c r="F732">
        <v>659756</v>
      </c>
      <c r="G732" s="4">
        <f t="shared" si="155"/>
        <v>2.7999999999999545</v>
      </c>
      <c r="H732" s="4">
        <f t="shared" si="156"/>
        <v>0</v>
      </c>
      <c r="I732" s="6">
        <f t="shared" si="161"/>
        <v>4.9821428571428568</v>
      </c>
      <c r="J732" s="6">
        <f t="shared" si="162"/>
        <v>5.5642857142857212</v>
      </c>
      <c r="K732" s="4">
        <f t="shared" si="163"/>
        <v>0.89537869062901043</v>
      </c>
      <c r="L732">
        <f t="shared" si="164"/>
        <v>47.240094818828275</v>
      </c>
      <c r="M732" s="14" t="str">
        <f t="shared" si="157"/>
        <v/>
      </c>
      <c r="N732" s="7">
        <f t="shared" si="158"/>
        <v>0</v>
      </c>
      <c r="O732" s="7">
        <f t="shared" si="165"/>
        <v>0</v>
      </c>
      <c r="P732" s="7">
        <f t="shared" si="166"/>
        <v>1</v>
      </c>
      <c r="Q732" s="10" t="e">
        <f t="shared" si="159"/>
        <v>#N/A</v>
      </c>
      <c r="R732" s="10" t="e">
        <f t="shared" si="160"/>
        <v>#N/A</v>
      </c>
      <c r="S732" s="7">
        <f t="shared" si="167"/>
        <v>1271.55</v>
      </c>
      <c r="T732" s="7">
        <f t="shared" si="168"/>
        <v>0</v>
      </c>
    </row>
    <row r="733" spans="1:20" x14ac:dyDescent="0.25">
      <c r="A733" s="1">
        <v>42303</v>
      </c>
      <c r="B733">
        <v>1315.1</v>
      </c>
      <c r="C733">
        <v>1321.8</v>
      </c>
      <c r="D733">
        <v>1292.9000000000001</v>
      </c>
      <c r="E733">
        <v>1299.45</v>
      </c>
      <c r="F733">
        <v>797560</v>
      </c>
      <c r="G733" s="4">
        <f t="shared" si="155"/>
        <v>0</v>
      </c>
      <c r="H733" s="4">
        <f t="shared" si="156"/>
        <v>17.349999999999909</v>
      </c>
      <c r="I733" s="6">
        <f t="shared" si="161"/>
        <v>4.3000000000000034</v>
      </c>
      <c r="J733" s="6">
        <f t="shared" si="162"/>
        <v>6.8035714285714288</v>
      </c>
      <c r="K733" s="4">
        <f t="shared" si="163"/>
        <v>0.63202099737532857</v>
      </c>
      <c r="L733">
        <f t="shared" si="164"/>
        <v>38.726278546156337</v>
      </c>
      <c r="M733" s="14" t="str">
        <f t="shared" si="157"/>
        <v/>
      </c>
      <c r="N733" s="7">
        <f t="shared" si="158"/>
        <v>0</v>
      </c>
      <c r="O733" s="7">
        <f t="shared" si="165"/>
        <v>0</v>
      </c>
      <c r="P733" s="7">
        <f t="shared" si="166"/>
        <v>1</v>
      </c>
      <c r="Q733" s="10" t="e">
        <f t="shared" si="159"/>
        <v>#N/A</v>
      </c>
      <c r="R733" s="10" t="e">
        <f t="shared" si="160"/>
        <v>#N/A</v>
      </c>
      <c r="S733" s="7">
        <f t="shared" si="167"/>
        <v>1271.55</v>
      </c>
      <c r="T733" s="7">
        <f t="shared" si="168"/>
        <v>0</v>
      </c>
    </row>
    <row r="734" spans="1:20" x14ac:dyDescent="0.25">
      <c r="A734" s="1">
        <v>42304</v>
      </c>
      <c r="B734">
        <v>1300</v>
      </c>
      <c r="C734">
        <v>1307.55</v>
      </c>
      <c r="D734">
        <v>1288.5999999999999</v>
      </c>
      <c r="E734">
        <v>1297.9000000000001</v>
      </c>
      <c r="F734">
        <v>895029</v>
      </c>
      <c r="G734" s="4">
        <f t="shared" si="155"/>
        <v>0</v>
      </c>
      <c r="H734" s="4">
        <f t="shared" si="156"/>
        <v>1.5499999999999545</v>
      </c>
      <c r="I734" s="6">
        <f t="shared" si="161"/>
        <v>4.3000000000000034</v>
      </c>
      <c r="J734" s="6">
        <f t="shared" si="162"/>
        <v>6.2571428571428509</v>
      </c>
      <c r="K734" s="4">
        <f t="shared" si="163"/>
        <v>0.68721461187214739</v>
      </c>
      <c r="L734">
        <f t="shared" si="164"/>
        <v>40.7307171853857</v>
      </c>
      <c r="M734" s="14" t="str">
        <f t="shared" si="157"/>
        <v/>
      </c>
      <c r="N734" s="7">
        <f t="shared" si="158"/>
        <v>0</v>
      </c>
      <c r="O734" s="7">
        <f t="shared" si="165"/>
        <v>0</v>
      </c>
      <c r="P734" s="7">
        <f t="shared" si="166"/>
        <v>1</v>
      </c>
      <c r="Q734" s="10" t="e">
        <f t="shared" si="159"/>
        <v>#N/A</v>
      </c>
      <c r="R734" s="10" t="e">
        <f t="shared" si="160"/>
        <v>#N/A</v>
      </c>
      <c r="S734" s="7">
        <f t="shared" si="167"/>
        <v>1271.55</v>
      </c>
      <c r="T734" s="7">
        <f t="shared" si="168"/>
        <v>0</v>
      </c>
    </row>
    <row r="735" spans="1:20" x14ac:dyDescent="0.25">
      <c r="A735" s="1">
        <v>42305</v>
      </c>
      <c r="B735">
        <v>1295</v>
      </c>
      <c r="C735">
        <v>1295</v>
      </c>
      <c r="D735">
        <v>1269</v>
      </c>
      <c r="E735">
        <v>1280.7</v>
      </c>
      <c r="F735">
        <v>1185046</v>
      </c>
      <c r="G735" s="4">
        <f t="shared" si="155"/>
        <v>0</v>
      </c>
      <c r="H735" s="4">
        <f t="shared" si="156"/>
        <v>17.200000000000045</v>
      </c>
      <c r="I735" s="6">
        <f t="shared" si="161"/>
        <v>4.3000000000000034</v>
      </c>
      <c r="J735" s="6">
        <f t="shared" si="162"/>
        <v>5.2607142857142923</v>
      </c>
      <c r="K735" s="4">
        <f t="shared" si="163"/>
        <v>0.81737949762389639</v>
      </c>
      <c r="L735">
        <f t="shared" si="164"/>
        <v>44.975719088531925</v>
      </c>
      <c r="M735" s="14" t="str">
        <f t="shared" si="157"/>
        <v/>
      </c>
      <c r="N735" s="7">
        <f t="shared" si="158"/>
        <v>0</v>
      </c>
      <c r="O735" s="7">
        <f t="shared" si="165"/>
        <v>0</v>
      </c>
      <c r="P735" s="7">
        <f t="shared" si="166"/>
        <v>1</v>
      </c>
      <c r="Q735" s="10" t="e">
        <f t="shared" si="159"/>
        <v>#N/A</v>
      </c>
      <c r="R735" s="10" t="e">
        <f t="shared" si="160"/>
        <v>#N/A</v>
      </c>
      <c r="S735" s="7">
        <f t="shared" si="167"/>
        <v>1271.55</v>
      </c>
      <c r="T735" s="7">
        <f t="shared" si="168"/>
        <v>0</v>
      </c>
    </row>
    <row r="736" spans="1:20" x14ac:dyDescent="0.25">
      <c r="A736" s="1">
        <v>42306</v>
      </c>
      <c r="B736">
        <v>1276.6500000000001</v>
      </c>
      <c r="C736">
        <v>1280.7</v>
      </c>
      <c r="D736">
        <v>1257.05</v>
      </c>
      <c r="E736">
        <v>1264.1500000000001</v>
      </c>
      <c r="F736">
        <v>978607</v>
      </c>
      <c r="G736" s="4">
        <f t="shared" si="155"/>
        <v>0</v>
      </c>
      <c r="H736" s="4">
        <f t="shared" si="156"/>
        <v>16.549999999999955</v>
      </c>
      <c r="I736" s="6">
        <f t="shared" si="161"/>
        <v>4.3000000000000034</v>
      </c>
      <c r="J736" s="6">
        <f t="shared" si="162"/>
        <v>5.9178571428571365</v>
      </c>
      <c r="K736" s="4">
        <f t="shared" si="163"/>
        <v>0.72661436330718299</v>
      </c>
      <c r="L736">
        <f t="shared" si="164"/>
        <v>42.083187696609627</v>
      </c>
      <c r="M736" s="14" t="str">
        <f t="shared" si="157"/>
        <v/>
      </c>
      <c r="N736" s="7">
        <f t="shared" si="158"/>
        <v>0</v>
      </c>
      <c r="O736" s="7">
        <f t="shared" si="165"/>
        <v>0</v>
      </c>
      <c r="P736" s="7">
        <f t="shared" si="166"/>
        <v>1</v>
      </c>
      <c r="Q736" s="10" t="e">
        <f t="shared" si="159"/>
        <v>#N/A</v>
      </c>
      <c r="R736" s="10" t="e">
        <f t="shared" si="160"/>
        <v>#N/A</v>
      </c>
      <c r="S736" s="7">
        <f t="shared" si="167"/>
        <v>1271.55</v>
      </c>
      <c r="T736" s="7">
        <f t="shared" si="168"/>
        <v>0</v>
      </c>
    </row>
    <row r="737" spans="1:20" x14ac:dyDescent="0.25">
      <c r="A737" s="1">
        <v>42307</v>
      </c>
      <c r="B737">
        <v>1262.0999999999999</v>
      </c>
      <c r="C737">
        <v>1266.8</v>
      </c>
      <c r="D737">
        <v>1231.2</v>
      </c>
      <c r="E737">
        <v>1237.2</v>
      </c>
      <c r="F737">
        <v>1514715</v>
      </c>
      <c r="G737" s="4">
        <f t="shared" si="155"/>
        <v>0</v>
      </c>
      <c r="H737" s="4">
        <f t="shared" si="156"/>
        <v>26.950000000000045</v>
      </c>
      <c r="I737" s="6">
        <f t="shared" si="161"/>
        <v>4.3000000000000034</v>
      </c>
      <c r="J737" s="6">
        <f t="shared" si="162"/>
        <v>6.0964285714285653</v>
      </c>
      <c r="K737" s="4">
        <f t="shared" si="163"/>
        <v>0.70533099004100885</v>
      </c>
      <c r="L737">
        <f t="shared" si="164"/>
        <v>41.360357265544522</v>
      </c>
      <c r="M737" s="14" t="str">
        <f t="shared" si="157"/>
        <v/>
      </c>
      <c r="N737" s="7">
        <f t="shared" si="158"/>
        <v>0</v>
      </c>
      <c r="O737" s="7">
        <f t="shared" si="165"/>
        <v>0</v>
      </c>
      <c r="P737" s="7">
        <f t="shared" si="166"/>
        <v>1</v>
      </c>
      <c r="Q737" s="10" t="e">
        <f t="shared" si="159"/>
        <v>#N/A</v>
      </c>
      <c r="R737" s="10" t="e">
        <f t="shared" si="160"/>
        <v>#N/A</v>
      </c>
      <c r="S737" s="7">
        <f t="shared" si="167"/>
        <v>1271.55</v>
      </c>
      <c r="T737" s="7">
        <f t="shared" si="168"/>
        <v>0</v>
      </c>
    </row>
    <row r="738" spans="1:20" x14ac:dyDescent="0.25">
      <c r="A738" s="1">
        <v>42310</v>
      </c>
      <c r="B738">
        <v>1235</v>
      </c>
      <c r="C738">
        <v>1243</v>
      </c>
      <c r="D738">
        <v>1210.3499999999999</v>
      </c>
      <c r="E738">
        <v>1219.7</v>
      </c>
      <c r="F738">
        <v>2463457</v>
      </c>
      <c r="G738" s="4">
        <f t="shared" si="155"/>
        <v>0</v>
      </c>
      <c r="H738" s="4">
        <f t="shared" si="156"/>
        <v>17.5</v>
      </c>
      <c r="I738" s="6">
        <f t="shared" si="161"/>
        <v>3.5535714285714284</v>
      </c>
      <c r="J738" s="6">
        <f t="shared" si="162"/>
        <v>7.3464285714285653</v>
      </c>
      <c r="K738" s="4">
        <f t="shared" si="163"/>
        <v>0.48371414681575148</v>
      </c>
      <c r="L738">
        <f t="shared" si="164"/>
        <v>32.601572739187432</v>
      </c>
      <c r="M738" s="14" t="str">
        <f t="shared" si="157"/>
        <v/>
      </c>
      <c r="N738" s="7">
        <f t="shared" si="158"/>
        <v>0</v>
      </c>
      <c r="O738" s="7">
        <f t="shared" si="165"/>
        <v>0</v>
      </c>
      <c r="P738" s="7">
        <f t="shared" si="166"/>
        <v>1</v>
      </c>
      <c r="Q738" s="10" t="e">
        <f t="shared" si="159"/>
        <v>#N/A</v>
      </c>
      <c r="R738" s="10" t="e">
        <f t="shared" si="160"/>
        <v>#N/A</v>
      </c>
      <c r="S738" s="7">
        <f t="shared" si="167"/>
        <v>1271.55</v>
      </c>
      <c r="T738" s="7">
        <f t="shared" si="168"/>
        <v>0</v>
      </c>
    </row>
    <row r="739" spans="1:20" x14ac:dyDescent="0.25">
      <c r="A739" s="1">
        <v>42311</v>
      </c>
      <c r="B739">
        <v>1224.9000000000001</v>
      </c>
      <c r="C739">
        <v>1241</v>
      </c>
      <c r="D739">
        <v>1221.0999999999999</v>
      </c>
      <c r="E739">
        <v>1225.8</v>
      </c>
      <c r="F739">
        <v>1243974</v>
      </c>
      <c r="G739" s="4">
        <f t="shared" si="155"/>
        <v>6.0999999999999091</v>
      </c>
      <c r="H739" s="4">
        <f t="shared" si="156"/>
        <v>0</v>
      </c>
      <c r="I739" s="6">
        <f t="shared" si="161"/>
        <v>3.3178571428571297</v>
      </c>
      <c r="J739" s="6">
        <f t="shared" si="162"/>
        <v>7.3464285714285653</v>
      </c>
      <c r="K739" s="4">
        <f t="shared" si="163"/>
        <v>0.45162858531842348</v>
      </c>
      <c r="L739">
        <f t="shared" si="164"/>
        <v>31.11185532484923</v>
      </c>
      <c r="M739" s="14" t="str">
        <f t="shared" si="157"/>
        <v/>
      </c>
      <c r="N739" s="7">
        <f t="shared" si="158"/>
        <v>0</v>
      </c>
      <c r="O739" s="7">
        <f t="shared" si="165"/>
        <v>0</v>
      </c>
      <c r="P739" s="7">
        <f t="shared" si="166"/>
        <v>1</v>
      </c>
      <c r="Q739" s="10" t="e">
        <f t="shared" si="159"/>
        <v>#N/A</v>
      </c>
      <c r="R739" s="10" t="e">
        <f t="shared" si="160"/>
        <v>#N/A</v>
      </c>
      <c r="S739" s="7">
        <f t="shared" si="167"/>
        <v>1271.55</v>
      </c>
      <c r="T739" s="7">
        <f t="shared" si="168"/>
        <v>0</v>
      </c>
    </row>
    <row r="740" spans="1:20" x14ac:dyDescent="0.25">
      <c r="A740" s="1">
        <v>42312</v>
      </c>
      <c r="B740">
        <v>1230.0999999999999</v>
      </c>
      <c r="C740">
        <v>1234.5999999999999</v>
      </c>
      <c r="D740">
        <v>1217.0999999999999</v>
      </c>
      <c r="E740">
        <v>1222.55</v>
      </c>
      <c r="F740">
        <v>1148581</v>
      </c>
      <c r="G740" s="4">
        <f t="shared" si="155"/>
        <v>0</v>
      </c>
      <c r="H740" s="4">
        <f t="shared" si="156"/>
        <v>3.25</v>
      </c>
      <c r="I740" s="6">
        <f t="shared" si="161"/>
        <v>3.3178571428571297</v>
      </c>
      <c r="J740" s="6">
        <f t="shared" si="162"/>
        <v>7.1678571428571365</v>
      </c>
      <c r="K740" s="4">
        <f t="shared" si="163"/>
        <v>0.46287992027902197</v>
      </c>
      <c r="L740">
        <f t="shared" si="164"/>
        <v>31.641689373296927</v>
      </c>
      <c r="M740" s="14" t="str">
        <f t="shared" si="157"/>
        <v/>
      </c>
      <c r="N740" s="7">
        <f t="shared" si="158"/>
        <v>0</v>
      </c>
      <c r="O740" s="7">
        <f t="shared" si="165"/>
        <v>0</v>
      </c>
      <c r="P740" s="7">
        <f t="shared" si="166"/>
        <v>1</v>
      </c>
      <c r="Q740" s="10" t="e">
        <f t="shared" si="159"/>
        <v>#N/A</v>
      </c>
      <c r="R740" s="10" t="e">
        <f t="shared" si="160"/>
        <v>#N/A</v>
      </c>
      <c r="S740" s="7">
        <f t="shared" si="167"/>
        <v>1271.55</v>
      </c>
      <c r="T740" s="7">
        <f t="shared" si="168"/>
        <v>0</v>
      </c>
    </row>
    <row r="741" spans="1:20" x14ac:dyDescent="0.25">
      <c r="A741" s="1">
        <v>42313</v>
      </c>
      <c r="B741">
        <v>1217</v>
      </c>
      <c r="C741">
        <v>1245</v>
      </c>
      <c r="D741">
        <v>1216.1500000000001</v>
      </c>
      <c r="E741">
        <v>1242.9000000000001</v>
      </c>
      <c r="F741">
        <v>1098407</v>
      </c>
      <c r="G741" s="4">
        <f t="shared" si="155"/>
        <v>20.350000000000136</v>
      </c>
      <c r="H741" s="4">
        <f t="shared" si="156"/>
        <v>0</v>
      </c>
      <c r="I741" s="6">
        <f t="shared" si="161"/>
        <v>3.9035714285714351</v>
      </c>
      <c r="J741" s="6">
        <f t="shared" si="162"/>
        <v>7.1678571428571365</v>
      </c>
      <c r="K741" s="4">
        <f t="shared" si="163"/>
        <v>0.54459392127553707</v>
      </c>
      <c r="L741">
        <f t="shared" si="164"/>
        <v>35.258064516129096</v>
      </c>
      <c r="M741" s="14" t="str">
        <f t="shared" si="157"/>
        <v/>
      </c>
      <c r="N741" s="7">
        <f t="shared" si="158"/>
        <v>0</v>
      </c>
      <c r="O741" s="7">
        <f t="shared" si="165"/>
        <v>0</v>
      </c>
      <c r="P741" s="7">
        <f t="shared" si="166"/>
        <v>1</v>
      </c>
      <c r="Q741" s="10" t="e">
        <f t="shared" si="159"/>
        <v>#N/A</v>
      </c>
      <c r="R741" s="10" t="e">
        <f t="shared" si="160"/>
        <v>#N/A</v>
      </c>
      <c r="S741" s="7">
        <f t="shared" si="167"/>
        <v>1271.55</v>
      </c>
      <c r="T741" s="7">
        <f t="shared" si="168"/>
        <v>0</v>
      </c>
    </row>
    <row r="742" spans="1:20" x14ac:dyDescent="0.25">
      <c r="A742" s="1">
        <v>42314</v>
      </c>
      <c r="B742">
        <v>1239.1500000000001</v>
      </c>
      <c r="C742">
        <v>1248.9000000000001</v>
      </c>
      <c r="D742">
        <v>1202.0999999999999</v>
      </c>
      <c r="E742">
        <v>1205.5</v>
      </c>
      <c r="F742">
        <v>2241449</v>
      </c>
      <c r="G742" s="4">
        <f t="shared" si="155"/>
        <v>0</v>
      </c>
      <c r="H742" s="4">
        <f t="shared" si="156"/>
        <v>37.400000000000091</v>
      </c>
      <c r="I742" s="6">
        <f t="shared" si="161"/>
        <v>3.539285714285711</v>
      </c>
      <c r="J742" s="6">
        <f t="shared" si="162"/>
        <v>9.8392857142857135</v>
      </c>
      <c r="K742" s="4">
        <f t="shared" si="163"/>
        <v>0.35970961887477282</v>
      </c>
      <c r="L742">
        <f t="shared" si="164"/>
        <v>26.454885210891604</v>
      </c>
      <c r="M742" s="14" t="str">
        <f t="shared" si="157"/>
        <v>OVERSOLD</v>
      </c>
      <c r="N742" s="7" t="str">
        <f t="shared" si="158"/>
        <v>BUY</v>
      </c>
      <c r="O742" s="7">
        <f t="shared" si="165"/>
        <v>0</v>
      </c>
      <c r="P742" s="7">
        <f t="shared" si="166"/>
        <v>1</v>
      </c>
      <c r="Q742" s="10" t="e">
        <f t="shared" si="159"/>
        <v>#N/A</v>
      </c>
      <c r="R742" s="10" t="e">
        <f t="shared" si="160"/>
        <v>#N/A</v>
      </c>
      <c r="S742" s="7">
        <f t="shared" si="167"/>
        <v>1271.55</v>
      </c>
      <c r="T742" s="7">
        <f t="shared" si="168"/>
        <v>0</v>
      </c>
    </row>
    <row r="743" spans="1:20" x14ac:dyDescent="0.25">
      <c r="A743" s="1">
        <v>42317</v>
      </c>
      <c r="B743">
        <v>1214.7</v>
      </c>
      <c r="C743">
        <v>1225</v>
      </c>
      <c r="D743">
        <v>1197</v>
      </c>
      <c r="E743">
        <v>1210.6500000000001</v>
      </c>
      <c r="F743">
        <v>2344241</v>
      </c>
      <c r="G743" s="4">
        <f t="shared" si="155"/>
        <v>5.1500000000000909</v>
      </c>
      <c r="H743" s="4">
        <f t="shared" si="156"/>
        <v>0</v>
      </c>
      <c r="I743" s="6">
        <f t="shared" si="161"/>
        <v>3.8000000000000034</v>
      </c>
      <c r="J743" s="6">
        <f t="shared" si="162"/>
        <v>9.8392857142857135</v>
      </c>
      <c r="K743" s="4">
        <f t="shared" si="163"/>
        <v>0.38620689655172452</v>
      </c>
      <c r="L743">
        <f t="shared" si="164"/>
        <v>27.860696517412947</v>
      </c>
      <c r="M743" s="14" t="str">
        <f t="shared" si="157"/>
        <v>OVERSOLD</v>
      </c>
      <c r="N743" s="7" t="str">
        <f t="shared" si="158"/>
        <v>BUY</v>
      </c>
      <c r="O743" s="7">
        <f t="shared" si="165"/>
        <v>0</v>
      </c>
      <c r="P743" s="7">
        <f t="shared" si="166"/>
        <v>1</v>
      </c>
      <c r="Q743" s="10" t="e">
        <f t="shared" si="159"/>
        <v>#N/A</v>
      </c>
      <c r="R743" s="10" t="e">
        <f t="shared" si="160"/>
        <v>#N/A</v>
      </c>
      <c r="S743" s="7">
        <f t="shared" si="167"/>
        <v>1271.55</v>
      </c>
      <c r="T743" s="7">
        <f t="shared" si="168"/>
        <v>0</v>
      </c>
    </row>
    <row r="744" spans="1:20" x14ac:dyDescent="0.25">
      <c r="A744" s="1">
        <v>42318</v>
      </c>
      <c r="B744">
        <v>1216.0999999999999</v>
      </c>
      <c r="C744">
        <v>1236.55</v>
      </c>
      <c r="D744">
        <v>1216.0999999999999</v>
      </c>
      <c r="E744">
        <v>1232.6500000000001</v>
      </c>
      <c r="F744">
        <v>3321030</v>
      </c>
      <c r="G744" s="4">
        <f t="shared" si="155"/>
        <v>22</v>
      </c>
      <c r="H744" s="4">
        <f t="shared" si="156"/>
        <v>0</v>
      </c>
      <c r="I744" s="6">
        <f t="shared" si="161"/>
        <v>5.164285714285727</v>
      </c>
      <c r="J744" s="6">
        <f t="shared" si="162"/>
        <v>9.8392857142857135</v>
      </c>
      <c r="K744" s="4">
        <f t="shared" si="163"/>
        <v>0.52486388384755123</v>
      </c>
      <c r="L744">
        <f t="shared" si="164"/>
        <v>34.420376100928408</v>
      </c>
      <c r="M744" s="14" t="str">
        <f t="shared" si="157"/>
        <v/>
      </c>
      <c r="N744" s="7">
        <f t="shared" si="158"/>
        <v>0</v>
      </c>
      <c r="O744" s="7">
        <f t="shared" si="165"/>
        <v>0</v>
      </c>
      <c r="P744" s="7">
        <f t="shared" si="166"/>
        <v>1</v>
      </c>
      <c r="Q744" s="10" t="e">
        <f t="shared" si="159"/>
        <v>#N/A</v>
      </c>
      <c r="R744" s="10" t="e">
        <f t="shared" si="160"/>
        <v>#N/A</v>
      </c>
      <c r="S744" s="7">
        <f t="shared" si="167"/>
        <v>1271.55</v>
      </c>
      <c r="T744" s="7">
        <f t="shared" si="168"/>
        <v>0</v>
      </c>
    </row>
    <row r="745" spans="1:20" x14ac:dyDescent="0.25">
      <c r="A745" s="1">
        <v>42319</v>
      </c>
      <c r="B745">
        <v>1227.1500000000001</v>
      </c>
      <c r="C745">
        <v>1255</v>
      </c>
      <c r="D745">
        <v>1227.1500000000001</v>
      </c>
      <c r="E745">
        <v>1252.05</v>
      </c>
      <c r="F745">
        <v>1157015</v>
      </c>
      <c r="G745" s="4">
        <f t="shared" si="155"/>
        <v>19.399999999999864</v>
      </c>
      <c r="H745" s="4">
        <f t="shared" si="156"/>
        <v>0</v>
      </c>
      <c r="I745" s="6">
        <f t="shared" si="161"/>
        <v>5.414285714285711</v>
      </c>
      <c r="J745" s="6">
        <f t="shared" si="162"/>
        <v>9.8392857142857135</v>
      </c>
      <c r="K745" s="4">
        <f t="shared" si="163"/>
        <v>0.55027223230489986</v>
      </c>
      <c r="L745">
        <f t="shared" si="164"/>
        <v>35.495200187309749</v>
      </c>
      <c r="M745" s="14" t="str">
        <f t="shared" si="157"/>
        <v/>
      </c>
      <c r="N745" s="7">
        <f t="shared" si="158"/>
        <v>0</v>
      </c>
      <c r="O745" s="7">
        <f t="shared" si="165"/>
        <v>0</v>
      </c>
      <c r="P745" s="7">
        <f t="shared" si="166"/>
        <v>1</v>
      </c>
      <c r="Q745" s="10" t="e">
        <f t="shared" si="159"/>
        <v>#N/A</v>
      </c>
      <c r="R745" s="10" t="e">
        <f t="shared" si="160"/>
        <v>#N/A</v>
      </c>
      <c r="S745" s="7">
        <f t="shared" si="167"/>
        <v>1271.55</v>
      </c>
      <c r="T745" s="7">
        <f t="shared" si="168"/>
        <v>0</v>
      </c>
    </row>
    <row r="746" spans="1:20" x14ac:dyDescent="0.25">
      <c r="A746" s="1">
        <v>42320</v>
      </c>
      <c r="B746">
        <v>1250</v>
      </c>
      <c r="C746">
        <v>1264.4000000000001</v>
      </c>
      <c r="D746">
        <v>1237.7</v>
      </c>
      <c r="E746">
        <v>1258.7</v>
      </c>
      <c r="F746">
        <v>1228984</v>
      </c>
      <c r="G746" s="4">
        <f t="shared" si="155"/>
        <v>6.6500000000000909</v>
      </c>
      <c r="H746" s="4">
        <f t="shared" si="156"/>
        <v>0</v>
      </c>
      <c r="I746" s="6">
        <f t="shared" si="161"/>
        <v>5.6892857142857212</v>
      </c>
      <c r="J746" s="6">
        <f t="shared" si="162"/>
        <v>9.8392857142857135</v>
      </c>
      <c r="K746" s="4">
        <f t="shared" si="163"/>
        <v>0.57822141560798623</v>
      </c>
      <c r="L746">
        <f t="shared" si="164"/>
        <v>36.637534498620091</v>
      </c>
      <c r="M746" s="14" t="str">
        <f t="shared" si="157"/>
        <v/>
      </c>
      <c r="N746" s="7">
        <f t="shared" si="158"/>
        <v>0</v>
      </c>
      <c r="O746" s="7">
        <f t="shared" si="165"/>
        <v>0</v>
      </c>
      <c r="P746" s="7">
        <f t="shared" si="166"/>
        <v>1</v>
      </c>
      <c r="Q746" s="10" t="e">
        <f t="shared" si="159"/>
        <v>#N/A</v>
      </c>
      <c r="R746" s="10" t="e">
        <f t="shared" si="160"/>
        <v>#N/A</v>
      </c>
      <c r="S746" s="7">
        <f t="shared" si="167"/>
        <v>1271.55</v>
      </c>
      <c r="T746" s="7">
        <f t="shared" si="168"/>
        <v>0</v>
      </c>
    </row>
    <row r="747" spans="1:20" x14ac:dyDescent="0.25">
      <c r="A747" s="1">
        <v>42321</v>
      </c>
      <c r="B747">
        <v>1262</v>
      </c>
      <c r="C747">
        <v>1271.0999999999999</v>
      </c>
      <c r="D747">
        <v>1260.0999999999999</v>
      </c>
      <c r="E747">
        <v>1266.2</v>
      </c>
      <c r="F747">
        <v>627409</v>
      </c>
      <c r="G747" s="4">
        <f t="shared" si="155"/>
        <v>7.5</v>
      </c>
      <c r="H747" s="4">
        <f t="shared" si="156"/>
        <v>0</v>
      </c>
      <c r="I747" s="6">
        <f t="shared" si="161"/>
        <v>6.2250000000000068</v>
      </c>
      <c r="J747" s="6">
        <f t="shared" si="162"/>
        <v>8.6000000000000068</v>
      </c>
      <c r="K747" s="4">
        <f t="shared" si="163"/>
        <v>0.72383720930232576</v>
      </c>
      <c r="L747">
        <f t="shared" si="164"/>
        <v>41.989881956155152</v>
      </c>
      <c r="M747" s="14" t="str">
        <f t="shared" si="157"/>
        <v/>
      </c>
      <c r="N747" s="7">
        <f t="shared" si="158"/>
        <v>0</v>
      </c>
      <c r="O747" s="7">
        <f t="shared" si="165"/>
        <v>0</v>
      </c>
      <c r="P747" s="7">
        <f t="shared" si="166"/>
        <v>1</v>
      </c>
      <c r="Q747" s="10" t="e">
        <f t="shared" si="159"/>
        <v>#N/A</v>
      </c>
      <c r="R747" s="10" t="e">
        <f t="shared" si="160"/>
        <v>#N/A</v>
      </c>
      <c r="S747" s="7">
        <f t="shared" si="167"/>
        <v>1271.55</v>
      </c>
      <c r="T747" s="7">
        <f t="shared" si="168"/>
        <v>0</v>
      </c>
    </row>
    <row r="748" spans="1:20" x14ac:dyDescent="0.25">
      <c r="A748" s="1">
        <v>42324</v>
      </c>
      <c r="B748">
        <v>1267</v>
      </c>
      <c r="C748">
        <v>1269.1500000000001</v>
      </c>
      <c r="D748">
        <v>1255.3</v>
      </c>
      <c r="E748">
        <v>1262.2</v>
      </c>
      <c r="F748">
        <v>717629</v>
      </c>
      <c r="G748" s="4">
        <f t="shared" si="155"/>
        <v>0</v>
      </c>
      <c r="H748" s="4">
        <f t="shared" si="156"/>
        <v>4</v>
      </c>
      <c r="I748" s="6">
        <f t="shared" si="161"/>
        <v>6.2250000000000068</v>
      </c>
      <c r="J748" s="6">
        <f t="shared" si="162"/>
        <v>8.7750000000000092</v>
      </c>
      <c r="K748" s="4">
        <f t="shared" si="163"/>
        <v>0.70940170940170943</v>
      </c>
      <c r="L748">
        <f t="shared" si="164"/>
        <v>41.500000000000007</v>
      </c>
      <c r="M748" s="14" t="str">
        <f t="shared" si="157"/>
        <v/>
      </c>
      <c r="N748" s="7">
        <f t="shared" si="158"/>
        <v>0</v>
      </c>
      <c r="O748" s="7">
        <f t="shared" si="165"/>
        <v>0</v>
      </c>
      <c r="P748" s="7">
        <f t="shared" si="166"/>
        <v>1</v>
      </c>
      <c r="Q748" s="10" t="e">
        <f t="shared" si="159"/>
        <v>#N/A</v>
      </c>
      <c r="R748" s="10" t="e">
        <f t="shared" si="160"/>
        <v>#N/A</v>
      </c>
      <c r="S748" s="7">
        <f t="shared" si="167"/>
        <v>1271.55</v>
      </c>
      <c r="T748" s="7">
        <f t="shared" si="168"/>
        <v>0</v>
      </c>
    </row>
    <row r="749" spans="1:20" x14ac:dyDescent="0.25">
      <c r="A749" s="1">
        <v>42325</v>
      </c>
      <c r="B749">
        <v>1264.9000000000001</v>
      </c>
      <c r="C749">
        <v>1264.9000000000001</v>
      </c>
      <c r="D749">
        <v>1247.6500000000001</v>
      </c>
      <c r="E749">
        <v>1250.95</v>
      </c>
      <c r="F749">
        <v>997079</v>
      </c>
      <c r="G749" s="4">
        <f t="shared" si="155"/>
        <v>0</v>
      </c>
      <c r="H749" s="4">
        <f t="shared" si="156"/>
        <v>11.25</v>
      </c>
      <c r="I749" s="6">
        <f t="shared" si="161"/>
        <v>6.2250000000000068</v>
      </c>
      <c r="J749" s="6">
        <f t="shared" si="162"/>
        <v>8.3500000000000068</v>
      </c>
      <c r="K749" s="4">
        <f t="shared" si="163"/>
        <v>0.7455089820359283</v>
      </c>
      <c r="L749">
        <f t="shared" si="164"/>
        <v>42.710120068610635</v>
      </c>
      <c r="M749" s="14" t="str">
        <f t="shared" si="157"/>
        <v/>
      </c>
      <c r="N749" s="7">
        <f t="shared" si="158"/>
        <v>0</v>
      </c>
      <c r="O749" s="7">
        <f t="shared" si="165"/>
        <v>0</v>
      </c>
      <c r="P749" s="7">
        <f t="shared" si="166"/>
        <v>1</v>
      </c>
      <c r="Q749" s="10" t="e">
        <f t="shared" si="159"/>
        <v>#N/A</v>
      </c>
      <c r="R749" s="10" t="e">
        <f t="shared" si="160"/>
        <v>#N/A</v>
      </c>
      <c r="S749" s="7">
        <f t="shared" si="167"/>
        <v>1271.55</v>
      </c>
      <c r="T749" s="7">
        <f t="shared" si="168"/>
        <v>0</v>
      </c>
    </row>
    <row r="750" spans="1:20" x14ac:dyDescent="0.25">
      <c r="A750" s="1">
        <v>42326</v>
      </c>
      <c r="B750">
        <v>1254</v>
      </c>
      <c r="C750">
        <v>1272</v>
      </c>
      <c r="D750">
        <v>1250.75</v>
      </c>
      <c r="E750">
        <v>1267.5</v>
      </c>
      <c r="F750">
        <v>750811</v>
      </c>
      <c r="G750" s="4">
        <f t="shared" si="155"/>
        <v>16.549999999999955</v>
      </c>
      <c r="H750" s="4">
        <f t="shared" si="156"/>
        <v>0</v>
      </c>
      <c r="I750" s="6">
        <f t="shared" si="161"/>
        <v>7.4071428571428601</v>
      </c>
      <c r="J750" s="6">
        <f t="shared" si="162"/>
        <v>7.1678571428571525</v>
      </c>
      <c r="K750" s="4">
        <f t="shared" si="163"/>
        <v>1.0333831589436961</v>
      </c>
      <c r="L750">
        <f t="shared" si="164"/>
        <v>50.820877235971551</v>
      </c>
      <c r="M750" s="14" t="str">
        <f t="shared" si="157"/>
        <v/>
      </c>
      <c r="N750" s="7">
        <f t="shared" si="158"/>
        <v>0</v>
      </c>
      <c r="O750" s="7">
        <f t="shared" si="165"/>
        <v>0</v>
      </c>
      <c r="P750" s="7">
        <f t="shared" si="166"/>
        <v>1</v>
      </c>
      <c r="Q750" s="10" t="e">
        <f t="shared" si="159"/>
        <v>#N/A</v>
      </c>
      <c r="R750" s="10" t="e">
        <f t="shared" si="160"/>
        <v>#N/A</v>
      </c>
      <c r="S750" s="7">
        <f t="shared" si="167"/>
        <v>1271.55</v>
      </c>
      <c r="T750" s="7">
        <f t="shared" si="168"/>
        <v>0</v>
      </c>
    </row>
    <row r="751" spans="1:20" x14ac:dyDescent="0.25">
      <c r="A751" s="1">
        <v>42327</v>
      </c>
      <c r="B751">
        <v>1261</v>
      </c>
      <c r="C751">
        <v>1265.5999999999999</v>
      </c>
      <c r="D751">
        <v>1252</v>
      </c>
      <c r="E751">
        <v>1255.8499999999999</v>
      </c>
      <c r="F751">
        <v>352085</v>
      </c>
      <c r="G751" s="4">
        <f t="shared" si="155"/>
        <v>0</v>
      </c>
      <c r="H751" s="4">
        <f t="shared" si="156"/>
        <v>11.650000000000091</v>
      </c>
      <c r="I751" s="6">
        <f t="shared" si="161"/>
        <v>7.4071428571428601</v>
      </c>
      <c r="J751" s="6">
        <f t="shared" si="162"/>
        <v>6.0750000000000126</v>
      </c>
      <c r="K751" s="4">
        <f t="shared" si="163"/>
        <v>1.2192827748383284</v>
      </c>
      <c r="L751">
        <f t="shared" si="164"/>
        <v>54.940397350993337</v>
      </c>
      <c r="M751" s="14" t="str">
        <f t="shared" si="157"/>
        <v/>
      </c>
      <c r="N751" s="7">
        <f t="shared" si="158"/>
        <v>0</v>
      </c>
      <c r="O751" s="7">
        <f t="shared" si="165"/>
        <v>0</v>
      </c>
      <c r="P751" s="7">
        <f t="shared" si="166"/>
        <v>1</v>
      </c>
      <c r="Q751" s="10" t="e">
        <f t="shared" si="159"/>
        <v>#N/A</v>
      </c>
      <c r="R751" s="10" t="e">
        <f t="shared" si="160"/>
        <v>#N/A</v>
      </c>
      <c r="S751" s="7">
        <f t="shared" si="167"/>
        <v>1271.55</v>
      </c>
      <c r="T751" s="7">
        <f t="shared" si="168"/>
        <v>0</v>
      </c>
    </row>
    <row r="752" spans="1:20" x14ac:dyDescent="0.25">
      <c r="A752" s="1">
        <v>42328</v>
      </c>
      <c r="B752">
        <v>1266.95</v>
      </c>
      <c r="C752">
        <v>1267.9000000000001</v>
      </c>
      <c r="D752">
        <v>1260</v>
      </c>
      <c r="E752">
        <v>1264.1500000000001</v>
      </c>
      <c r="F752">
        <v>254790</v>
      </c>
      <c r="G752" s="4">
        <f t="shared" si="155"/>
        <v>8.3000000000001819</v>
      </c>
      <c r="H752" s="4">
        <f t="shared" si="156"/>
        <v>0</v>
      </c>
      <c r="I752" s="6">
        <f t="shared" si="161"/>
        <v>8.000000000000016</v>
      </c>
      <c r="J752" s="6">
        <f t="shared" si="162"/>
        <v>4.8250000000000126</v>
      </c>
      <c r="K752" s="4">
        <f t="shared" si="163"/>
        <v>1.6580310880829006</v>
      </c>
      <c r="L752">
        <f t="shared" si="164"/>
        <v>62.378167641325518</v>
      </c>
      <c r="M752" s="14" t="str">
        <f t="shared" si="157"/>
        <v/>
      </c>
      <c r="N752" s="7">
        <f t="shared" si="158"/>
        <v>0</v>
      </c>
      <c r="O752" s="7">
        <f t="shared" si="165"/>
        <v>0</v>
      </c>
      <c r="P752" s="7">
        <f t="shared" si="166"/>
        <v>1</v>
      </c>
      <c r="Q752" s="10" t="e">
        <f t="shared" si="159"/>
        <v>#N/A</v>
      </c>
      <c r="R752" s="10" t="e">
        <f t="shared" si="160"/>
        <v>#N/A</v>
      </c>
      <c r="S752" s="7">
        <f t="shared" si="167"/>
        <v>1271.55</v>
      </c>
      <c r="T752" s="7">
        <f t="shared" si="168"/>
        <v>0</v>
      </c>
    </row>
    <row r="753" spans="1:20" x14ac:dyDescent="0.25">
      <c r="A753" s="1">
        <v>42331</v>
      </c>
      <c r="B753">
        <v>1267</v>
      </c>
      <c r="C753">
        <v>1272.4000000000001</v>
      </c>
      <c r="D753">
        <v>1255.55</v>
      </c>
      <c r="E753">
        <v>1263.3</v>
      </c>
      <c r="F753">
        <v>940123</v>
      </c>
      <c r="G753" s="4">
        <f t="shared" si="155"/>
        <v>0</v>
      </c>
      <c r="H753" s="4">
        <f t="shared" si="156"/>
        <v>0.85000000000013642</v>
      </c>
      <c r="I753" s="6">
        <f t="shared" si="161"/>
        <v>7.5642857142857371</v>
      </c>
      <c r="J753" s="6">
        <f t="shared" si="162"/>
        <v>4.8857142857143083</v>
      </c>
      <c r="K753" s="4">
        <f t="shared" si="163"/>
        <v>1.5482456140350853</v>
      </c>
      <c r="L753">
        <f t="shared" si="164"/>
        <v>60.757314974182414</v>
      </c>
      <c r="M753" s="14" t="str">
        <f t="shared" si="157"/>
        <v/>
      </c>
      <c r="N753" s="7">
        <f t="shared" si="158"/>
        <v>0</v>
      </c>
      <c r="O753" s="7">
        <f t="shared" si="165"/>
        <v>0</v>
      </c>
      <c r="P753" s="7">
        <f t="shared" si="166"/>
        <v>1</v>
      </c>
      <c r="Q753" s="10" t="e">
        <f t="shared" si="159"/>
        <v>#N/A</v>
      </c>
      <c r="R753" s="10" t="e">
        <f t="shared" si="160"/>
        <v>#N/A</v>
      </c>
      <c r="S753" s="7">
        <f t="shared" si="167"/>
        <v>1271.55</v>
      </c>
      <c r="T753" s="7">
        <f t="shared" si="168"/>
        <v>0</v>
      </c>
    </row>
    <row r="754" spans="1:20" x14ac:dyDescent="0.25">
      <c r="A754" s="1">
        <v>42332</v>
      </c>
      <c r="B754">
        <v>1265</v>
      </c>
      <c r="C754">
        <v>1284</v>
      </c>
      <c r="D754">
        <v>1259.95</v>
      </c>
      <c r="E754">
        <v>1280.5999999999999</v>
      </c>
      <c r="F754">
        <v>1317565</v>
      </c>
      <c r="G754" s="4">
        <f t="shared" si="155"/>
        <v>17.299999999999955</v>
      </c>
      <c r="H754" s="4">
        <f t="shared" si="156"/>
        <v>0</v>
      </c>
      <c r="I754" s="6">
        <f t="shared" si="161"/>
        <v>8.8000000000000203</v>
      </c>
      <c r="J754" s="6">
        <f t="shared" si="162"/>
        <v>4.6535714285714516</v>
      </c>
      <c r="K754" s="4">
        <f t="shared" si="163"/>
        <v>1.8910207214121209</v>
      </c>
      <c r="L754">
        <f t="shared" si="164"/>
        <v>65.410140695513604</v>
      </c>
      <c r="M754" s="14" t="str">
        <f t="shared" si="157"/>
        <v/>
      </c>
      <c r="N754" s="7">
        <f t="shared" si="158"/>
        <v>0</v>
      </c>
      <c r="O754" s="7">
        <f t="shared" si="165"/>
        <v>0</v>
      </c>
      <c r="P754" s="7">
        <f t="shared" si="166"/>
        <v>1</v>
      </c>
      <c r="Q754" s="10" t="e">
        <f t="shared" si="159"/>
        <v>#N/A</v>
      </c>
      <c r="R754" s="10" t="e">
        <f t="shared" si="160"/>
        <v>#N/A</v>
      </c>
      <c r="S754" s="7">
        <f t="shared" si="167"/>
        <v>1271.55</v>
      </c>
      <c r="T754" s="7">
        <f t="shared" si="168"/>
        <v>0</v>
      </c>
    </row>
    <row r="755" spans="1:20" x14ac:dyDescent="0.25">
      <c r="A755" s="1">
        <v>42333</v>
      </c>
      <c r="B755">
        <v>1285</v>
      </c>
      <c r="C755">
        <v>1301</v>
      </c>
      <c r="D755">
        <v>1280.9000000000001</v>
      </c>
      <c r="E755">
        <v>1299.2</v>
      </c>
      <c r="F755">
        <v>2614380</v>
      </c>
      <c r="G755" s="4">
        <f t="shared" si="155"/>
        <v>18.600000000000136</v>
      </c>
      <c r="H755" s="4">
        <f t="shared" si="156"/>
        <v>0</v>
      </c>
      <c r="I755" s="6">
        <f t="shared" si="161"/>
        <v>8.6750000000000203</v>
      </c>
      <c r="J755" s="6">
        <f t="shared" si="162"/>
        <v>4.6535714285714516</v>
      </c>
      <c r="K755" s="4">
        <f t="shared" si="163"/>
        <v>1.8641596316193352</v>
      </c>
      <c r="L755">
        <f t="shared" si="164"/>
        <v>65.085744908895975</v>
      </c>
      <c r="M755" s="14" t="str">
        <f t="shared" si="157"/>
        <v/>
      </c>
      <c r="N755" s="7">
        <f t="shared" si="158"/>
        <v>0</v>
      </c>
      <c r="O755" s="7">
        <f t="shared" si="165"/>
        <v>0</v>
      </c>
      <c r="P755" s="7">
        <f t="shared" si="166"/>
        <v>1</v>
      </c>
      <c r="Q755" s="10" t="e">
        <f t="shared" si="159"/>
        <v>#N/A</v>
      </c>
      <c r="R755" s="10" t="e">
        <f t="shared" si="160"/>
        <v>#N/A</v>
      </c>
      <c r="S755" s="7">
        <f t="shared" si="167"/>
        <v>1271.55</v>
      </c>
      <c r="T755" s="7">
        <f t="shared" si="168"/>
        <v>0</v>
      </c>
    </row>
    <row r="756" spans="1:20" x14ac:dyDescent="0.25">
      <c r="A756" s="1">
        <v>42334</v>
      </c>
      <c r="B756">
        <v>1300</v>
      </c>
      <c r="C756">
        <v>1304</v>
      </c>
      <c r="D756">
        <v>1290.25</v>
      </c>
      <c r="E756">
        <v>1294.8499999999999</v>
      </c>
      <c r="F756">
        <v>910376</v>
      </c>
      <c r="G756" s="4">
        <f t="shared" si="155"/>
        <v>0</v>
      </c>
      <c r="H756" s="4">
        <f t="shared" si="156"/>
        <v>4.3500000000001364</v>
      </c>
      <c r="I756" s="6">
        <f t="shared" si="161"/>
        <v>8.6750000000000203</v>
      </c>
      <c r="J756" s="6">
        <f t="shared" si="162"/>
        <v>2.2928571428571689</v>
      </c>
      <c r="K756" s="4">
        <f t="shared" si="163"/>
        <v>3.7834890965731747</v>
      </c>
      <c r="L756">
        <f t="shared" si="164"/>
        <v>79.094757408010267</v>
      </c>
      <c r="M756" s="14" t="str">
        <f t="shared" si="157"/>
        <v>OVERBOUGHT</v>
      </c>
      <c r="N756" s="7" t="str">
        <f t="shared" si="158"/>
        <v>SELL</v>
      </c>
      <c r="O756" s="7" t="str">
        <f t="shared" si="165"/>
        <v>SELL</v>
      </c>
      <c r="P756" s="7">
        <f t="shared" si="166"/>
        <v>-1</v>
      </c>
      <c r="Q756" s="10" t="e">
        <f t="shared" si="159"/>
        <v>#N/A</v>
      </c>
      <c r="R756" s="10">
        <f t="shared" si="160"/>
        <v>1294.8499999999999</v>
      </c>
      <c r="S756" s="7">
        <f t="shared" si="167"/>
        <v>1294.8499999999999</v>
      </c>
      <c r="T756" s="7">
        <f t="shared" si="168"/>
        <v>1.8324092642837447E-2</v>
      </c>
    </row>
    <row r="757" spans="1:20" x14ac:dyDescent="0.25">
      <c r="A757" s="1">
        <v>42335</v>
      </c>
      <c r="B757">
        <v>1295</v>
      </c>
      <c r="C757">
        <v>1304.3</v>
      </c>
      <c r="D757">
        <v>1294.3</v>
      </c>
      <c r="E757">
        <v>1300.25</v>
      </c>
      <c r="F757">
        <v>1170935</v>
      </c>
      <c r="G757" s="4">
        <f t="shared" si="155"/>
        <v>5.4000000000000909</v>
      </c>
      <c r="H757" s="4">
        <f t="shared" si="156"/>
        <v>0</v>
      </c>
      <c r="I757" s="6">
        <f t="shared" si="161"/>
        <v>8.6928571428571626</v>
      </c>
      <c r="J757" s="6">
        <f t="shared" si="162"/>
        <v>2.2928571428571689</v>
      </c>
      <c r="K757" s="4">
        <f t="shared" si="163"/>
        <v>3.7912772585669439</v>
      </c>
      <c r="L757">
        <f t="shared" si="164"/>
        <v>79.128738621586322</v>
      </c>
      <c r="M757" s="14" t="str">
        <f t="shared" si="157"/>
        <v>OVERBOUGHT</v>
      </c>
      <c r="N757" s="7" t="str">
        <f t="shared" si="158"/>
        <v>SELL</v>
      </c>
      <c r="O757" s="7">
        <f t="shared" si="165"/>
        <v>0</v>
      </c>
      <c r="P757" s="7">
        <f t="shared" si="166"/>
        <v>-1</v>
      </c>
      <c r="Q757" s="10" t="e">
        <f t="shared" si="159"/>
        <v>#N/A</v>
      </c>
      <c r="R757" s="10" t="e">
        <f t="shared" si="160"/>
        <v>#N/A</v>
      </c>
      <c r="S757" s="7">
        <f t="shared" si="167"/>
        <v>1294.8499999999999</v>
      </c>
      <c r="T757" s="7">
        <f t="shared" si="168"/>
        <v>0</v>
      </c>
    </row>
    <row r="758" spans="1:20" x14ac:dyDescent="0.25">
      <c r="A758" s="1">
        <v>42338</v>
      </c>
      <c r="B758">
        <v>1301</v>
      </c>
      <c r="C758">
        <v>1307.4000000000001</v>
      </c>
      <c r="D758">
        <v>1273.1500000000001</v>
      </c>
      <c r="E758">
        <v>1276.5999999999999</v>
      </c>
      <c r="F758">
        <v>1567949</v>
      </c>
      <c r="G758" s="4">
        <f t="shared" si="155"/>
        <v>0</v>
      </c>
      <c r="H758" s="4">
        <f t="shared" si="156"/>
        <v>23.650000000000091</v>
      </c>
      <c r="I758" s="6">
        <f t="shared" si="161"/>
        <v>7.1214285714285905</v>
      </c>
      <c r="J758" s="6">
        <f t="shared" si="162"/>
        <v>3.9821428571428896</v>
      </c>
      <c r="K758" s="4">
        <f t="shared" si="163"/>
        <v>1.7883408071748781</v>
      </c>
      <c r="L758">
        <f t="shared" si="164"/>
        <v>64.13637825667405</v>
      </c>
      <c r="M758" s="14" t="str">
        <f t="shared" si="157"/>
        <v/>
      </c>
      <c r="N758" s="7">
        <f t="shared" si="158"/>
        <v>0</v>
      </c>
      <c r="O758" s="7">
        <f t="shared" si="165"/>
        <v>0</v>
      </c>
      <c r="P758" s="7">
        <f t="shared" si="166"/>
        <v>-1</v>
      </c>
      <c r="Q758" s="10" t="e">
        <f t="shared" si="159"/>
        <v>#N/A</v>
      </c>
      <c r="R758" s="10" t="e">
        <f t="shared" si="160"/>
        <v>#N/A</v>
      </c>
      <c r="S758" s="7">
        <f t="shared" si="167"/>
        <v>1294.8499999999999</v>
      </c>
      <c r="T758" s="7">
        <f t="shared" si="168"/>
        <v>0</v>
      </c>
    </row>
    <row r="759" spans="1:20" x14ac:dyDescent="0.25">
      <c r="A759" s="1">
        <v>42339</v>
      </c>
      <c r="B759">
        <v>1279.9000000000001</v>
      </c>
      <c r="C759">
        <v>1282.0999999999999</v>
      </c>
      <c r="D759">
        <v>1255.3</v>
      </c>
      <c r="E759">
        <v>1258.4000000000001</v>
      </c>
      <c r="F759">
        <v>2261419</v>
      </c>
      <c r="G759" s="4">
        <f t="shared" si="155"/>
        <v>0</v>
      </c>
      <c r="H759" s="4">
        <f t="shared" si="156"/>
        <v>18.199999999999818</v>
      </c>
      <c r="I759" s="6">
        <f t="shared" si="161"/>
        <v>5.7357142857143151</v>
      </c>
      <c r="J759" s="6">
        <f t="shared" si="162"/>
        <v>5.282142857142877</v>
      </c>
      <c r="K759" s="4">
        <f t="shared" si="163"/>
        <v>1.0858688302907384</v>
      </c>
      <c r="L759">
        <f t="shared" si="164"/>
        <v>52.058346839546225</v>
      </c>
      <c r="M759" s="14" t="str">
        <f t="shared" si="157"/>
        <v/>
      </c>
      <c r="N759" s="7">
        <f t="shared" si="158"/>
        <v>0</v>
      </c>
      <c r="O759" s="7">
        <f t="shared" si="165"/>
        <v>0</v>
      </c>
      <c r="P759" s="7">
        <f t="shared" si="166"/>
        <v>-1</v>
      </c>
      <c r="Q759" s="10" t="e">
        <f t="shared" si="159"/>
        <v>#N/A</v>
      </c>
      <c r="R759" s="10" t="e">
        <f t="shared" si="160"/>
        <v>#N/A</v>
      </c>
      <c r="S759" s="7">
        <f t="shared" si="167"/>
        <v>1294.8499999999999</v>
      </c>
      <c r="T759" s="7">
        <f t="shared" si="168"/>
        <v>0</v>
      </c>
    </row>
    <row r="760" spans="1:20" x14ac:dyDescent="0.25">
      <c r="A760" s="1">
        <v>42340</v>
      </c>
      <c r="B760">
        <v>1290</v>
      </c>
      <c r="C760">
        <v>1322.5</v>
      </c>
      <c r="D760">
        <v>1290</v>
      </c>
      <c r="E760">
        <v>1306.3499999999999</v>
      </c>
      <c r="F760">
        <v>3902503</v>
      </c>
      <c r="G760" s="4">
        <f t="shared" si="155"/>
        <v>47.949999999999818</v>
      </c>
      <c r="H760" s="4">
        <f t="shared" si="156"/>
        <v>0</v>
      </c>
      <c r="I760" s="6">
        <f t="shared" si="161"/>
        <v>8.6857142857142957</v>
      </c>
      <c r="J760" s="6">
        <f t="shared" si="162"/>
        <v>5.282142857142877</v>
      </c>
      <c r="K760" s="4">
        <f t="shared" si="163"/>
        <v>1.6443542934415103</v>
      </c>
      <c r="L760">
        <f t="shared" si="164"/>
        <v>62.183584760930643</v>
      </c>
      <c r="M760" s="14" t="str">
        <f t="shared" si="157"/>
        <v/>
      </c>
      <c r="N760" s="7">
        <f t="shared" si="158"/>
        <v>0</v>
      </c>
      <c r="O760" s="7">
        <f t="shared" si="165"/>
        <v>0</v>
      </c>
      <c r="P760" s="7">
        <f t="shared" si="166"/>
        <v>-1</v>
      </c>
      <c r="Q760" s="10" t="e">
        <f t="shared" si="159"/>
        <v>#N/A</v>
      </c>
      <c r="R760" s="10" t="e">
        <f t="shared" si="160"/>
        <v>#N/A</v>
      </c>
      <c r="S760" s="7">
        <f t="shared" si="167"/>
        <v>1294.8499999999999</v>
      </c>
      <c r="T760" s="7">
        <f t="shared" si="168"/>
        <v>0</v>
      </c>
    </row>
    <row r="761" spans="1:20" x14ac:dyDescent="0.25">
      <c r="A761" s="1">
        <v>42341</v>
      </c>
      <c r="B761">
        <v>1319</v>
      </c>
      <c r="C761">
        <v>1348.45</v>
      </c>
      <c r="D761">
        <v>1307.3499999999999</v>
      </c>
      <c r="E761">
        <v>1334.5</v>
      </c>
      <c r="F761">
        <v>2895112</v>
      </c>
      <c r="G761" s="4">
        <f t="shared" si="155"/>
        <v>28.150000000000091</v>
      </c>
      <c r="H761" s="4">
        <f t="shared" si="156"/>
        <v>0</v>
      </c>
      <c r="I761" s="6">
        <f t="shared" si="161"/>
        <v>10.160714285714302</v>
      </c>
      <c r="J761" s="6">
        <f t="shared" si="162"/>
        <v>5.282142857142877</v>
      </c>
      <c r="K761" s="4">
        <f t="shared" si="163"/>
        <v>1.9235970250168992</v>
      </c>
      <c r="L761">
        <f t="shared" si="164"/>
        <v>65.795559666974981</v>
      </c>
      <c r="M761" s="14" t="str">
        <f t="shared" si="157"/>
        <v/>
      </c>
      <c r="N761" s="7">
        <f t="shared" si="158"/>
        <v>0</v>
      </c>
      <c r="O761" s="7">
        <f t="shared" si="165"/>
        <v>0</v>
      </c>
      <c r="P761" s="7">
        <f t="shared" si="166"/>
        <v>-1</v>
      </c>
      <c r="Q761" s="10" t="e">
        <f t="shared" si="159"/>
        <v>#N/A</v>
      </c>
      <c r="R761" s="10" t="e">
        <f t="shared" si="160"/>
        <v>#N/A</v>
      </c>
      <c r="S761" s="7">
        <f t="shared" si="167"/>
        <v>1294.8499999999999</v>
      </c>
      <c r="T761" s="7">
        <f t="shared" si="168"/>
        <v>0</v>
      </c>
    </row>
    <row r="762" spans="1:20" x14ac:dyDescent="0.25">
      <c r="A762" s="1">
        <v>42342</v>
      </c>
      <c r="B762">
        <v>1390</v>
      </c>
      <c r="C762">
        <v>1400</v>
      </c>
      <c r="D762">
        <v>1327</v>
      </c>
      <c r="E762">
        <v>1337.45</v>
      </c>
      <c r="F762">
        <v>4131489</v>
      </c>
      <c r="G762" s="4">
        <f t="shared" si="155"/>
        <v>2.9500000000000455</v>
      </c>
      <c r="H762" s="4">
        <f t="shared" si="156"/>
        <v>0</v>
      </c>
      <c r="I762" s="6">
        <f t="shared" si="161"/>
        <v>10.371428571428591</v>
      </c>
      <c r="J762" s="6">
        <f t="shared" si="162"/>
        <v>4.9964285714285905</v>
      </c>
      <c r="K762" s="4">
        <f t="shared" si="163"/>
        <v>2.0757684060042849</v>
      </c>
      <c r="L762">
        <f t="shared" si="164"/>
        <v>67.487799209853549</v>
      </c>
      <c r="M762" s="14" t="str">
        <f t="shared" si="157"/>
        <v/>
      </c>
      <c r="N762" s="7">
        <f t="shared" si="158"/>
        <v>0</v>
      </c>
      <c r="O762" s="7">
        <f t="shared" si="165"/>
        <v>0</v>
      </c>
      <c r="P762" s="7">
        <f t="shared" si="166"/>
        <v>-1</v>
      </c>
      <c r="Q762" s="10" t="e">
        <f t="shared" si="159"/>
        <v>#N/A</v>
      </c>
      <c r="R762" s="10" t="e">
        <f t="shared" si="160"/>
        <v>#N/A</v>
      </c>
      <c r="S762" s="7">
        <f t="shared" si="167"/>
        <v>1294.8499999999999</v>
      </c>
      <c r="T762" s="7">
        <f t="shared" si="168"/>
        <v>0</v>
      </c>
    </row>
    <row r="763" spans="1:20" x14ac:dyDescent="0.25">
      <c r="A763" s="1">
        <v>42345</v>
      </c>
      <c r="B763">
        <v>1336.9</v>
      </c>
      <c r="C763">
        <v>1355</v>
      </c>
      <c r="D763">
        <v>1309</v>
      </c>
      <c r="E763">
        <v>1347.75</v>
      </c>
      <c r="F763">
        <v>2054746</v>
      </c>
      <c r="G763" s="4">
        <f t="shared" si="155"/>
        <v>10.299999999999955</v>
      </c>
      <c r="H763" s="4">
        <f t="shared" si="156"/>
        <v>0</v>
      </c>
      <c r="I763" s="6">
        <f t="shared" si="161"/>
        <v>11.107142857142874</v>
      </c>
      <c r="J763" s="6">
        <f t="shared" si="162"/>
        <v>4.1928571428571626</v>
      </c>
      <c r="K763" s="4">
        <f t="shared" si="163"/>
        <v>2.6490630323679643</v>
      </c>
      <c r="L763">
        <f t="shared" si="164"/>
        <v>72.595704948646059</v>
      </c>
      <c r="M763" s="14" t="str">
        <f t="shared" si="157"/>
        <v>OVERBOUGHT</v>
      </c>
      <c r="N763" s="7" t="str">
        <f t="shared" si="158"/>
        <v>SELL</v>
      </c>
      <c r="O763" s="7">
        <f t="shared" si="165"/>
        <v>0</v>
      </c>
      <c r="P763" s="7">
        <f t="shared" si="166"/>
        <v>-1</v>
      </c>
      <c r="Q763" s="10" t="e">
        <f t="shared" si="159"/>
        <v>#N/A</v>
      </c>
      <c r="R763" s="10" t="e">
        <f t="shared" si="160"/>
        <v>#N/A</v>
      </c>
      <c r="S763" s="7">
        <f t="shared" si="167"/>
        <v>1294.8499999999999</v>
      </c>
      <c r="T763" s="7">
        <f t="shared" si="168"/>
        <v>0</v>
      </c>
    </row>
    <row r="764" spans="1:20" x14ac:dyDescent="0.25">
      <c r="A764" s="1">
        <v>42346</v>
      </c>
      <c r="B764">
        <v>1349.7</v>
      </c>
      <c r="C764">
        <v>1371.8</v>
      </c>
      <c r="D764">
        <v>1343</v>
      </c>
      <c r="E764">
        <v>1362</v>
      </c>
      <c r="F764">
        <v>1514272</v>
      </c>
      <c r="G764" s="4">
        <f t="shared" si="155"/>
        <v>14.25</v>
      </c>
      <c r="H764" s="4">
        <f t="shared" si="156"/>
        <v>0</v>
      </c>
      <c r="I764" s="6">
        <f t="shared" si="161"/>
        <v>10.942857142857163</v>
      </c>
      <c r="J764" s="6">
        <f t="shared" si="162"/>
        <v>4.1928571428571626</v>
      </c>
      <c r="K764" s="4">
        <f t="shared" si="163"/>
        <v>2.6098807495740979</v>
      </c>
      <c r="L764">
        <f t="shared" si="164"/>
        <v>72.298253893345859</v>
      </c>
      <c r="M764" s="14" t="str">
        <f t="shared" si="157"/>
        <v>OVERBOUGHT</v>
      </c>
      <c r="N764" s="7" t="str">
        <f t="shared" si="158"/>
        <v>SELL</v>
      </c>
      <c r="O764" s="7">
        <f t="shared" si="165"/>
        <v>0</v>
      </c>
      <c r="P764" s="7">
        <f t="shared" si="166"/>
        <v>-1</v>
      </c>
      <c r="Q764" s="10" t="e">
        <f t="shared" si="159"/>
        <v>#N/A</v>
      </c>
      <c r="R764" s="10" t="e">
        <f t="shared" si="160"/>
        <v>#N/A</v>
      </c>
      <c r="S764" s="7">
        <f t="shared" si="167"/>
        <v>1294.8499999999999</v>
      </c>
      <c r="T764" s="7">
        <f t="shared" si="168"/>
        <v>0</v>
      </c>
    </row>
    <row r="765" spans="1:20" x14ac:dyDescent="0.25">
      <c r="A765" s="1">
        <v>42347</v>
      </c>
      <c r="B765">
        <v>1362.5</v>
      </c>
      <c r="C765">
        <v>1366.05</v>
      </c>
      <c r="D765">
        <v>1338.05</v>
      </c>
      <c r="E765">
        <v>1351</v>
      </c>
      <c r="F765">
        <v>720235</v>
      </c>
      <c r="G765" s="4">
        <f t="shared" si="155"/>
        <v>0</v>
      </c>
      <c r="H765" s="4">
        <f t="shared" si="156"/>
        <v>11</v>
      </c>
      <c r="I765" s="6">
        <f t="shared" si="161"/>
        <v>10.942857142857163</v>
      </c>
      <c r="J765" s="6">
        <f t="shared" si="162"/>
        <v>4.1464285714285847</v>
      </c>
      <c r="K765" s="4">
        <f t="shared" si="163"/>
        <v>2.6391042204995658</v>
      </c>
      <c r="L765">
        <f t="shared" si="164"/>
        <v>72.520710059171563</v>
      </c>
      <c r="M765" s="14" t="str">
        <f t="shared" si="157"/>
        <v>OVERBOUGHT</v>
      </c>
      <c r="N765" s="7" t="str">
        <f t="shared" si="158"/>
        <v>SELL</v>
      </c>
      <c r="O765" s="7">
        <f t="shared" si="165"/>
        <v>0</v>
      </c>
      <c r="P765" s="7">
        <f t="shared" si="166"/>
        <v>-1</v>
      </c>
      <c r="Q765" s="10" t="e">
        <f t="shared" si="159"/>
        <v>#N/A</v>
      </c>
      <c r="R765" s="10" t="e">
        <f t="shared" si="160"/>
        <v>#N/A</v>
      </c>
      <c r="S765" s="7">
        <f t="shared" si="167"/>
        <v>1294.8499999999999</v>
      </c>
      <c r="T765" s="7">
        <f t="shared" si="168"/>
        <v>0</v>
      </c>
    </row>
    <row r="766" spans="1:20" x14ac:dyDescent="0.25">
      <c r="A766" s="1">
        <v>42348</v>
      </c>
      <c r="B766">
        <v>1352.5</v>
      </c>
      <c r="C766">
        <v>1354.9</v>
      </c>
      <c r="D766">
        <v>1327.1</v>
      </c>
      <c r="E766">
        <v>1330</v>
      </c>
      <c r="F766">
        <v>630019</v>
      </c>
      <c r="G766" s="4">
        <f t="shared" si="155"/>
        <v>0</v>
      </c>
      <c r="H766" s="4">
        <f t="shared" si="156"/>
        <v>21</v>
      </c>
      <c r="I766" s="6">
        <f t="shared" si="161"/>
        <v>10.350000000000007</v>
      </c>
      <c r="J766" s="6">
        <f t="shared" si="162"/>
        <v>5.6464285714285847</v>
      </c>
      <c r="K766" s="4">
        <f t="shared" si="163"/>
        <v>1.8330170777988584</v>
      </c>
      <c r="L766">
        <f t="shared" si="164"/>
        <v>64.701942397856627</v>
      </c>
      <c r="M766" s="14" t="str">
        <f t="shared" si="157"/>
        <v/>
      </c>
      <c r="N766" s="7">
        <f t="shared" si="158"/>
        <v>0</v>
      </c>
      <c r="O766" s="7">
        <f t="shared" si="165"/>
        <v>0</v>
      </c>
      <c r="P766" s="7">
        <f t="shared" si="166"/>
        <v>-1</v>
      </c>
      <c r="Q766" s="10" t="e">
        <f t="shared" si="159"/>
        <v>#N/A</v>
      </c>
      <c r="R766" s="10" t="e">
        <f t="shared" si="160"/>
        <v>#N/A</v>
      </c>
      <c r="S766" s="7">
        <f t="shared" si="167"/>
        <v>1294.8499999999999</v>
      </c>
      <c r="T766" s="7">
        <f t="shared" si="168"/>
        <v>0</v>
      </c>
    </row>
    <row r="767" spans="1:20" x14ac:dyDescent="0.25">
      <c r="A767" s="1">
        <v>42349</v>
      </c>
      <c r="B767">
        <v>1326</v>
      </c>
      <c r="C767">
        <v>1331.7</v>
      </c>
      <c r="D767">
        <v>1308.0999999999999</v>
      </c>
      <c r="E767">
        <v>1317.5</v>
      </c>
      <c r="F767">
        <v>693315</v>
      </c>
      <c r="G767" s="4">
        <f t="shared" si="155"/>
        <v>0</v>
      </c>
      <c r="H767" s="4">
        <f t="shared" si="156"/>
        <v>12.5</v>
      </c>
      <c r="I767" s="6">
        <f t="shared" si="161"/>
        <v>10.350000000000007</v>
      </c>
      <c r="J767" s="6">
        <f t="shared" si="162"/>
        <v>6.4785714285714322</v>
      </c>
      <c r="K767" s="4">
        <f t="shared" si="163"/>
        <v>1.5975744211686882</v>
      </c>
      <c r="L767">
        <f t="shared" si="164"/>
        <v>61.502546689303905</v>
      </c>
      <c r="M767" s="14" t="str">
        <f t="shared" si="157"/>
        <v/>
      </c>
      <c r="N767" s="7">
        <f t="shared" si="158"/>
        <v>0</v>
      </c>
      <c r="O767" s="7">
        <f t="shared" si="165"/>
        <v>0</v>
      </c>
      <c r="P767" s="7">
        <f t="shared" si="166"/>
        <v>-1</v>
      </c>
      <c r="Q767" s="10" t="e">
        <f t="shared" si="159"/>
        <v>#N/A</v>
      </c>
      <c r="R767" s="10" t="e">
        <f t="shared" si="160"/>
        <v>#N/A</v>
      </c>
      <c r="S767" s="7">
        <f t="shared" si="167"/>
        <v>1294.8499999999999</v>
      </c>
      <c r="T767" s="7">
        <f t="shared" si="168"/>
        <v>0</v>
      </c>
    </row>
    <row r="768" spans="1:20" x14ac:dyDescent="0.25">
      <c r="A768" s="1">
        <v>42352</v>
      </c>
      <c r="B768">
        <v>1315.75</v>
      </c>
      <c r="C768">
        <v>1323.75</v>
      </c>
      <c r="D768">
        <v>1298.4000000000001</v>
      </c>
      <c r="E768">
        <v>1311.95</v>
      </c>
      <c r="F768">
        <v>938827</v>
      </c>
      <c r="G768" s="4">
        <f t="shared" si="155"/>
        <v>0</v>
      </c>
      <c r="H768" s="4">
        <f t="shared" si="156"/>
        <v>5.5499999999999545</v>
      </c>
      <c r="I768" s="6">
        <f t="shared" si="161"/>
        <v>9.1142857142857245</v>
      </c>
      <c r="J768" s="6">
        <f t="shared" si="162"/>
        <v>6.875</v>
      </c>
      <c r="K768" s="4">
        <f t="shared" si="163"/>
        <v>1.3257142857142872</v>
      </c>
      <c r="L768">
        <f t="shared" si="164"/>
        <v>57.002457002457035</v>
      </c>
      <c r="M768" s="14" t="str">
        <f t="shared" si="157"/>
        <v/>
      </c>
      <c r="N768" s="7">
        <f t="shared" si="158"/>
        <v>0</v>
      </c>
      <c r="O768" s="7">
        <f t="shared" si="165"/>
        <v>0</v>
      </c>
      <c r="P768" s="7">
        <f t="shared" si="166"/>
        <v>-1</v>
      </c>
      <c r="Q768" s="10" t="e">
        <f t="shared" si="159"/>
        <v>#N/A</v>
      </c>
      <c r="R768" s="10" t="e">
        <f t="shared" si="160"/>
        <v>#N/A</v>
      </c>
      <c r="S768" s="7">
        <f t="shared" si="167"/>
        <v>1294.8499999999999</v>
      </c>
      <c r="T768" s="7">
        <f t="shared" si="168"/>
        <v>0</v>
      </c>
    </row>
    <row r="769" spans="1:20" x14ac:dyDescent="0.25">
      <c r="A769" s="1">
        <v>42353</v>
      </c>
      <c r="B769">
        <v>1305</v>
      </c>
      <c r="C769">
        <v>1336.9</v>
      </c>
      <c r="D769">
        <v>1305</v>
      </c>
      <c r="E769">
        <v>1328.55</v>
      </c>
      <c r="F769">
        <v>1749235</v>
      </c>
      <c r="G769" s="4">
        <f t="shared" si="155"/>
        <v>16.599999999999909</v>
      </c>
      <c r="H769" s="4">
        <f t="shared" si="156"/>
        <v>0</v>
      </c>
      <c r="I769" s="6">
        <f t="shared" si="161"/>
        <v>8.9714285714285644</v>
      </c>
      <c r="J769" s="6">
        <f t="shared" si="162"/>
        <v>6.875</v>
      </c>
      <c r="K769" s="4">
        <f t="shared" si="163"/>
        <v>1.3049350649350639</v>
      </c>
      <c r="L769">
        <f t="shared" si="164"/>
        <v>56.614829839981951</v>
      </c>
      <c r="M769" s="14" t="str">
        <f t="shared" si="157"/>
        <v/>
      </c>
      <c r="N769" s="7">
        <f t="shared" si="158"/>
        <v>0</v>
      </c>
      <c r="O769" s="7">
        <f t="shared" si="165"/>
        <v>0</v>
      </c>
      <c r="P769" s="7">
        <f t="shared" si="166"/>
        <v>-1</v>
      </c>
      <c r="Q769" s="10" t="e">
        <f t="shared" si="159"/>
        <v>#N/A</v>
      </c>
      <c r="R769" s="10" t="e">
        <f t="shared" si="160"/>
        <v>#N/A</v>
      </c>
      <c r="S769" s="7">
        <f t="shared" si="167"/>
        <v>1294.8499999999999</v>
      </c>
      <c r="T769" s="7">
        <f t="shared" si="168"/>
        <v>0</v>
      </c>
    </row>
    <row r="770" spans="1:20" x14ac:dyDescent="0.25">
      <c r="A770" s="1">
        <v>42354</v>
      </c>
      <c r="B770">
        <v>1323.75</v>
      </c>
      <c r="C770">
        <v>1345</v>
      </c>
      <c r="D770">
        <v>1323.75</v>
      </c>
      <c r="E770">
        <v>1340.5</v>
      </c>
      <c r="F770">
        <v>760550</v>
      </c>
      <c r="G770" s="4">
        <f t="shared" si="155"/>
        <v>11.950000000000045</v>
      </c>
      <c r="H770" s="4">
        <f t="shared" si="156"/>
        <v>0</v>
      </c>
      <c r="I770" s="6">
        <f t="shared" si="161"/>
        <v>9.8249999999999975</v>
      </c>
      <c r="J770" s="6">
        <f t="shared" si="162"/>
        <v>6.5642857142857043</v>
      </c>
      <c r="K770" s="4">
        <f t="shared" si="163"/>
        <v>1.4967355821545176</v>
      </c>
      <c r="L770">
        <f t="shared" si="164"/>
        <v>59.947701024188305</v>
      </c>
      <c r="M770" s="14" t="str">
        <f t="shared" si="157"/>
        <v/>
      </c>
      <c r="N770" s="7">
        <f t="shared" si="158"/>
        <v>0</v>
      </c>
      <c r="O770" s="7">
        <f t="shared" si="165"/>
        <v>0</v>
      </c>
      <c r="P770" s="7">
        <f t="shared" si="166"/>
        <v>-1</v>
      </c>
      <c r="Q770" s="10" t="e">
        <f t="shared" si="159"/>
        <v>#N/A</v>
      </c>
      <c r="R770" s="10" t="e">
        <f t="shared" si="160"/>
        <v>#N/A</v>
      </c>
      <c r="S770" s="7">
        <f t="shared" si="167"/>
        <v>1294.8499999999999</v>
      </c>
      <c r="T770" s="7">
        <f t="shared" si="168"/>
        <v>0</v>
      </c>
    </row>
    <row r="771" spans="1:20" x14ac:dyDescent="0.25">
      <c r="A771" s="1">
        <v>42355</v>
      </c>
      <c r="B771">
        <v>1340.3</v>
      </c>
      <c r="C771">
        <v>1349.95</v>
      </c>
      <c r="D771">
        <v>1337.95</v>
      </c>
      <c r="E771">
        <v>1345.05</v>
      </c>
      <c r="F771">
        <v>1214077</v>
      </c>
      <c r="G771" s="4">
        <f t="shared" si="155"/>
        <v>4.5499999999999545</v>
      </c>
      <c r="H771" s="4">
        <f t="shared" si="156"/>
        <v>0</v>
      </c>
      <c r="I771" s="6">
        <f t="shared" si="161"/>
        <v>9.7642857142857018</v>
      </c>
      <c r="J771" s="6">
        <f t="shared" si="162"/>
        <v>6.5642857142857043</v>
      </c>
      <c r="K771" s="4">
        <f t="shared" si="163"/>
        <v>1.4874863982589774</v>
      </c>
      <c r="L771">
        <f t="shared" si="164"/>
        <v>59.798775153105865</v>
      </c>
      <c r="M771" s="14" t="str">
        <f t="shared" si="157"/>
        <v/>
      </c>
      <c r="N771" s="7">
        <f t="shared" si="158"/>
        <v>0</v>
      </c>
      <c r="O771" s="7">
        <f t="shared" si="165"/>
        <v>0</v>
      </c>
      <c r="P771" s="7">
        <f t="shared" si="166"/>
        <v>-1</v>
      </c>
      <c r="Q771" s="10" t="e">
        <f t="shared" si="159"/>
        <v>#N/A</v>
      </c>
      <c r="R771" s="10" t="e">
        <f t="shared" si="160"/>
        <v>#N/A</v>
      </c>
      <c r="S771" s="7">
        <f t="shared" si="167"/>
        <v>1294.8499999999999</v>
      </c>
      <c r="T771" s="7">
        <f t="shared" si="168"/>
        <v>0</v>
      </c>
    </row>
    <row r="772" spans="1:20" x14ac:dyDescent="0.25">
      <c r="A772" s="1">
        <v>42356</v>
      </c>
      <c r="B772">
        <v>1341.2</v>
      </c>
      <c r="C772">
        <v>1356.55</v>
      </c>
      <c r="D772">
        <v>1340.3</v>
      </c>
      <c r="E772">
        <v>1344.95</v>
      </c>
      <c r="F772">
        <v>865902</v>
      </c>
      <c r="G772" s="4">
        <f t="shared" ref="G772:G835" si="169">IF(E772&gt;E771,E772-E771,0)</f>
        <v>0</v>
      </c>
      <c r="H772" s="4">
        <f t="shared" ref="H772:H835" si="170">IF(E772&lt;E771,E771-E772,0)</f>
        <v>9.9999999999909051E-2</v>
      </c>
      <c r="I772" s="6">
        <f t="shared" si="161"/>
        <v>9.7642857142857018</v>
      </c>
      <c r="J772" s="6">
        <f t="shared" si="162"/>
        <v>4.882142857142834</v>
      </c>
      <c r="K772" s="4">
        <f t="shared" si="163"/>
        <v>2.0000000000000071</v>
      </c>
      <c r="L772">
        <f t="shared" si="164"/>
        <v>66.666666666666742</v>
      </c>
      <c r="M772" s="14" t="str">
        <f t="shared" si="157"/>
        <v/>
      </c>
      <c r="N772" s="7">
        <f t="shared" si="158"/>
        <v>0</v>
      </c>
      <c r="O772" s="7">
        <f t="shared" si="165"/>
        <v>0</v>
      </c>
      <c r="P772" s="7">
        <f t="shared" si="166"/>
        <v>-1</v>
      </c>
      <c r="Q772" s="10" t="e">
        <f t="shared" si="159"/>
        <v>#N/A</v>
      </c>
      <c r="R772" s="10" t="e">
        <f t="shared" si="160"/>
        <v>#N/A</v>
      </c>
      <c r="S772" s="7">
        <f t="shared" si="167"/>
        <v>1294.8499999999999</v>
      </c>
      <c r="T772" s="7">
        <f t="shared" si="168"/>
        <v>0</v>
      </c>
    </row>
    <row r="773" spans="1:20" x14ac:dyDescent="0.25">
      <c r="A773" s="1">
        <v>42359</v>
      </c>
      <c r="B773">
        <v>1341</v>
      </c>
      <c r="C773">
        <v>1349.85</v>
      </c>
      <c r="D773">
        <v>1335.8</v>
      </c>
      <c r="E773">
        <v>1346.15</v>
      </c>
      <c r="F773">
        <v>1139572</v>
      </c>
      <c r="G773" s="4">
        <f t="shared" si="169"/>
        <v>1.2000000000000455</v>
      </c>
      <c r="H773" s="4">
        <f t="shared" si="170"/>
        <v>0</v>
      </c>
      <c r="I773" s="6">
        <f t="shared" si="161"/>
        <v>9.8499999999999908</v>
      </c>
      <c r="J773" s="6">
        <f t="shared" si="162"/>
        <v>3.5821428571428475</v>
      </c>
      <c r="K773" s="4">
        <f t="shared" si="163"/>
        <v>2.7497507477567344</v>
      </c>
      <c r="L773">
        <f t="shared" si="164"/>
        <v>73.331560755118346</v>
      </c>
      <c r="M773" s="14" t="str">
        <f t="shared" si="157"/>
        <v>OVERBOUGHT</v>
      </c>
      <c r="N773" s="7" t="str">
        <f t="shared" si="158"/>
        <v>SELL</v>
      </c>
      <c r="O773" s="7">
        <f t="shared" si="165"/>
        <v>0</v>
      </c>
      <c r="P773" s="7">
        <f t="shared" si="166"/>
        <v>-1</v>
      </c>
      <c r="Q773" s="10" t="e">
        <f t="shared" si="159"/>
        <v>#N/A</v>
      </c>
      <c r="R773" s="10" t="e">
        <f t="shared" si="160"/>
        <v>#N/A</v>
      </c>
      <c r="S773" s="7">
        <f t="shared" si="167"/>
        <v>1294.8499999999999</v>
      </c>
      <c r="T773" s="7">
        <f t="shared" si="168"/>
        <v>0</v>
      </c>
    </row>
    <row r="774" spans="1:20" x14ac:dyDescent="0.25">
      <c r="A774" s="1">
        <v>42360</v>
      </c>
      <c r="B774">
        <v>1348.85</v>
      </c>
      <c r="C774">
        <v>1352.45</v>
      </c>
      <c r="D774">
        <v>1326.4</v>
      </c>
      <c r="E774">
        <v>1344.15</v>
      </c>
      <c r="F774">
        <v>2156584</v>
      </c>
      <c r="G774" s="4">
        <f t="shared" si="169"/>
        <v>0</v>
      </c>
      <c r="H774" s="4">
        <f t="shared" si="170"/>
        <v>2</v>
      </c>
      <c r="I774" s="6">
        <f t="shared" si="161"/>
        <v>6.4250000000000034</v>
      </c>
      <c r="J774" s="6">
        <f t="shared" si="162"/>
        <v>3.7249999999999903</v>
      </c>
      <c r="K774" s="4">
        <f t="shared" si="163"/>
        <v>1.7248322147651061</v>
      </c>
      <c r="L774">
        <f t="shared" si="164"/>
        <v>63.300492610837516</v>
      </c>
      <c r="M774" s="14" t="str">
        <f t="shared" si="157"/>
        <v/>
      </c>
      <c r="N774" s="7">
        <f t="shared" si="158"/>
        <v>0</v>
      </c>
      <c r="O774" s="7">
        <f t="shared" si="165"/>
        <v>0</v>
      </c>
      <c r="P774" s="7">
        <f t="shared" si="166"/>
        <v>-1</v>
      </c>
      <c r="Q774" s="10" t="e">
        <f t="shared" si="159"/>
        <v>#N/A</v>
      </c>
      <c r="R774" s="10" t="e">
        <f t="shared" si="160"/>
        <v>#N/A</v>
      </c>
      <c r="S774" s="7">
        <f t="shared" si="167"/>
        <v>1294.8499999999999</v>
      </c>
      <c r="T774" s="7">
        <f t="shared" si="168"/>
        <v>0</v>
      </c>
    </row>
    <row r="775" spans="1:20" x14ac:dyDescent="0.25">
      <c r="A775" s="1">
        <v>42361</v>
      </c>
      <c r="B775">
        <v>1344</v>
      </c>
      <c r="C775">
        <v>1352</v>
      </c>
      <c r="D775">
        <v>1342.15</v>
      </c>
      <c r="E775">
        <v>1348.1</v>
      </c>
      <c r="F775">
        <v>742270</v>
      </c>
      <c r="G775" s="4">
        <f t="shared" si="169"/>
        <v>3.9499999999998181</v>
      </c>
      <c r="H775" s="4">
        <f t="shared" si="170"/>
        <v>0</v>
      </c>
      <c r="I775" s="6">
        <f t="shared" si="161"/>
        <v>4.6964285714285552</v>
      </c>
      <c r="J775" s="6">
        <f t="shared" si="162"/>
        <v>3.7249999999999903</v>
      </c>
      <c r="K775" s="4">
        <f t="shared" si="163"/>
        <v>1.2607861936720985</v>
      </c>
      <c r="L775">
        <f t="shared" si="164"/>
        <v>55.767599660729402</v>
      </c>
      <c r="M775" s="14" t="str">
        <f t="shared" si="157"/>
        <v/>
      </c>
      <c r="N775" s="7">
        <f t="shared" si="158"/>
        <v>0</v>
      </c>
      <c r="O775" s="7">
        <f t="shared" si="165"/>
        <v>0</v>
      </c>
      <c r="P775" s="7">
        <f t="shared" si="166"/>
        <v>-1</v>
      </c>
      <c r="Q775" s="10" t="e">
        <f t="shared" si="159"/>
        <v>#N/A</v>
      </c>
      <c r="R775" s="10" t="e">
        <f t="shared" si="160"/>
        <v>#N/A</v>
      </c>
      <c r="S775" s="7">
        <f t="shared" si="167"/>
        <v>1294.8499999999999</v>
      </c>
      <c r="T775" s="7">
        <f t="shared" si="168"/>
        <v>0</v>
      </c>
    </row>
    <row r="776" spans="1:20" x14ac:dyDescent="0.25">
      <c r="A776" s="1">
        <v>42362</v>
      </c>
      <c r="B776">
        <v>1349</v>
      </c>
      <c r="C776">
        <v>1367.8</v>
      </c>
      <c r="D776">
        <v>1345.15</v>
      </c>
      <c r="E776">
        <v>1356.35</v>
      </c>
      <c r="F776">
        <v>1243652</v>
      </c>
      <c r="G776" s="4">
        <f t="shared" si="169"/>
        <v>8.25</v>
      </c>
      <c r="H776" s="4">
        <f t="shared" si="170"/>
        <v>0</v>
      </c>
      <c r="I776" s="6">
        <f t="shared" si="161"/>
        <v>5.0749999999999806</v>
      </c>
      <c r="J776" s="6">
        <f t="shared" si="162"/>
        <v>3.7249999999999903</v>
      </c>
      <c r="K776" s="4">
        <f t="shared" si="163"/>
        <v>1.3624161073825487</v>
      </c>
      <c r="L776">
        <f t="shared" si="164"/>
        <v>57.670454545454518</v>
      </c>
      <c r="M776" s="14" t="str">
        <f t="shared" si="157"/>
        <v/>
      </c>
      <c r="N776" s="7">
        <f t="shared" si="158"/>
        <v>0</v>
      </c>
      <c r="O776" s="7">
        <f t="shared" si="165"/>
        <v>0</v>
      </c>
      <c r="P776" s="7">
        <f t="shared" si="166"/>
        <v>-1</v>
      </c>
      <c r="Q776" s="10" t="e">
        <f t="shared" si="159"/>
        <v>#N/A</v>
      </c>
      <c r="R776" s="10" t="e">
        <f t="shared" si="160"/>
        <v>#N/A</v>
      </c>
      <c r="S776" s="7">
        <f t="shared" si="167"/>
        <v>1294.8499999999999</v>
      </c>
      <c r="T776" s="7">
        <f t="shared" si="168"/>
        <v>0</v>
      </c>
    </row>
    <row r="777" spans="1:20" x14ac:dyDescent="0.25">
      <c r="A777" s="1">
        <v>42363</v>
      </c>
      <c r="B777">
        <v>1345.1</v>
      </c>
      <c r="C777">
        <v>1365</v>
      </c>
      <c r="D777">
        <v>1345.1</v>
      </c>
      <c r="E777">
        <v>1360.05</v>
      </c>
      <c r="F777">
        <v>1080997</v>
      </c>
      <c r="G777" s="4">
        <f t="shared" si="169"/>
        <v>3.7000000000000455</v>
      </c>
      <c r="H777" s="4">
        <f t="shared" si="170"/>
        <v>0</v>
      </c>
      <c r="I777" s="6">
        <f t="shared" si="161"/>
        <v>4.6035714285714153</v>
      </c>
      <c r="J777" s="6">
        <f t="shared" si="162"/>
        <v>3.7249999999999903</v>
      </c>
      <c r="K777" s="4">
        <f t="shared" si="163"/>
        <v>1.2358581016299133</v>
      </c>
      <c r="L777">
        <f t="shared" si="164"/>
        <v>55.274442538593476</v>
      </c>
      <c r="M777" s="14" t="str">
        <f t="shared" si="157"/>
        <v/>
      </c>
      <c r="N777" s="7">
        <f t="shared" si="158"/>
        <v>0</v>
      </c>
      <c r="O777" s="7">
        <f t="shared" si="165"/>
        <v>0</v>
      </c>
      <c r="P777" s="7">
        <f t="shared" si="166"/>
        <v>-1</v>
      </c>
      <c r="Q777" s="10" t="e">
        <f t="shared" si="159"/>
        <v>#N/A</v>
      </c>
      <c r="R777" s="10" t="e">
        <f t="shared" si="160"/>
        <v>#N/A</v>
      </c>
      <c r="S777" s="7">
        <f t="shared" si="167"/>
        <v>1294.8499999999999</v>
      </c>
      <c r="T777" s="7">
        <f t="shared" si="168"/>
        <v>0</v>
      </c>
    </row>
    <row r="778" spans="1:20" x14ac:dyDescent="0.25">
      <c r="A778" s="1">
        <v>42366</v>
      </c>
      <c r="B778">
        <v>1362.5</v>
      </c>
      <c r="C778">
        <v>1375.9</v>
      </c>
      <c r="D778">
        <v>1362</v>
      </c>
      <c r="E778">
        <v>1370.55</v>
      </c>
      <c r="F778">
        <v>1786853</v>
      </c>
      <c r="G778" s="4">
        <f t="shared" si="169"/>
        <v>10.5</v>
      </c>
      <c r="H778" s="4">
        <f t="shared" si="170"/>
        <v>0</v>
      </c>
      <c r="I778" s="6">
        <f t="shared" si="161"/>
        <v>4.335714285714273</v>
      </c>
      <c r="J778" s="6">
        <f t="shared" si="162"/>
        <v>3.7249999999999903</v>
      </c>
      <c r="K778" s="4">
        <f t="shared" si="163"/>
        <v>1.1639501438159152</v>
      </c>
      <c r="L778">
        <f t="shared" si="164"/>
        <v>53.788214443952143</v>
      </c>
      <c r="M778" s="14" t="str">
        <f t="shared" si="157"/>
        <v/>
      </c>
      <c r="N778" s="7">
        <f t="shared" si="158"/>
        <v>0</v>
      </c>
      <c r="O778" s="7">
        <f t="shared" si="165"/>
        <v>0</v>
      </c>
      <c r="P778" s="7">
        <f t="shared" si="166"/>
        <v>-1</v>
      </c>
      <c r="Q778" s="10" t="e">
        <f t="shared" si="159"/>
        <v>#N/A</v>
      </c>
      <c r="R778" s="10" t="e">
        <f t="shared" si="160"/>
        <v>#N/A</v>
      </c>
      <c r="S778" s="7">
        <f t="shared" si="167"/>
        <v>1294.8499999999999</v>
      </c>
      <c r="T778" s="7">
        <f t="shared" si="168"/>
        <v>0</v>
      </c>
    </row>
    <row r="779" spans="1:20" x14ac:dyDescent="0.25">
      <c r="A779" s="1">
        <v>42367</v>
      </c>
      <c r="B779">
        <v>1361</v>
      </c>
      <c r="C779">
        <v>1390</v>
      </c>
      <c r="D779">
        <v>1361</v>
      </c>
      <c r="E779">
        <v>1387.15</v>
      </c>
      <c r="F779">
        <v>1306391</v>
      </c>
      <c r="G779" s="4">
        <f t="shared" si="169"/>
        <v>16.600000000000136</v>
      </c>
      <c r="H779" s="4">
        <f t="shared" si="170"/>
        <v>0</v>
      </c>
      <c r="I779" s="6">
        <f t="shared" si="161"/>
        <v>5.5214285714285678</v>
      </c>
      <c r="J779" s="6">
        <f t="shared" si="162"/>
        <v>2.9392857142857047</v>
      </c>
      <c r="K779" s="4">
        <f t="shared" si="163"/>
        <v>1.8784933171324472</v>
      </c>
      <c r="L779">
        <f t="shared" si="164"/>
        <v>65.25960320810475</v>
      </c>
      <c r="M779" s="14" t="str">
        <f t="shared" si="157"/>
        <v/>
      </c>
      <c r="N779" s="7">
        <f t="shared" si="158"/>
        <v>0</v>
      </c>
      <c r="O779" s="7">
        <f t="shared" si="165"/>
        <v>0</v>
      </c>
      <c r="P779" s="7">
        <f t="shared" si="166"/>
        <v>-1</v>
      </c>
      <c r="Q779" s="10" t="e">
        <f t="shared" si="159"/>
        <v>#N/A</v>
      </c>
      <c r="R779" s="10" t="e">
        <f t="shared" si="160"/>
        <v>#N/A</v>
      </c>
      <c r="S779" s="7">
        <f t="shared" si="167"/>
        <v>1294.8499999999999</v>
      </c>
      <c r="T779" s="7">
        <f t="shared" si="168"/>
        <v>0</v>
      </c>
    </row>
    <row r="780" spans="1:20" x14ac:dyDescent="0.25">
      <c r="A780" s="1">
        <v>42368</v>
      </c>
      <c r="B780">
        <v>1386</v>
      </c>
      <c r="C780">
        <v>1437</v>
      </c>
      <c r="D780">
        <v>1385.1</v>
      </c>
      <c r="E780">
        <v>1422.6</v>
      </c>
      <c r="F780">
        <v>3486809</v>
      </c>
      <c r="G780" s="4">
        <f t="shared" si="169"/>
        <v>35.449999999999818</v>
      </c>
      <c r="H780" s="4">
        <f t="shared" si="170"/>
        <v>0</v>
      </c>
      <c r="I780" s="6">
        <f t="shared" si="161"/>
        <v>8.0535714285714128</v>
      </c>
      <c r="J780" s="6">
        <f t="shared" si="162"/>
        <v>1.4392857142857045</v>
      </c>
      <c r="K780" s="4">
        <f t="shared" si="163"/>
        <v>5.5955334987593321</v>
      </c>
      <c r="L780">
        <f t="shared" si="164"/>
        <v>84.838224228743485</v>
      </c>
      <c r="M780" s="14" t="str">
        <f t="shared" si="157"/>
        <v>OVERBOUGHT</v>
      </c>
      <c r="N780" s="7" t="str">
        <f t="shared" si="158"/>
        <v>SELL</v>
      </c>
      <c r="O780" s="7">
        <f t="shared" si="165"/>
        <v>0</v>
      </c>
      <c r="P780" s="7">
        <f t="shared" si="166"/>
        <v>-1</v>
      </c>
      <c r="Q780" s="10" t="e">
        <f t="shared" si="159"/>
        <v>#N/A</v>
      </c>
      <c r="R780" s="10" t="e">
        <f t="shared" si="160"/>
        <v>#N/A</v>
      </c>
      <c r="S780" s="7">
        <f t="shared" si="167"/>
        <v>1294.8499999999999</v>
      </c>
      <c r="T780" s="7">
        <f t="shared" si="168"/>
        <v>0</v>
      </c>
    </row>
    <row r="781" spans="1:20" x14ac:dyDescent="0.25">
      <c r="A781" s="1">
        <v>42369</v>
      </c>
      <c r="B781">
        <v>1424</v>
      </c>
      <c r="C781">
        <v>1428.9</v>
      </c>
      <c r="D781">
        <v>1412.25</v>
      </c>
      <c r="E781">
        <v>1414.7</v>
      </c>
      <c r="F781">
        <v>1156063</v>
      </c>
      <c r="G781" s="4">
        <f t="shared" si="169"/>
        <v>0</v>
      </c>
      <c r="H781" s="4">
        <f t="shared" si="170"/>
        <v>7.8999999999998636</v>
      </c>
      <c r="I781" s="6">
        <f t="shared" si="161"/>
        <v>8.0535714285714128</v>
      </c>
      <c r="J781" s="6">
        <f t="shared" si="162"/>
        <v>1.1107142857142662</v>
      </c>
      <c r="K781" s="4">
        <f t="shared" si="163"/>
        <v>7.2508038585210137</v>
      </c>
      <c r="L781">
        <f t="shared" si="164"/>
        <v>87.879968823071096</v>
      </c>
      <c r="M781" s="14" t="str">
        <f t="shared" si="157"/>
        <v>OVERBOUGHT</v>
      </c>
      <c r="N781" s="7" t="str">
        <f t="shared" si="158"/>
        <v>SELL</v>
      </c>
      <c r="O781" s="7">
        <f t="shared" si="165"/>
        <v>0</v>
      </c>
      <c r="P781" s="7">
        <f t="shared" si="166"/>
        <v>-1</v>
      </c>
      <c r="Q781" s="10" t="e">
        <f t="shared" si="159"/>
        <v>#N/A</v>
      </c>
      <c r="R781" s="10" t="e">
        <f t="shared" si="160"/>
        <v>#N/A</v>
      </c>
      <c r="S781" s="7">
        <f t="shared" si="167"/>
        <v>1294.8499999999999</v>
      </c>
      <c r="T781" s="7">
        <f t="shared" si="168"/>
        <v>0</v>
      </c>
    </row>
    <row r="782" spans="1:20" x14ac:dyDescent="0.25">
      <c r="A782" s="1">
        <v>42370</v>
      </c>
      <c r="B782">
        <v>1409.05</v>
      </c>
      <c r="C782">
        <v>1415</v>
      </c>
      <c r="D782">
        <v>1401.85</v>
      </c>
      <c r="E782">
        <v>1410.05</v>
      </c>
      <c r="F782">
        <v>1112751</v>
      </c>
      <c r="G782" s="4">
        <f t="shared" si="169"/>
        <v>0</v>
      </c>
      <c r="H782" s="4">
        <f t="shared" si="170"/>
        <v>4.6500000000000909</v>
      </c>
      <c r="I782" s="6">
        <f t="shared" si="161"/>
        <v>8.0535714285714128</v>
      </c>
      <c r="J782" s="6">
        <f t="shared" si="162"/>
        <v>1.0464285714285617</v>
      </c>
      <c r="K782" s="4">
        <f t="shared" si="163"/>
        <v>7.6962457337884524</v>
      </c>
      <c r="L782">
        <f t="shared" si="164"/>
        <v>88.500784929356428</v>
      </c>
      <c r="M782" s="14" t="str">
        <f t="shared" si="157"/>
        <v>OVERBOUGHT</v>
      </c>
      <c r="N782" s="7" t="str">
        <f t="shared" si="158"/>
        <v>SELL</v>
      </c>
      <c r="O782" s="7">
        <f t="shared" si="165"/>
        <v>0</v>
      </c>
      <c r="P782" s="7">
        <f t="shared" si="166"/>
        <v>-1</v>
      </c>
      <c r="Q782" s="10" t="e">
        <f t="shared" si="159"/>
        <v>#N/A</v>
      </c>
      <c r="R782" s="10" t="e">
        <f t="shared" si="160"/>
        <v>#N/A</v>
      </c>
      <c r="S782" s="7">
        <f t="shared" si="167"/>
        <v>1294.8499999999999</v>
      </c>
      <c r="T782" s="7">
        <f t="shared" si="168"/>
        <v>0</v>
      </c>
    </row>
    <row r="783" spans="1:20" x14ac:dyDescent="0.25">
      <c r="A783" s="1">
        <v>42373</v>
      </c>
      <c r="B783">
        <v>1409.8</v>
      </c>
      <c r="C783">
        <v>1441.65</v>
      </c>
      <c r="D783">
        <v>1405.1</v>
      </c>
      <c r="E783">
        <v>1435.4</v>
      </c>
      <c r="F783">
        <v>1911333</v>
      </c>
      <c r="G783" s="4">
        <f t="shared" si="169"/>
        <v>25.350000000000136</v>
      </c>
      <c r="H783" s="4">
        <f t="shared" si="170"/>
        <v>0</v>
      </c>
      <c r="I783" s="6">
        <f t="shared" si="161"/>
        <v>8.6785714285714288</v>
      </c>
      <c r="J783" s="6">
        <f t="shared" si="162"/>
        <v>1.0464285714285617</v>
      </c>
      <c r="K783" s="4">
        <f t="shared" si="163"/>
        <v>8.2935153583618515</v>
      </c>
      <c r="L783">
        <f t="shared" si="164"/>
        <v>89.239809034153595</v>
      </c>
      <c r="M783" s="14" t="str">
        <f t="shared" si="157"/>
        <v>OVERBOUGHT</v>
      </c>
      <c r="N783" s="7" t="str">
        <f t="shared" si="158"/>
        <v>SELL</v>
      </c>
      <c r="O783" s="7">
        <f t="shared" si="165"/>
        <v>0</v>
      </c>
      <c r="P783" s="7">
        <f t="shared" si="166"/>
        <v>-1</v>
      </c>
      <c r="Q783" s="10" t="e">
        <f t="shared" si="159"/>
        <v>#N/A</v>
      </c>
      <c r="R783" s="10" t="e">
        <f t="shared" si="160"/>
        <v>#N/A</v>
      </c>
      <c r="S783" s="7">
        <f t="shared" si="167"/>
        <v>1294.8499999999999</v>
      </c>
      <c r="T783" s="7">
        <f t="shared" si="168"/>
        <v>0</v>
      </c>
    </row>
    <row r="784" spans="1:20" x14ac:dyDescent="0.25">
      <c r="A784" s="1">
        <v>42374</v>
      </c>
      <c r="B784">
        <v>1430.1</v>
      </c>
      <c r="C784">
        <v>1455.8</v>
      </c>
      <c r="D784">
        <v>1429</v>
      </c>
      <c r="E784">
        <v>1447.7</v>
      </c>
      <c r="F784">
        <v>1473479</v>
      </c>
      <c r="G784" s="4">
        <f t="shared" si="169"/>
        <v>12.299999999999955</v>
      </c>
      <c r="H784" s="4">
        <f t="shared" si="170"/>
        <v>0</v>
      </c>
      <c r="I784" s="6">
        <f t="shared" si="161"/>
        <v>8.7035714285714221</v>
      </c>
      <c r="J784" s="6">
        <f t="shared" si="162"/>
        <v>1.0464285714285617</v>
      </c>
      <c r="K784" s="4">
        <f t="shared" si="163"/>
        <v>8.3174061433447815</v>
      </c>
      <c r="L784">
        <f t="shared" si="164"/>
        <v>89.267399267399355</v>
      </c>
      <c r="M784" s="14" t="str">
        <f t="shared" ref="M784:M847" si="171">IF(L784&gt;RSI_Overbought,"OVERBOUGHT",IF(L784&lt;RSI_Oversold,"OVERSOLD",""))</f>
        <v>OVERBOUGHT</v>
      </c>
      <c r="N784" s="7" t="str">
        <f t="shared" ref="N784:N847" si="172">IF(L784&gt;RSI_Overbought,"SELL",IF(L784&lt;RSI_Oversold,"BUY",0))</f>
        <v>SELL</v>
      </c>
      <c r="O784" s="7">
        <f t="shared" si="165"/>
        <v>0</v>
      </c>
      <c r="P784" s="7">
        <f t="shared" si="166"/>
        <v>-1</v>
      </c>
      <c r="Q784" s="10" t="e">
        <f t="shared" ref="Q784:Q847" si="173">IF($O784="BUY",$E784,NA())</f>
        <v>#N/A</v>
      </c>
      <c r="R784" s="10" t="e">
        <f t="shared" ref="R784:R847" si="174">IF($O784="SELL",$E784,NA())</f>
        <v>#N/A</v>
      </c>
      <c r="S784" s="7">
        <f t="shared" si="167"/>
        <v>1294.8499999999999</v>
      </c>
      <c r="T784" s="7">
        <f t="shared" si="168"/>
        <v>0</v>
      </c>
    </row>
    <row r="785" spans="1:20" x14ac:dyDescent="0.25">
      <c r="A785" s="1">
        <v>42375</v>
      </c>
      <c r="B785">
        <v>1444</v>
      </c>
      <c r="C785">
        <v>1451.8</v>
      </c>
      <c r="D785">
        <v>1430.65</v>
      </c>
      <c r="E785">
        <v>1442.15</v>
      </c>
      <c r="F785">
        <v>910395</v>
      </c>
      <c r="G785" s="4">
        <f t="shared" si="169"/>
        <v>0</v>
      </c>
      <c r="H785" s="4">
        <f t="shared" si="170"/>
        <v>5.5499999999999545</v>
      </c>
      <c r="I785" s="6">
        <f t="shared" ref="I785:I848" si="175">AVERAGE(G772:G785)</f>
        <v>8.3785714285714246</v>
      </c>
      <c r="J785" s="6">
        <f t="shared" ref="J785:J848" si="176">AVERAGE(H772:H785)</f>
        <v>1.44285714285713</v>
      </c>
      <c r="K785" s="4">
        <f t="shared" ref="K785:K848" si="177">I785/J785</f>
        <v>5.8069306930693561</v>
      </c>
      <c r="L785">
        <f t="shared" ref="L785:L848" si="178">100-(100/(K785+1))</f>
        <v>85.309090909091012</v>
      </c>
      <c r="M785" s="14" t="str">
        <f t="shared" si="171"/>
        <v>OVERBOUGHT</v>
      </c>
      <c r="N785" s="7" t="str">
        <f t="shared" si="172"/>
        <v>SELL</v>
      </c>
      <c r="O785" s="7">
        <f t="shared" ref="O785:O848" si="179">IF(AND(N785="BUY",P784&lt;&gt;1),"BUY",IF(AND(N785="SELL",P784&lt;&gt;-1),"SELL",0))</f>
        <v>0</v>
      </c>
      <c r="P785" s="7">
        <f t="shared" ref="P785:P848" si="180">IF(O785="BUY",1,IF(O785="SELL",-1,P784))</f>
        <v>-1</v>
      </c>
      <c r="Q785" s="10" t="e">
        <f t="shared" si="173"/>
        <v>#N/A</v>
      </c>
      <c r="R785" s="10" t="e">
        <f t="shared" si="174"/>
        <v>#N/A</v>
      </c>
      <c r="S785" s="7">
        <f t="shared" ref="S785:S848" si="181">IF(O785&lt;&gt;0,E785,S784)</f>
        <v>1294.8499999999999</v>
      </c>
      <c r="T785" s="7">
        <f t="shared" si="168"/>
        <v>0</v>
      </c>
    </row>
    <row r="786" spans="1:20" x14ac:dyDescent="0.25">
      <c r="A786" s="1">
        <v>42376</v>
      </c>
      <c r="B786">
        <v>1440.1</v>
      </c>
      <c r="C786">
        <v>1441.9</v>
      </c>
      <c r="D786">
        <v>1420</v>
      </c>
      <c r="E786">
        <v>1425.35</v>
      </c>
      <c r="F786">
        <v>476043</v>
      </c>
      <c r="G786" s="4">
        <f t="shared" si="169"/>
        <v>0</v>
      </c>
      <c r="H786" s="4">
        <f t="shared" si="170"/>
        <v>16.800000000000182</v>
      </c>
      <c r="I786" s="6">
        <f t="shared" si="175"/>
        <v>8.3785714285714246</v>
      </c>
      <c r="J786" s="6">
        <f t="shared" si="176"/>
        <v>2.6357142857142923</v>
      </c>
      <c r="K786" s="4">
        <f t="shared" si="177"/>
        <v>3.1788617886178767</v>
      </c>
      <c r="L786">
        <f t="shared" si="178"/>
        <v>76.070038910505787</v>
      </c>
      <c r="M786" s="14" t="str">
        <f t="shared" si="171"/>
        <v>OVERBOUGHT</v>
      </c>
      <c r="N786" s="7" t="str">
        <f t="shared" si="172"/>
        <v>SELL</v>
      </c>
      <c r="O786" s="7">
        <f t="shared" si="179"/>
        <v>0</v>
      </c>
      <c r="P786" s="7">
        <f t="shared" si="180"/>
        <v>-1</v>
      </c>
      <c r="Q786" s="10" t="e">
        <f t="shared" si="173"/>
        <v>#N/A</v>
      </c>
      <c r="R786" s="10" t="e">
        <f t="shared" si="174"/>
        <v>#N/A</v>
      </c>
      <c r="S786" s="7">
        <f t="shared" si="181"/>
        <v>1294.8499999999999</v>
      </c>
      <c r="T786" s="7">
        <f t="shared" si="168"/>
        <v>0</v>
      </c>
    </row>
    <row r="787" spans="1:20" x14ac:dyDescent="0.25">
      <c r="A787" s="1">
        <v>42377</v>
      </c>
      <c r="B787">
        <v>1421.6</v>
      </c>
      <c r="C787">
        <v>1448.9</v>
      </c>
      <c r="D787">
        <v>1412.7</v>
      </c>
      <c r="E787">
        <v>1443.55</v>
      </c>
      <c r="F787">
        <v>372147</v>
      </c>
      <c r="G787" s="4">
        <f t="shared" si="169"/>
        <v>18.200000000000045</v>
      </c>
      <c r="H787" s="4">
        <f t="shared" si="170"/>
        <v>0</v>
      </c>
      <c r="I787" s="6">
        <f t="shared" si="175"/>
        <v>9.5928571428571399</v>
      </c>
      <c r="J787" s="6">
        <f t="shared" si="176"/>
        <v>2.6357142857142923</v>
      </c>
      <c r="K787" s="4">
        <f t="shared" si="177"/>
        <v>3.6395663956639464</v>
      </c>
      <c r="L787">
        <f t="shared" si="178"/>
        <v>78.446261682242948</v>
      </c>
      <c r="M787" s="14" t="str">
        <f t="shared" si="171"/>
        <v>OVERBOUGHT</v>
      </c>
      <c r="N787" s="7" t="str">
        <f t="shared" si="172"/>
        <v>SELL</v>
      </c>
      <c r="O787" s="7">
        <f t="shared" si="179"/>
        <v>0</v>
      </c>
      <c r="P787" s="7">
        <f t="shared" si="180"/>
        <v>-1</v>
      </c>
      <c r="Q787" s="10" t="e">
        <f t="shared" si="173"/>
        <v>#N/A</v>
      </c>
      <c r="R787" s="10" t="e">
        <f t="shared" si="174"/>
        <v>#N/A</v>
      </c>
      <c r="S787" s="7">
        <f t="shared" si="181"/>
        <v>1294.8499999999999</v>
      </c>
      <c r="T787" s="7">
        <f t="shared" si="168"/>
        <v>0</v>
      </c>
    </row>
    <row r="788" spans="1:20" x14ac:dyDescent="0.25">
      <c r="A788" s="1">
        <v>42380</v>
      </c>
      <c r="B788">
        <v>1441.5</v>
      </c>
      <c r="C788">
        <v>1457</v>
      </c>
      <c r="D788">
        <v>1441.5</v>
      </c>
      <c r="E788">
        <v>1452.8</v>
      </c>
      <c r="F788">
        <v>1130759</v>
      </c>
      <c r="G788" s="4">
        <f t="shared" si="169"/>
        <v>9.25</v>
      </c>
      <c r="H788" s="4">
        <f t="shared" si="170"/>
        <v>0</v>
      </c>
      <c r="I788" s="6">
        <f t="shared" si="175"/>
        <v>10.253571428571425</v>
      </c>
      <c r="J788" s="6">
        <f t="shared" si="176"/>
        <v>2.4928571428571495</v>
      </c>
      <c r="K788" s="4">
        <f t="shared" si="177"/>
        <v>4.1131805157593</v>
      </c>
      <c r="L788">
        <f t="shared" si="178"/>
        <v>80.442701036704904</v>
      </c>
      <c r="M788" s="14" t="str">
        <f t="shared" si="171"/>
        <v>OVERBOUGHT</v>
      </c>
      <c r="N788" s="7" t="str">
        <f t="shared" si="172"/>
        <v>SELL</v>
      </c>
      <c r="O788" s="7">
        <f t="shared" si="179"/>
        <v>0</v>
      </c>
      <c r="P788" s="7">
        <f t="shared" si="180"/>
        <v>-1</v>
      </c>
      <c r="Q788" s="10" t="e">
        <f t="shared" si="173"/>
        <v>#N/A</v>
      </c>
      <c r="R788" s="10" t="e">
        <f t="shared" si="174"/>
        <v>#N/A</v>
      </c>
      <c r="S788" s="7">
        <f t="shared" si="181"/>
        <v>1294.8499999999999</v>
      </c>
      <c r="T788" s="7">
        <f t="shared" si="168"/>
        <v>0</v>
      </c>
    </row>
    <row r="789" spans="1:20" x14ac:dyDescent="0.25">
      <c r="A789" s="1">
        <v>42381</v>
      </c>
      <c r="B789">
        <v>1440.7</v>
      </c>
      <c r="C789">
        <v>1456.85</v>
      </c>
      <c r="D789">
        <v>1440.7</v>
      </c>
      <c r="E789">
        <v>1451.05</v>
      </c>
      <c r="F789">
        <v>1924573</v>
      </c>
      <c r="G789" s="4">
        <f t="shared" si="169"/>
        <v>0</v>
      </c>
      <c r="H789" s="4">
        <f t="shared" si="170"/>
        <v>1.75</v>
      </c>
      <c r="I789" s="6">
        <f t="shared" si="175"/>
        <v>9.9714285714285804</v>
      </c>
      <c r="J789" s="6">
        <f t="shared" si="176"/>
        <v>2.6178571428571495</v>
      </c>
      <c r="K789" s="4">
        <f t="shared" si="177"/>
        <v>3.8090040927694342</v>
      </c>
      <c r="L789">
        <f t="shared" si="178"/>
        <v>79.205673758865217</v>
      </c>
      <c r="M789" s="14" t="str">
        <f t="shared" si="171"/>
        <v>OVERBOUGHT</v>
      </c>
      <c r="N789" s="7" t="str">
        <f t="shared" si="172"/>
        <v>SELL</v>
      </c>
      <c r="O789" s="7">
        <f t="shared" si="179"/>
        <v>0</v>
      </c>
      <c r="P789" s="7">
        <f t="shared" si="180"/>
        <v>-1</v>
      </c>
      <c r="Q789" s="10" t="e">
        <f t="shared" si="173"/>
        <v>#N/A</v>
      </c>
      <c r="R789" s="10" t="e">
        <f t="shared" si="174"/>
        <v>#N/A</v>
      </c>
      <c r="S789" s="7">
        <f t="shared" si="181"/>
        <v>1294.8499999999999</v>
      </c>
      <c r="T789" s="7">
        <f t="shared" si="168"/>
        <v>0</v>
      </c>
    </row>
    <row r="790" spans="1:20" x14ac:dyDescent="0.25">
      <c r="A790" s="1">
        <v>42382</v>
      </c>
      <c r="B790">
        <v>1450</v>
      </c>
      <c r="C790">
        <v>1464.05</v>
      </c>
      <c r="D790">
        <v>1442.3</v>
      </c>
      <c r="E790">
        <v>1455.1</v>
      </c>
      <c r="F790">
        <v>655347</v>
      </c>
      <c r="G790" s="4">
        <f t="shared" si="169"/>
        <v>4.0499999999999545</v>
      </c>
      <c r="H790" s="4">
        <f t="shared" si="170"/>
        <v>0</v>
      </c>
      <c r="I790" s="6">
        <f t="shared" si="175"/>
        <v>9.6714285714285779</v>
      </c>
      <c r="J790" s="6">
        <f t="shared" si="176"/>
        <v>2.6178571428571495</v>
      </c>
      <c r="K790" s="4">
        <f t="shared" si="177"/>
        <v>3.6944065484310982</v>
      </c>
      <c r="L790">
        <f t="shared" si="178"/>
        <v>78.69805289160125</v>
      </c>
      <c r="M790" s="14" t="str">
        <f t="shared" si="171"/>
        <v>OVERBOUGHT</v>
      </c>
      <c r="N790" s="7" t="str">
        <f t="shared" si="172"/>
        <v>SELL</v>
      </c>
      <c r="O790" s="7">
        <f t="shared" si="179"/>
        <v>0</v>
      </c>
      <c r="P790" s="7">
        <f t="shared" si="180"/>
        <v>-1</v>
      </c>
      <c r="Q790" s="10" t="e">
        <f t="shared" si="173"/>
        <v>#N/A</v>
      </c>
      <c r="R790" s="10" t="e">
        <f t="shared" si="174"/>
        <v>#N/A</v>
      </c>
      <c r="S790" s="7">
        <f t="shared" si="181"/>
        <v>1294.8499999999999</v>
      </c>
      <c r="T790" s="7">
        <f t="shared" si="168"/>
        <v>0</v>
      </c>
    </row>
    <row r="791" spans="1:20" x14ac:dyDescent="0.25">
      <c r="A791" s="1">
        <v>42383</v>
      </c>
      <c r="B791">
        <v>1453</v>
      </c>
      <c r="C791">
        <v>1475</v>
      </c>
      <c r="D791">
        <v>1451.5</v>
      </c>
      <c r="E791">
        <v>1473.7</v>
      </c>
      <c r="F791">
        <v>865015</v>
      </c>
      <c r="G791" s="4">
        <f t="shared" si="169"/>
        <v>18.600000000000136</v>
      </c>
      <c r="H791" s="4">
        <f t="shared" si="170"/>
        <v>0</v>
      </c>
      <c r="I791" s="6">
        <f t="shared" si="175"/>
        <v>10.735714285714298</v>
      </c>
      <c r="J791" s="6">
        <f t="shared" si="176"/>
        <v>2.6178571428571495</v>
      </c>
      <c r="K791" s="4">
        <f t="shared" si="177"/>
        <v>4.1009549795361471</v>
      </c>
      <c r="L791">
        <f t="shared" si="178"/>
        <v>80.395827761433509</v>
      </c>
      <c r="M791" s="14" t="str">
        <f t="shared" si="171"/>
        <v>OVERBOUGHT</v>
      </c>
      <c r="N791" s="7" t="str">
        <f t="shared" si="172"/>
        <v>SELL</v>
      </c>
      <c r="O791" s="7">
        <f t="shared" si="179"/>
        <v>0</v>
      </c>
      <c r="P791" s="7">
        <f t="shared" si="180"/>
        <v>-1</v>
      </c>
      <c r="Q791" s="10" t="e">
        <f t="shared" si="173"/>
        <v>#N/A</v>
      </c>
      <c r="R791" s="10" t="e">
        <f t="shared" si="174"/>
        <v>#N/A</v>
      </c>
      <c r="S791" s="7">
        <f t="shared" si="181"/>
        <v>1294.8499999999999</v>
      </c>
      <c r="T791" s="7">
        <f t="shared" si="168"/>
        <v>0</v>
      </c>
    </row>
    <row r="792" spans="1:20" x14ac:dyDescent="0.25">
      <c r="A792" s="1">
        <v>42384</v>
      </c>
      <c r="B792">
        <v>1467</v>
      </c>
      <c r="C792">
        <v>1499.95</v>
      </c>
      <c r="D792">
        <v>1466</v>
      </c>
      <c r="E792">
        <v>1496.4</v>
      </c>
      <c r="F792">
        <v>1426835</v>
      </c>
      <c r="G792" s="4">
        <f t="shared" si="169"/>
        <v>22.700000000000045</v>
      </c>
      <c r="H792" s="4">
        <f t="shared" si="170"/>
        <v>0</v>
      </c>
      <c r="I792" s="6">
        <f t="shared" si="175"/>
        <v>11.607142857142874</v>
      </c>
      <c r="J792" s="6">
        <f t="shared" si="176"/>
        <v>2.6178571428571495</v>
      </c>
      <c r="K792" s="4">
        <f t="shared" si="177"/>
        <v>4.4338335607094086</v>
      </c>
      <c r="L792">
        <f t="shared" si="178"/>
        <v>81.59678634195329</v>
      </c>
      <c r="M792" s="14" t="str">
        <f t="shared" si="171"/>
        <v>OVERBOUGHT</v>
      </c>
      <c r="N792" s="7" t="str">
        <f t="shared" si="172"/>
        <v>SELL</v>
      </c>
      <c r="O792" s="7">
        <f t="shared" si="179"/>
        <v>0</v>
      </c>
      <c r="P792" s="7">
        <f t="shared" si="180"/>
        <v>-1</v>
      </c>
      <c r="Q792" s="10" t="e">
        <f t="shared" si="173"/>
        <v>#N/A</v>
      </c>
      <c r="R792" s="10" t="e">
        <f t="shared" si="174"/>
        <v>#N/A</v>
      </c>
      <c r="S792" s="7">
        <f t="shared" si="181"/>
        <v>1294.8499999999999</v>
      </c>
      <c r="T792" s="7">
        <f t="shared" si="168"/>
        <v>0</v>
      </c>
    </row>
    <row r="793" spans="1:20" x14ac:dyDescent="0.25">
      <c r="A793" s="1">
        <v>42387</v>
      </c>
      <c r="B793">
        <v>1495.25</v>
      </c>
      <c r="C793">
        <v>1503.05</v>
      </c>
      <c r="D793">
        <v>1477.3</v>
      </c>
      <c r="E793">
        <v>1483.2</v>
      </c>
      <c r="F793">
        <v>1278341</v>
      </c>
      <c r="G793" s="4">
        <f t="shared" si="169"/>
        <v>0</v>
      </c>
      <c r="H793" s="4">
        <f t="shared" si="170"/>
        <v>13.200000000000045</v>
      </c>
      <c r="I793" s="6">
        <f t="shared" si="175"/>
        <v>10.421428571428578</v>
      </c>
      <c r="J793" s="6">
        <f t="shared" si="176"/>
        <v>3.5607142857142953</v>
      </c>
      <c r="K793" s="4">
        <f t="shared" si="177"/>
        <v>2.9267803410230631</v>
      </c>
      <c r="L793">
        <f t="shared" si="178"/>
        <v>74.533844189016563</v>
      </c>
      <c r="M793" s="14" t="str">
        <f t="shared" si="171"/>
        <v>OVERBOUGHT</v>
      </c>
      <c r="N793" s="7" t="str">
        <f t="shared" si="172"/>
        <v>SELL</v>
      </c>
      <c r="O793" s="7">
        <f t="shared" si="179"/>
        <v>0</v>
      </c>
      <c r="P793" s="7">
        <f t="shared" si="180"/>
        <v>-1</v>
      </c>
      <c r="Q793" s="10" t="e">
        <f t="shared" si="173"/>
        <v>#N/A</v>
      </c>
      <c r="R793" s="10" t="e">
        <f t="shared" si="174"/>
        <v>#N/A</v>
      </c>
      <c r="S793" s="7">
        <f t="shared" si="181"/>
        <v>1294.8499999999999</v>
      </c>
      <c r="T793" s="7">
        <f t="shared" si="168"/>
        <v>0</v>
      </c>
    </row>
    <row r="794" spans="1:20" x14ac:dyDescent="0.25">
      <c r="A794" s="1">
        <v>42388</v>
      </c>
      <c r="B794">
        <v>1486.25</v>
      </c>
      <c r="C794">
        <v>1525</v>
      </c>
      <c r="D794">
        <v>1485.25</v>
      </c>
      <c r="E794">
        <v>1517</v>
      </c>
      <c r="F794">
        <v>2299712</v>
      </c>
      <c r="G794" s="4">
        <f t="shared" si="169"/>
        <v>33.799999999999955</v>
      </c>
      <c r="H794" s="4">
        <f t="shared" si="170"/>
        <v>0</v>
      </c>
      <c r="I794" s="6">
        <f t="shared" si="175"/>
        <v>10.303571428571445</v>
      </c>
      <c r="J794" s="6">
        <f t="shared" si="176"/>
        <v>3.5607142857142953</v>
      </c>
      <c r="K794" s="4">
        <f t="shared" si="177"/>
        <v>2.8936810431293849</v>
      </c>
      <c r="L794">
        <f t="shared" si="178"/>
        <v>74.317362184440981</v>
      </c>
      <c r="M794" s="14" t="str">
        <f t="shared" si="171"/>
        <v>OVERBOUGHT</v>
      </c>
      <c r="N794" s="7" t="str">
        <f t="shared" si="172"/>
        <v>SELL</v>
      </c>
      <c r="O794" s="7">
        <f t="shared" si="179"/>
        <v>0</v>
      </c>
      <c r="P794" s="7">
        <f t="shared" si="180"/>
        <v>-1</v>
      </c>
      <c r="Q794" s="10" t="e">
        <f t="shared" si="173"/>
        <v>#N/A</v>
      </c>
      <c r="R794" s="10" t="e">
        <f t="shared" si="174"/>
        <v>#N/A</v>
      </c>
      <c r="S794" s="7">
        <f t="shared" si="181"/>
        <v>1294.8499999999999</v>
      </c>
      <c r="T794" s="7">
        <f t="shared" ref="T794:T857" si="182">IF(O794="BUY",(S793-S794)/S793,IF(O794="SELL",(S794-S793)/S793,0))</f>
        <v>0</v>
      </c>
    </row>
    <row r="795" spans="1:20" x14ac:dyDescent="0.25">
      <c r="A795" s="1">
        <v>42389</v>
      </c>
      <c r="B795">
        <v>1515.1</v>
      </c>
      <c r="C795">
        <v>1516</v>
      </c>
      <c r="D795">
        <v>1498</v>
      </c>
      <c r="E795">
        <v>1501.85</v>
      </c>
      <c r="F795">
        <v>1268663</v>
      </c>
      <c r="G795" s="4">
        <f t="shared" si="169"/>
        <v>0</v>
      </c>
      <c r="H795" s="4">
        <f t="shared" si="170"/>
        <v>15.150000000000091</v>
      </c>
      <c r="I795" s="6">
        <f t="shared" si="175"/>
        <v>10.303571428571445</v>
      </c>
      <c r="J795" s="6">
        <f t="shared" si="176"/>
        <v>4.0785714285714549</v>
      </c>
      <c r="K795" s="4">
        <f t="shared" si="177"/>
        <v>2.5262697022766951</v>
      </c>
      <c r="L795">
        <f t="shared" si="178"/>
        <v>71.641420412217428</v>
      </c>
      <c r="M795" s="14" t="str">
        <f t="shared" si="171"/>
        <v>OVERBOUGHT</v>
      </c>
      <c r="N795" s="7" t="str">
        <f t="shared" si="172"/>
        <v>SELL</v>
      </c>
      <c r="O795" s="7">
        <f t="shared" si="179"/>
        <v>0</v>
      </c>
      <c r="P795" s="7">
        <f t="shared" si="180"/>
        <v>-1</v>
      </c>
      <c r="Q795" s="10" t="e">
        <f t="shared" si="173"/>
        <v>#N/A</v>
      </c>
      <c r="R795" s="10" t="e">
        <f t="shared" si="174"/>
        <v>#N/A</v>
      </c>
      <c r="S795" s="7">
        <f t="shared" si="181"/>
        <v>1294.8499999999999</v>
      </c>
      <c r="T795" s="7">
        <f t="shared" si="182"/>
        <v>0</v>
      </c>
    </row>
    <row r="796" spans="1:20" x14ac:dyDescent="0.25">
      <c r="A796" s="1">
        <v>42390</v>
      </c>
      <c r="B796">
        <v>1491</v>
      </c>
      <c r="C796">
        <v>1519.9</v>
      </c>
      <c r="D796">
        <v>1491</v>
      </c>
      <c r="E796">
        <v>1513.2</v>
      </c>
      <c r="F796">
        <v>1568038</v>
      </c>
      <c r="G796" s="4">
        <f t="shared" si="169"/>
        <v>11.350000000000136</v>
      </c>
      <c r="H796" s="4">
        <f t="shared" si="170"/>
        <v>0</v>
      </c>
      <c r="I796" s="6">
        <f t="shared" si="175"/>
        <v>11.114285714285741</v>
      </c>
      <c r="J796" s="6">
        <f t="shared" si="176"/>
        <v>3.746428571428591</v>
      </c>
      <c r="K796" s="4">
        <f t="shared" si="177"/>
        <v>2.9666348903717741</v>
      </c>
      <c r="L796">
        <f t="shared" si="178"/>
        <v>74.789714011054983</v>
      </c>
      <c r="M796" s="14" t="str">
        <f t="shared" si="171"/>
        <v>OVERBOUGHT</v>
      </c>
      <c r="N796" s="7" t="str">
        <f t="shared" si="172"/>
        <v>SELL</v>
      </c>
      <c r="O796" s="7">
        <f t="shared" si="179"/>
        <v>0</v>
      </c>
      <c r="P796" s="7">
        <f t="shared" si="180"/>
        <v>-1</v>
      </c>
      <c r="Q796" s="10" t="e">
        <f t="shared" si="173"/>
        <v>#N/A</v>
      </c>
      <c r="R796" s="10" t="e">
        <f t="shared" si="174"/>
        <v>#N/A</v>
      </c>
      <c r="S796" s="7">
        <f t="shared" si="181"/>
        <v>1294.8499999999999</v>
      </c>
      <c r="T796" s="7">
        <f t="shared" si="182"/>
        <v>0</v>
      </c>
    </row>
    <row r="797" spans="1:20" x14ac:dyDescent="0.25">
      <c r="A797" s="1">
        <v>42391</v>
      </c>
      <c r="B797">
        <v>1517</v>
      </c>
      <c r="C797">
        <v>1543</v>
      </c>
      <c r="D797">
        <v>1508.6</v>
      </c>
      <c r="E797">
        <v>1540.15</v>
      </c>
      <c r="F797">
        <v>1720027</v>
      </c>
      <c r="G797" s="4">
        <f t="shared" si="169"/>
        <v>26.950000000000045</v>
      </c>
      <c r="H797" s="4">
        <f t="shared" si="170"/>
        <v>0</v>
      </c>
      <c r="I797" s="6">
        <f t="shared" si="175"/>
        <v>11.228571428571447</v>
      </c>
      <c r="J797" s="6">
        <f t="shared" si="176"/>
        <v>3.746428571428591</v>
      </c>
      <c r="K797" s="4">
        <f t="shared" si="177"/>
        <v>2.997140133460428</v>
      </c>
      <c r="L797">
        <f t="shared" si="178"/>
        <v>74.98211304555204</v>
      </c>
      <c r="M797" s="14" t="str">
        <f t="shared" si="171"/>
        <v>OVERBOUGHT</v>
      </c>
      <c r="N797" s="7" t="str">
        <f t="shared" si="172"/>
        <v>SELL</v>
      </c>
      <c r="O797" s="7">
        <f t="shared" si="179"/>
        <v>0</v>
      </c>
      <c r="P797" s="7">
        <f t="shared" si="180"/>
        <v>-1</v>
      </c>
      <c r="Q797" s="10" t="e">
        <f t="shared" si="173"/>
        <v>#N/A</v>
      </c>
      <c r="R797" s="10" t="e">
        <f t="shared" si="174"/>
        <v>#N/A</v>
      </c>
      <c r="S797" s="7">
        <f t="shared" si="181"/>
        <v>1294.8499999999999</v>
      </c>
      <c r="T797" s="7">
        <f t="shared" si="182"/>
        <v>0</v>
      </c>
    </row>
    <row r="798" spans="1:20" x14ac:dyDescent="0.25">
      <c r="A798" s="1">
        <v>42394</v>
      </c>
      <c r="B798">
        <v>1536.15</v>
      </c>
      <c r="C798">
        <v>1565.5</v>
      </c>
      <c r="D798">
        <v>1536.15</v>
      </c>
      <c r="E798">
        <v>1561.2</v>
      </c>
      <c r="F798">
        <v>1149755</v>
      </c>
      <c r="G798" s="4">
        <f t="shared" si="169"/>
        <v>21.049999999999955</v>
      </c>
      <c r="H798" s="4">
        <f t="shared" si="170"/>
        <v>0</v>
      </c>
      <c r="I798" s="6">
        <f t="shared" si="175"/>
        <v>11.853571428571447</v>
      </c>
      <c r="J798" s="6">
        <f t="shared" si="176"/>
        <v>3.746428571428591</v>
      </c>
      <c r="K798" s="4">
        <f t="shared" si="177"/>
        <v>3.1639656816015136</v>
      </c>
      <c r="L798">
        <f t="shared" si="178"/>
        <v>75.984432234432177</v>
      </c>
      <c r="M798" s="14" t="str">
        <f t="shared" si="171"/>
        <v>OVERBOUGHT</v>
      </c>
      <c r="N798" s="7" t="str">
        <f t="shared" si="172"/>
        <v>SELL</v>
      </c>
      <c r="O798" s="7">
        <f t="shared" si="179"/>
        <v>0</v>
      </c>
      <c r="P798" s="7">
        <f t="shared" si="180"/>
        <v>-1</v>
      </c>
      <c r="Q798" s="10" t="e">
        <f t="shared" si="173"/>
        <v>#N/A</v>
      </c>
      <c r="R798" s="10" t="e">
        <f t="shared" si="174"/>
        <v>#N/A</v>
      </c>
      <c r="S798" s="7">
        <f t="shared" si="181"/>
        <v>1294.8499999999999</v>
      </c>
      <c r="T798" s="7">
        <f t="shared" si="182"/>
        <v>0</v>
      </c>
    </row>
    <row r="799" spans="1:20" x14ac:dyDescent="0.25">
      <c r="A799" s="1">
        <v>42395</v>
      </c>
      <c r="B799">
        <v>1561</v>
      </c>
      <c r="C799">
        <v>1597.6</v>
      </c>
      <c r="D799">
        <v>1559.35</v>
      </c>
      <c r="E799">
        <v>1589.9</v>
      </c>
      <c r="F799">
        <v>1954351</v>
      </c>
      <c r="G799" s="4">
        <f t="shared" si="169"/>
        <v>28.700000000000045</v>
      </c>
      <c r="H799" s="4">
        <f t="shared" si="170"/>
        <v>0</v>
      </c>
      <c r="I799" s="6">
        <f t="shared" si="175"/>
        <v>13.903571428571452</v>
      </c>
      <c r="J799" s="6">
        <f t="shared" si="176"/>
        <v>3.3500000000000227</v>
      </c>
      <c r="K799" s="4">
        <f t="shared" si="177"/>
        <v>4.1503198294242853</v>
      </c>
      <c r="L799">
        <f t="shared" si="178"/>
        <v>80.583730076588608</v>
      </c>
      <c r="M799" s="14" t="str">
        <f t="shared" si="171"/>
        <v>OVERBOUGHT</v>
      </c>
      <c r="N799" s="7" t="str">
        <f t="shared" si="172"/>
        <v>SELL</v>
      </c>
      <c r="O799" s="7">
        <f t="shared" si="179"/>
        <v>0</v>
      </c>
      <c r="P799" s="7">
        <f t="shared" si="180"/>
        <v>-1</v>
      </c>
      <c r="Q799" s="10" t="e">
        <f t="shared" si="173"/>
        <v>#N/A</v>
      </c>
      <c r="R799" s="10" t="e">
        <f t="shared" si="174"/>
        <v>#N/A</v>
      </c>
      <c r="S799" s="7">
        <f t="shared" si="181"/>
        <v>1294.8499999999999</v>
      </c>
      <c r="T799" s="7">
        <f t="shared" si="182"/>
        <v>0</v>
      </c>
    </row>
    <row r="800" spans="1:20" x14ac:dyDescent="0.25">
      <c r="A800" s="1">
        <v>42396</v>
      </c>
      <c r="B800">
        <v>1590</v>
      </c>
      <c r="C800">
        <v>1595.65</v>
      </c>
      <c r="D800">
        <v>1574.9</v>
      </c>
      <c r="E800">
        <v>1583.15</v>
      </c>
      <c r="F800">
        <v>2170751</v>
      </c>
      <c r="G800" s="4">
        <f t="shared" si="169"/>
        <v>0</v>
      </c>
      <c r="H800" s="4">
        <f t="shared" si="170"/>
        <v>6.75</v>
      </c>
      <c r="I800" s="6">
        <f t="shared" si="175"/>
        <v>13.903571428571452</v>
      </c>
      <c r="J800" s="6">
        <f t="shared" si="176"/>
        <v>2.6321428571428669</v>
      </c>
      <c r="K800" s="4">
        <f t="shared" si="177"/>
        <v>5.282225237449107</v>
      </c>
      <c r="L800">
        <f t="shared" si="178"/>
        <v>84.082073434125249</v>
      </c>
      <c r="M800" s="14" t="str">
        <f t="shared" si="171"/>
        <v>OVERBOUGHT</v>
      </c>
      <c r="N800" s="7" t="str">
        <f t="shared" si="172"/>
        <v>SELL</v>
      </c>
      <c r="O800" s="7">
        <f t="shared" si="179"/>
        <v>0</v>
      </c>
      <c r="P800" s="7">
        <f t="shared" si="180"/>
        <v>-1</v>
      </c>
      <c r="Q800" s="10" t="e">
        <f t="shared" si="173"/>
        <v>#N/A</v>
      </c>
      <c r="R800" s="10" t="e">
        <f t="shared" si="174"/>
        <v>#N/A</v>
      </c>
      <c r="S800" s="7">
        <f t="shared" si="181"/>
        <v>1294.8499999999999</v>
      </c>
      <c r="T800" s="7">
        <f t="shared" si="182"/>
        <v>0</v>
      </c>
    </row>
    <row r="801" spans="1:20" x14ac:dyDescent="0.25">
      <c r="A801" s="1">
        <v>42397</v>
      </c>
      <c r="B801">
        <v>1575</v>
      </c>
      <c r="C801">
        <v>1589.55</v>
      </c>
      <c r="D801">
        <v>1556.65</v>
      </c>
      <c r="E801">
        <v>1566.2</v>
      </c>
      <c r="F801">
        <v>1110665</v>
      </c>
      <c r="G801" s="4">
        <f t="shared" si="169"/>
        <v>0</v>
      </c>
      <c r="H801" s="4">
        <f t="shared" si="170"/>
        <v>16.950000000000045</v>
      </c>
      <c r="I801" s="6">
        <f t="shared" si="175"/>
        <v>12.603571428571447</v>
      </c>
      <c r="J801" s="6">
        <f t="shared" si="176"/>
        <v>3.8428571428571558</v>
      </c>
      <c r="K801" s="4">
        <f t="shared" si="177"/>
        <v>3.2797397769516667</v>
      </c>
      <c r="L801">
        <f t="shared" si="178"/>
        <v>76.634093376764355</v>
      </c>
      <c r="M801" s="14" t="str">
        <f t="shared" si="171"/>
        <v>OVERBOUGHT</v>
      </c>
      <c r="N801" s="7" t="str">
        <f t="shared" si="172"/>
        <v>SELL</v>
      </c>
      <c r="O801" s="7">
        <f t="shared" si="179"/>
        <v>0</v>
      </c>
      <c r="P801" s="7">
        <f t="shared" si="180"/>
        <v>-1</v>
      </c>
      <c r="Q801" s="10" t="e">
        <f t="shared" si="173"/>
        <v>#N/A</v>
      </c>
      <c r="R801" s="10" t="e">
        <f t="shared" si="174"/>
        <v>#N/A</v>
      </c>
      <c r="S801" s="7">
        <f t="shared" si="181"/>
        <v>1294.8499999999999</v>
      </c>
      <c r="T801" s="7">
        <f t="shared" si="182"/>
        <v>0</v>
      </c>
    </row>
    <row r="802" spans="1:20" x14ac:dyDescent="0.25">
      <c r="A802" s="1">
        <v>42398</v>
      </c>
      <c r="B802">
        <v>1558</v>
      </c>
      <c r="C802">
        <v>1567.95</v>
      </c>
      <c r="D802">
        <v>1548</v>
      </c>
      <c r="E802">
        <v>1560.5</v>
      </c>
      <c r="F802">
        <v>904726</v>
      </c>
      <c r="G802" s="4">
        <f t="shared" si="169"/>
        <v>0</v>
      </c>
      <c r="H802" s="4">
        <f t="shared" si="170"/>
        <v>5.7000000000000455</v>
      </c>
      <c r="I802" s="6">
        <f t="shared" si="175"/>
        <v>11.942857142857163</v>
      </c>
      <c r="J802" s="6">
        <f t="shared" si="176"/>
        <v>4.250000000000016</v>
      </c>
      <c r="K802" s="4">
        <f t="shared" si="177"/>
        <v>2.8100840336134394</v>
      </c>
      <c r="L802">
        <f t="shared" si="178"/>
        <v>73.753859726510768</v>
      </c>
      <c r="M802" s="14" t="str">
        <f t="shared" si="171"/>
        <v>OVERBOUGHT</v>
      </c>
      <c r="N802" s="7" t="str">
        <f t="shared" si="172"/>
        <v>SELL</v>
      </c>
      <c r="O802" s="7">
        <f t="shared" si="179"/>
        <v>0</v>
      </c>
      <c r="P802" s="7">
        <f t="shared" si="180"/>
        <v>-1</v>
      </c>
      <c r="Q802" s="10" t="e">
        <f t="shared" si="173"/>
        <v>#N/A</v>
      </c>
      <c r="R802" s="10" t="e">
        <f t="shared" si="174"/>
        <v>#N/A</v>
      </c>
      <c r="S802" s="7">
        <f t="shared" si="181"/>
        <v>1294.8499999999999</v>
      </c>
      <c r="T802" s="7">
        <f t="shared" si="182"/>
        <v>0</v>
      </c>
    </row>
    <row r="803" spans="1:20" x14ac:dyDescent="0.25">
      <c r="A803" s="1">
        <v>42401</v>
      </c>
      <c r="B803">
        <v>1556.05</v>
      </c>
      <c r="C803">
        <v>1558.7</v>
      </c>
      <c r="D803">
        <v>1548</v>
      </c>
      <c r="E803">
        <v>1551.7</v>
      </c>
      <c r="F803">
        <v>897248</v>
      </c>
      <c r="G803" s="4">
        <f t="shared" si="169"/>
        <v>0</v>
      </c>
      <c r="H803" s="4">
        <f t="shared" si="170"/>
        <v>8.7999999999999545</v>
      </c>
      <c r="I803" s="6">
        <f t="shared" si="175"/>
        <v>11.942857142857163</v>
      </c>
      <c r="J803" s="6">
        <f t="shared" si="176"/>
        <v>4.7535714285714414</v>
      </c>
      <c r="K803" s="4">
        <f t="shared" si="177"/>
        <v>2.5123966942148734</v>
      </c>
      <c r="L803">
        <f t="shared" si="178"/>
        <v>71.529411764705856</v>
      </c>
      <c r="M803" s="14" t="str">
        <f t="shared" si="171"/>
        <v>OVERBOUGHT</v>
      </c>
      <c r="N803" s="7" t="str">
        <f t="shared" si="172"/>
        <v>SELL</v>
      </c>
      <c r="O803" s="7">
        <f t="shared" si="179"/>
        <v>0</v>
      </c>
      <c r="P803" s="7">
        <f t="shared" si="180"/>
        <v>-1</v>
      </c>
      <c r="Q803" s="10" t="e">
        <f t="shared" si="173"/>
        <v>#N/A</v>
      </c>
      <c r="R803" s="10" t="e">
        <f t="shared" si="174"/>
        <v>#N/A</v>
      </c>
      <c r="S803" s="7">
        <f t="shared" si="181"/>
        <v>1294.8499999999999</v>
      </c>
      <c r="T803" s="7">
        <f t="shared" si="182"/>
        <v>0</v>
      </c>
    </row>
    <row r="804" spans="1:20" x14ac:dyDescent="0.25">
      <c r="A804" s="1">
        <v>42402</v>
      </c>
      <c r="B804">
        <v>1557</v>
      </c>
      <c r="C804">
        <v>1577</v>
      </c>
      <c r="D804">
        <v>1543.8</v>
      </c>
      <c r="E804">
        <v>1567.7</v>
      </c>
      <c r="F804">
        <v>1525609</v>
      </c>
      <c r="G804" s="4">
        <f t="shared" si="169"/>
        <v>16</v>
      </c>
      <c r="H804" s="4">
        <f t="shared" si="170"/>
        <v>0</v>
      </c>
      <c r="I804" s="6">
        <f t="shared" si="175"/>
        <v>12.796428571428594</v>
      </c>
      <c r="J804" s="6">
        <f t="shared" si="176"/>
        <v>4.7535714285714414</v>
      </c>
      <c r="K804" s="4">
        <f t="shared" si="177"/>
        <v>2.6919609316303506</v>
      </c>
      <c r="L804">
        <f t="shared" si="178"/>
        <v>72.914122914122899</v>
      </c>
      <c r="M804" s="14" t="str">
        <f t="shared" si="171"/>
        <v>OVERBOUGHT</v>
      </c>
      <c r="N804" s="7" t="str">
        <f t="shared" si="172"/>
        <v>SELL</v>
      </c>
      <c r="O804" s="7">
        <f t="shared" si="179"/>
        <v>0</v>
      </c>
      <c r="P804" s="7">
        <f t="shared" si="180"/>
        <v>-1</v>
      </c>
      <c r="Q804" s="10" t="e">
        <f t="shared" si="173"/>
        <v>#N/A</v>
      </c>
      <c r="R804" s="10" t="e">
        <f t="shared" si="174"/>
        <v>#N/A</v>
      </c>
      <c r="S804" s="7">
        <f t="shared" si="181"/>
        <v>1294.8499999999999</v>
      </c>
      <c r="T804" s="7">
        <f t="shared" si="182"/>
        <v>0</v>
      </c>
    </row>
    <row r="805" spans="1:20" x14ac:dyDescent="0.25">
      <c r="A805" s="1">
        <v>42403</v>
      </c>
      <c r="B805">
        <v>1572</v>
      </c>
      <c r="C805">
        <v>1580.4</v>
      </c>
      <c r="D805">
        <v>1560.6</v>
      </c>
      <c r="E805">
        <v>1570.25</v>
      </c>
      <c r="F805">
        <v>2106199</v>
      </c>
      <c r="G805" s="4">
        <f t="shared" si="169"/>
        <v>2.5499999999999545</v>
      </c>
      <c r="H805" s="4">
        <f t="shared" si="170"/>
        <v>0</v>
      </c>
      <c r="I805" s="6">
        <f t="shared" si="175"/>
        <v>11.650000000000009</v>
      </c>
      <c r="J805" s="6">
        <f t="shared" si="176"/>
        <v>4.7535714285714414</v>
      </c>
      <c r="K805" s="4">
        <f t="shared" si="177"/>
        <v>2.4507888805409421</v>
      </c>
      <c r="L805">
        <f t="shared" si="178"/>
        <v>71.021119094273857</v>
      </c>
      <c r="M805" s="14" t="str">
        <f t="shared" si="171"/>
        <v>OVERBOUGHT</v>
      </c>
      <c r="N805" s="7" t="str">
        <f t="shared" si="172"/>
        <v>SELL</v>
      </c>
      <c r="O805" s="7">
        <f t="shared" si="179"/>
        <v>0</v>
      </c>
      <c r="P805" s="7">
        <f t="shared" si="180"/>
        <v>-1</v>
      </c>
      <c r="Q805" s="10" t="e">
        <f t="shared" si="173"/>
        <v>#N/A</v>
      </c>
      <c r="R805" s="10" t="e">
        <f t="shared" si="174"/>
        <v>#N/A</v>
      </c>
      <c r="S805" s="7">
        <f t="shared" si="181"/>
        <v>1294.8499999999999</v>
      </c>
      <c r="T805" s="7">
        <f t="shared" si="182"/>
        <v>0</v>
      </c>
    </row>
    <row r="806" spans="1:20" x14ac:dyDescent="0.25">
      <c r="A806" s="1">
        <v>42404</v>
      </c>
      <c r="B806">
        <v>1559.85</v>
      </c>
      <c r="C806">
        <v>1573.65</v>
      </c>
      <c r="D806">
        <v>1554.4</v>
      </c>
      <c r="E806">
        <v>1566.95</v>
      </c>
      <c r="F806">
        <v>847494</v>
      </c>
      <c r="G806" s="4">
        <f t="shared" si="169"/>
        <v>0</v>
      </c>
      <c r="H806" s="4">
        <f t="shared" si="170"/>
        <v>3.2999999999999545</v>
      </c>
      <c r="I806" s="6">
        <f t="shared" si="175"/>
        <v>10.028571428571436</v>
      </c>
      <c r="J806" s="6">
        <f t="shared" si="176"/>
        <v>4.9892857142857236</v>
      </c>
      <c r="K806" s="4">
        <f t="shared" si="177"/>
        <v>2.0100214745884015</v>
      </c>
      <c r="L806">
        <f t="shared" si="178"/>
        <v>66.777645659928623</v>
      </c>
      <c r="M806" s="14" t="str">
        <f t="shared" si="171"/>
        <v/>
      </c>
      <c r="N806" s="7">
        <f t="shared" si="172"/>
        <v>0</v>
      </c>
      <c r="O806" s="7">
        <f t="shared" si="179"/>
        <v>0</v>
      </c>
      <c r="P806" s="7">
        <f t="shared" si="180"/>
        <v>-1</v>
      </c>
      <c r="Q806" s="10" t="e">
        <f t="shared" si="173"/>
        <v>#N/A</v>
      </c>
      <c r="R806" s="10" t="e">
        <f t="shared" si="174"/>
        <v>#N/A</v>
      </c>
      <c r="S806" s="7">
        <f t="shared" si="181"/>
        <v>1294.8499999999999</v>
      </c>
      <c r="T806" s="7">
        <f t="shared" si="182"/>
        <v>0</v>
      </c>
    </row>
    <row r="807" spans="1:20" x14ac:dyDescent="0.25">
      <c r="A807" s="1">
        <v>42405</v>
      </c>
      <c r="B807">
        <v>1564.5</v>
      </c>
      <c r="C807">
        <v>1564.5</v>
      </c>
      <c r="D807">
        <v>1540.45</v>
      </c>
      <c r="E807">
        <v>1546.75</v>
      </c>
      <c r="F807">
        <v>1869955</v>
      </c>
      <c r="G807" s="4">
        <f t="shared" si="169"/>
        <v>0</v>
      </c>
      <c r="H807" s="4">
        <f t="shared" si="170"/>
        <v>20.200000000000045</v>
      </c>
      <c r="I807" s="6">
        <f t="shared" si="175"/>
        <v>10.028571428571436</v>
      </c>
      <c r="J807" s="6">
        <f t="shared" si="176"/>
        <v>5.4892857142857236</v>
      </c>
      <c r="K807" s="4">
        <f t="shared" si="177"/>
        <v>1.826935588809367</v>
      </c>
      <c r="L807">
        <f t="shared" si="178"/>
        <v>64.626006904487895</v>
      </c>
      <c r="M807" s="14" t="str">
        <f t="shared" si="171"/>
        <v/>
      </c>
      <c r="N807" s="7">
        <f t="shared" si="172"/>
        <v>0</v>
      </c>
      <c r="O807" s="7">
        <f t="shared" si="179"/>
        <v>0</v>
      </c>
      <c r="P807" s="7">
        <f t="shared" si="180"/>
        <v>-1</v>
      </c>
      <c r="Q807" s="10" t="e">
        <f t="shared" si="173"/>
        <v>#N/A</v>
      </c>
      <c r="R807" s="10" t="e">
        <f t="shared" si="174"/>
        <v>#N/A</v>
      </c>
      <c r="S807" s="7">
        <f t="shared" si="181"/>
        <v>1294.8499999999999</v>
      </c>
      <c r="T807" s="7">
        <f t="shared" si="182"/>
        <v>0</v>
      </c>
    </row>
    <row r="808" spans="1:20" x14ac:dyDescent="0.25">
      <c r="A808" s="1">
        <v>42408</v>
      </c>
      <c r="B808">
        <v>1540</v>
      </c>
      <c r="C808">
        <v>1572.65</v>
      </c>
      <c r="D808">
        <v>1539.95</v>
      </c>
      <c r="E808">
        <v>1557.65</v>
      </c>
      <c r="F808">
        <v>2084068</v>
      </c>
      <c r="G808" s="4">
        <f t="shared" si="169"/>
        <v>10.900000000000091</v>
      </c>
      <c r="H808" s="4">
        <f t="shared" si="170"/>
        <v>0</v>
      </c>
      <c r="I808" s="6">
        <f t="shared" si="175"/>
        <v>8.3928571428571583</v>
      </c>
      <c r="J808" s="6">
        <f t="shared" si="176"/>
        <v>5.4892857142857236</v>
      </c>
      <c r="K808" s="4">
        <f t="shared" si="177"/>
        <v>1.528952504879636</v>
      </c>
      <c r="L808">
        <f t="shared" si="178"/>
        <v>60.457936712117323</v>
      </c>
      <c r="M808" s="14" t="str">
        <f t="shared" si="171"/>
        <v/>
      </c>
      <c r="N808" s="7">
        <f t="shared" si="172"/>
        <v>0</v>
      </c>
      <c r="O808" s="7">
        <f t="shared" si="179"/>
        <v>0</v>
      </c>
      <c r="P808" s="7">
        <f t="shared" si="180"/>
        <v>-1</v>
      </c>
      <c r="Q808" s="10" t="e">
        <f t="shared" si="173"/>
        <v>#N/A</v>
      </c>
      <c r="R808" s="10" t="e">
        <f t="shared" si="174"/>
        <v>#N/A</v>
      </c>
      <c r="S808" s="7">
        <f t="shared" si="181"/>
        <v>1294.8499999999999</v>
      </c>
      <c r="T808" s="7">
        <f t="shared" si="182"/>
        <v>0</v>
      </c>
    </row>
    <row r="809" spans="1:20" x14ac:dyDescent="0.25">
      <c r="A809" s="1">
        <v>42409</v>
      </c>
      <c r="B809">
        <v>1563</v>
      </c>
      <c r="C809">
        <v>1574.4</v>
      </c>
      <c r="D809">
        <v>1553.7</v>
      </c>
      <c r="E809">
        <v>1559.95</v>
      </c>
      <c r="F809">
        <v>832302</v>
      </c>
      <c r="G809" s="4">
        <f t="shared" si="169"/>
        <v>2.2999999999999545</v>
      </c>
      <c r="H809" s="4">
        <f t="shared" si="170"/>
        <v>0</v>
      </c>
      <c r="I809" s="6">
        <f t="shared" si="175"/>
        <v>8.5571428571428694</v>
      </c>
      <c r="J809" s="6">
        <f t="shared" si="176"/>
        <v>4.4071428571428601</v>
      </c>
      <c r="K809" s="4">
        <f t="shared" si="177"/>
        <v>1.9416531604538103</v>
      </c>
      <c r="L809">
        <f t="shared" si="178"/>
        <v>66.005509641873289</v>
      </c>
      <c r="M809" s="14" t="str">
        <f t="shared" si="171"/>
        <v/>
      </c>
      <c r="N809" s="7">
        <f t="shared" si="172"/>
        <v>0</v>
      </c>
      <c r="O809" s="7">
        <f t="shared" si="179"/>
        <v>0</v>
      </c>
      <c r="P809" s="7">
        <f t="shared" si="180"/>
        <v>-1</v>
      </c>
      <c r="Q809" s="10" t="e">
        <f t="shared" si="173"/>
        <v>#N/A</v>
      </c>
      <c r="R809" s="10" t="e">
        <f t="shared" si="174"/>
        <v>#N/A</v>
      </c>
      <c r="S809" s="7">
        <f t="shared" si="181"/>
        <v>1294.8499999999999</v>
      </c>
      <c r="T809" s="7">
        <f t="shared" si="182"/>
        <v>0</v>
      </c>
    </row>
    <row r="810" spans="1:20" x14ac:dyDescent="0.25">
      <c r="A810" s="1">
        <v>42410</v>
      </c>
      <c r="B810">
        <v>1561.4</v>
      </c>
      <c r="C810">
        <v>1562.1</v>
      </c>
      <c r="D810">
        <v>1532</v>
      </c>
      <c r="E810">
        <v>1542.15</v>
      </c>
      <c r="F810">
        <v>1357228</v>
      </c>
      <c r="G810" s="4">
        <f t="shared" si="169"/>
        <v>0</v>
      </c>
      <c r="H810" s="4">
        <f t="shared" si="170"/>
        <v>17.799999999999955</v>
      </c>
      <c r="I810" s="6">
        <f t="shared" si="175"/>
        <v>7.7464285714285745</v>
      </c>
      <c r="J810" s="6">
        <f t="shared" si="176"/>
        <v>5.6785714285714288</v>
      </c>
      <c r="K810" s="4">
        <f t="shared" si="177"/>
        <v>1.3641509433962269</v>
      </c>
      <c r="L810">
        <f t="shared" si="178"/>
        <v>57.701516360734246</v>
      </c>
      <c r="M810" s="14" t="str">
        <f t="shared" si="171"/>
        <v/>
      </c>
      <c r="N810" s="7">
        <f t="shared" si="172"/>
        <v>0</v>
      </c>
      <c r="O810" s="7">
        <f t="shared" si="179"/>
        <v>0</v>
      </c>
      <c r="P810" s="7">
        <f t="shared" si="180"/>
        <v>-1</v>
      </c>
      <c r="Q810" s="10" t="e">
        <f t="shared" si="173"/>
        <v>#N/A</v>
      </c>
      <c r="R810" s="10" t="e">
        <f t="shared" si="174"/>
        <v>#N/A</v>
      </c>
      <c r="S810" s="7">
        <f t="shared" si="181"/>
        <v>1294.8499999999999</v>
      </c>
      <c r="T810" s="7">
        <f t="shared" si="182"/>
        <v>0</v>
      </c>
    </row>
    <row r="811" spans="1:20" x14ac:dyDescent="0.25">
      <c r="A811" s="1">
        <v>42411</v>
      </c>
      <c r="B811">
        <v>1548.5</v>
      </c>
      <c r="C811">
        <v>1552</v>
      </c>
      <c r="D811">
        <v>1528.4</v>
      </c>
      <c r="E811">
        <v>1543.35</v>
      </c>
      <c r="F811">
        <v>928658</v>
      </c>
      <c r="G811" s="4">
        <f t="shared" si="169"/>
        <v>1.1999999999998181</v>
      </c>
      <c r="H811" s="4">
        <f t="shared" si="170"/>
        <v>0</v>
      </c>
      <c r="I811" s="6">
        <f t="shared" si="175"/>
        <v>5.9071428571428442</v>
      </c>
      <c r="J811" s="6">
        <f t="shared" si="176"/>
        <v>5.6785714285714288</v>
      </c>
      <c r="K811" s="4">
        <f t="shared" si="177"/>
        <v>1.0402515723270418</v>
      </c>
      <c r="L811">
        <f t="shared" si="178"/>
        <v>50.986436498150375</v>
      </c>
      <c r="M811" s="14" t="str">
        <f t="shared" si="171"/>
        <v/>
      </c>
      <c r="N811" s="7">
        <f t="shared" si="172"/>
        <v>0</v>
      </c>
      <c r="O811" s="7">
        <f t="shared" si="179"/>
        <v>0</v>
      </c>
      <c r="P811" s="7">
        <f t="shared" si="180"/>
        <v>-1</v>
      </c>
      <c r="Q811" s="10" t="e">
        <f t="shared" si="173"/>
        <v>#N/A</v>
      </c>
      <c r="R811" s="10" t="e">
        <f t="shared" si="174"/>
        <v>#N/A</v>
      </c>
      <c r="S811" s="7">
        <f t="shared" si="181"/>
        <v>1294.8499999999999</v>
      </c>
      <c r="T811" s="7">
        <f t="shared" si="182"/>
        <v>0</v>
      </c>
    </row>
    <row r="812" spans="1:20" x14ac:dyDescent="0.25">
      <c r="A812" s="1">
        <v>42412</v>
      </c>
      <c r="B812">
        <v>1540.1</v>
      </c>
      <c r="C812">
        <v>1570</v>
      </c>
      <c r="D812">
        <v>1536.15</v>
      </c>
      <c r="E812">
        <v>1556.35</v>
      </c>
      <c r="F812">
        <v>890768</v>
      </c>
      <c r="G812" s="4">
        <f t="shared" si="169"/>
        <v>13</v>
      </c>
      <c r="H812" s="4">
        <f t="shared" si="170"/>
        <v>0</v>
      </c>
      <c r="I812" s="6">
        <f t="shared" si="175"/>
        <v>5.3321428571428475</v>
      </c>
      <c r="J812" s="6">
        <f t="shared" si="176"/>
        <v>5.6785714285714288</v>
      </c>
      <c r="K812" s="4">
        <f t="shared" si="177"/>
        <v>0.93899371069182214</v>
      </c>
      <c r="L812">
        <f t="shared" si="178"/>
        <v>48.426856957508875</v>
      </c>
      <c r="M812" s="14" t="str">
        <f t="shared" si="171"/>
        <v/>
      </c>
      <c r="N812" s="7">
        <f t="shared" si="172"/>
        <v>0</v>
      </c>
      <c r="O812" s="7">
        <f t="shared" si="179"/>
        <v>0</v>
      </c>
      <c r="P812" s="7">
        <f t="shared" si="180"/>
        <v>-1</v>
      </c>
      <c r="Q812" s="10" t="e">
        <f t="shared" si="173"/>
        <v>#N/A</v>
      </c>
      <c r="R812" s="10" t="e">
        <f t="shared" si="174"/>
        <v>#N/A</v>
      </c>
      <c r="S812" s="7">
        <f t="shared" si="181"/>
        <v>1294.8499999999999</v>
      </c>
      <c r="T812" s="7">
        <f t="shared" si="182"/>
        <v>0</v>
      </c>
    </row>
    <row r="813" spans="1:20" x14ac:dyDescent="0.25">
      <c r="A813" s="1">
        <v>42415</v>
      </c>
      <c r="B813">
        <v>1556</v>
      </c>
      <c r="C813">
        <v>1583.4</v>
      </c>
      <c r="D813">
        <v>1541.65</v>
      </c>
      <c r="E813">
        <v>1575.75</v>
      </c>
      <c r="F813">
        <v>1532831</v>
      </c>
      <c r="G813" s="4">
        <f t="shared" si="169"/>
        <v>19.400000000000091</v>
      </c>
      <c r="H813" s="4">
        <f t="shared" si="170"/>
        <v>0</v>
      </c>
      <c r="I813" s="6">
        <f t="shared" si="175"/>
        <v>4.6678571428571365</v>
      </c>
      <c r="J813" s="6">
        <f t="shared" si="176"/>
        <v>5.6785714285714288</v>
      </c>
      <c r="K813" s="4">
        <f t="shared" si="177"/>
        <v>0.82201257861635102</v>
      </c>
      <c r="L813">
        <f t="shared" si="178"/>
        <v>45.115636865723125</v>
      </c>
      <c r="M813" s="14" t="str">
        <f t="shared" si="171"/>
        <v/>
      </c>
      <c r="N813" s="7">
        <f t="shared" si="172"/>
        <v>0</v>
      </c>
      <c r="O813" s="7">
        <f t="shared" si="179"/>
        <v>0</v>
      </c>
      <c r="P813" s="7">
        <f t="shared" si="180"/>
        <v>-1</v>
      </c>
      <c r="Q813" s="10" t="e">
        <f t="shared" si="173"/>
        <v>#N/A</v>
      </c>
      <c r="R813" s="10" t="e">
        <f t="shared" si="174"/>
        <v>#N/A</v>
      </c>
      <c r="S813" s="7">
        <f t="shared" si="181"/>
        <v>1294.8499999999999</v>
      </c>
      <c r="T813" s="7">
        <f t="shared" si="182"/>
        <v>0</v>
      </c>
    </row>
    <row r="814" spans="1:20" x14ac:dyDescent="0.25">
      <c r="A814" s="1">
        <v>42416</v>
      </c>
      <c r="B814">
        <v>1565</v>
      </c>
      <c r="C814">
        <v>1573.7</v>
      </c>
      <c r="D814">
        <v>1551.25</v>
      </c>
      <c r="E814">
        <v>1556.85</v>
      </c>
      <c r="F814">
        <v>484406</v>
      </c>
      <c r="G814" s="4">
        <f t="shared" si="169"/>
        <v>0</v>
      </c>
      <c r="H814" s="4">
        <f t="shared" si="170"/>
        <v>18.900000000000091</v>
      </c>
      <c r="I814" s="6">
        <f t="shared" si="175"/>
        <v>4.6678571428571365</v>
      </c>
      <c r="J814" s="6">
        <f t="shared" si="176"/>
        <v>6.5464285714285779</v>
      </c>
      <c r="K814" s="4">
        <f t="shared" si="177"/>
        <v>0.71303873431532838</v>
      </c>
      <c r="L814">
        <f t="shared" si="178"/>
        <v>41.624203821655996</v>
      </c>
      <c r="M814" s="14" t="str">
        <f t="shared" si="171"/>
        <v/>
      </c>
      <c r="N814" s="7">
        <f t="shared" si="172"/>
        <v>0</v>
      </c>
      <c r="O814" s="7">
        <f t="shared" si="179"/>
        <v>0</v>
      </c>
      <c r="P814" s="7">
        <f t="shared" si="180"/>
        <v>-1</v>
      </c>
      <c r="Q814" s="10" t="e">
        <f t="shared" si="173"/>
        <v>#N/A</v>
      </c>
      <c r="R814" s="10" t="e">
        <f t="shared" si="174"/>
        <v>#N/A</v>
      </c>
      <c r="S814" s="7">
        <f t="shared" si="181"/>
        <v>1294.8499999999999</v>
      </c>
      <c r="T814" s="7">
        <f t="shared" si="182"/>
        <v>0</v>
      </c>
    </row>
    <row r="815" spans="1:20" x14ac:dyDescent="0.25">
      <c r="A815" s="1">
        <v>42417</v>
      </c>
      <c r="B815">
        <v>1556</v>
      </c>
      <c r="C815">
        <v>1571.2</v>
      </c>
      <c r="D815">
        <v>1541.25</v>
      </c>
      <c r="E815">
        <v>1567.35</v>
      </c>
      <c r="F815">
        <v>565166</v>
      </c>
      <c r="G815" s="4">
        <f t="shared" si="169"/>
        <v>10.5</v>
      </c>
      <c r="H815" s="4">
        <f t="shared" si="170"/>
        <v>0</v>
      </c>
      <c r="I815" s="6">
        <f t="shared" si="175"/>
        <v>5.4178571428571365</v>
      </c>
      <c r="J815" s="6">
        <f t="shared" si="176"/>
        <v>5.335714285714289</v>
      </c>
      <c r="K815" s="4">
        <f t="shared" si="177"/>
        <v>1.0153949129852726</v>
      </c>
      <c r="L815">
        <f t="shared" si="178"/>
        <v>50.381932912653568</v>
      </c>
      <c r="M815" s="14" t="str">
        <f t="shared" si="171"/>
        <v/>
      </c>
      <c r="N815" s="7">
        <f t="shared" si="172"/>
        <v>0</v>
      </c>
      <c r="O815" s="7">
        <f t="shared" si="179"/>
        <v>0</v>
      </c>
      <c r="P815" s="7">
        <f t="shared" si="180"/>
        <v>-1</v>
      </c>
      <c r="Q815" s="10" t="e">
        <f t="shared" si="173"/>
        <v>#N/A</v>
      </c>
      <c r="R815" s="10" t="e">
        <f t="shared" si="174"/>
        <v>#N/A</v>
      </c>
      <c r="S815" s="7">
        <f t="shared" si="181"/>
        <v>1294.8499999999999</v>
      </c>
      <c r="T815" s="7">
        <f t="shared" si="182"/>
        <v>0</v>
      </c>
    </row>
    <row r="816" spans="1:20" x14ac:dyDescent="0.25">
      <c r="A816" s="1">
        <v>42418</v>
      </c>
      <c r="B816">
        <v>1570</v>
      </c>
      <c r="C816">
        <v>1575</v>
      </c>
      <c r="D816">
        <v>1531</v>
      </c>
      <c r="E816">
        <v>1543.4</v>
      </c>
      <c r="F816">
        <v>479966</v>
      </c>
      <c r="G816" s="4">
        <f t="shared" si="169"/>
        <v>0</v>
      </c>
      <c r="H816" s="4">
        <f t="shared" si="170"/>
        <v>23.949999999999818</v>
      </c>
      <c r="I816" s="6">
        <f t="shared" si="175"/>
        <v>5.4178571428571365</v>
      </c>
      <c r="J816" s="6">
        <f t="shared" si="176"/>
        <v>6.6392857142857009</v>
      </c>
      <c r="K816" s="4">
        <f t="shared" si="177"/>
        <v>0.81603012372243211</v>
      </c>
      <c r="L816">
        <f t="shared" si="178"/>
        <v>44.934834123222771</v>
      </c>
      <c r="M816" s="14" t="str">
        <f t="shared" si="171"/>
        <v/>
      </c>
      <c r="N816" s="7">
        <f t="shared" si="172"/>
        <v>0</v>
      </c>
      <c r="O816" s="7">
        <f t="shared" si="179"/>
        <v>0</v>
      </c>
      <c r="P816" s="7">
        <f t="shared" si="180"/>
        <v>-1</v>
      </c>
      <c r="Q816" s="10" t="e">
        <f t="shared" si="173"/>
        <v>#N/A</v>
      </c>
      <c r="R816" s="10" t="e">
        <f t="shared" si="174"/>
        <v>#N/A</v>
      </c>
      <c r="S816" s="7">
        <f t="shared" si="181"/>
        <v>1294.8499999999999</v>
      </c>
      <c r="T816" s="7">
        <f t="shared" si="182"/>
        <v>0</v>
      </c>
    </row>
    <row r="817" spans="1:20" x14ac:dyDescent="0.25">
      <c r="A817" s="1">
        <v>42419</v>
      </c>
      <c r="B817">
        <v>1540.1</v>
      </c>
      <c r="C817">
        <v>1540.1</v>
      </c>
      <c r="D817">
        <v>1501</v>
      </c>
      <c r="E817">
        <v>1507.8</v>
      </c>
      <c r="F817">
        <v>563169</v>
      </c>
      <c r="G817" s="4">
        <f t="shared" si="169"/>
        <v>0</v>
      </c>
      <c r="H817" s="4">
        <f t="shared" si="170"/>
        <v>35.600000000000136</v>
      </c>
      <c r="I817" s="6">
        <f t="shared" si="175"/>
        <v>5.4178571428571365</v>
      </c>
      <c r="J817" s="6">
        <f t="shared" si="176"/>
        <v>8.5535714285714288</v>
      </c>
      <c r="K817" s="4">
        <f t="shared" si="177"/>
        <v>0.63340292275574039</v>
      </c>
      <c r="L817">
        <f t="shared" si="178"/>
        <v>38.778118609406931</v>
      </c>
      <c r="M817" s="14" t="str">
        <f t="shared" si="171"/>
        <v/>
      </c>
      <c r="N817" s="7">
        <f t="shared" si="172"/>
        <v>0</v>
      </c>
      <c r="O817" s="7">
        <f t="shared" si="179"/>
        <v>0</v>
      </c>
      <c r="P817" s="7">
        <f t="shared" si="180"/>
        <v>-1</v>
      </c>
      <c r="Q817" s="10" t="e">
        <f t="shared" si="173"/>
        <v>#N/A</v>
      </c>
      <c r="R817" s="10" t="e">
        <f t="shared" si="174"/>
        <v>#N/A</v>
      </c>
      <c r="S817" s="7">
        <f t="shared" si="181"/>
        <v>1294.8499999999999</v>
      </c>
      <c r="T817" s="7">
        <f t="shared" si="182"/>
        <v>0</v>
      </c>
    </row>
    <row r="818" spans="1:20" x14ac:dyDescent="0.25">
      <c r="A818" s="1">
        <v>42422</v>
      </c>
      <c r="B818">
        <v>1505</v>
      </c>
      <c r="C818">
        <v>1509.35</v>
      </c>
      <c r="D818">
        <v>1484.1</v>
      </c>
      <c r="E818">
        <v>1498.35</v>
      </c>
      <c r="F818">
        <v>932624</v>
      </c>
      <c r="G818" s="4">
        <f t="shared" si="169"/>
        <v>0</v>
      </c>
      <c r="H818" s="4">
        <f t="shared" si="170"/>
        <v>9.4500000000000455</v>
      </c>
      <c r="I818" s="6">
        <f t="shared" si="175"/>
        <v>4.2749999999999932</v>
      </c>
      <c r="J818" s="6">
        <f t="shared" si="176"/>
        <v>9.2285714285714313</v>
      </c>
      <c r="K818" s="4">
        <f t="shared" si="177"/>
        <v>0.46323529411764619</v>
      </c>
      <c r="L818">
        <f t="shared" si="178"/>
        <v>31.658291457286396</v>
      </c>
      <c r="M818" s="14" t="str">
        <f t="shared" si="171"/>
        <v/>
      </c>
      <c r="N818" s="7">
        <f t="shared" si="172"/>
        <v>0</v>
      </c>
      <c r="O818" s="7">
        <f t="shared" si="179"/>
        <v>0</v>
      </c>
      <c r="P818" s="7">
        <f t="shared" si="180"/>
        <v>-1</v>
      </c>
      <c r="Q818" s="10" t="e">
        <f t="shared" si="173"/>
        <v>#N/A</v>
      </c>
      <c r="R818" s="10" t="e">
        <f t="shared" si="174"/>
        <v>#N/A</v>
      </c>
      <c r="S818" s="7">
        <f t="shared" si="181"/>
        <v>1294.8499999999999</v>
      </c>
      <c r="T818" s="7">
        <f t="shared" si="182"/>
        <v>0</v>
      </c>
    </row>
    <row r="819" spans="1:20" x14ac:dyDescent="0.25">
      <c r="A819" s="1">
        <v>42423</v>
      </c>
      <c r="B819">
        <v>1498.9</v>
      </c>
      <c r="C819">
        <v>1498.9</v>
      </c>
      <c r="D819">
        <v>1475</v>
      </c>
      <c r="E819">
        <v>1480.75</v>
      </c>
      <c r="F819">
        <v>448208</v>
      </c>
      <c r="G819" s="4">
        <f t="shared" si="169"/>
        <v>0</v>
      </c>
      <c r="H819" s="4">
        <f t="shared" si="170"/>
        <v>17.599999999999909</v>
      </c>
      <c r="I819" s="6">
        <f t="shared" si="175"/>
        <v>4.0928571428571399</v>
      </c>
      <c r="J819" s="6">
        <f t="shared" si="176"/>
        <v>10.485714285714282</v>
      </c>
      <c r="K819" s="4">
        <f t="shared" si="177"/>
        <v>0.39032697547683909</v>
      </c>
      <c r="L819">
        <f t="shared" si="178"/>
        <v>28.074473297403216</v>
      </c>
      <c r="M819" s="14" t="str">
        <f t="shared" si="171"/>
        <v>OVERSOLD</v>
      </c>
      <c r="N819" s="7" t="str">
        <f t="shared" si="172"/>
        <v>BUY</v>
      </c>
      <c r="O819" s="7" t="str">
        <f t="shared" si="179"/>
        <v>BUY</v>
      </c>
      <c r="P819" s="7">
        <f t="shared" si="180"/>
        <v>1</v>
      </c>
      <c r="Q819" s="10">
        <f t="shared" si="173"/>
        <v>1480.75</v>
      </c>
      <c r="R819" s="10" t="e">
        <f t="shared" si="174"/>
        <v>#N/A</v>
      </c>
      <c r="S819" s="7">
        <f t="shared" si="181"/>
        <v>1480.75</v>
      </c>
      <c r="T819" s="7">
        <f t="shared" si="182"/>
        <v>-0.14356875313742912</v>
      </c>
    </row>
    <row r="820" spans="1:20" x14ac:dyDescent="0.25">
      <c r="A820" s="1">
        <v>42424</v>
      </c>
      <c r="B820">
        <v>1480</v>
      </c>
      <c r="C820">
        <v>1513</v>
      </c>
      <c r="D820">
        <v>1477.6</v>
      </c>
      <c r="E820">
        <v>1497.4</v>
      </c>
      <c r="F820">
        <v>836177</v>
      </c>
      <c r="G820" s="4">
        <f t="shared" si="169"/>
        <v>16.650000000000091</v>
      </c>
      <c r="H820" s="4">
        <f t="shared" si="170"/>
        <v>0</v>
      </c>
      <c r="I820" s="6">
        <f t="shared" si="175"/>
        <v>5.2821428571428601</v>
      </c>
      <c r="J820" s="6">
        <f t="shared" si="176"/>
        <v>10.25</v>
      </c>
      <c r="K820" s="4">
        <f t="shared" si="177"/>
        <v>0.51533101045296192</v>
      </c>
      <c r="L820">
        <f t="shared" si="178"/>
        <v>34.007817889169928</v>
      </c>
      <c r="M820" s="14" t="str">
        <f t="shared" si="171"/>
        <v/>
      </c>
      <c r="N820" s="7">
        <f t="shared" si="172"/>
        <v>0</v>
      </c>
      <c r="O820" s="7">
        <f t="shared" si="179"/>
        <v>0</v>
      </c>
      <c r="P820" s="7">
        <f t="shared" si="180"/>
        <v>1</v>
      </c>
      <c r="Q820" s="10" t="e">
        <f t="shared" si="173"/>
        <v>#N/A</v>
      </c>
      <c r="R820" s="10" t="e">
        <f t="shared" si="174"/>
        <v>#N/A</v>
      </c>
      <c r="S820" s="7">
        <f t="shared" si="181"/>
        <v>1480.75</v>
      </c>
      <c r="T820" s="7">
        <f t="shared" si="182"/>
        <v>0</v>
      </c>
    </row>
    <row r="821" spans="1:20" x14ac:dyDescent="0.25">
      <c r="A821" s="1">
        <v>42425</v>
      </c>
      <c r="B821">
        <v>1509.9</v>
      </c>
      <c r="C821">
        <v>1538.9</v>
      </c>
      <c r="D821">
        <v>1501</v>
      </c>
      <c r="E821">
        <v>1530.45</v>
      </c>
      <c r="F821">
        <v>1023142</v>
      </c>
      <c r="G821" s="4">
        <f t="shared" si="169"/>
        <v>33.049999999999955</v>
      </c>
      <c r="H821" s="4">
        <f t="shared" si="170"/>
        <v>0</v>
      </c>
      <c r="I821" s="6">
        <f t="shared" si="175"/>
        <v>7.6428571428571432</v>
      </c>
      <c r="J821" s="6">
        <f t="shared" si="176"/>
        <v>8.8071428571428534</v>
      </c>
      <c r="K821" s="4">
        <f t="shared" si="177"/>
        <v>0.86780210867802154</v>
      </c>
      <c r="L821">
        <f t="shared" si="178"/>
        <v>46.461137646547989</v>
      </c>
      <c r="M821" s="14" t="str">
        <f t="shared" si="171"/>
        <v/>
      </c>
      <c r="N821" s="7">
        <f t="shared" si="172"/>
        <v>0</v>
      </c>
      <c r="O821" s="7">
        <f t="shared" si="179"/>
        <v>0</v>
      </c>
      <c r="P821" s="7">
        <f t="shared" si="180"/>
        <v>1</v>
      </c>
      <c r="Q821" s="10" t="e">
        <f t="shared" si="173"/>
        <v>#N/A</v>
      </c>
      <c r="R821" s="10" t="e">
        <f t="shared" si="174"/>
        <v>#N/A</v>
      </c>
      <c r="S821" s="7">
        <f t="shared" si="181"/>
        <v>1480.75</v>
      </c>
      <c r="T821" s="7">
        <f t="shared" si="182"/>
        <v>0</v>
      </c>
    </row>
    <row r="822" spans="1:20" x14ac:dyDescent="0.25">
      <c r="A822" s="1">
        <v>42426</v>
      </c>
      <c r="B822">
        <v>1540</v>
      </c>
      <c r="C822">
        <v>1550.1</v>
      </c>
      <c r="D822">
        <v>1520.7</v>
      </c>
      <c r="E822">
        <v>1536.9</v>
      </c>
      <c r="F822">
        <v>1122329</v>
      </c>
      <c r="G822" s="4">
        <f t="shared" si="169"/>
        <v>6.4500000000000455</v>
      </c>
      <c r="H822" s="4">
        <f t="shared" si="170"/>
        <v>0</v>
      </c>
      <c r="I822" s="6">
        <f t="shared" si="175"/>
        <v>7.3249999999999966</v>
      </c>
      <c r="J822" s="6">
        <f t="shared" si="176"/>
        <v>8.8071428571428534</v>
      </c>
      <c r="K822" s="4">
        <f t="shared" si="177"/>
        <v>0.8317112733171127</v>
      </c>
      <c r="L822">
        <f t="shared" si="178"/>
        <v>45.406243081691393</v>
      </c>
      <c r="M822" s="14" t="str">
        <f t="shared" si="171"/>
        <v/>
      </c>
      <c r="N822" s="7">
        <f t="shared" si="172"/>
        <v>0</v>
      </c>
      <c r="O822" s="7">
        <f t="shared" si="179"/>
        <v>0</v>
      </c>
      <c r="P822" s="7">
        <f t="shared" si="180"/>
        <v>1</v>
      </c>
      <c r="Q822" s="10" t="e">
        <f t="shared" si="173"/>
        <v>#N/A</v>
      </c>
      <c r="R822" s="10" t="e">
        <f t="shared" si="174"/>
        <v>#N/A</v>
      </c>
      <c r="S822" s="7">
        <f t="shared" si="181"/>
        <v>1480.75</v>
      </c>
      <c r="T822" s="7">
        <f t="shared" si="182"/>
        <v>0</v>
      </c>
    </row>
    <row r="823" spans="1:20" x14ac:dyDescent="0.25">
      <c r="A823" s="1">
        <v>42429</v>
      </c>
      <c r="B823">
        <v>1481.9</v>
      </c>
      <c r="C823">
        <v>1524.5</v>
      </c>
      <c r="D823">
        <v>1478.35</v>
      </c>
      <c r="E823">
        <v>1511.75</v>
      </c>
      <c r="F823">
        <v>2516030</v>
      </c>
      <c r="G823" s="4">
        <f t="shared" si="169"/>
        <v>0</v>
      </c>
      <c r="H823" s="4">
        <f t="shared" si="170"/>
        <v>25.150000000000091</v>
      </c>
      <c r="I823" s="6">
        <f t="shared" si="175"/>
        <v>7.1607142857142856</v>
      </c>
      <c r="J823" s="6">
        <f t="shared" si="176"/>
        <v>10.603571428571431</v>
      </c>
      <c r="K823" s="4">
        <f t="shared" si="177"/>
        <v>0.67531155271135046</v>
      </c>
      <c r="L823">
        <f t="shared" si="178"/>
        <v>40.309609971853632</v>
      </c>
      <c r="M823" s="14" t="str">
        <f t="shared" si="171"/>
        <v/>
      </c>
      <c r="N823" s="7">
        <f t="shared" si="172"/>
        <v>0</v>
      </c>
      <c r="O823" s="7">
        <f t="shared" si="179"/>
        <v>0</v>
      </c>
      <c r="P823" s="7">
        <f t="shared" si="180"/>
        <v>1</v>
      </c>
      <c r="Q823" s="10" t="e">
        <f t="shared" si="173"/>
        <v>#N/A</v>
      </c>
      <c r="R823" s="10" t="e">
        <f t="shared" si="174"/>
        <v>#N/A</v>
      </c>
      <c r="S823" s="7">
        <f t="shared" si="181"/>
        <v>1480.75</v>
      </c>
      <c r="T823" s="7">
        <f t="shared" si="182"/>
        <v>0</v>
      </c>
    </row>
    <row r="824" spans="1:20" x14ac:dyDescent="0.25">
      <c r="A824" s="1">
        <v>42430</v>
      </c>
      <c r="B824">
        <v>1513.5</v>
      </c>
      <c r="C824">
        <v>1514</v>
      </c>
      <c r="D824">
        <v>1448.35</v>
      </c>
      <c r="E824">
        <v>1472.45</v>
      </c>
      <c r="F824">
        <v>2695748</v>
      </c>
      <c r="G824" s="4">
        <f t="shared" si="169"/>
        <v>0</v>
      </c>
      <c r="H824" s="4">
        <f t="shared" si="170"/>
        <v>39.299999999999955</v>
      </c>
      <c r="I824" s="6">
        <f t="shared" si="175"/>
        <v>7.1607142857142856</v>
      </c>
      <c r="J824" s="6">
        <f t="shared" si="176"/>
        <v>12.139285714285718</v>
      </c>
      <c r="K824" s="4">
        <f t="shared" si="177"/>
        <v>0.58987937628714304</v>
      </c>
      <c r="L824">
        <f t="shared" si="178"/>
        <v>37.102146558105098</v>
      </c>
      <c r="M824" s="14" t="str">
        <f t="shared" si="171"/>
        <v/>
      </c>
      <c r="N824" s="7">
        <f t="shared" si="172"/>
        <v>0</v>
      </c>
      <c r="O824" s="7">
        <f t="shared" si="179"/>
        <v>0</v>
      </c>
      <c r="P824" s="7">
        <f t="shared" si="180"/>
        <v>1</v>
      </c>
      <c r="Q824" s="10" t="e">
        <f t="shared" si="173"/>
        <v>#N/A</v>
      </c>
      <c r="R824" s="10" t="e">
        <f t="shared" si="174"/>
        <v>#N/A</v>
      </c>
      <c r="S824" s="7">
        <f t="shared" si="181"/>
        <v>1480.75</v>
      </c>
      <c r="T824" s="7">
        <f t="shared" si="182"/>
        <v>0</v>
      </c>
    </row>
    <row r="825" spans="1:20" x14ac:dyDescent="0.25">
      <c r="A825" s="1">
        <v>42431</v>
      </c>
      <c r="B825">
        <v>1470</v>
      </c>
      <c r="C825">
        <v>1493.45</v>
      </c>
      <c r="D825">
        <v>1457.95</v>
      </c>
      <c r="E825">
        <v>1483.15</v>
      </c>
      <c r="F825">
        <v>1535791</v>
      </c>
      <c r="G825" s="4">
        <f t="shared" si="169"/>
        <v>10.700000000000045</v>
      </c>
      <c r="H825" s="4">
        <f t="shared" si="170"/>
        <v>0</v>
      </c>
      <c r="I825" s="6">
        <f t="shared" si="175"/>
        <v>7.8392857142857304</v>
      </c>
      <c r="J825" s="6">
        <f t="shared" si="176"/>
        <v>12.139285714285718</v>
      </c>
      <c r="K825" s="4">
        <f t="shared" si="177"/>
        <v>0.64577817005001581</v>
      </c>
      <c r="L825">
        <f t="shared" si="178"/>
        <v>39.238469789059749</v>
      </c>
      <c r="M825" s="14" t="str">
        <f t="shared" si="171"/>
        <v/>
      </c>
      <c r="N825" s="7">
        <f t="shared" si="172"/>
        <v>0</v>
      </c>
      <c r="O825" s="7">
        <f t="shared" si="179"/>
        <v>0</v>
      </c>
      <c r="P825" s="7">
        <f t="shared" si="180"/>
        <v>1</v>
      </c>
      <c r="Q825" s="10" t="e">
        <f t="shared" si="173"/>
        <v>#N/A</v>
      </c>
      <c r="R825" s="10" t="e">
        <f t="shared" si="174"/>
        <v>#N/A</v>
      </c>
      <c r="S825" s="7">
        <f t="shared" si="181"/>
        <v>1480.75</v>
      </c>
      <c r="T825" s="7">
        <f t="shared" si="182"/>
        <v>0</v>
      </c>
    </row>
    <row r="826" spans="1:20" x14ac:dyDescent="0.25">
      <c r="A826" s="1">
        <v>42432</v>
      </c>
      <c r="B826">
        <v>1495</v>
      </c>
      <c r="C826">
        <v>1499</v>
      </c>
      <c r="D826">
        <v>1431</v>
      </c>
      <c r="E826">
        <v>1456.65</v>
      </c>
      <c r="F826">
        <v>2639502</v>
      </c>
      <c r="G826" s="4">
        <f t="shared" si="169"/>
        <v>0</v>
      </c>
      <c r="H826" s="4">
        <f t="shared" si="170"/>
        <v>26.5</v>
      </c>
      <c r="I826" s="6">
        <f t="shared" si="175"/>
        <v>6.9107142857143016</v>
      </c>
      <c r="J826" s="6">
        <f t="shared" si="176"/>
        <v>14.03214285714286</v>
      </c>
      <c r="K826" s="4">
        <f t="shared" si="177"/>
        <v>0.49249172817510922</v>
      </c>
      <c r="L826">
        <f t="shared" si="178"/>
        <v>32.997953615279727</v>
      </c>
      <c r="M826" s="14" t="str">
        <f t="shared" si="171"/>
        <v/>
      </c>
      <c r="N826" s="7">
        <f t="shared" si="172"/>
        <v>0</v>
      </c>
      <c r="O826" s="7">
        <f t="shared" si="179"/>
        <v>0</v>
      </c>
      <c r="P826" s="7">
        <f t="shared" si="180"/>
        <v>1</v>
      </c>
      <c r="Q826" s="10" t="e">
        <f t="shared" si="173"/>
        <v>#N/A</v>
      </c>
      <c r="R826" s="10" t="e">
        <f t="shared" si="174"/>
        <v>#N/A</v>
      </c>
      <c r="S826" s="7">
        <f t="shared" si="181"/>
        <v>1480.75</v>
      </c>
      <c r="T826" s="7">
        <f t="shared" si="182"/>
        <v>0</v>
      </c>
    </row>
    <row r="827" spans="1:20" x14ac:dyDescent="0.25">
      <c r="A827" s="1">
        <v>42433</v>
      </c>
      <c r="B827">
        <v>1487.95</v>
      </c>
      <c r="C827">
        <v>1494.9</v>
      </c>
      <c r="D827">
        <v>1427.45</v>
      </c>
      <c r="E827">
        <v>1452.75</v>
      </c>
      <c r="F827">
        <v>4277229</v>
      </c>
      <c r="G827" s="4">
        <f t="shared" si="169"/>
        <v>0</v>
      </c>
      <c r="H827" s="4">
        <f t="shared" si="170"/>
        <v>3.9000000000000909</v>
      </c>
      <c r="I827" s="6">
        <f t="shared" si="175"/>
        <v>5.5250000000000101</v>
      </c>
      <c r="J827" s="6">
        <f t="shared" si="176"/>
        <v>14.310714285714296</v>
      </c>
      <c r="K827" s="4">
        <f t="shared" si="177"/>
        <v>0.38607436985275811</v>
      </c>
      <c r="L827">
        <f t="shared" si="178"/>
        <v>27.853799063737867</v>
      </c>
      <c r="M827" s="14" t="str">
        <f t="shared" si="171"/>
        <v>OVERSOLD</v>
      </c>
      <c r="N827" s="7" t="str">
        <f t="shared" si="172"/>
        <v>BUY</v>
      </c>
      <c r="O827" s="7">
        <f t="shared" si="179"/>
        <v>0</v>
      </c>
      <c r="P827" s="7">
        <f t="shared" si="180"/>
        <v>1</v>
      </c>
      <c r="Q827" s="10" t="e">
        <f t="shared" si="173"/>
        <v>#N/A</v>
      </c>
      <c r="R827" s="10" t="e">
        <f t="shared" si="174"/>
        <v>#N/A</v>
      </c>
      <c r="S827" s="7">
        <f t="shared" si="181"/>
        <v>1480.75</v>
      </c>
      <c r="T827" s="7">
        <f t="shared" si="182"/>
        <v>0</v>
      </c>
    </row>
    <row r="828" spans="1:20" x14ac:dyDescent="0.25">
      <c r="A828" s="1">
        <v>42436</v>
      </c>
      <c r="B828">
        <v>1446</v>
      </c>
      <c r="C828">
        <v>1459.8</v>
      </c>
      <c r="D828">
        <v>1425</v>
      </c>
      <c r="E828">
        <v>1425.3</v>
      </c>
      <c r="F828">
        <v>1481242</v>
      </c>
      <c r="G828" s="4">
        <f t="shared" si="169"/>
        <v>0</v>
      </c>
      <c r="H828" s="4">
        <f t="shared" si="170"/>
        <v>27.450000000000045</v>
      </c>
      <c r="I828" s="6">
        <f t="shared" si="175"/>
        <v>5.5250000000000101</v>
      </c>
      <c r="J828" s="6">
        <f t="shared" si="176"/>
        <v>14.921428571428578</v>
      </c>
      <c r="K828" s="4">
        <f t="shared" si="177"/>
        <v>0.37027285782671188</v>
      </c>
      <c r="L828">
        <f t="shared" si="178"/>
        <v>27.021834061135394</v>
      </c>
      <c r="M828" s="14" t="str">
        <f t="shared" si="171"/>
        <v>OVERSOLD</v>
      </c>
      <c r="N828" s="7" t="str">
        <f t="shared" si="172"/>
        <v>BUY</v>
      </c>
      <c r="O828" s="7">
        <f t="shared" si="179"/>
        <v>0</v>
      </c>
      <c r="P828" s="7">
        <f t="shared" si="180"/>
        <v>1</v>
      </c>
      <c r="Q828" s="10" t="e">
        <f t="shared" si="173"/>
        <v>#N/A</v>
      </c>
      <c r="R828" s="10" t="e">
        <f t="shared" si="174"/>
        <v>#N/A</v>
      </c>
      <c r="S828" s="7">
        <f t="shared" si="181"/>
        <v>1480.75</v>
      </c>
      <c r="T828" s="7">
        <f t="shared" si="182"/>
        <v>0</v>
      </c>
    </row>
    <row r="829" spans="1:20" x14ac:dyDescent="0.25">
      <c r="A829" s="1">
        <v>42437</v>
      </c>
      <c r="B829">
        <v>1424.45</v>
      </c>
      <c r="C829">
        <v>1448</v>
      </c>
      <c r="D829">
        <v>1424</v>
      </c>
      <c r="E829">
        <v>1430.55</v>
      </c>
      <c r="F829">
        <v>1692085</v>
      </c>
      <c r="G829" s="4">
        <f t="shared" si="169"/>
        <v>5.25</v>
      </c>
      <c r="H829" s="4">
        <f t="shared" si="170"/>
        <v>0</v>
      </c>
      <c r="I829" s="6">
        <f t="shared" si="175"/>
        <v>5.1500000000000101</v>
      </c>
      <c r="J829" s="6">
        <f t="shared" si="176"/>
        <v>14.921428571428578</v>
      </c>
      <c r="K829" s="4">
        <f t="shared" si="177"/>
        <v>0.34514121589277219</v>
      </c>
      <c r="L829">
        <f t="shared" si="178"/>
        <v>25.658362989323876</v>
      </c>
      <c r="M829" s="14" t="str">
        <f t="shared" si="171"/>
        <v>OVERSOLD</v>
      </c>
      <c r="N829" s="7" t="str">
        <f t="shared" si="172"/>
        <v>BUY</v>
      </c>
      <c r="O829" s="7">
        <f t="shared" si="179"/>
        <v>0</v>
      </c>
      <c r="P829" s="7">
        <f t="shared" si="180"/>
        <v>1</v>
      </c>
      <c r="Q829" s="10" t="e">
        <f t="shared" si="173"/>
        <v>#N/A</v>
      </c>
      <c r="R829" s="10" t="e">
        <f t="shared" si="174"/>
        <v>#N/A</v>
      </c>
      <c r="S829" s="7">
        <f t="shared" si="181"/>
        <v>1480.75</v>
      </c>
      <c r="T829" s="7">
        <f t="shared" si="182"/>
        <v>0</v>
      </c>
    </row>
    <row r="830" spans="1:20" x14ac:dyDescent="0.25">
      <c r="A830" s="1">
        <v>42438</v>
      </c>
      <c r="B830">
        <v>1430.55</v>
      </c>
      <c r="C830">
        <v>1430.55</v>
      </c>
      <c r="D830">
        <v>1398.65</v>
      </c>
      <c r="E830">
        <v>1402.3</v>
      </c>
      <c r="F830">
        <v>3964597</v>
      </c>
      <c r="G830" s="4">
        <f t="shared" si="169"/>
        <v>0</v>
      </c>
      <c r="H830" s="4">
        <f t="shared" si="170"/>
        <v>28.25</v>
      </c>
      <c r="I830" s="6">
        <f t="shared" si="175"/>
        <v>5.1500000000000101</v>
      </c>
      <c r="J830" s="6">
        <f t="shared" si="176"/>
        <v>15.228571428571447</v>
      </c>
      <c r="K830" s="4">
        <f t="shared" si="177"/>
        <v>0.33818011257035674</v>
      </c>
      <c r="L830">
        <f t="shared" si="178"/>
        <v>25.271643883631285</v>
      </c>
      <c r="M830" s="14" t="str">
        <f t="shared" si="171"/>
        <v>OVERSOLD</v>
      </c>
      <c r="N830" s="7" t="str">
        <f t="shared" si="172"/>
        <v>BUY</v>
      </c>
      <c r="O830" s="7">
        <f t="shared" si="179"/>
        <v>0</v>
      </c>
      <c r="P830" s="7">
        <f t="shared" si="180"/>
        <v>1</v>
      </c>
      <c r="Q830" s="10" t="e">
        <f t="shared" si="173"/>
        <v>#N/A</v>
      </c>
      <c r="R830" s="10" t="e">
        <f t="shared" si="174"/>
        <v>#N/A</v>
      </c>
      <c r="S830" s="7">
        <f t="shared" si="181"/>
        <v>1480.75</v>
      </c>
      <c r="T830" s="7">
        <f t="shared" si="182"/>
        <v>0</v>
      </c>
    </row>
    <row r="831" spans="1:20" x14ac:dyDescent="0.25">
      <c r="A831" s="1">
        <v>42439</v>
      </c>
      <c r="B831">
        <v>1393</v>
      </c>
      <c r="C831">
        <v>1393.45</v>
      </c>
      <c r="D831">
        <v>1365.1</v>
      </c>
      <c r="E831">
        <v>1369.35</v>
      </c>
      <c r="F831">
        <v>2377038</v>
      </c>
      <c r="G831" s="4">
        <f t="shared" si="169"/>
        <v>0</v>
      </c>
      <c r="H831" s="4">
        <f t="shared" si="170"/>
        <v>32.950000000000045</v>
      </c>
      <c r="I831" s="6">
        <f t="shared" si="175"/>
        <v>5.1500000000000101</v>
      </c>
      <c r="J831" s="6">
        <f t="shared" si="176"/>
        <v>15.039285714285727</v>
      </c>
      <c r="K831" s="4">
        <f t="shared" si="177"/>
        <v>0.34243647589646203</v>
      </c>
      <c r="L831">
        <f t="shared" si="178"/>
        <v>25.508579515301633</v>
      </c>
      <c r="M831" s="14" t="str">
        <f t="shared" si="171"/>
        <v>OVERSOLD</v>
      </c>
      <c r="N831" s="7" t="str">
        <f t="shared" si="172"/>
        <v>BUY</v>
      </c>
      <c r="O831" s="7">
        <f t="shared" si="179"/>
        <v>0</v>
      </c>
      <c r="P831" s="7">
        <f t="shared" si="180"/>
        <v>1</v>
      </c>
      <c r="Q831" s="10" t="e">
        <f t="shared" si="173"/>
        <v>#N/A</v>
      </c>
      <c r="R831" s="10" t="e">
        <f t="shared" si="174"/>
        <v>#N/A</v>
      </c>
      <c r="S831" s="7">
        <f t="shared" si="181"/>
        <v>1480.75</v>
      </c>
      <c r="T831" s="7">
        <f t="shared" si="182"/>
        <v>0</v>
      </c>
    </row>
    <row r="832" spans="1:20" x14ac:dyDescent="0.25">
      <c r="A832" s="1">
        <v>42440</v>
      </c>
      <c r="B832">
        <v>1365</v>
      </c>
      <c r="C832">
        <v>1384.7</v>
      </c>
      <c r="D832">
        <v>1365</v>
      </c>
      <c r="E832">
        <v>1370.75</v>
      </c>
      <c r="F832">
        <v>1984458</v>
      </c>
      <c r="G832" s="4">
        <f t="shared" si="169"/>
        <v>1.4000000000000909</v>
      </c>
      <c r="H832" s="4">
        <f t="shared" si="170"/>
        <v>0</v>
      </c>
      <c r="I832" s="6">
        <f t="shared" si="175"/>
        <v>5.250000000000016</v>
      </c>
      <c r="J832" s="6">
        <f t="shared" si="176"/>
        <v>14.364285714285725</v>
      </c>
      <c r="K832" s="4">
        <f t="shared" si="177"/>
        <v>0.36548980606663439</v>
      </c>
      <c r="L832">
        <f t="shared" si="178"/>
        <v>26.766205389657742</v>
      </c>
      <c r="M832" s="14" t="str">
        <f t="shared" si="171"/>
        <v>OVERSOLD</v>
      </c>
      <c r="N832" s="7" t="str">
        <f t="shared" si="172"/>
        <v>BUY</v>
      </c>
      <c r="O832" s="7">
        <f t="shared" si="179"/>
        <v>0</v>
      </c>
      <c r="P832" s="7">
        <f t="shared" si="180"/>
        <v>1</v>
      </c>
      <c r="Q832" s="10" t="e">
        <f t="shared" si="173"/>
        <v>#N/A</v>
      </c>
      <c r="R832" s="10" t="e">
        <f t="shared" si="174"/>
        <v>#N/A</v>
      </c>
      <c r="S832" s="7">
        <f t="shared" si="181"/>
        <v>1480.75</v>
      </c>
      <c r="T832" s="7">
        <f t="shared" si="182"/>
        <v>0</v>
      </c>
    </row>
    <row r="833" spans="1:20" x14ac:dyDescent="0.25">
      <c r="A833" s="1">
        <v>42443</v>
      </c>
      <c r="B833">
        <v>1368</v>
      </c>
      <c r="C833">
        <v>1382</v>
      </c>
      <c r="D833">
        <v>1365</v>
      </c>
      <c r="E833">
        <v>1378.4</v>
      </c>
      <c r="F833">
        <v>2010285</v>
      </c>
      <c r="G833" s="4">
        <f t="shared" si="169"/>
        <v>7.6500000000000909</v>
      </c>
      <c r="H833" s="4">
        <f t="shared" si="170"/>
        <v>0</v>
      </c>
      <c r="I833" s="6">
        <f t="shared" si="175"/>
        <v>5.7964285714285939</v>
      </c>
      <c r="J833" s="6">
        <f t="shared" si="176"/>
        <v>13.107142857142874</v>
      </c>
      <c r="K833" s="4">
        <f t="shared" si="177"/>
        <v>0.44223433242506927</v>
      </c>
      <c r="L833">
        <f t="shared" si="178"/>
        <v>30.663139996221474</v>
      </c>
      <c r="M833" s="14" t="str">
        <f t="shared" si="171"/>
        <v/>
      </c>
      <c r="N833" s="7">
        <f t="shared" si="172"/>
        <v>0</v>
      </c>
      <c r="O833" s="7">
        <f t="shared" si="179"/>
        <v>0</v>
      </c>
      <c r="P833" s="7">
        <f t="shared" si="180"/>
        <v>1</v>
      </c>
      <c r="Q833" s="10" t="e">
        <f t="shared" si="173"/>
        <v>#N/A</v>
      </c>
      <c r="R833" s="10" t="e">
        <f t="shared" si="174"/>
        <v>#N/A</v>
      </c>
      <c r="S833" s="7">
        <f t="shared" si="181"/>
        <v>1480.75</v>
      </c>
      <c r="T833" s="7">
        <f t="shared" si="182"/>
        <v>0</v>
      </c>
    </row>
    <row r="834" spans="1:20" x14ac:dyDescent="0.25">
      <c r="A834" s="1">
        <v>42444</v>
      </c>
      <c r="B834">
        <v>1373.5</v>
      </c>
      <c r="C834">
        <v>1438.8</v>
      </c>
      <c r="D834">
        <v>1373.5</v>
      </c>
      <c r="E834">
        <v>1433.9</v>
      </c>
      <c r="F834">
        <v>2815163</v>
      </c>
      <c r="G834" s="4">
        <f t="shared" si="169"/>
        <v>55.5</v>
      </c>
      <c r="H834" s="4">
        <f t="shared" si="170"/>
        <v>0</v>
      </c>
      <c r="I834" s="6">
        <f t="shared" si="175"/>
        <v>8.5714285714285872</v>
      </c>
      <c r="J834" s="6">
        <f t="shared" si="176"/>
        <v>13.107142857142874</v>
      </c>
      <c r="K834" s="4">
        <f t="shared" si="177"/>
        <v>0.65395095367847444</v>
      </c>
      <c r="L834">
        <f t="shared" si="178"/>
        <v>39.538714991762781</v>
      </c>
      <c r="M834" s="14" t="str">
        <f t="shared" si="171"/>
        <v/>
      </c>
      <c r="N834" s="7">
        <f t="shared" si="172"/>
        <v>0</v>
      </c>
      <c r="O834" s="7">
        <f t="shared" si="179"/>
        <v>0</v>
      </c>
      <c r="P834" s="7">
        <f t="shared" si="180"/>
        <v>1</v>
      </c>
      <c r="Q834" s="10" t="e">
        <f t="shared" si="173"/>
        <v>#N/A</v>
      </c>
      <c r="R834" s="10" t="e">
        <f t="shared" si="174"/>
        <v>#N/A</v>
      </c>
      <c r="S834" s="7">
        <f t="shared" si="181"/>
        <v>1480.75</v>
      </c>
      <c r="T834" s="7">
        <f t="shared" si="182"/>
        <v>0</v>
      </c>
    </row>
    <row r="835" spans="1:20" x14ac:dyDescent="0.25">
      <c r="A835" s="1">
        <v>42445</v>
      </c>
      <c r="B835">
        <v>1426</v>
      </c>
      <c r="C835">
        <v>1447.25</v>
      </c>
      <c r="D835">
        <v>1407.9</v>
      </c>
      <c r="E835">
        <v>1418.5</v>
      </c>
      <c r="F835">
        <v>1820895</v>
      </c>
      <c r="G835" s="4">
        <f t="shared" si="169"/>
        <v>0</v>
      </c>
      <c r="H835" s="4">
        <f t="shared" si="170"/>
        <v>15.400000000000091</v>
      </c>
      <c r="I835" s="6">
        <f t="shared" si="175"/>
        <v>6.2107142857143049</v>
      </c>
      <c r="J835" s="6">
        <f t="shared" si="176"/>
        <v>14.20714285714288</v>
      </c>
      <c r="K835" s="4">
        <f t="shared" si="177"/>
        <v>0.43715434891905541</v>
      </c>
      <c r="L835">
        <f t="shared" si="178"/>
        <v>30.418051425572884</v>
      </c>
      <c r="M835" s="14" t="str">
        <f t="shared" si="171"/>
        <v/>
      </c>
      <c r="N835" s="7">
        <f t="shared" si="172"/>
        <v>0</v>
      </c>
      <c r="O835" s="7">
        <f t="shared" si="179"/>
        <v>0</v>
      </c>
      <c r="P835" s="7">
        <f t="shared" si="180"/>
        <v>1</v>
      </c>
      <c r="Q835" s="10" t="e">
        <f t="shared" si="173"/>
        <v>#N/A</v>
      </c>
      <c r="R835" s="10" t="e">
        <f t="shared" si="174"/>
        <v>#N/A</v>
      </c>
      <c r="S835" s="7">
        <f t="shared" si="181"/>
        <v>1480.75</v>
      </c>
      <c r="T835" s="7">
        <f t="shared" si="182"/>
        <v>0</v>
      </c>
    </row>
    <row r="836" spans="1:20" x14ac:dyDescent="0.25">
      <c r="A836" s="1">
        <v>42446</v>
      </c>
      <c r="B836">
        <v>1420</v>
      </c>
      <c r="C836">
        <v>1472.4</v>
      </c>
      <c r="D836">
        <v>1420</v>
      </c>
      <c r="E836">
        <v>1467.2</v>
      </c>
      <c r="F836">
        <v>1863559</v>
      </c>
      <c r="G836" s="4">
        <f t="shared" ref="G836:G899" si="183">IF(E836&gt;E835,E836-E835,0)</f>
        <v>48.700000000000045</v>
      </c>
      <c r="H836" s="4">
        <f t="shared" ref="H836:H899" si="184">IF(E836&lt;E835,E835-E836,0)</f>
        <v>0</v>
      </c>
      <c r="I836" s="6">
        <f t="shared" si="175"/>
        <v>9.2285714285714473</v>
      </c>
      <c r="J836" s="6">
        <f t="shared" si="176"/>
        <v>14.20714285714288</v>
      </c>
      <c r="K836" s="4">
        <f t="shared" si="177"/>
        <v>0.64957264957264982</v>
      </c>
      <c r="L836">
        <f t="shared" si="178"/>
        <v>39.378238341968924</v>
      </c>
      <c r="M836" s="14" t="str">
        <f t="shared" si="171"/>
        <v/>
      </c>
      <c r="N836" s="7">
        <f t="shared" si="172"/>
        <v>0</v>
      </c>
      <c r="O836" s="7">
        <f t="shared" si="179"/>
        <v>0</v>
      </c>
      <c r="P836" s="7">
        <f t="shared" si="180"/>
        <v>1</v>
      </c>
      <c r="Q836" s="10" t="e">
        <f t="shared" si="173"/>
        <v>#N/A</v>
      </c>
      <c r="R836" s="10" t="e">
        <f t="shared" si="174"/>
        <v>#N/A</v>
      </c>
      <c r="S836" s="7">
        <f t="shared" si="181"/>
        <v>1480.75</v>
      </c>
      <c r="T836" s="7">
        <f t="shared" si="182"/>
        <v>0</v>
      </c>
    </row>
    <row r="837" spans="1:20" x14ac:dyDescent="0.25">
      <c r="A837" s="1">
        <v>42447</v>
      </c>
      <c r="B837">
        <v>1467.1</v>
      </c>
      <c r="C837">
        <v>1478.85</v>
      </c>
      <c r="D837">
        <v>1457.4</v>
      </c>
      <c r="E837">
        <v>1471.6</v>
      </c>
      <c r="F837">
        <v>1130090</v>
      </c>
      <c r="G837" s="4">
        <f t="shared" si="183"/>
        <v>4.3999999999998636</v>
      </c>
      <c r="H837" s="4">
        <f t="shared" si="184"/>
        <v>0</v>
      </c>
      <c r="I837" s="6">
        <f t="shared" si="175"/>
        <v>9.5428571428571534</v>
      </c>
      <c r="J837" s="6">
        <f t="shared" si="176"/>
        <v>12.410714285714302</v>
      </c>
      <c r="K837" s="4">
        <f t="shared" si="177"/>
        <v>0.76892086330935228</v>
      </c>
      <c r="L837">
        <f t="shared" si="178"/>
        <v>43.468358548885625</v>
      </c>
      <c r="M837" s="14" t="str">
        <f t="shared" si="171"/>
        <v/>
      </c>
      <c r="N837" s="7">
        <f t="shared" si="172"/>
        <v>0</v>
      </c>
      <c r="O837" s="7">
        <f t="shared" si="179"/>
        <v>0</v>
      </c>
      <c r="P837" s="7">
        <f t="shared" si="180"/>
        <v>1</v>
      </c>
      <c r="Q837" s="10" t="e">
        <f t="shared" si="173"/>
        <v>#N/A</v>
      </c>
      <c r="R837" s="10" t="e">
        <f t="shared" si="174"/>
        <v>#N/A</v>
      </c>
      <c r="S837" s="7">
        <f t="shared" si="181"/>
        <v>1480.75</v>
      </c>
      <c r="T837" s="7">
        <f t="shared" si="182"/>
        <v>0</v>
      </c>
    </row>
    <row r="838" spans="1:20" x14ac:dyDescent="0.25">
      <c r="A838" s="1">
        <v>42450</v>
      </c>
      <c r="B838">
        <v>1472</v>
      </c>
      <c r="C838">
        <v>1487.8</v>
      </c>
      <c r="D838">
        <v>1470</v>
      </c>
      <c r="E838">
        <v>1480.1</v>
      </c>
      <c r="F838">
        <v>884065</v>
      </c>
      <c r="G838" s="4">
        <f t="shared" si="183"/>
        <v>8.5</v>
      </c>
      <c r="H838" s="4">
        <f t="shared" si="184"/>
        <v>0</v>
      </c>
      <c r="I838" s="6">
        <f t="shared" si="175"/>
        <v>10.150000000000009</v>
      </c>
      <c r="J838" s="6">
        <f t="shared" si="176"/>
        <v>9.6035714285714473</v>
      </c>
      <c r="K838" s="4">
        <f t="shared" si="177"/>
        <v>1.0568984752696158</v>
      </c>
      <c r="L838">
        <f t="shared" si="178"/>
        <v>51.383113361055841</v>
      </c>
      <c r="M838" s="14" t="str">
        <f t="shared" si="171"/>
        <v/>
      </c>
      <c r="N838" s="7">
        <f t="shared" si="172"/>
        <v>0</v>
      </c>
      <c r="O838" s="7">
        <f t="shared" si="179"/>
        <v>0</v>
      </c>
      <c r="P838" s="7">
        <f t="shared" si="180"/>
        <v>1</v>
      </c>
      <c r="Q838" s="10" t="e">
        <f t="shared" si="173"/>
        <v>#N/A</v>
      </c>
      <c r="R838" s="10" t="e">
        <f t="shared" si="174"/>
        <v>#N/A</v>
      </c>
      <c r="S838" s="7">
        <f t="shared" si="181"/>
        <v>1480.75</v>
      </c>
      <c r="T838" s="7">
        <f t="shared" si="182"/>
        <v>0</v>
      </c>
    </row>
    <row r="839" spans="1:20" x14ac:dyDescent="0.25">
      <c r="A839" s="1">
        <v>42451</v>
      </c>
      <c r="B839">
        <v>1483.2</v>
      </c>
      <c r="C839">
        <v>1503.45</v>
      </c>
      <c r="D839">
        <v>1483</v>
      </c>
      <c r="E839">
        <v>1498.45</v>
      </c>
      <c r="F839">
        <v>974850</v>
      </c>
      <c r="G839" s="4">
        <f t="shared" si="183"/>
        <v>18.350000000000136</v>
      </c>
      <c r="H839" s="4">
        <f t="shared" si="184"/>
        <v>0</v>
      </c>
      <c r="I839" s="6">
        <f t="shared" si="175"/>
        <v>10.696428571428587</v>
      </c>
      <c r="J839" s="6">
        <f t="shared" si="176"/>
        <v>9.6035714285714473</v>
      </c>
      <c r="K839" s="4">
        <f t="shared" si="177"/>
        <v>1.1137969505392333</v>
      </c>
      <c r="L839">
        <f t="shared" si="178"/>
        <v>52.691766361717086</v>
      </c>
      <c r="M839" s="14" t="str">
        <f t="shared" si="171"/>
        <v/>
      </c>
      <c r="N839" s="7">
        <f t="shared" si="172"/>
        <v>0</v>
      </c>
      <c r="O839" s="7">
        <f t="shared" si="179"/>
        <v>0</v>
      </c>
      <c r="P839" s="7">
        <f t="shared" si="180"/>
        <v>1</v>
      </c>
      <c r="Q839" s="10" t="e">
        <f t="shared" si="173"/>
        <v>#N/A</v>
      </c>
      <c r="R839" s="10" t="e">
        <f t="shared" si="174"/>
        <v>#N/A</v>
      </c>
      <c r="S839" s="7">
        <f t="shared" si="181"/>
        <v>1480.75</v>
      </c>
      <c r="T839" s="7">
        <f t="shared" si="182"/>
        <v>0</v>
      </c>
    </row>
    <row r="840" spans="1:20" x14ac:dyDescent="0.25">
      <c r="A840" s="1">
        <v>42452</v>
      </c>
      <c r="B840">
        <v>1498.45</v>
      </c>
      <c r="C840">
        <v>1510.9</v>
      </c>
      <c r="D840">
        <v>1491.1</v>
      </c>
      <c r="E840">
        <v>1495.9</v>
      </c>
      <c r="F840">
        <v>569857</v>
      </c>
      <c r="G840" s="4">
        <f t="shared" si="183"/>
        <v>0</v>
      </c>
      <c r="H840" s="4">
        <f t="shared" si="184"/>
        <v>2.5499999999999545</v>
      </c>
      <c r="I840" s="6">
        <f t="shared" si="175"/>
        <v>10.696428571428587</v>
      </c>
      <c r="J840" s="6">
        <f t="shared" si="176"/>
        <v>7.8928571428571592</v>
      </c>
      <c r="K840" s="4">
        <f t="shared" si="177"/>
        <v>1.3552036199095014</v>
      </c>
      <c r="L840">
        <f t="shared" si="178"/>
        <v>57.540826128722365</v>
      </c>
      <c r="M840" s="14" t="str">
        <f t="shared" si="171"/>
        <v/>
      </c>
      <c r="N840" s="7">
        <f t="shared" si="172"/>
        <v>0</v>
      </c>
      <c r="O840" s="7">
        <f t="shared" si="179"/>
        <v>0</v>
      </c>
      <c r="P840" s="7">
        <f t="shared" si="180"/>
        <v>1</v>
      </c>
      <c r="Q840" s="10" t="e">
        <f t="shared" si="173"/>
        <v>#N/A</v>
      </c>
      <c r="R840" s="10" t="e">
        <f t="shared" si="174"/>
        <v>#N/A</v>
      </c>
      <c r="S840" s="7">
        <f t="shared" si="181"/>
        <v>1480.75</v>
      </c>
      <c r="T840" s="7">
        <f t="shared" si="182"/>
        <v>0</v>
      </c>
    </row>
    <row r="841" spans="1:20" x14ac:dyDescent="0.25">
      <c r="A841" s="1">
        <v>42453</v>
      </c>
      <c r="B841">
        <v>1495</v>
      </c>
      <c r="C841">
        <v>1495</v>
      </c>
      <c r="D841">
        <v>1486.1</v>
      </c>
      <c r="E841">
        <v>1489.65</v>
      </c>
      <c r="F841">
        <v>28017</v>
      </c>
      <c r="G841" s="4">
        <f t="shared" si="183"/>
        <v>0</v>
      </c>
      <c r="H841" s="4">
        <f t="shared" si="184"/>
        <v>6.25</v>
      </c>
      <c r="I841" s="6">
        <f t="shared" si="175"/>
        <v>10.696428571428587</v>
      </c>
      <c r="J841" s="6">
        <f t="shared" si="176"/>
        <v>8.0607142857142957</v>
      </c>
      <c r="K841" s="4">
        <f t="shared" si="177"/>
        <v>1.3269827204253437</v>
      </c>
      <c r="L841">
        <f t="shared" si="178"/>
        <v>57.025894897182027</v>
      </c>
      <c r="M841" s="14" t="str">
        <f t="shared" si="171"/>
        <v/>
      </c>
      <c r="N841" s="7">
        <f t="shared" si="172"/>
        <v>0</v>
      </c>
      <c r="O841" s="7">
        <f t="shared" si="179"/>
        <v>0</v>
      </c>
      <c r="P841" s="7">
        <f t="shared" si="180"/>
        <v>1</v>
      </c>
      <c r="Q841" s="10" t="e">
        <f t="shared" si="173"/>
        <v>#N/A</v>
      </c>
      <c r="R841" s="10" t="e">
        <f t="shared" si="174"/>
        <v>#N/A</v>
      </c>
      <c r="S841" s="7">
        <f t="shared" si="181"/>
        <v>1480.75</v>
      </c>
      <c r="T841" s="7">
        <f t="shared" si="182"/>
        <v>0</v>
      </c>
    </row>
    <row r="842" spans="1:20" x14ac:dyDescent="0.25">
      <c r="A842" s="1">
        <v>42454</v>
      </c>
      <c r="B842">
        <v>1480</v>
      </c>
      <c r="C842">
        <v>1481</v>
      </c>
      <c r="D842">
        <v>1445.7</v>
      </c>
      <c r="E842">
        <v>1451.6</v>
      </c>
      <c r="F842">
        <v>931249</v>
      </c>
      <c r="G842" s="4">
        <f t="shared" si="183"/>
        <v>0</v>
      </c>
      <c r="H842" s="4">
        <f t="shared" si="184"/>
        <v>38.050000000000182</v>
      </c>
      <c r="I842" s="6">
        <f t="shared" si="175"/>
        <v>10.696428571428587</v>
      </c>
      <c r="J842" s="6">
        <f t="shared" si="176"/>
        <v>8.8178571428571626</v>
      </c>
      <c r="K842" s="4">
        <f t="shared" si="177"/>
        <v>1.2130417172944503</v>
      </c>
      <c r="L842">
        <f t="shared" si="178"/>
        <v>54.813323572474353</v>
      </c>
      <c r="M842" s="14" t="str">
        <f t="shared" si="171"/>
        <v/>
      </c>
      <c r="N842" s="7">
        <f t="shared" si="172"/>
        <v>0</v>
      </c>
      <c r="O842" s="7">
        <f t="shared" si="179"/>
        <v>0</v>
      </c>
      <c r="P842" s="7">
        <f t="shared" si="180"/>
        <v>1</v>
      </c>
      <c r="Q842" s="10" t="e">
        <f t="shared" si="173"/>
        <v>#N/A</v>
      </c>
      <c r="R842" s="10" t="e">
        <f t="shared" si="174"/>
        <v>#N/A</v>
      </c>
      <c r="S842" s="7">
        <f t="shared" si="181"/>
        <v>1480.75</v>
      </c>
      <c r="T842" s="7">
        <f t="shared" si="182"/>
        <v>0</v>
      </c>
    </row>
    <row r="843" spans="1:20" x14ac:dyDescent="0.25">
      <c r="A843" s="1">
        <v>42457</v>
      </c>
      <c r="B843">
        <v>1455.1</v>
      </c>
      <c r="C843">
        <v>1470.55</v>
      </c>
      <c r="D843">
        <v>1443.75</v>
      </c>
      <c r="E843">
        <v>1457.95</v>
      </c>
      <c r="F843">
        <v>1125050</v>
      </c>
      <c r="G843" s="4">
        <f t="shared" si="183"/>
        <v>6.3500000000001364</v>
      </c>
      <c r="H843" s="4">
        <f t="shared" si="184"/>
        <v>0</v>
      </c>
      <c r="I843" s="6">
        <f t="shared" si="175"/>
        <v>10.775000000000025</v>
      </c>
      <c r="J843" s="6">
        <f t="shared" si="176"/>
        <v>8.8178571428571626</v>
      </c>
      <c r="K843" s="4">
        <f t="shared" si="177"/>
        <v>1.2219522073714055</v>
      </c>
      <c r="L843">
        <f t="shared" si="178"/>
        <v>54.994531534815891</v>
      </c>
      <c r="M843" s="14" t="str">
        <f t="shared" si="171"/>
        <v/>
      </c>
      <c r="N843" s="7">
        <f t="shared" si="172"/>
        <v>0</v>
      </c>
      <c r="O843" s="7">
        <f t="shared" si="179"/>
        <v>0</v>
      </c>
      <c r="P843" s="7">
        <f t="shared" si="180"/>
        <v>1</v>
      </c>
      <c r="Q843" s="10" t="e">
        <f t="shared" si="173"/>
        <v>#N/A</v>
      </c>
      <c r="R843" s="10" t="e">
        <f t="shared" si="174"/>
        <v>#N/A</v>
      </c>
      <c r="S843" s="7">
        <f t="shared" si="181"/>
        <v>1480.75</v>
      </c>
      <c r="T843" s="7">
        <f t="shared" si="182"/>
        <v>0</v>
      </c>
    </row>
    <row r="844" spans="1:20" x14ac:dyDescent="0.25">
      <c r="A844" s="1">
        <v>42458</v>
      </c>
      <c r="B844">
        <v>1458.1</v>
      </c>
      <c r="C844">
        <v>1477.2</v>
      </c>
      <c r="D844">
        <v>1450</v>
      </c>
      <c r="E844">
        <v>1471.55</v>
      </c>
      <c r="F844">
        <v>1782963</v>
      </c>
      <c r="G844" s="4">
        <f t="shared" si="183"/>
        <v>13.599999999999909</v>
      </c>
      <c r="H844" s="4">
        <f t="shared" si="184"/>
        <v>0</v>
      </c>
      <c r="I844" s="6">
        <f t="shared" si="175"/>
        <v>11.746428571428591</v>
      </c>
      <c r="J844" s="6">
        <f t="shared" si="176"/>
        <v>6.8000000000000194</v>
      </c>
      <c r="K844" s="4">
        <f t="shared" si="177"/>
        <v>1.7274159663865527</v>
      </c>
      <c r="L844">
        <f t="shared" si="178"/>
        <v>63.335259002503342</v>
      </c>
      <c r="M844" s="14" t="str">
        <f t="shared" si="171"/>
        <v/>
      </c>
      <c r="N844" s="7">
        <f t="shared" si="172"/>
        <v>0</v>
      </c>
      <c r="O844" s="7">
        <f t="shared" si="179"/>
        <v>0</v>
      </c>
      <c r="P844" s="7">
        <f t="shared" si="180"/>
        <v>1</v>
      </c>
      <c r="Q844" s="10" t="e">
        <f t="shared" si="173"/>
        <v>#N/A</v>
      </c>
      <c r="R844" s="10" t="e">
        <f t="shared" si="174"/>
        <v>#N/A</v>
      </c>
      <c r="S844" s="7">
        <f t="shared" si="181"/>
        <v>1480.75</v>
      </c>
      <c r="T844" s="7">
        <f t="shared" si="182"/>
        <v>0</v>
      </c>
    </row>
    <row r="845" spans="1:20" x14ac:dyDescent="0.25">
      <c r="A845" s="1">
        <v>42459</v>
      </c>
      <c r="B845">
        <v>1469</v>
      </c>
      <c r="C845">
        <v>1469</v>
      </c>
      <c r="D845">
        <v>1447.45</v>
      </c>
      <c r="E845">
        <v>1454.05</v>
      </c>
      <c r="F845">
        <v>1207826</v>
      </c>
      <c r="G845" s="4">
        <f t="shared" si="183"/>
        <v>0</v>
      </c>
      <c r="H845" s="4">
        <f t="shared" si="184"/>
        <v>17.5</v>
      </c>
      <c r="I845" s="6">
        <f t="shared" si="175"/>
        <v>11.746428571428591</v>
      </c>
      <c r="J845" s="6">
        <f t="shared" si="176"/>
        <v>5.6964285714285881</v>
      </c>
      <c r="K845" s="4">
        <f t="shared" si="177"/>
        <v>2.0620689655172391</v>
      </c>
      <c r="L845">
        <f t="shared" si="178"/>
        <v>67.34234234234232</v>
      </c>
      <c r="M845" s="14" t="str">
        <f t="shared" si="171"/>
        <v/>
      </c>
      <c r="N845" s="7">
        <f t="shared" si="172"/>
        <v>0</v>
      </c>
      <c r="O845" s="7">
        <f t="shared" si="179"/>
        <v>0</v>
      </c>
      <c r="P845" s="7">
        <f t="shared" si="180"/>
        <v>1</v>
      </c>
      <c r="Q845" s="10" t="e">
        <f t="shared" si="173"/>
        <v>#N/A</v>
      </c>
      <c r="R845" s="10" t="e">
        <f t="shared" si="174"/>
        <v>#N/A</v>
      </c>
      <c r="S845" s="7">
        <f t="shared" si="181"/>
        <v>1480.75</v>
      </c>
      <c r="T845" s="7">
        <f t="shared" si="182"/>
        <v>0</v>
      </c>
    </row>
    <row r="846" spans="1:20" x14ac:dyDescent="0.25">
      <c r="A846" s="1">
        <v>42460</v>
      </c>
      <c r="B846">
        <v>1455</v>
      </c>
      <c r="C846">
        <v>1478.5</v>
      </c>
      <c r="D846">
        <v>1454.1</v>
      </c>
      <c r="E846">
        <v>1473.8</v>
      </c>
      <c r="F846">
        <v>1450100</v>
      </c>
      <c r="G846" s="4">
        <f t="shared" si="183"/>
        <v>19.75</v>
      </c>
      <c r="H846" s="4">
        <f t="shared" si="184"/>
        <v>0</v>
      </c>
      <c r="I846" s="6">
        <f t="shared" si="175"/>
        <v>13.057142857142869</v>
      </c>
      <c r="J846" s="6">
        <f t="shared" si="176"/>
        <v>5.6964285714285881</v>
      </c>
      <c r="K846" s="4">
        <f t="shared" si="177"/>
        <v>2.2921630094043843</v>
      </c>
      <c r="L846">
        <f t="shared" si="178"/>
        <v>69.624833365073272</v>
      </c>
      <c r="M846" s="14" t="str">
        <f t="shared" si="171"/>
        <v/>
      </c>
      <c r="N846" s="7">
        <f t="shared" si="172"/>
        <v>0</v>
      </c>
      <c r="O846" s="7">
        <f t="shared" si="179"/>
        <v>0</v>
      </c>
      <c r="P846" s="7">
        <f t="shared" si="180"/>
        <v>1</v>
      </c>
      <c r="Q846" s="10" t="e">
        <f t="shared" si="173"/>
        <v>#N/A</v>
      </c>
      <c r="R846" s="10" t="e">
        <f t="shared" si="174"/>
        <v>#N/A</v>
      </c>
      <c r="S846" s="7">
        <f t="shared" si="181"/>
        <v>1480.75</v>
      </c>
      <c r="T846" s="7">
        <f t="shared" si="182"/>
        <v>0</v>
      </c>
    </row>
    <row r="847" spans="1:20" x14ac:dyDescent="0.25">
      <c r="A847" s="1">
        <v>42461</v>
      </c>
      <c r="B847">
        <v>1471.25</v>
      </c>
      <c r="C847">
        <v>1478</v>
      </c>
      <c r="D847">
        <v>1461</v>
      </c>
      <c r="E847">
        <v>1472.4</v>
      </c>
      <c r="F847">
        <v>692752</v>
      </c>
      <c r="G847" s="4">
        <f t="shared" si="183"/>
        <v>0</v>
      </c>
      <c r="H847" s="4">
        <f t="shared" si="184"/>
        <v>1.3999999999998636</v>
      </c>
      <c r="I847" s="6">
        <f t="shared" si="175"/>
        <v>12.510714285714291</v>
      </c>
      <c r="J847" s="6">
        <f t="shared" si="176"/>
        <v>5.7964285714285779</v>
      </c>
      <c r="K847" s="4">
        <f t="shared" si="177"/>
        <v>2.1583487369069609</v>
      </c>
      <c r="L847">
        <f t="shared" si="178"/>
        <v>68.337885290674976</v>
      </c>
      <c r="M847" s="14" t="str">
        <f t="shared" si="171"/>
        <v/>
      </c>
      <c r="N847" s="7">
        <f t="shared" si="172"/>
        <v>0</v>
      </c>
      <c r="O847" s="7">
        <f t="shared" si="179"/>
        <v>0</v>
      </c>
      <c r="P847" s="7">
        <f t="shared" si="180"/>
        <v>1</v>
      </c>
      <c r="Q847" s="10" t="e">
        <f t="shared" si="173"/>
        <v>#N/A</v>
      </c>
      <c r="R847" s="10" t="e">
        <f t="shared" si="174"/>
        <v>#N/A</v>
      </c>
      <c r="S847" s="7">
        <f t="shared" si="181"/>
        <v>1480.75</v>
      </c>
      <c r="T847" s="7">
        <f t="shared" si="182"/>
        <v>0</v>
      </c>
    </row>
    <row r="848" spans="1:20" x14ac:dyDescent="0.25">
      <c r="A848" s="1">
        <v>42464</v>
      </c>
      <c r="B848">
        <v>1465</v>
      </c>
      <c r="C848">
        <v>1502</v>
      </c>
      <c r="D848">
        <v>1465</v>
      </c>
      <c r="E848">
        <v>1492.85</v>
      </c>
      <c r="F848">
        <v>949216</v>
      </c>
      <c r="G848" s="4">
        <f t="shared" si="183"/>
        <v>20.449999999999818</v>
      </c>
      <c r="H848" s="4">
        <f t="shared" si="184"/>
        <v>0</v>
      </c>
      <c r="I848" s="6">
        <f t="shared" si="175"/>
        <v>10.007142857142851</v>
      </c>
      <c r="J848" s="6">
        <f t="shared" si="176"/>
        <v>5.7964285714285779</v>
      </c>
      <c r="K848" s="4">
        <f t="shared" si="177"/>
        <v>1.7264325323475016</v>
      </c>
      <c r="L848">
        <f t="shared" si="178"/>
        <v>63.322033898305044</v>
      </c>
      <c r="M848" s="14" t="str">
        <f t="shared" ref="M848:M911" si="185">IF(L848&gt;RSI_Overbought,"OVERBOUGHT",IF(L848&lt;RSI_Oversold,"OVERSOLD",""))</f>
        <v/>
      </c>
      <c r="N848" s="7">
        <f t="shared" ref="N848:N911" si="186">IF(L848&gt;RSI_Overbought,"SELL",IF(L848&lt;RSI_Oversold,"BUY",0))</f>
        <v>0</v>
      </c>
      <c r="O848" s="7">
        <f t="shared" si="179"/>
        <v>0</v>
      </c>
      <c r="P848" s="7">
        <f t="shared" si="180"/>
        <v>1</v>
      </c>
      <c r="Q848" s="10" t="e">
        <f t="shared" ref="Q848:Q911" si="187">IF($O848="BUY",$E848,NA())</f>
        <v>#N/A</v>
      </c>
      <c r="R848" s="10" t="e">
        <f t="shared" ref="R848:R911" si="188">IF($O848="SELL",$E848,NA())</f>
        <v>#N/A</v>
      </c>
      <c r="S848" s="7">
        <f t="shared" si="181"/>
        <v>1480.75</v>
      </c>
      <c r="T848" s="7">
        <f t="shared" si="182"/>
        <v>0</v>
      </c>
    </row>
    <row r="849" spans="1:20" x14ac:dyDescent="0.25">
      <c r="A849" s="1">
        <v>42465</v>
      </c>
      <c r="B849">
        <v>1498</v>
      </c>
      <c r="C849">
        <v>1509.15</v>
      </c>
      <c r="D849">
        <v>1492.3</v>
      </c>
      <c r="E849">
        <v>1498.4</v>
      </c>
      <c r="F849">
        <v>923472</v>
      </c>
      <c r="G849" s="4">
        <f t="shared" si="183"/>
        <v>5.5500000000001819</v>
      </c>
      <c r="H849" s="4">
        <f t="shared" si="184"/>
        <v>0</v>
      </c>
      <c r="I849" s="6">
        <f t="shared" ref="I849:I912" si="189">AVERAGE(G836:G849)</f>
        <v>10.403571428571436</v>
      </c>
      <c r="J849" s="6">
        <f t="shared" ref="J849:J912" si="190">AVERAGE(H836:H849)</f>
        <v>4.6964285714285712</v>
      </c>
      <c r="K849" s="4">
        <f t="shared" ref="K849:K912" si="191">I849/J849</f>
        <v>2.2152091254752868</v>
      </c>
      <c r="L849">
        <f t="shared" ref="L849:L912" si="192">100-(100/(K849+1))</f>
        <v>68.897824030274379</v>
      </c>
      <c r="M849" s="14" t="str">
        <f t="shared" si="185"/>
        <v/>
      </c>
      <c r="N849" s="7">
        <f t="shared" si="186"/>
        <v>0</v>
      </c>
      <c r="O849" s="7">
        <f t="shared" ref="O849:O912" si="193">IF(AND(N849="BUY",P848&lt;&gt;1),"BUY",IF(AND(N849="SELL",P848&lt;&gt;-1),"SELL",0))</f>
        <v>0</v>
      </c>
      <c r="P849" s="7">
        <f t="shared" ref="P849:P912" si="194">IF(O849="BUY",1,IF(O849="SELL",-1,P848))</f>
        <v>1</v>
      </c>
      <c r="Q849" s="10" t="e">
        <f t="shared" si="187"/>
        <v>#N/A</v>
      </c>
      <c r="R849" s="10" t="e">
        <f t="shared" si="188"/>
        <v>#N/A</v>
      </c>
      <c r="S849" s="7">
        <f t="shared" ref="S849:S912" si="195">IF(O849&lt;&gt;0,E849,S848)</f>
        <v>1480.75</v>
      </c>
      <c r="T849" s="7">
        <f t="shared" si="182"/>
        <v>0</v>
      </c>
    </row>
    <row r="850" spans="1:20" x14ac:dyDescent="0.25">
      <c r="A850" s="1">
        <v>42466</v>
      </c>
      <c r="B850">
        <v>1495</v>
      </c>
      <c r="C850">
        <v>1526.75</v>
      </c>
      <c r="D850">
        <v>1478.35</v>
      </c>
      <c r="E850">
        <v>1492.7</v>
      </c>
      <c r="F850">
        <v>1531981</v>
      </c>
      <c r="G850" s="4">
        <f t="shared" si="183"/>
        <v>0</v>
      </c>
      <c r="H850" s="4">
        <f t="shared" si="184"/>
        <v>5.7000000000000455</v>
      </c>
      <c r="I850" s="6">
        <f t="shared" si="189"/>
        <v>6.9250000000000034</v>
      </c>
      <c r="J850" s="6">
        <f t="shared" si="190"/>
        <v>5.1035714285714322</v>
      </c>
      <c r="K850" s="4">
        <f t="shared" si="191"/>
        <v>1.3568929321203635</v>
      </c>
      <c r="L850">
        <f t="shared" si="192"/>
        <v>57.571258907363408</v>
      </c>
      <c r="M850" s="14" t="str">
        <f t="shared" si="185"/>
        <v/>
      </c>
      <c r="N850" s="7">
        <f t="shared" si="186"/>
        <v>0</v>
      </c>
      <c r="O850" s="7">
        <f t="shared" si="193"/>
        <v>0</v>
      </c>
      <c r="P850" s="7">
        <f t="shared" si="194"/>
        <v>1</v>
      </c>
      <c r="Q850" s="10" t="e">
        <f t="shared" si="187"/>
        <v>#N/A</v>
      </c>
      <c r="R850" s="10" t="e">
        <f t="shared" si="188"/>
        <v>#N/A</v>
      </c>
      <c r="S850" s="7">
        <f t="shared" si="195"/>
        <v>1480.75</v>
      </c>
      <c r="T850" s="7">
        <f t="shared" si="182"/>
        <v>0</v>
      </c>
    </row>
    <row r="851" spans="1:20" x14ac:dyDescent="0.25">
      <c r="A851" s="1">
        <v>42467</v>
      </c>
      <c r="B851">
        <v>1500</v>
      </c>
      <c r="C851">
        <v>1502.95</v>
      </c>
      <c r="D851">
        <v>1463.6</v>
      </c>
      <c r="E851">
        <v>1469.55</v>
      </c>
      <c r="F851">
        <v>793306</v>
      </c>
      <c r="G851" s="4">
        <f t="shared" si="183"/>
        <v>0</v>
      </c>
      <c r="H851" s="4">
        <f t="shared" si="184"/>
        <v>23.150000000000091</v>
      </c>
      <c r="I851" s="6">
        <f t="shared" si="189"/>
        <v>6.6107142857142991</v>
      </c>
      <c r="J851" s="6">
        <f t="shared" si="190"/>
        <v>6.7571428571428669</v>
      </c>
      <c r="K851" s="4">
        <f t="shared" si="191"/>
        <v>0.97832980972515915</v>
      </c>
      <c r="L851">
        <f t="shared" si="192"/>
        <v>49.452310980496939</v>
      </c>
      <c r="M851" s="14" t="str">
        <f t="shared" si="185"/>
        <v/>
      </c>
      <c r="N851" s="7">
        <f t="shared" si="186"/>
        <v>0</v>
      </c>
      <c r="O851" s="7">
        <f t="shared" si="193"/>
        <v>0</v>
      </c>
      <c r="P851" s="7">
        <f t="shared" si="194"/>
        <v>1</v>
      </c>
      <c r="Q851" s="10" t="e">
        <f t="shared" si="187"/>
        <v>#N/A</v>
      </c>
      <c r="R851" s="10" t="e">
        <f t="shared" si="188"/>
        <v>#N/A</v>
      </c>
      <c r="S851" s="7">
        <f t="shared" si="195"/>
        <v>1480.75</v>
      </c>
      <c r="T851" s="7">
        <f t="shared" si="182"/>
        <v>0</v>
      </c>
    </row>
    <row r="852" spans="1:20" x14ac:dyDescent="0.25">
      <c r="A852" s="1">
        <v>42468</v>
      </c>
      <c r="B852">
        <v>1469.5</v>
      </c>
      <c r="C852">
        <v>1500</v>
      </c>
      <c r="D852">
        <v>1460</v>
      </c>
      <c r="E852">
        <v>1498</v>
      </c>
      <c r="F852">
        <v>1011932</v>
      </c>
      <c r="G852" s="4">
        <f t="shared" si="183"/>
        <v>28.450000000000045</v>
      </c>
      <c r="H852" s="4">
        <f t="shared" si="184"/>
        <v>0</v>
      </c>
      <c r="I852" s="6">
        <f t="shared" si="189"/>
        <v>8.0357142857143025</v>
      </c>
      <c r="J852" s="6">
        <f t="shared" si="190"/>
        <v>6.7571428571428669</v>
      </c>
      <c r="K852" s="4">
        <f t="shared" si="191"/>
        <v>1.1892177589852015</v>
      </c>
      <c r="L852">
        <f t="shared" si="192"/>
        <v>54.321583775953663</v>
      </c>
      <c r="M852" s="14" t="str">
        <f t="shared" si="185"/>
        <v/>
      </c>
      <c r="N852" s="7">
        <f t="shared" si="186"/>
        <v>0</v>
      </c>
      <c r="O852" s="7">
        <f t="shared" si="193"/>
        <v>0</v>
      </c>
      <c r="P852" s="7">
        <f t="shared" si="194"/>
        <v>1</v>
      </c>
      <c r="Q852" s="10" t="e">
        <f t="shared" si="187"/>
        <v>#N/A</v>
      </c>
      <c r="R852" s="10" t="e">
        <f t="shared" si="188"/>
        <v>#N/A</v>
      </c>
      <c r="S852" s="7">
        <f t="shared" si="195"/>
        <v>1480.75</v>
      </c>
      <c r="T852" s="7">
        <f t="shared" si="182"/>
        <v>0</v>
      </c>
    </row>
    <row r="853" spans="1:20" x14ac:dyDescent="0.25">
      <c r="A853" s="1">
        <v>42471</v>
      </c>
      <c r="B853">
        <v>1498</v>
      </c>
      <c r="C853">
        <v>1516.5</v>
      </c>
      <c r="D853">
        <v>1490.3</v>
      </c>
      <c r="E853">
        <v>1514.1</v>
      </c>
      <c r="F853">
        <v>700127</v>
      </c>
      <c r="G853" s="4">
        <f t="shared" si="183"/>
        <v>16.099999999999909</v>
      </c>
      <c r="H853" s="4">
        <f t="shared" si="184"/>
        <v>0</v>
      </c>
      <c r="I853" s="6">
        <f t="shared" si="189"/>
        <v>7.875</v>
      </c>
      <c r="J853" s="6">
        <f t="shared" si="190"/>
        <v>6.7571428571428669</v>
      </c>
      <c r="K853" s="4">
        <f t="shared" si="191"/>
        <v>1.1654334038054952</v>
      </c>
      <c r="L853">
        <f t="shared" si="192"/>
        <v>53.81986819624111</v>
      </c>
      <c r="M853" s="14" t="str">
        <f t="shared" si="185"/>
        <v/>
      </c>
      <c r="N853" s="7">
        <f t="shared" si="186"/>
        <v>0</v>
      </c>
      <c r="O853" s="7">
        <f t="shared" si="193"/>
        <v>0</v>
      </c>
      <c r="P853" s="7">
        <f t="shared" si="194"/>
        <v>1</v>
      </c>
      <c r="Q853" s="10" t="e">
        <f t="shared" si="187"/>
        <v>#N/A</v>
      </c>
      <c r="R853" s="10" t="e">
        <f t="shared" si="188"/>
        <v>#N/A</v>
      </c>
      <c r="S853" s="7">
        <f t="shared" si="195"/>
        <v>1480.75</v>
      </c>
      <c r="T853" s="7">
        <f t="shared" si="182"/>
        <v>0</v>
      </c>
    </row>
    <row r="854" spans="1:20" x14ac:dyDescent="0.25">
      <c r="A854" s="1">
        <v>42472</v>
      </c>
      <c r="B854">
        <v>1516</v>
      </c>
      <c r="C854">
        <v>1527.5</v>
      </c>
      <c r="D854">
        <v>1485.1</v>
      </c>
      <c r="E854">
        <v>1497.35</v>
      </c>
      <c r="F854">
        <v>726019</v>
      </c>
      <c r="G854" s="4">
        <f t="shared" si="183"/>
        <v>0</v>
      </c>
      <c r="H854" s="4">
        <f t="shared" si="184"/>
        <v>16.75</v>
      </c>
      <c r="I854" s="6">
        <f t="shared" si="189"/>
        <v>7.875</v>
      </c>
      <c r="J854" s="6">
        <f t="shared" si="190"/>
        <v>7.7714285714285847</v>
      </c>
      <c r="K854" s="4">
        <f t="shared" si="191"/>
        <v>1.0133272058823513</v>
      </c>
      <c r="L854">
        <f t="shared" si="192"/>
        <v>50.330974663318841</v>
      </c>
      <c r="M854" s="14" t="str">
        <f t="shared" si="185"/>
        <v/>
      </c>
      <c r="N854" s="7">
        <f t="shared" si="186"/>
        <v>0</v>
      </c>
      <c r="O854" s="7">
        <f t="shared" si="193"/>
        <v>0</v>
      </c>
      <c r="P854" s="7">
        <f t="shared" si="194"/>
        <v>1</v>
      </c>
      <c r="Q854" s="10" t="e">
        <f t="shared" si="187"/>
        <v>#N/A</v>
      </c>
      <c r="R854" s="10" t="e">
        <f t="shared" si="188"/>
        <v>#N/A</v>
      </c>
      <c r="S854" s="7">
        <f t="shared" si="195"/>
        <v>1480.75</v>
      </c>
      <c r="T854" s="7">
        <f t="shared" si="182"/>
        <v>0</v>
      </c>
    </row>
    <row r="855" spans="1:20" x14ac:dyDescent="0.25">
      <c r="A855" s="1">
        <v>42473</v>
      </c>
      <c r="B855">
        <v>1500</v>
      </c>
      <c r="C855">
        <v>1512</v>
      </c>
      <c r="D855">
        <v>1487</v>
      </c>
      <c r="E855">
        <v>1499.4</v>
      </c>
      <c r="F855">
        <v>1204173</v>
      </c>
      <c r="G855" s="4">
        <f t="shared" si="183"/>
        <v>2.0500000000001819</v>
      </c>
      <c r="H855" s="4">
        <f t="shared" si="184"/>
        <v>0</v>
      </c>
      <c r="I855" s="6">
        <f t="shared" si="189"/>
        <v>8.0214285714285847</v>
      </c>
      <c r="J855" s="6">
        <f t="shared" si="190"/>
        <v>7.3250000000000126</v>
      </c>
      <c r="K855" s="4">
        <f t="shared" si="191"/>
        <v>1.0950755728912724</v>
      </c>
      <c r="L855">
        <f t="shared" si="192"/>
        <v>52.269024901093786</v>
      </c>
      <c r="M855" s="14" t="str">
        <f t="shared" si="185"/>
        <v/>
      </c>
      <c r="N855" s="7">
        <f t="shared" si="186"/>
        <v>0</v>
      </c>
      <c r="O855" s="7">
        <f t="shared" si="193"/>
        <v>0</v>
      </c>
      <c r="P855" s="7">
        <f t="shared" si="194"/>
        <v>1</v>
      </c>
      <c r="Q855" s="10" t="e">
        <f t="shared" si="187"/>
        <v>#N/A</v>
      </c>
      <c r="R855" s="10" t="e">
        <f t="shared" si="188"/>
        <v>#N/A</v>
      </c>
      <c r="S855" s="7">
        <f t="shared" si="195"/>
        <v>1480.75</v>
      </c>
      <c r="T855" s="7">
        <f t="shared" si="182"/>
        <v>0</v>
      </c>
    </row>
    <row r="856" spans="1:20" x14ac:dyDescent="0.25">
      <c r="A856" s="1">
        <v>42474</v>
      </c>
      <c r="B856">
        <v>1491</v>
      </c>
      <c r="C856">
        <v>1509.25</v>
      </c>
      <c r="D856">
        <v>1476.75</v>
      </c>
      <c r="E856">
        <v>1498.45</v>
      </c>
      <c r="F856">
        <v>964934</v>
      </c>
      <c r="G856" s="4">
        <f t="shared" si="183"/>
        <v>0</v>
      </c>
      <c r="H856" s="4">
        <f t="shared" si="184"/>
        <v>0.95000000000004547</v>
      </c>
      <c r="I856" s="6">
        <f t="shared" si="189"/>
        <v>8.0214285714285847</v>
      </c>
      <c r="J856" s="6">
        <f t="shared" si="190"/>
        <v>4.6750000000000034</v>
      </c>
      <c r="K856" s="4">
        <f t="shared" si="191"/>
        <v>1.715813598166541</v>
      </c>
      <c r="L856">
        <f t="shared" si="192"/>
        <v>63.178621659634338</v>
      </c>
      <c r="M856" s="14" t="str">
        <f t="shared" si="185"/>
        <v/>
      </c>
      <c r="N856" s="7">
        <f t="shared" si="186"/>
        <v>0</v>
      </c>
      <c r="O856" s="7">
        <f t="shared" si="193"/>
        <v>0</v>
      </c>
      <c r="P856" s="7">
        <f t="shared" si="194"/>
        <v>1</v>
      </c>
      <c r="Q856" s="10" t="e">
        <f t="shared" si="187"/>
        <v>#N/A</v>
      </c>
      <c r="R856" s="10" t="e">
        <f t="shared" si="188"/>
        <v>#N/A</v>
      </c>
      <c r="S856" s="7">
        <f t="shared" si="195"/>
        <v>1480.75</v>
      </c>
      <c r="T856" s="7">
        <f t="shared" si="182"/>
        <v>0</v>
      </c>
    </row>
    <row r="857" spans="1:20" x14ac:dyDescent="0.25">
      <c r="A857" s="1">
        <v>42475</v>
      </c>
      <c r="B857">
        <v>1504</v>
      </c>
      <c r="C857">
        <v>1507</v>
      </c>
      <c r="D857">
        <v>1457.1</v>
      </c>
      <c r="E857">
        <v>1469.4</v>
      </c>
      <c r="F857">
        <v>1548806</v>
      </c>
      <c r="G857" s="4">
        <f t="shared" si="183"/>
        <v>0</v>
      </c>
      <c r="H857" s="4">
        <f t="shared" si="184"/>
        <v>29.049999999999955</v>
      </c>
      <c r="I857" s="6">
        <f t="shared" si="189"/>
        <v>7.5678571428571457</v>
      </c>
      <c r="J857" s="6">
        <f t="shared" si="190"/>
        <v>6.75</v>
      </c>
      <c r="K857" s="4">
        <f t="shared" si="191"/>
        <v>1.1211640211640217</v>
      </c>
      <c r="L857">
        <f t="shared" si="192"/>
        <v>52.856073833873801</v>
      </c>
      <c r="M857" s="14" t="str">
        <f t="shared" si="185"/>
        <v/>
      </c>
      <c r="N857" s="7">
        <f t="shared" si="186"/>
        <v>0</v>
      </c>
      <c r="O857" s="7">
        <f t="shared" si="193"/>
        <v>0</v>
      </c>
      <c r="P857" s="7">
        <f t="shared" si="194"/>
        <v>1</v>
      </c>
      <c r="Q857" s="10" t="e">
        <f t="shared" si="187"/>
        <v>#N/A</v>
      </c>
      <c r="R857" s="10" t="e">
        <f t="shared" si="188"/>
        <v>#N/A</v>
      </c>
      <c r="S857" s="7">
        <f t="shared" si="195"/>
        <v>1480.75</v>
      </c>
      <c r="T857" s="7">
        <f t="shared" si="182"/>
        <v>0</v>
      </c>
    </row>
    <row r="858" spans="1:20" x14ac:dyDescent="0.25">
      <c r="A858" s="1">
        <v>42478</v>
      </c>
      <c r="B858">
        <v>1460</v>
      </c>
      <c r="C858">
        <v>1473.9</v>
      </c>
      <c r="D858">
        <v>1450.15</v>
      </c>
      <c r="E858">
        <v>1465.35</v>
      </c>
      <c r="F858">
        <v>652660</v>
      </c>
      <c r="G858" s="4">
        <f t="shared" si="183"/>
        <v>0</v>
      </c>
      <c r="H858" s="4">
        <f t="shared" si="184"/>
        <v>4.0500000000001819</v>
      </c>
      <c r="I858" s="6">
        <f t="shared" si="189"/>
        <v>6.5964285714285813</v>
      </c>
      <c r="J858" s="6">
        <f t="shared" si="190"/>
        <v>7.039285714285727</v>
      </c>
      <c r="K858" s="4">
        <f t="shared" si="191"/>
        <v>0.93708777270421073</v>
      </c>
      <c r="L858">
        <f t="shared" si="192"/>
        <v>48.376113148245146</v>
      </c>
      <c r="M858" s="14" t="str">
        <f t="shared" si="185"/>
        <v/>
      </c>
      <c r="N858" s="7">
        <f t="shared" si="186"/>
        <v>0</v>
      </c>
      <c r="O858" s="7">
        <f t="shared" si="193"/>
        <v>0</v>
      </c>
      <c r="P858" s="7">
        <f t="shared" si="194"/>
        <v>1</v>
      </c>
      <c r="Q858" s="10" t="e">
        <f t="shared" si="187"/>
        <v>#N/A</v>
      </c>
      <c r="R858" s="10" t="e">
        <f t="shared" si="188"/>
        <v>#N/A</v>
      </c>
      <c r="S858" s="7">
        <f t="shared" si="195"/>
        <v>1480.75</v>
      </c>
      <c r="T858" s="7">
        <f t="shared" ref="T858:T921" si="196">IF(O858="BUY",(S857-S858)/S857,IF(O858="SELL",(S858-S857)/S857,0))</f>
        <v>0</v>
      </c>
    </row>
    <row r="859" spans="1:20" x14ac:dyDescent="0.25">
      <c r="A859" s="1">
        <v>42479</v>
      </c>
      <c r="B859">
        <v>1461.1</v>
      </c>
      <c r="C859">
        <v>1472.65</v>
      </c>
      <c r="D859">
        <v>1452.7</v>
      </c>
      <c r="E859">
        <v>1467.8</v>
      </c>
      <c r="F859">
        <v>864338</v>
      </c>
      <c r="G859" s="4">
        <f t="shared" si="183"/>
        <v>2.4500000000000455</v>
      </c>
      <c r="H859" s="4">
        <f t="shared" si="184"/>
        <v>0</v>
      </c>
      <c r="I859" s="6">
        <f t="shared" si="189"/>
        <v>6.7714285714285847</v>
      </c>
      <c r="J859" s="6">
        <f t="shared" si="190"/>
        <v>5.789285714285727</v>
      </c>
      <c r="K859" s="4">
        <f t="shared" si="191"/>
        <v>1.1696483652066623</v>
      </c>
      <c r="L859">
        <f t="shared" si="192"/>
        <v>53.909582030139319</v>
      </c>
      <c r="M859" s="14" t="str">
        <f t="shared" si="185"/>
        <v/>
      </c>
      <c r="N859" s="7">
        <f t="shared" si="186"/>
        <v>0</v>
      </c>
      <c r="O859" s="7">
        <f t="shared" si="193"/>
        <v>0</v>
      </c>
      <c r="P859" s="7">
        <f t="shared" si="194"/>
        <v>1</v>
      </c>
      <c r="Q859" s="10" t="e">
        <f t="shared" si="187"/>
        <v>#N/A</v>
      </c>
      <c r="R859" s="10" t="e">
        <f t="shared" si="188"/>
        <v>#N/A</v>
      </c>
      <c r="S859" s="7">
        <f t="shared" si="195"/>
        <v>1480.75</v>
      </c>
      <c r="T859" s="7">
        <f t="shared" si="196"/>
        <v>0</v>
      </c>
    </row>
    <row r="860" spans="1:20" x14ac:dyDescent="0.25">
      <c r="A860" s="1">
        <v>42480</v>
      </c>
      <c r="B860">
        <v>1453.7</v>
      </c>
      <c r="C860">
        <v>1478.5</v>
      </c>
      <c r="D860">
        <v>1452.05</v>
      </c>
      <c r="E860">
        <v>1470.75</v>
      </c>
      <c r="F860">
        <v>1270226</v>
      </c>
      <c r="G860" s="4">
        <f t="shared" si="183"/>
        <v>2.9500000000000455</v>
      </c>
      <c r="H860" s="4">
        <f t="shared" si="184"/>
        <v>0</v>
      </c>
      <c r="I860" s="6">
        <f t="shared" si="189"/>
        <v>5.5714285714285881</v>
      </c>
      <c r="J860" s="6">
        <f t="shared" si="190"/>
        <v>5.789285714285727</v>
      </c>
      <c r="K860" s="4">
        <f t="shared" si="191"/>
        <v>0.96236890808143194</v>
      </c>
      <c r="L860">
        <f t="shared" si="192"/>
        <v>49.041182018233279</v>
      </c>
      <c r="M860" s="14" t="str">
        <f t="shared" si="185"/>
        <v/>
      </c>
      <c r="N860" s="7">
        <f t="shared" si="186"/>
        <v>0</v>
      </c>
      <c r="O860" s="7">
        <f t="shared" si="193"/>
        <v>0</v>
      </c>
      <c r="P860" s="7">
        <f t="shared" si="194"/>
        <v>1</v>
      </c>
      <c r="Q860" s="10" t="e">
        <f t="shared" si="187"/>
        <v>#N/A</v>
      </c>
      <c r="R860" s="10" t="e">
        <f t="shared" si="188"/>
        <v>#N/A</v>
      </c>
      <c r="S860" s="7">
        <f t="shared" si="195"/>
        <v>1480.75</v>
      </c>
      <c r="T860" s="7">
        <f t="shared" si="196"/>
        <v>0</v>
      </c>
    </row>
    <row r="861" spans="1:20" x14ac:dyDescent="0.25">
      <c r="A861" s="1">
        <v>42481</v>
      </c>
      <c r="B861">
        <v>1470.1</v>
      </c>
      <c r="C861">
        <v>1539</v>
      </c>
      <c r="D861">
        <v>1468</v>
      </c>
      <c r="E861">
        <v>1518.95</v>
      </c>
      <c r="F861">
        <v>1775422</v>
      </c>
      <c r="G861" s="4">
        <f t="shared" si="183"/>
        <v>48.200000000000045</v>
      </c>
      <c r="H861" s="4">
        <f t="shared" si="184"/>
        <v>0</v>
      </c>
      <c r="I861" s="6">
        <f t="shared" si="189"/>
        <v>9.0142857142857338</v>
      </c>
      <c r="J861" s="6">
        <f t="shared" si="190"/>
        <v>5.6892857142857371</v>
      </c>
      <c r="K861" s="4">
        <f t="shared" si="191"/>
        <v>1.5844318895166323</v>
      </c>
      <c r="L861">
        <f t="shared" si="192"/>
        <v>61.306776779208114</v>
      </c>
      <c r="M861" s="14" t="str">
        <f t="shared" si="185"/>
        <v/>
      </c>
      <c r="N861" s="7">
        <f t="shared" si="186"/>
        <v>0</v>
      </c>
      <c r="O861" s="7">
        <f t="shared" si="193"/>
        <v>0</v>
      </c>
      <c r="P861" s="7">
        <f t="shared" si="194"/>
        <v>1</v>
      </c>
      <c r="Q861" s="10" t="e">
        <f t="shared" si="187"/>
        <v>#N/A</v>
      </c>
      <c r="R861" s="10" t="e">
        <f t="shared" si="188"/>
        <v>#N/A</v>
      </c>
      <c r="S861" s="7">
        <f t="shared" si="195"/>
        <v>1480.75</v>
      </c>
      <c r="T861" s="7">
        <f t="shared" si="196"/>
        <v>0</v>
      </c>
    </row>
    <row r="862" spans="1:20" x14ac:dyDescent="0.25">
      <c r="A862" s="1">
        <v>42482</v>
      </c>
      <c r="B862">
        <v>1525.05</v>
      </c>
      <c r="C862">
        <v>1544.7</v>
      </c>
      <c r="D862">
        <v>1519.1</v>
      </c>
      <c r="E862">
        <v>1525.05</v>
      </c>
      <c r="F862">
        <v>1680215</v>
      </c>
      <c r="G862" s="4">
        <f t="shared" si="183"/>
        <v>6.0999999999999091</v>
      </c>
      <c r="H862" s="4">
        <f t="shared" si="184"/>
        <v>0</v>
      </c>
      <c r="I862" s="6">
        <f t="shared" si="189"/>
        <v>7.9892857142857405</v>
      </c>
      <c r="J862" s="6">
        <f t="shared" si="190"/>
        <v>5.6892857142857371</v>
      </c>
      <c r="K862" s="4">
        <f t="shared" si="191"/>
        <v>1.404268675455115</v>
      </c>
      <c r="L862">
        <f t="shared" si="192"/>
        <v>58.407310704960814</v>
      </c>
      <c r="M862" s="14" t="str">
        <f t="shared" si="185"/>
        <v/>
      </c>
      <c r="N862" s="7">
        <f t="shared" si="186"/>
        <v>0</v>
      </c>
      <c r="O862" s="7">
        <f t="shared" si="193"/>
        <v>0</v>
      </c>
      <c r="P862" s="7">
        <f t="shared" si="194"/>
        <v>1</v>
      </c>
      <c r="Q862" s="10" t="e">
        <f t="shared" si="187"/>
        <v>#N/A</v>
      </c>
      <c r="R862" s="10" t="e">
        <f t="shared" si="188"/>
        <v>#N/A</v>
      </c>
      <c r="S862" s="7">
        <f t="shared" si="195"/>
        <v>1480.75</v>
      </c>
      <c r="T862" s="7">
        <f t="shared" si="196"/>
        <v>0</v>
      </c>
    </row>
    <row r="863" spans="1:20" x14ac:dyDescent="0.25">
      <c r="A863" s="1">
        <v>42485</v>
      </c>
      <c r="B863">
        <v>1530.2</v>
      </c>
      <c r="C863">
        <v>1542</v>
      </c>
      <c r="D863">
        <v>1492</v>
      </c>
      <c r="E863">
        <v>1501.55</v>
      </c>
      <c r="F863">
        <v>1102734</v>
      </c>
      <c r="G863" s="4">
        <f t="shared" si="183"/>
        <v>0</v>
      </c>
      <c r="H863" s="4">
        <f t="shared" si="184"/>
        <v>23.5</v>
      </c>
      <c r="I863" s="6">
        <f t="shared" si="189"/>
        <v>7.5928571428571558</v>
      </c>
      <c r="J863" s="6">
        <f t="shared" si="190"/>
        <v>7.367857142857166</v>
      </c>
      <c r="K863" s="4">
        <f t="shared" si="191"/>
        <v>1.0305380513814819</v>
      </c>
      <c r="L863">
        <f t="shared" si="192"/>
        <v>50.751969443781306</v>
      </c>
      <c r="M863" s="14" t="str">
        <f t="shared" si="185"/>
        <v/>
      </c>
      <c r="N863" s="7">
        <f t="shared" si="186"/>
        <v>0</v>
      </c>
      <c r="O863" s="7">
        <f t="shared" si="193"/>
        <v>0</v>
      </c>
      <c r="P863" s="7">
        <f t="shared" si="194"/>
        <v>1</v>
      </c>
      <c r="Q863" s="10" t="e">
        <f t="shared" si="187"/>
        <v>#N/A</v>
      </c>
      <c r="R863" s="10" t="e">
        <f t="shared" si="188"/>
        <v>#N/A</v>
      </c>
      <c r="S863" s="7">
        <f t="shared" si="195"/>
        <v>1480.75</v>
      </c>
      <c r="T863" s="7">
        <f t="shared" si="196"/>
        <v>0</v>
      </c>
    </row>
    <row r="864" spans="1:20" x14ac:dyDescent="0.25">
      <c r="A864" s="1">
        <v>42486</v>
      </c>
      <c r="B864">
        <v>1494.1</v>
      </c>
      <c r="C864">
        <v>1495.1</v>
      </c>
      <c r="D864">
        <v>1462.05</v>
      </c>
      <c r="E864">
        <v>1468.1</v>
      </c>
      <c r="F864">
        <v>2402977</v>
      </c>
      <c r="G864" s="4">
        <f t="shared" si="183"/>
        <v>0</v>
      </c>
      <c r="H864" s="4">
        <f t="shared" si="184"/>
        <v>33.450000000000045</v>
      </c>
      <c r="I864" s="6">
        <f t="shared" si="189"/>
        <v>7.5928571428571558</v>
      </c>
      <c r="J864" s="6">
        <f t="shared" si="190"/>
        <v>9.3500000000000227</v>
      </c>
      <c r="K864" s="4">
        <f t="shared" si="191"/>
        <v>0.81207028265851733</v>
      </c>
      <c r="L864">
        <f t="shared" si="192"/>
        <v>44.814502529510939</v>
      </c>
      <c r="M864" s="14" t="str">
        <f t="shared" si="185"/>
        <v/>
      </c>
      <c r="N864" s="7">
        <f t="shared" si="186"/>
        <v>0</v>
      </c>
      <c r="O864" s="7">
        <f t="shared" si="193"/>
        <v>0</v>
      </c>
      <c r="P864" s="7">
        <f t="shared" si="194"/>
        <v>1</v>
      </c>
      <c r="Q864" s="10" t="e">
        <f t="shared" si="187"/>
        <v>#N/A</v>
      </c>
      <c r="R864" s="10" t="e">
        <f t="shared" si="188"/>
        <v>#N/A</v>
      </c>
      <c r="S864" s="7">
        <f t="shared" si="195"/>
        <v>1480.75</v>
      </c>
      <c r="T864" s="7">
        <f t="shared" si="196"/>
        <v>0</v>
      </c>
    </row>
    <row r="865" spans="1:20" x14ac:dyDescent="0.25">
      <c r="A865" s="1">
        <v>42487</v>
      </c>
      <c r="B865">
        <v>1460</v>
      </c>
      <c r="C865">
        <v>1464</v>
      </c>
      <c r="D865">
        <v>1435.1</v>
      </c>
      <c r="E865">
        <v>1445.65</v>
      </c>
      <c r="F865">
        <v>1575671</v>
      </c>
      <c r="G865" s="4">
        <f t="shared" si="183"/>
        <v>0</v>
      </c>
      <c r="H865" s="4">
        <f t="shared" si="184"/>
        <v>22.449999999999818</v>
      </c>
      <c r="I865" s="6">
        <f t="shared" si="189"/>
        <v>7.5928571428571558</v>
      </c>
      <c r="J865" s="6">
        <f t="shared" si="190"/>
        <v>9.3000000000000025</v>
      </c>
      <c r="K865" s="4">
        <f t="shared" si="191"/>
        <v>0.81643625192012403</v>
      </c>
      <c r="L865">
        <f t="shared" si="192"/>
        <v>44.947145877378468</v>
      </c>
      <c r="M865" s="14" t="str">
        <f t="shared" si="185"/>
        <v/>
      </c>
      <c r="N865" s="7">
        <f t="shared" si="186"/>
        <v>0</v>
      </c>
      <c r="O865" s="7">
        <f t="shared" si="193"/>
        <v>0</v>
      </c>
      <c r="P865" s="7">
        <f t="shared" si="194"/>
        <v>1</v>
      </c>
      <c r="Q865" s="10" t="e">
        <f t="shared" si="187"/>
        <v>#N/A</v>
      </c>
      <c r="R865" s="10" t="e">
        <f t="shared" si="188"/>
        <v>#N/A</v>
      </c>
      <c r="S865" s="7">
        <f t="shared" si="195"/>
        <v>1480.75</v>
      </c>
      <c r="T865" s="7">
        <f t="shared" si="196"/>
        <v>0</v>
      </c>
    </row>
    <row r="866" spans="1:20" x14ac:dyDescent="0.25">
      <c r="A866" s="1">
        <v>42488</v>
      </c>
      <c r="B866">
        <v>1448</v>
      </c>
      <c r="C866">
        <v>1457.25</v>
      </c>
      <c r="D866">
        <v>1431</v>
      </c>
      <c r="E866">
        <v>1450.7</v>
      </c>
      <c r="F866">
        <v>1552998</v>
      </c>
      <c r="G866" s="4">
        <f t="shared" si="183"/>
        <v>5.0499999999999545</v>
      </c>
      <c r="H866" s="4">
        <f t="shared" si="184"/>
        <v>0</v>
      </c>
      <c r="I866" s="6">
        <f t="shared" si="189"/>
        <v>5.9214285714285779</v>
      </c>
      <c r="J866" s="6">
        <f t="shared" si="190"/>
        <v>9.3000000000000025</v>
      </c>
      <c r="K866" s="4">
        <f t="shared" si="191"/>
        <v>0.6367127496159759</v>
      </c>
      <c r="L866">
        <f t="shared" si="192"/>
        <v>38.901923979352432</v>
      </c>
      <c r="M866" s="14" t="str">
        <f t="shared" si="185"/>
        <v/>
      </c>
      <c r="N866" s="7">
        <f t="shared" si="186"/>
        <v>0</v>
      </c>
      <c r="O866" s="7">
        <f t="shared" si="193"/>
        <v>0</v>
      </c>
      <c r="P866" s="7">
        <f t="shared" si="194"/>
        <v>1</v>
      </c>
      <c r="Q866" s="10" t="e">
        <f t="shared" si="187"/>
        <v>#N/A</v>
      </c>
      <c r="R866" s="10" t="e">
        <f t="shared" si="188"/>
        <v>#N/A</v>
      </c>
      <c r="S866" s="7">
        <f t="shared" si="195"/>
        <v>1480.75</v>
      </c>
      <c r="T866" s="7">
        <f t="shared" si="196"/>
        <v>0</v>
      </c>
    </row>
    <row r="867" spans="1:20" x14ac:dyDescent="0.25">
      <c r="A867" s="1">
        <v>42489</v>
      </c>
      <c r="B867">
        <v>1453</v>
      </c>
      <c r="C867">
        <v>1465</v>
      </c>
      <c r="D867">
        <v>1428</v>
      </c>
      <c r="E867">
        <v>1452.45</v>
      </c>
      <c r="F867">
        <v>1292081</v>
      </c>
      <c r="G867" s="4">
        <f t="shared" si="183"/>
        <v>1.75</v>
      </c>
      <c r="H867" s="4">
        <f t="shared" si="184"/>
        <v>0</v>
      </c>
      <c r="I867" s="6">
        <f t="shared" si="189"/>
        <v>4.8964285714285847</v>
      </c>
      <c r="J867" s="6">
        <f t="shared" si="190"/>
        <v>9.3000000000000025</v>
      </c>
      <c r="K867" s="4">
        <f t="shared" si="191"/>
        <v>0.52649769585253581</v>
      </c>
      <c r="L867">
        <f t="shared" si="192"/>
        <v>34.490566037735903</v>
      </c>
      <c r="M867" s="14" t="str">
        <f t="shared" si="185"/>
        <v/>
      </c>
      <c r="N867" s="7">
        <f t="shared" si="186"/>
        <v>0</v>
      </c>
      <c r="O867" s="7">
        <f t="shared" si="193"/>
        <v>0</v>
      </c>
      <c r="P867" s="7">
        <f t="shared" si="194"/>
        <v>1</v>
      </c>
      <c r="Q867" s="10" t="e">
        <f t="shared" si="187"/>
        <v>#N/A</v>
      </c>
      <c r="R867" s="10" t="e">
        <f t="shared" si="188"/>
        <v>#N/A</v>
      </c>
      <c r="S867" s="7">
        <f t="shared" si="195"/>
        <v>1480.75</v>
      </c>
      <c r="T867" s="7">
        <f t="shared" si="196"/>
        <v>0</v>
      </c>
    </row>
    <row r="868" spans="1:20" x14ac:dyDescent="0.25">
      <c r="A868" s="1">
        <v>42492</v>
      </c>
      <c r="B868">
        <v>1455</v>
      </c>
      <c r="C868">
        <v>1460</v>
      </c>
      <c r="D868">
        <v>1440.15</v>
      </c>
      <c r="E868">
        <v>1443.8</v>
      </c>
      <c r="F868">
        <v>1145764</v>
      </c>
      <c r="G868" s="4">
        <f t="shared" si="183"/>
        <v>0</v>
      </c>
      <c r="H868" s="4">
        <f t="shared" si="184"/>
        <v>8.6500000000000909</v>
      </c>
      <c r="I868" s="6">
        <f t="shared" si="189"/>
        <v>4.8964285714285847</v>
      </c>
      <c r="J868" s="6">
        <f t="shared" si="190"/>
        <v>8.7214285714285804</v>
      </c>
      <c r="K868" s="4">
        <f t="shared" si="191"/>
        <v>0.56142506142506232</v>
      </c>
      <c r="L868">
        <f t="shared" si="192"/>
        <v>35.955940204563362</v>
      </c>
      <c r="M868" s="14" t="str">
        <f t="shared" si="185"/>
        <v/>
      </c>
      <c r="N868" s="7">
        <f t="shared" si="186"/>
        <v>0</v>
      </c>
      <c r="O868" s="7">
        <f t="shared" si="193"/>
        <v>0</v>
      </c>
      <c r="P868" s="7">
        <f t="shared" si="194"/>
        <v>1</v>
      </c>
      <c r="Q868" s="10" t="e">
        <f t="shared" si="187"/>
        <v>#N/A</v>
      </c>
      <c r="R868" s="10" t="e">
        <f t="shared" si="188"/>
        <v>#N/A</v>
      </c>
      <c r="S868" s="7">
        <f t="shared" si="195"/>
        <v>1480.75</v>
      </c>
      <c r="T868" s="7">
        <f t="shared" si="196"/>
        <v>0</v>
      </c>
    </row>
    <row r="869" spans="1:20" x14ac:dyDescent="0.25">
      <c r="A869" s="1">
        <v>42493</v>
      </c>
      <c r="B869">
        <v>1454.9</v>
      </c>
      <c r="C869">
        <v>1454.9</v>
      </c>
      <c r="D869">
        <v>1423.55</v>
      </c>
      <c r="E869">
        <v>1427.7</v>
      </c>
      <c r="F869">
        <v>1069894</v>
      </c>
      <c r="G869" s="4">
        <f t="shared" si="183"/>
        <v>0</v>
      </c>
      <c r="H869" s="4">
        <f t="shared" si="184"/>
        <v>16.099999999999909</v>
      </c>
      <c r="I869" s="6">
        <f t="shared" si="189"/>
        <v>4.75</v>
      </c>
      <c r="J869" s="6">
        <f t="shared" si="190"/>
        <v>9.8714285714285754</v>
      </c>
      <c r="K869" s="4">
        <f t="shared" si="191"/>
        <v>0.48118668596237318</v>
      </c>
      <c r="L869">
        <f t="shared" si="192"/>
        <v>32.48656570591109</v>
      </c>
      <c r="M869" s="14" t="str">
        <f t="shared" si="185"/>
        <v/>
      </c>
      <c r="N869" s="7">
        <f t="shared" si="186"/>
        <v>0</v>
      </c>
      <c r="O869" s="7">
        <f t="shared" si="193"/>
        <v>0</v>
      </c>
      <c r="P869" s="7">
        <f t="shared" si="194"/>
        <v>1</v>
      </c>
      <c r="Q869" s="10" t="e">
        <f t="shared" si="187"/>
        <v>#N/A</v>
      </c>
      <c r="R869" s="10" t="e">
        <f t="shared" si="188"/>
        <v>#N/A</v>
      </c>
      <c r="S869" s="7">
        <f t="shared" si="195"/>
        <v>1480.75</v>
      </c>
      <c r="T869" s="7">
        <f t="shared" si="196"/>
        <v>0</v>
      </c>
    </row>
    <row r="870" spans="1:20" x14ac:dyDescent="0.25">
      <c r="A870" s="1">
        <v>42494</v>
      </c>
      <c r="B870">
        <v>1421</v>
      </c>
      <c r="C870">
        <v>1433.15</v>
      </c>
      <c r="D870">
        <v>1399.1</v>
      </c>
      <c r="E870">
        <v>1404.5</v>
      </c>
      <c r="F870">
        <v>2086439</v>
      </c>
      <c r="G870" s="4">
        <f t="shared" si="183"/>
        <v>0</v>
      </c>
      <c r="H870" s="4">
        <f t="shared" si="184"/>
        <v>23.200000000000045</v>
      </c>
      <c r="I870" s="6">
        <f t="shared" si="189"/>
        <v>4.75</v>
      </c>
      <c r="J870" s="6">
        <f t="shared" si="190"/>
        <v>11.460714285714289</v>
      </c>
      <c r="K870" s="4">
        <f t="shared" si="191"/>
        <v>0.4144593331255842</v>
      </c>
      <c r="L870">
        <f t="shared" si="192"/>
        <v>29.301608283762931</v>
      </c>
      <c r="M870" s="14" t="str">
        <f t="shared" si="185"/>
        <v>OVERSOLD</v>
      </c>
      <c r="N870" s="7" t="str">
        <f t="shared" si="186"/>
        <v>BUY</v>
      </c>
      <c r="O870" s="7">
        <f t="shared" si="193"/>
        <v>0</v>
      </c>
      <c r="P870" s="7">
        <f t="shared" si="194"/>
        <v>1</v>
      </c>
      <c r="Q870" s="10" t="e">
        <f t="shared" si="187"/>
        <v>#N/A</v>
      </c>
      <c r="R870" s="10" t="e">
        <f t="shared" si="188"/>
        <v>#N/A</v>
      </c>
      <c r="S870" s="7">
        <f t="shared" si="195"/>
        <v>1480.75</v>
      </c>
      <c r="T870" s="7">
        <f t="shared" si="196"/>
        <v>0</v>
      </c>
    </row>
    <row r="871" spans="1:20" x14ac:dyDescent="0.25">
      <c r="A871" s="1">
        <v>42495</v>
      </c>
      <c r="B871">
        <v>1408.8</v>
      </c>
      <c r="C871">
        <v>1431.85</v>
      </c>
      <c r="D871">
        <v>1408</v>
      </c>
      <c r="E871">
        <v>1422.25</v>
      </c>
      <c r="F871">
        <v>1424112</v>
      </c>
      <c r="G871" s="4">
        <f t="shared" si="183"/>
        <v>17.75</v>
      </c>
      <c r="H871" s="4">
        <f t="shared" si="184"/>
        <v>0</v>
      </c>
      <c r="I871" s="6">
        <f t="shared" si="189"/>
        <v>6.0178571428571432</v>
      </c>
      <c r="J871" s="6">
        <f t="shared" si="190"/>
        <v>9.3857142857142914</v>
      </c>
      <c r="K871" s="4">
        <f t="shared" si="191"/>
        <v>0.64117199391171964</v>
      </c>
      <c r="L871">
        <f t="shared" si="192"/>
        <v>39.067934152562003</v>
      </c>
      <c r="M871" s="14" t="str">
        <f t="shared" si="185"/>
        <v/>
      </c>
      <c r="N871" s="7">
        <f t="shared" si="186"/>
        <v>0</v>
      </c>
      <c r="O871" s="7">
        <f t="shared" si="193"/>
        <v>0</v>
      </c>
      <c r="P871" s="7">
        <f t="shared" si="194"/>
        <v>1</v>
      </c>
      <c r="Q871" s="10" t="e">
        <f t="shared" si="187"/>
        <v>#N/A</v>
      </c>
      <c r="R871" s="10" t="e">
        <f t="shared" si="188"/>
        <v>#N/A</v>
      </c>
      <c r="S871" s="7">
        <f t="shared" si="195"/>
        <v>1480.75</v>
      </c>
      <c r="T871" s="7">
        <f t="shared" si="196"/>
        <v>0</v>
      </c>
    </row>
    <row r="872" spans="1:20" x14ac:dyDescent="0.25">
      <c r="A872" s="1">
        <v>42496</v>
      </c>
      <c r="B872">
        <v>1415</v>
      </c>
      <c r="C872">
        <v>1434.1</v>
      </c>
      <c r="D872">
        <v>1400.1</v>
      </c>
      <c r="E872">
        <v>1410.7</v>
      </c>
      <c r="F872">
        <v>944582</v>
      </c>
      <c r="G872" s="4">
        <f t="shared" si="183"/>
        <v>0</v>
      </c>
      <c r="H872" s="4">
        <f t="shared" si="184"/>
        <v>11.549999999999955</v>
      </c>
      <c r="I872" s="6">
        <f t="shared" si="189"/>
        <v>6.0178571428571432</v>
      </c>
      <c r="J872" s="6">
        <f t="shared" si="190"/>
        <v>9.9214285714285619</v>
      </c>
      <c r="K872" s="4">
        <f t="shared" si="191"/>
        <v>0.60655147588193004</v>
      </c>
      <c r="L872">
        <f t="shared" si="192"/>
        <v>37.754873403540238</v>
      </c>
      <c r="M872" s="14" t="str">
        <f t="shared" si="185"/>
        <v/>
      </c>
      <c r="N872" s="7">
        <f t="shared" si="186"/>
        <v>0</v>
      </c>
      <c r="O872" s="7">
        <f t="shared" si="193"/>
        <v>0</v>
      </c>
      <c r="P872" s="7">
        <f t="shared" si="194"/>
        <v>1</v>
      </c>
      <c r="Q872" s="10" t="e">
        <f t="shared" si="187"/>
        <v>#N/A</v>
      </c>
      <c r="R872" s="10" t="e">
        <f t="shared" si="188"/>
        <v>#N/A</v>
      </c>
      <c r="S872" s="7">
        <f t="shared" si="195"/>
        <v>1480.75</v>
      </c>
      <c r="T872" s="7">
        <f t="shared" si="196"/>
        <v>0</v>
      </c>
    </row>
    <row r="873" spans="1:20" x14ac:dyDescent="0.25">
      <c r="A873" s="1">
        <v>42499</v>
      </c>
      <c r="B873">
        <v>1413.5</v>
      </c>
      <c r="C873">
        <v>1427.1</v>
      </c>
      <c r="D873">
        <v>1380.7</v>
      </c>
      <c r="E873">
        <v>1392.3</v>
      </c>
      <c r="F873">
        <v>930274</v>
      </c>
      <c r="G873" s="4">
        <f t="shared" si="183"/>
        <v>0</v>
      </c>
      <c r="H873" s="4">
        <f t="shared" si="184"/>
        <v>18.400000000000091</v>
      </c>
      <c r="I873" s="6">
        <f t="shared" si="189"/>
        <v>5.8428571428571399</v>
      </c>
      <c r="J873" s="6">
        <f t="shared" si="190"/>
        <v>11.235714285714282</v>
      </c>
      <c r="K873" s="4">
        <f t="shared" si="191"/>
        <v>0.52002542911633809</v>
      </c>
      <c r="L873">
        <f t="shared" si="192"/>
        <v>34.21162693433709</v>
      </c>
      <c r="M873" s="14" t="str">
        <f t="shared" si="185"/>
        <v/>
      </c>
      <c r="N873" s="7">
        <f t="shared" si="186"/>
        <v>0</v>
      </c>
      <c r="O873" s="7">
        <f t="shared" si="193"/>
        <v>0</v>
      </c>
      <c r="P873" s="7">
        <f t="shared" si="194"/>
        <v>1</v>
      </c>
      <c r="Q873" s="10" t="e">
        <f t="shared" si="187"/>
        <v>#N/A</v>
      </c>
      <c r="R873" s="10" t="e">
        <f t="shared" si="188"/>
        <v>#N/A</v>
      </c>
      <c r="S873" s="7">
        <f t="shared" si="195"/>
        <v>1480.75</v>
      </c>
      <c r="T873" s="7">
        <f t="shared" si="196"/>
        <v>0</v>
      </c>
    </row>
    <row r="874" spans="1:20" x14ac:dyDescent="0.25">
      <c r="A874" s="1">
        <v>42500</v>
      </c>
      <c r="B874">
        <v>1396.9</v>
      </c>
      <c r="C874">
        <v>1447.75</v>
      </c>
      <c r="D874">
        <v>1381.05</v>
      </c>
      <c r="E874">
        <v>1437.7</v>
      </c>
      <c r="F874">
        <v>1163244</v>
      </c>
      <c r="G874" s="4">
        <f t="shared" si="183"/>
        <v>45.400000000000091</v>
      </c>
      <c r="H874" s="4">
        <f t="shared" si="184"/>
        <v>0</v>
      </c>
      <c r="I874" s="6">
        <f t="shared" si="189"/>
        <v>8.875</v>
      </c>
      <c r="J874" s="6">
        <f t="shared" si="190"/>
        <v>11.235714285714282</v>
      </c>
      <c r="K874" s="4">
        <f t="shared" si="191"/>
        <v>0.78989192625556282</v>
      </c>
      <c r="L874">
        <f t="shared" si="192"/>
        <v>44.130705025750316</v>
      </c>
      <c r="M874" s="14" t="str">
        <f t="shared" si="185"/>
        <v/>
      </c>
      <c r="N874" s="7">
        <f t="shared" si="186"/>
        <v>0</v>
      </c>
      <c r="O874" s="7">
        <f t="shared" si="193"/>
        <v>0</v>
      </c>
      <c r="P874" s="7">
        <f t="shared" si="194"/>
        <v>1</v>
      </c>
      <c r="Q874" s="10" t="e">
        <f t="shared" si="187"/>
        <v>#N/A</v>
      </c>
      <c r="R874" s="10" t="e">
        <f t="shared" si="188"/>
        <v>#N/A</v>
      </c>
      <c r="S874" s="7">
        <f t="shared" si="195"/>
        <v>1480.75</v>
      </c>
      <c r="T874" s="7">
        <f t="shared" si="196"/>
        <v>0</v>
      </c>
    </row>
    <row r="875" spans="1:20" x14ac:dyDescent="0.25">
      <c r="A875" s="1">
        <v>42501</v>
      </c>
      <c r="B875">
        <v>1447.8</v>
      </c>
      <c r="C875">
        <v>1497</v>
      </c>
      <c r="D875">
        <v>1442</v>
      </c>
      <c r="E875">
        <v>1491.9</v>
      </c>
      <c r="F875">
        <v>1910339</v>
      </c>
      <c r="G875" s="4">
        <f t="shared" si="183"/>
        <v>54.200000000000045</v>
      </c>
      <c r="H875" s="4">
        <f t="shared" si="184"/>
        <v>0</v>
      </c>
      <c r="I875" s="6">
        <f t="shared" si="189"/>
        <v>9.3035714285714288</v>
      </c>
      <c r="J875" s="6">
        <f t="shared" si="190"/>
        <v>11.235714285714282</v>
      </c>
      <c r="K875" s="4">
        <f t="shared" si="191"/>
        <v>0.82803560076287375</v>
      </c>
      <c r="L875">
        <f t="shared" si="192"/>
        <v>45.296470179099295</v>
      </c>
      <c r="M875" s="14" t="str">
        <f t="shared" si="185"/>
        <v/>
      </c>
      <c r="N875" s="7">
        <f t="shared" si="186"/>
        <v>0</v>
      </c>
      <c r="O875" s="7">
        <f t="shared" si="193"/>
        <v>0</v>
      </c>
      <c r="P875" s="7">
        <f t="shared" si="194"/>
        <v>1</v>
      </c>
      <c r="Q875" s="10" t="e">
        <f t="shared" si="187"/>
        <v>#N/A</v>
      </c>
      <c r="R875" s="10" t="e">
        <f t="shared" si="188"/>
        <v>#N/A</v>
      </c>
      <c r="S875" s="7">
        <f t="shared" si="195"/>
        <v>1480.75</v>
      </c>
      <c r="T875" s="7">
        <f t="shared" si="196"/>
        <v>0</v>
      </c>
    </row>
    <row r="876" spans="1:20" x14ac:dyDescent="0.25">
      <c r="A876" s="1">
        <v>42502</v>
      </c>
      <c r="B876">
        <v>1495</v>
      </c>
      <c r="C876">
        <v>1524.3</v>
      </c>
      <c r="D876">
        <v>1458.2</v>
      </c>
      <c r="E876">
        <v>1518.15</v>
      </c>
      <c r="F876">
        <v>2408548</v>
      </c>
      <c r="G876" s="4">
        <f t="shared" si="183"/>
        <v>26.25</v>
      </c>
      <c r="H876" s="4">
        <f t="shared" si="184"/>
        <v>0</v>
      </c>
      <c r="I876" s="6">
        <f t="shared" si="189"/>
        <v>10.742857142857149</v>
      </c>
      <c r="J876" s="6">
        <f t="shared" si="190"/>
        <v>11.235714285714282</v>
      </c>
      <c r="K876" s="4">
        <f t="shared" si="191"/>
        <v>0.95613477431659333</v>
      </c>
      <c r="L876">
        <f t="shared" si="192"/>
        <v>48.878778030549256</v>
      </c>
      <c r="M876" s="14" t="str">
        <f t="shared" si="185"/>
        <v/>
      </c>
      <c r="N876" s="7">
        <f t="shared" si="186"/>
        <v>0</v>
      </c>
      <c r="O876" s="7">
        <f t="shared" si="193"/>
        <v>0</v>
      </c>
      <c r="P876" s="7">
        <f t="shared" si="194"/>
        <v>1</v>
      </c>
      <c r="Q876" s="10" t="e">
        <f t="shared" si="187"/>
        <v>#N/A</v>
      </c>
      <c r="R876" s="10" t="e">
        <f t="shared" si="188"/>
        <v>#N/A</v>
      </c>
      <c r="S876" s="7">
        <f t="shared" si="195"/>
        <v>1480.75</v>
      </c>
      <c r="T876" s="7">
        <f t="shared" si="196"/>
        <v>0</v>
      </c>
    </row>
    <row r="877" spans="1:20" x14ac:dyDescent="0.25">
      <c r="A877" s="1">
        <v>42503</v>
      </c>
      <c r="B877">
        <v>1512</v>
      </c>
      <c r="C877">
        <v>1516.7</v>
      </c>
      <c r="D877">
        <v>1483.4</v>
      </c>
      <c r="E877">
        <v>1492.35</v>
      </c>
      <c r="F877">
        <v>677326</v>
      </c>
      <c r="G877" s="4">
        <f t="shared" si="183"/>
        <v>0</v>
      </c>
      <c r="H877" s="4">
        <f t="shared" si="184"/>
        <v>25.800000000000182</v>
      </c>
      <c r="I877" s="6">
        <f t="shared" si="189"/>
        <v>10.742857142857149</v>
      </c>
      <c r="J877" s="6">
        <f t="shared" si="190"/>
        <v>11.400000000000009</v>
      </c>
      <c r="K877" s="4">
        <f t="shared" si="191"/>
        <v>0.94235588972431061</v>
      </c>
      <c r="L877">
        <f t="shared" si="192"/>
        <v>48.516129032258064</v>
      </c>
      <c r="M877" s="14" t="str">
        <f t="shared" si="185"/>
        <v/>
      </c>
      <c r="N877" s="7">
        <f t="shared" si="186"/>
        <v>0</v>
      </c>
      <c r="O877" s="7">
        <f t="shared" si="193"/>
        <v>0</v>
      </c>
      <c r="P877" s="7">
        <f t="shared" si="194"/>
        <v>1</v>
      </c>
      <c r="Q877" s="10" t="e">
        <f t="shared" si="187"/>
        <v>#N/A</v>
      </c>
      <c r="R877" s="10" t="e">
        <f t="shared" si="188"/>
        <v>#N/A</v>
      </c>
      <c r="S877" s="7">
        <f t="shared" si="195"/>
        <v>1480.75</v>
      </c>
      <c r="T877" s="7">
        <f t="shared" si="196"/>
        <v>0</v>
      </c>
    </row>
    <row r="878" spans="1:20" x14ac:dyDescent="0.25">
      <c r="A878" s="1">
        <v>42506</v>
      </c>
      <c r="B878">
        <v>1493.1</v>
      </c>
      <c r="C878">
        <v>1508.5</v>
      </c>
      <c r="D878">
        <v>1486.65</v>
      </c>
      <c r="E878">
        <v>1500.55</v>
      </c>
      <c r="F878">
        <v>828621</v>
      </c>
      <c r="G878" s="4">
        <f t="shared" si="183"/>
        <v>8.2000000000000455</v>
      </c>
      <c r="H878" s="4">
        <f t="shared" si="184"/>
        <v>0</v>
      </c>
      <c r="I878" s="6">
        <f t="shared" si="189"/>
        <v>11.328571428571438</v>
      </c>
      <c r="J878" s="6">
        <f t="shared" si="190"/>
        <v>9.0107142857142914</v>
      </c>
      <c r="K878" s="4">
        <f t="shared" si="191"/>
        <v>1.2572334522393978</v>
      </c>
      <c r="L878">
        <f t="shared" si="192"/>
        <v>55.697980684811242</v>
      </c>
      <c r="M878" s="14" t="str">
        <f t="shared" si="185"/>
        <v/>
      </c>
      <c r="N878" s="7">
        <f t="shared" si="186"/>
        <v>0</v>
      </c>
      <c r="O878" s="7">
        <f t="shared" si="193"/>
        <v>0</v>
      </c>
      <c r="P878" s="7">
        <f t="shared" si="194"/>
        <v>1</v>
      </c>
      <c r="Q878" s="10" t="e">
        <f t="shared" si="187"/>
        <v>#N/A</v>
      </c>
      <c r="R878" s="10" t="e">
        <f t="shared" si="188"/>
        <v>#N/A</v>
      </c>
      <c r="S878" s="7">
        <f t="shared" si="195"/>
        <v>1480.75</v>
      </c>
      <c r="T878" s="7">
        <f t="shared" si="196"/>
        <v>0</v>
      </c>
    </row>
    <row r="879" spans="1:20" x14ac:dyDescent="0.25">
      <c r="A879" s="1">
        <v>42507</v>
      </c>
      <c r="B879">
        <v>1497.7</v>
      </c>
      <c r="C879">
        <v>1519</v>
      </c>
      <c r="D879">
        <v>1465</v>
      </c>
      <c r="E879">
        <v>1489.8</v>
      </c>
      <c r="F879">
        <v>765453</v>
      </c>
      <c r="G879" s="4">
        <f t="shared" si="183"/>
        <v>0</v>
      </c>
      <c r="H879" s="4">
        <f t="shared" si="184"/>
        <v>10.75</v>
      </c>
      <c r="I879" s="6">
        <f t="shared" si="189"/>
        <v>11.328571428571438</v>
      </c>
      <c r="J879" s="6">
        <f t="shared" si="190"/>
        <v>8.1750000000000203</v>
      </c>
      <c r="K879" s="4">
        <f t="shared" si="191"/>
        <v>1.385757972913934</v>
      </c>
      <c r="L879">
        <f t="shared" si="192"/>
        <v>58.084599890129979</v>
      </c>
      <c r="M879" s="14" t="str">
        <f t="shared" si="185"/>
        <v/>
      </c>
      <c r="N879" s="7">
        <f t="shared" si="186"/>
        <v>0</v>
      </c>
      <c r="O879" s="7">
        <f t="shared" si="193"/>
        <v>0</v>
      </c>
      <c r="P879" s="7">
        <f t="shared" si="194"/>
        <v>1</v>
      </c>
      <c r="Q879" s="10" t="e">
        <f t="shared" si="187"/>
        <v>#N/A</v>
      </c>
      <c r="R879" s="10" t="e">
        <f t="shared" si="188"/>
        <v>#N/A</v>
      </c>
      <c r="S879" s="7">
        <f t="shared" si="195"/>
        <v>1480.75</v>
      </c>
      <c r="T879" s="7">
        <f t="shared" si="196"/>
        <v>0</v>
      </c>
    </row>
    <row r="880" spans="1:20" x14ac:dyDescent="0.25">
      <c r="A880" s="1">
        <v>42508</v>
      </c>
      <c r="B880">
        <v>1490.85</v>
      </c>
      <c r="C880">
        <v>1541</v>
      </c>
      <c r="D880">
        <v>1490</v>
      </c>
      <c r="E880">
        <v>1538.3</v>
      </c>
      <c r="F880">
        <v>958530</v>
      </c>
      <c r="G880" s="4">
        <f t="shared" si="183"/>
        <v>48.5</v>
      </c>
      <c r="H880" s="4">
        <f t="shared" si="184"/>
        <v>0</v>
      </c>
      <c r="I880" s="6">
        <f t="shared" si="189"/>
        <v>14.432142857142869</v>
      </c>
      <c r="J880" s="6">
        <f t="shared" si="190"/>
        <v>8.1750000000000203</v>
      </c>
      <c r="K880" s="4">
        <f t="shared" si="191"/>
        <v>1.7653997378767992</v>
      </c>
      <c r="L880">
        <f t="shared" si="192"/>
        <v>63.838862559241669</v>
      </c>
      <c r="M880" s="14" t="str">
        <f t="shared" si="185"/>
        <v/>
      </c>
      <c r="N880" s="7">
        <f t="shared" si="186"/>
        <v>0</v>
      </c>
      <c r="O880" s="7">
        <f t="shared" si="193"/>
        <v>0</v>
      </c>
      <c r="P880" s="7">
        <f t="shared" si="194"/>
        <v>1</v>
      </c>
      <c r="Q880" s="10" t="e">
        <f t="shared" si="187"/>
        <v>#N/A</v>
      </c>
      <c r="R880" s="10" t="e">
        <f t="shared" si="188"/>
        <v>#N/A</v>
      </c>
      <c r="S880" s="7">
        <f t="shared" si="195"/>
        <v>1480.75</v>
      </c>
      <c r="T880" s="7">
        <f t="shared" si="196"/>
        <v>0</v>
      </c>
    </row>
    <row r="881" spans="1:20" x14ac:dyDescent="0.25">
      <c r="A881" s="1">
        <v>42509</v>
      </c>
      <c r="B881">
        <v>1542</v>
      </c>
      <c r="C881">
        <v>1558</v>
      </c>
      <c r="D881">
        <v>1522</v>
      </c>
      <c r="E881">
        <v>1530.2</v>
      </c>
      <c r="F881">
        <v>646506</v>
      </c>
      <c r="G881" s="4">
        <f t="shared" si="183"/>
        <v>0</v>
      </c>
      <c r="H881" s="4">
        <f t="shared" si="184"/>
        <v>8.0999999999999091</v>
      </c>
      <c r="I881" s="6">
        <f t="shared" si="189"/>
        <v>14.307142857142869</v>
      </c>
      <c r="J881" s="6">
        <f t="shared" si="190"/>
        <v>8.7535714285714423</v>
      </c>
      <c r="K881" s="4">
        <f t="shared" si="191"/>
        <v>1.6344349245206027</v>
      </c>
      <c r="L881">
        <f t="shared" si="192"/>
        <v>62.041195601672591</v>
      </c>
      <c r="M881" s="14" t="str">
        <f t="shared" si="185"/>
        <v/>
      </c>
      <c r="N881" s="7">
        <f t="shared" si="186"/>
        <v>0</v>
      </c>
      <c r="O881" s="7">
        <f t="shared" si="193"/>
        <v>0</v>
      </c>
      <c r="P881" s="7">
        <f t="shared" si="194"/>
        <v>1</v>
      </c>
      <c r="Q881" s="10" t="e">
        <f t="shared" si="187"/>
        <v>#N/A</v>
      </c>
      <c r="R881" s="10" t="e">
        <f t="shared" si="188"/>
        <v>#N/A</v>
      </c>
      <c r="S881" s="7">
        <f t="shared" si="195"/>
        <v>1480.75</v>
      </c>
      <c r="T881" s="7">
        <f t="shared" si="196"/>
        <v>0</v>
      </c>
    </row>
    <row r="882" spans="1:20" x14ac:dyDescent="0.25">
      <c r="A882" s="1">
        <v>42510</v>
      </c>
      <c r="B882">
        <v>1528</v>
      </c>
      <c r="C882">
        <v>1535</v>
      </c>
      <c r="D882">
        <v>1500</v>
      </c>
      <c r="E882">
        <v>1506.65</v>
      </c>
      <c r="F882">
        <v>829398</v>
      </c>
      <c r="G882" s="4">
        <f t="shared" si="183"/>
        <v>0</v>
      </c>
      <c r="H882" s="4">
        <f t="shared" si="184"/>
        <v>23.549999999999955</v>
      </c>
      <c r="I882" s="6">
        <f t="shared" si="189"/>
        <v>14.307142857142869</v>
      </c>
      <c r="J882" s="6">
        <f t="shared" si="190"/>
        <v>9.8178571428571466</v>
      </c>
      <c r="K882" s="4">
        <f t="shared" si="191"/>
        <v>1.4572571844307027</v>
      </c>
      <c r="L882">
        <f t="shared" si="192"/>
        <v>59.304219096965227</v>
      </c>
      <c r="M882" s="14" t="str">
        <f t="shared" si="185"/>
        <v/>
      </c>
      <c r="N882" s="7">
        <f t="shared" si="186"/>
        <v>0</v>
      </c>
      <c r="O882" s="7">
        <f t="shared" si="193"/>
        <v>0</v>
      </c>
      <c r="P882" s="7">
        <f t="shared" si="194"/>
        <v>1</v>
      </c>
      <c r="Q882" s="10" t="e">
        <f t="shared" si="187"/>
        <v>#N/A</v>
      </c>
      <c r="R882" s="10" t="e">
        <f t="shared" si="188"/>
        <v>#N/A</v>
      </c>
      <c r="S882" s="7">
        <f t="shared" si="195"/>
        <v>1480.75</v>
      </c>
      <c r="T882" s="7">
        <f t="shared" si="196"/>
        <v>0</v>
      </c>
    </row>
    <row r="883" spans="1:20" x14ac:dyDescent="0.25">
      <c r="A883" s="1">
        <v>42513</v>
      </c>
      <c r="B883">
        <v>1495.3</v>
      </c>
      <c r="C883">
        <v>1521.75</v>
      </c>
      <c r="D883">
        <v>1495.3</v>
      </c>
      <c r="E883">
        <v>1504.9</v>
      </c>
      <c r="F883">
        <v>548663</v>
      </c>
      <c r="G883" s="4">
        <f t="shared" si="183"/>
        <v>0</v>
      </c>
      <c r="H883" s="4">
        <f t="shared" si="184"/>
        <v>1.75</v>
      </c>
      <c r="I883" s="6">
        <f t="shared" si="189"/>
        <v>14.307142857142869</v>
      </c>
      <c r="J883" s="6">
        <f t="shared" si="190"/>
        <v>8.7928571428571534</v>
      </c>
      <c r="K883" s="4">
        <f t="shared" si="191"/>
        <v>1.6271324126726234</v>
      </c>
      <c r="L883">
        <f t="shared" si="192"/>
        <v>61.935683364254793</v>
      </c>
      <c r="M883" s="14" t="str">
        <f t="shared" si="185"/>
        <v/>
      </c>
      <c r="N883" s="7">
        <f t="shared" si="186"/>
        <v>0</v>
      </c>
      <c r="O883" s="7">
        <f t="shared" si="193"/>
        <v>0</v>
      </c>
      <c r="P883" s="7">
        <f t="shared" si="194"/>
        <v>1</v>
      </c>
      <c r="Q883" s="10" t="e">
        <f t="shared" si="187"/>
        <v>#N/A</v>
      </c>
      <c r="R883" s="10" t="e">
        <f t="shared" si="188"/>
        <v>#N/A</v>
      </c>
      <c r="S883" s="7">
        <f t="shared" si="195"/>
        <v>1480.75</v>
      </c>
      <c r="T883" s="7">
        <f t="shared" si="196"/>
        <v>0</v>
      </c>
    </row>
    <row r="884" spans="1:20" x14ac:dyDescent="0.25">
      <c r="A884" s="1">
        <v>42514</v>
      </c>
      <c r="B884">
        <v>1510</v>
      </c>
      <c r="C884">
        <v>1526.8</v>
      </c>
      <c r="D884">
        <v>1498</v>
      </c>
      <c r="E884">
        <v>1511.95</v>
      </c>
      <c r="F884">
        <v>661312</v>
      </c>
      <c r="G884" s="4">
        <f t="shared" si="183"/>
        <v>7.0499999999999545</v>
      </c>
      <c r="H884" s="4">
        <f t="shared" si="184"/>
        <v>0</v>
      </c>
      <c r="I884" s="6">
        <f t="shared" si="189"/>
        <v>14.810714285714296</v>
      </c>
      <c r="J884" s="6">
        <f t="shared" si="190"/>
        <v>7.1357142857142923</v>
      </c>
      <c r="K884" s="4">
        <f t="shared" si="191"/>
        <v>2.0755755755755749</v>
      </c>
      <c r="L884">
        <f t="shared" si="192"/>
        <v>67.485760781122849</v>
      </c>
      <c r="M884" s="14" t="str">
        <f t="shared" si="185"/>
        <v/>
      </c>
      <c r="N884" s="7">
        <f t="shared" si="186"/>
        <v>0</v>
      </c>
      <c r="O884" s="7">
        <f t="shared" si="193"/>
        <v>0</v>
      </c>
      <c r="P884" s="7">
        <f t="shared" si="194"/>
        <v>1</v>
      </c>
      <c r="Q884" s="10" t="e">
        <f t="shared" si="187"/>
        <v>#N/A</v>
      </c>
      <c r="R884" s="10" t="e">
        <f t="shared" si="188"/>
        <v>#N/A</v>
      </c>
      <c r="S884" s="7">
        <f t="shared" si="195"/>
        <v>1480.75</v>
      </c>
      <c r="T884" s="7">
        <f t="shared" si="196"/>
        <v>0</v>
      </c>
    </row>
    <row r="885" spans="1:20" x14ac:dyDescent="0.25">
      <c r="A885" s="1">
        <v>42515</v>
      </c>
      <c r="B885">
        <v>1520</v>
      </c>
      <c r="C885">
        <v>1570</v>
      </c>
      <c r="D885">
        <v>1520</v>
      </c>
      <c r="E885">
        <v>1564.55</v>
      </c>
      <c r="F885">
        <v>1167637</v>
      </c>
      <c r="G885" s="4">
        <f t="shared" si="183"/>
        <v>52.599999999999909</v>
      </c>
      <c r="H885" s="4">
        <f t="shared" si="184"/>
        <v>0</v>
      </c>
      <c r="I885" s="6">
        <f t="shared" si="189"/>
        <v>17.300000000000004</v>
      </c>
      <c r="J885" s="6">
        <f t="shared" si="190"/>
        <v>7.1357142857142923</v>
      </c>
      <c r="K885" s="4">
        <f t="shared" si="191"/>
        <v>2.4244244244244229</v>
      </c>
      <c r="L885">
        <f t="shared" si="192"/>
        <v>70.798012277111937</v>
      </c>
      <c r="M885" s="14" t="str">
        <f t="shared" si="185"/>
        <v>OVERBOUGHT</v>
      </c>
      <c r="N885" s="7" t="str">
        <f t="shared" si="186"/>
        <v>SELL</v>
      </c>
      <c r="O885" s="7" t="str">
        <f t="shared" si="193"/>
        <v>SELL</v>
      </c>
      <c r="P885" s="7">
        <f t="shared" si="194"/>
        <v>-1</v>
      </c>
      <c r="Q885" s="10" t="e">
        <f t="shared" si="187"/>
        <v>#N/A</v>
      </c>
      <c r="R885" s="10">
        <f t="shared" si="188"/>
        <v>1564.55</v>
      </c>
      <c r="S885" s="7">
        <f t="shared" si="195"/>
        <v>1564.55</v>
      </c>
      <c r="T885" s="7">
        <f t="shared" si="196"/>
        <v>5.6592942765490428E-2</v>
      </c>
    </row>
    <row r="886" spans="1:20" x14ac:dyDescent="0.25">
      <c r="A886" s="1">
        <v>42516</v>
      </c>
      <c r="B886">
        <v>1595</v>
      </c>
      <c r="C886">
        <v>1624.8</v>
      </c>
      <c r="D886">
        <v>1579.3</v>
      </c>
      <c r="E886">
        <v>1609.85</v>
      </c>
      <c r="F886">
        <v>1625768</v>
      </c>
      <c r="G886" s="4">
        <f t="shared" si="183"/>
        <v>45.299999999999955</v>
      </c>
      <c r="H886" s="4">
        <f t="shared" si="184"/>
        <v>0</v>
      </c>
      <c r="I886" s="6">
        <f t="shared" si="189"/>
        <v>20.535714285714285</v>
      </c>
      <c r="J886" s="6">
        <f t="shared" si="190"/>
        <v>6.3107142857142957</v>
      </c>
      <c r="K886" s="4">
        <f t="shared" si="191"/>
        <v>3.2541029994340636</v>
      </c>
      <c r="L886">
        <f t="shared" si="192"/>
        <v>76.493281894372728</v>
      </c>
      <c r="M886" s="14" t="str">
        <f t="shared" si="185"/>
        <v>OVERBOUGHT</v>
      </c>
      <c r="N886" s="7" t="str">
        <f t="shared" si="186"/>
        <v>SELL</v>
      </c>
      <c r="O886" s="7">
        <f t="shared" si="193"/>
        <v>0</v>
      </c>
      <c r="P886" s="7">
        <f t="shared" si="194"/>
        <v>-1</v>
      </c>
      <c r="Q886" s="10" t="e">
        <f t="shared" si="187"/>
        <v>#N/A</v>
      </c>
      <c r="R886" s="10" t="e">
        <f t="shared" si="188"/>
        <v>#N/A</v>
      </c>
      <c r="S886" s="7">
        <f t="shared" si="195"/>
        <v>1564.55</v>
      </c>
      <c r="T886" s="7">
        <f t="shared" si="196"/>
        <v>0</v>
      </c>
    </row>
    <row r="887" spans="1:20" x14ac:dyDescent="0.25">
      <c r="A887" s="1">
        <v>42517</v>
      </c>
      <c r="B887">
        <v>1601.1</v>
      </c>
      <c r="C887">
        <v>1647.3</v>
      </c>
      <c r="D887">
        <v>1599.3</v>
      </c>
      <c r="E887">
        <v>1641.75</v>
      </c>
      <c r="F887">
        <v>1030285</v>
      </c>
      <c r="G887" s="4">
        <f t="shared" si="183"/>
        <v>31.900000000000091</v>
      </c>
      <c r="H887" s="4">
        <f t="shared" si="184"/>
        <v>0</v>
      </c>
      <c r="I887" s="6">
        <f t="shared" si="189"/>
        <v>22.81428571428572</v>
      </c>
      <c r="J887" s="6">
        <f t="shared" si="190"/>
        <v>4.9964285714285745</v>
      </c>
      <c r="K887" s="4">
        <f t="shared" si="191"/>
        <v>4.5661186561829865</v>
      </c>
      <c r="L887">
        <f t="shared" si="192"/>
        <v>82.034159496596885</v>
      </c>
      <c r="M887" s="14" t="str">
        <f t="shared" si="185"/>
        <v>OVERBOUGHT</v>
      </c>
      <c r="N887" s="7" t="str">
        <f t="shared" si="186"/>
        <v>SELL</v>
      </c>
      <c r="O887" s="7">
        <f t="shared" si="193"/>
        <v>0</v>
      </c>
      <c r="P887" s="7">
        <f t="shared" si="194"/>
        <v>-1</v>
      </c>
      <c r="Q887" s="10" t="e">
        <f t="shared" si="187"/>
        <v>#N/A</v>
      </c>
      <c r="R887" s="10" t="e">
        <f t="shared" si="188"/>
        <v>#N/A</v>
      </c>
      <c r="S887" s="7">
        <f t="shared" si="195"/>
        <v>1564.55</v>
      </c>
      <c r="T887" s="7">
        <f t="shared" si="196"/>
        <v>0</v>
      </c>
    </row>
    <row r="888" spans="1:20" x14ac:dyDescent="0.25">
      <c r="A888" s="1">
        <v>42520</v>
      </c>
      <c r="B888">
        <v>1625</v>
      </c>
      <c r="C888">
        <v>1666.35</v>
      </c>
      <c r="D888">
        <v>1617.6</v>
      </c>
      <c r="E888">
        <v>1649.35</v>
      </c>
      <c r="F888">
        <v>1112493</v>
      </c>
      <c r="G888" s="4">
        <f t="shared" si="183"/>
        <v>7.5999999999999091</v>
      </c>
      <c r="H888" s="4">
        <f t="shared" si="184"/>
        <v>0</v>
      </c>
      <c r="I888" s="6">
        <f t="shared" si="189"/>
        <v>20.114285714285707</v>
      </c>
      <c r="J888" s="6">
        <f t="shared" si="190"/>
        <v>4.9964285714285745</v>
      </c>
      <c r="K888" s="4">
        <f t="shared" si="191"/>
        <v>4.025732666190132</v>
      </c>
      <c r="L888">
        <f t="shared" si="192"/>
        <v>80.102403641018327</v>
      </c>
      <c r="M888" s="14" t="str">
        <f t="shared" si="185"/>
        <v>OVERBOUGHT</v>
      </c>
      <c r="N888" s="7" t="str">
        <f t="shared" si="186"/>
        <v>SELL</v>
      </c>
      <c r="O888" s="7">
        <f t="shared" si="193"/>
        <v>0</v>
      </c>
      <c r="P888" s="7">
        <f t="shared" si="194"/>
        <v>-1</v>
      </c>
      <c r="Q888" s="10" t="e">
        <f t="shared" si="187"/>
        <v>#N/A</v>
      </c>
      <c r="R888" s="10" t="e">
        <f t="shared" si="188"/>
        <v>#N/A</v>
      </c>
      <c r="S888" s="7">
        <f t="shared" si="195"/>
        <v>1564.55</v>
      </c>
      <c r="T888" s="7">
        <f t="shared" si="196"/>
        <v>0</v>
      </c>
    </row>
    <row r="889" spans="1:20" x14ac:dyDescent="0.25">
      <c r="A889" s="1">
        <v>42521</v>
      </c>
      <c r="B889">
        <v>1645.05</v>
      </c>
      <c r="C889">
        <v>1684.95</v>
      </c>
      <c r="D889">
        <v>1645.05</v>
      </c>
      <c r="E889">
        <v>1678.5</v>
      </c>
      <c r="F889">
        <v>1499625</v>
      </c>
      <c r="G889" s="4">
        <f t="shared" si="183"/>
        <v>29.150000000000091</v>
      </c>
      <c r="H889" s="4">
        <f t="shared" si="184"/>
        <v>0</v>
      </c>
      <c r="I889" s="6">
        <f t="shared" si="189"/>
        <v>18.324999999999996</v>
      </c>
      <c r="J889" s="6">
        <f t="shared" si="190"/>
        <v>4.9964285714285745</v>
      </c>
      <c r="K889" s="4">
        <f t="shared" si="191"/>
        <v>3.6676197283774092</v>
      </c>
      <c r="L889">
        <f t="shared" si="192"/>
        <v>78.575803981623267</v>
      </c>
      <c r="M889" s="14" t="str">
        <f t="shared" si="185"/>
        <v>OVERBOUGHT</v>
      </c>
      <c r="N889" s="7" t="str">
        <f t="shared" si="186"/>
        <v>SELL</v>
      </c>
      <c r="O889" s="7">
        <f t="shared" si="193"/>
        <v>0</v>
      </c>
      <c r="P889" s="7">
        <f t="shared" si="194"/>
        <v>-1</v>
      </c>
      <c r="Q889" s="10" t="e">
        <f t="shared" si="187"/>
        <v>#N/A</v>
      </c>
      <c r="R889" s="10" t="e">
        <f t="shared" si="188"/>
        <v>#N/A</v>
      </c>
      <c r="S889" s="7">
        <f t="shared" si="195"/>
        <v>1564.55</v>
      </c>
      <c r="T889" s="7">
        <f t="shared" si="196"/>
        <v>0</v>
      </c>
    </row>
    <row r="890" spans="1:20" x14ac:dyDescent="0.25">
      <c r="A890" s="1">
        <v>42522</v>
      </c>
      <c r="B890">
        <v>1680</v>
      </c>
      <c r="C890">
        <v>1692.3</v>
      </c>
      <c r="D890">
        <v>1644</v>
      </c>
      <c r="E890">
        <v>1660.4</v>
      </c>
      <c r="F890">
        <v>1722766</v>
      </c>
      <c r="G890" s="4">
        <f t="shared" si="183"/>
        <v>0</v>
      </c>
      <c r="H890" s="4">
        <f t="shared" si="184"/>
        <v>18.099999999999909</v>
      </c>
      <c r="I890" s="6">
        <f t="shared" si="189"/>
        <v>16.449999999999996</v>
      </c>
      <c r="J890" s="6">
        <f t="shared" si="190"/>
        <v>6.289285714285711</v>
      </c>
      <c r="K890" s="4">
        <f t="shared" si="191"/>
        <v>2.6155593412833622</v>
      </c>
      <c r="L890">
        <f t="shared" si="192"/>
        <v>72.341762211402539</v>
      </c>
      <c r="M890" s="14" t="str">
        <f t="shared" si="185"/>
        <v>OVERBOUGHT</v>
      </c>
      <c r="N890" s="7" t="str">
        <f t="shared" si="186"/>
        <v>SELL</v>
      </c>
      <c r="O890" s="7">
        <f t="shared" si="193"/>
        <v>0</v>
      </c>
      <c r="P890" s="7">
        <f t="shared" si="194"/>
        <v>-1</v>
      </c>
      <c r="Q890" s="10" t="e">
        <f t="shared" si="187"/>
        <v>#N/A</v>
      </c>
      <c r="R890" s="10" t="e">
        <f t="shared" si="188"/>
        <v>#N/A</v>
      </c>
      <c r="S890" s="7">
        <f t="shared" si="195"/>
        <v>1564.55</v>
      </c>
      <c r="T890" s="7">
        <f t="shared" si="196"/>
        <v>0</v>
      </c>
    </row>
    <row r="891" spans="1:20" x14ac:dyDescent="0.25">
      <c r="A891" s="1">
        <v>42523</v>
      </c>
      <c r="B891">
        <v>1719</v>
      </c>
      <c r="C891">
        <v>1759</v>
      </c>
      <c r="D891">
        <v>1700</v>
      </c>
      <c r="E891">
        <v>1742.8</v>
      </c>
      <c r="F891">
        <v>4275402</v>
      </c>
      <c r="G891" s="4">
        <f t="shared" si="183"/>
        <v>82.399999999999864</v>
      </c>
      <c r="H891" s="4">
        <f t="shared" si="184"/>
        <v>0</v>
      </c>
      <c r="I891" s="6">
        <f t="shared" si="189"/>
        <v>22.335714285714271</v>
      </c>
      <c r="J891" s="6">
        <f t="shared" si="190"/>
        <v>4.4464285714285552</v>
      </c>
      <c r="K891" s="4">
        <f t="shared" si="191"/>
        <v>5.0232931726907779</v>
      </c>
      <c r="L891">
        <f t="shared" si="192"/>
        <v>83.397786371516247</v>
      </c>
      <c r="M891" s="14" t="str">
        <f t="shared" si="185"/>
        <v>OVERBOUGHT</v>
      </c>
      <c r="N891" s="7" t="str">
        <f t="shared" si="186"/>
        <v>SELL</v>
      </c>
      <c r="O891" s="7">
        <f t="shared" si="193"/>
        <v>0</v>
      </c>
      <c r="P891" s="7">
        <f t="shared" si="194"/>
        <v>-1</v>
      </c>
      <c r="Q891" s="10" t="e">
        <f t="shared" si="187"/>
        <v>#N/A</v>
      </c>
      <c r="R891" s="10" t="e">
        <f t="shared" si="188"/>
        <v>#N/A</v>
      </c>
      <c r="S891" s="7">
        <f t="shared" si="195"/>
        <v>1564.55</v>
      </c>
      <c r="T891" s="7">
        <f t="shared" si="196"/>
        <v>0</v>
      </c>
    </row>
    <row r="892" spans="1:20" x14ac:dyDescent="0.25">
      <c r="A892" s="1">
        <v>42524</v>
      </c>
      <c r="B892">
        <v>1741</v>
      </c>
      <c r="C892">
        <v>1758.8</v>
      </c>
      <c r="D892">
        <v>1728.3</v>
      </c>
      <c r="E892">
        <v>1746.5</v>
      </c>
      <c r="F892">
        <v>1487386</v>
      </c>
      <c r="G892" s="4">
        <f t="shared" si="183"/>
        <v>3.7000000000000455</v>
      </c>
      <c r="H892" s="4">
        <f t="shared" si="184"/>
        <v>0</v>
      </c>
      <c r="I892" s="6">
        <f t="shared" si="189"/>
        <v>22.014285714285702</v>
      </c>
      <c r="J892" s="6">
        <f t="shared" si="190"/>
        <v>4.4464285714285552</v>
      </c>
      <c r="K892" s="4">
        <f t="shared" si="191"/>
        <v>4.9510040160642719</v>
      </c>
      <c r="L892">
        <f t="shared" si="192"/>
        <v>83.196112835740365</v>
      </c>
      <c r="M892" s="14" t="str">
        <f t="shared" si="185"/>
        <v>OVERBOUGHT</v>
      </c>
      <c r="N892" s="7" t="str">
        <f t="shared" si="186"/>
        <v>SELL</v>
      </c>
      <c r="O892" s="7">
        <f t="shared" si="193"/>
        <v>0</v>
      </c>
      <c r="P892" s="7">
        <f t="shared" si="194"/>
        <v>-1</v>
      </c>
      <c r="Q892" s="10" t="e">
        <f t="shared" si="187"/>
        <v>#N/A</v>
      </c>
      <c r="R892" s="10" t="e">
        <f t="shared" si="188"/>
        <v>#N/A</v>
      </c>
      <c r="S892" s="7">
        <f t="shared" si="195"/>
        <v>1564.55</v>
      </c>
      <c r="T892" s="7">
        <f t="shared" si="196"/>
        <v>0</v>
      </c>
    </row>
    <row r="893" spans="1:20" x14ac:dyDescent="0.25">
      <c r="A893" s="1">
        <v>42527</v>
      </c>
      <c r="B893">
        <v>1748</v>
      </c>
      <c r="C893">
        <v>1780.45</v>
      </c>
      <c r="D893">
        <v>1743.6</v>
      </c>
      <c r="E893">
        <v>1749.8</v>
      </c>
      <c r="F893">
        <v>823251</v>
      </c>
      <c r="G893" s="4">
        <f t="shared" si="183"/>
        <v>3.2999999999999545</v>
      </c>
      <c r="H893" s="4">
        <f t="shared" si="184"/>
        <v>0</v>
      </c>
      <c r="I893" s="6">
        <f t="shared" si="189"/>
        <v>22.249999999999982</v>
      </c>
      <c r="J893" s="6">
        <f t="shared" si="190"/>
        <v>3.6785714285714124</v>
      </c>
      <c r="K893" s="4">
        <f t="shared" si="191"/>
        <v>6.0485436893204101</v>
      </c>
      <c r="L893">
        <f t="shared" si="192"/>
        <v>85.812672176308581</v>
      </c>
      <c r="M893" s="14" t="str">
        <f t="shared" si="185"/>
        <v>OVERBOUGHT</v>
      </c>
      <c r="N893" s="7" t="str">
        <f t="shared" si="186"/>
        <v>SELL</v>
      </c>
      <c r="O893" s="7">
        <f t="shared" si="193"/>
        <v>0</v>
      </c>
      <c r="P893" s="7">
        <f t="shared" si="194"/>
        <v>-1</v>
      </c>
      <c r="Q893" s="10" t="e">
        <f t="shared" si="187"/>
        <v>#N/A</v>
      </c>
      <c r="R893" s="10" t="e">
        <f t="shared" si="188"/>
        <v>#N/A</v>
      </c>
      <c r="S893" s="7">
        <f t="shared" si="195"/>
        <v>1564.55</v>
      </c>
      <c r="T893" s="7">
        <f t="shared" si="196"/>
        <v>0</v>
      </c>
    </row>
    <row r="894" spans="1:20" x14ac:dyDescent="0.25">
      <c r="A894" s="1">
        <v>42528</v>
      </c>
      <c r="B894">
        <v>1748.5</v>
      </c>
      <c r="C894">
        <v>1792</v>
      </c>
      <c r="D894">
        <v>1745</v>
      </c>
      <c r="E894">
        <v>1782.8</v>
      </c>
      <c r="F894">
        <v>1090822</v>
      </c>
      <c r="G894" s="4">
        <f t="shared" si="183"/>
        <v>33</v>
      </c>
      <c r="H894" s="4">
        <f t="shared" si="184"/>
        <v>0</v>
      </c>
      <c r="I894" s="6">
        <f t="shared" si="189"/>
        <v>21.142857142857128</v>
      </c>
      <c r="J894" s="6">
        <f t="shared" si="190"/>
        <v>3.6785714285714124</v>
      </c>
      <c r="K894" s="4">
        <f t="shared" si="191"/>
        <v>5.747572815534002</v>
      </c>
      <c r="L894">
        <f t="shared" si="192"/>
        <v>85.179856115107967</v>
      </c>
      <c r="M894" s="14" t="str">
        <f t="shared" si="185"/>
        <v>OVERBOUGHT</v>
      </c>
      <c r="N894" s="7" t="str">
        <f t="shared" si="186"/>
        <v>SELL</v>
      </c>
      <c r="O894" s="7">
        <f t="shared" si="193"/>
        <v>0</v>
      </c>
      <c r="P894" s="7">
        <f t="shared" si="194"/>
        <v>-1</v>
      </c>
      <c r="Q894" s="10" t="e">
        <f t="shared" si="187"/>
        <v>#N/A</v>
      </c>
      <c r="R894" s="10" t="e">
        <f t="shared" si="188"/>
        <v>#N/A</v>
      </c>
      <c r="S894" s="7">
        <f t="shared" si="195"/>
        <v>1564.55</v>
      </c>
      <c r="T894" s="7">
        <f t="shared" si="196"/>
        <v>0</v>
      </c>
    </row>
    <row r="895" spans="1:20" x14ac:dyDescent="0.25">
      <c r="A895" s="1">
        <v>42529</v>
      </c>
      <c r="B895">
        <v>1780</v>
      </c>
      <c r="C895">
        <v>1810</v>
      </c>
      <c r="D895">
        <v>1766.7</v>
      </c>
      <c r="E895">
        <v>1795.75</v>
      </c>
      <c r="F895">
        <v>2044404</v>
      </c>
      <c r="G895" s="4">
        <f t="shared" si="183"/>
        <v>12.950000000000045</v>
      </c>
      <c r="H895" s="4">
        <f t="shared" si="184"/>
        <v>0</v>
      </c>
      <c r="I895" s="6">
        <f t="shared" si="189"/>
        <v>22.067857142857129</v>
      </c>
      <c r="J895" s="6">
        <f t="shared" si="190"/>
        <v>3.0999999999999903</v>
      </c>
      <c r="K895" s="4">
        <f t="shared" si="191"/>
        <v>7.118663594470064</v>
      </c>
      <c r="L895">
        <f t="shared" si="192"/>
        <v>87.682701858947098</v>
      </c>
      <c r="M895" s="14" t="str">
        <f t="shared" si="185"/>
        <v>OVERBOUGHT</v>
      </c>
      <c r="N895" s="7" t="str">
        <f t="shared" si="186"/>
        <v>SELL</v>
      </c>
      <c r="O895" s="7">
        <f t="shared" si="193"/>
        <v>0</v>
      </c>
      <c r="P895" s="7">
        <f t="shared" si="194"/>
        <v>-1</v>
      </c>
      <c r="Q895" s="10" t="e">
        <f t="shared" si="187"/>
        <v>#N/A</v>
      </c>
      <c r="R895" s="10" t="e">
        <f t="shared" si="188"/>
        <v>#N/A</v>
      </c>
      <c r="S895" s="7">
        <f t="shared" si="195"/>
        <v>1564.55</v>
      </c>
      <c r="T895" s="7">
        <f t="shared" si="196"/>
        <v>0</v>
      </c>
    </row>
    <row r="896" spans="1:20" x14ac:dyDescent="0.25">
      <c r="A896" s="1">
        <v>42530</v>
      </c>
      <c r="B896">
        <v>1795</v>
      </c>
      <c r="C896">
        <v>1798.95</v>
      </c>
      <c r="D896">
        <v>1750.1</v>
      </c>
      <c r="E896">
        <v>1774.5</v>
      </c>
      <c r="F896">
        <v>1189532</v>
      </c>
      <c r="G896" s="4">
        <f t="shared" si="183"/>
        <v>0</v>
      </c>
      <c r="H896" s="4">
        <f t="shared" si="184"/>
        <v>21.25</v>
      </c>
      <c r="I896" s="6">
        <f t="shared" si="189"/>
        <v>22.067857142857129</v>
      </c>
      <c r="J896" s="6">
        <f t="shared" si="190"/>
        <v>2.9357142857142793</v>
      </c>
      <c r="K896" s="4">
        <f t="shared" si="191"/>
        <v>7.5170316301703277</v>
      </c>
      <c r="L896">
        <f t="shared" si="192"/>
        <v>88.258820168547373</v>
      </c>
      <c r="M896" s="14" t="str">
        <f t="shared" si="185"/>
        <v>OVERBOUGHT</v>
      </c>
      <c r="N896" s="7" t="str">
        <f t="shared" si="186"/>
        <v>SELL</v>
      </c>
      <c r="O896" s="7">
        <f t="shared" si="193"/>
        <v>0</v>
      </c>
      <c r="P896" s="7">
        <f t="shared" si="194"/>
        <v>-1</v>
      </c>
      <c r="Q896" s="10" t="e">
        <f t="shared" si="187"/>
        <v>#N/A</v>
      </c>
      <c r="R896" s="10" t="e">
        <f t="shared" si="188"/>
        <v>#N/A</v>
      </c>
      <c r="S896" s="7">
        <f t="shared" si="195"/>
        <v>1564.55</v>
      </c>
      <c r="T896" s="7">
        <f t="shared" si="196"/>
        <v>0</v>
      </c>
    </row>
    <row r="897" spans="1:20" x14ac:dyDescent="0.25">
      <c r="A897" s="1">
        <v>42531</v>
      </c>
      <c r="B897">
        <v>1758</v>
      </c>
      <c r="C897">
        <v>1794.6</v>
      </c>
      <c r="D897">
        <v>1757.25</v>
      </c>
      <c r="E897">
        <v>1779.2</v>
      </c>
      <c r="F897">
        <v>887131</v>
      </c>
      <c r="G897" s="4">
        <f t="shared" si="183"/>
        <v>4.7000000000000455</v>
      </c>
      <c r="H897" s="4">
        <f t="shared" si="184"/>
        <v>0</v>
      </c>
      <c r="I897" s="6">
        <f t="shared" si="189"/>
        <v>22.403571428571418</v>
      </c>
      <c r="J897" s="6">
        <f t="shared" si="190"/>
        <v>2.8107142857142793</v>
      </c>
      <c r="K897" s="4">
        <f t="shared" si="191"/>
        <v>7.9707750952986167</v>
      </c>
      <c r="L897">
        <f t="shared" si="192"/>
        <v>88.852691218130332</v>
      </c>
      <c r="M897" s="14" t="str">
        <f t="shared" si="185"/>
        <v>OVERBOUGHT</v>
      </c>
      <c r="N897" s="7" t="str">
        <f t="shared" si="186"/>
        <v>SELL</v>
      </c>
      <c r="O897" s="7">
        <f t="shared" si="193"/>
        <v>0</v>
      </c>
      <c r="P897" s="7">
        <f t="shared" si="194"/>
        <v>-1</v>
      </c>
      <c r="Q897" s="10" t="e">
        <f t="shared" si="187"/>
        <v>#N/A</v>
      </c>
      <c r="R897" s="10" t="e">
        <f t="shared" si="188"/>
        <v>#N/A</v>
      </c>
      <c r="S897" s="7">
        <f t="shared" si="195"/>
        <v>1564.55</v>
      </c>
      <c r="T897" s="7">
        <f t="shared" si="196"/>
        <v>0</v>
      </c>
    </row>
    <row r="898" spans="1:20" x14ac:dyDescent="0.25">
      <c r="A898" s="1">
        <v>42534</v>
      </c>
      <c r="B898">
        <v>1780</v>
      </c>
      <c r="C898">
        <v>1804.95</v>
      </c>
      <c r="D898">
        <v>1775.45</v>
      </c>
      <c r="E898">
        <v>1792.3</v>
      </c>
      <c r="F898">
        <v>1308742</v>
      </c>
      <c r="G898" s="4">
        <f t="shared" si="183"/>
        <v>13.099999999999909</v>
      </c>
      <c r="H898" s="4">
        <f t="shared" si="184"/>
        <v>0</v>
      </c>
      <c r="I898" s="6">
        <f t="shared" si="189"/>
        <v>22.835714285714271</v>
      </c>
      <c r="J898" s="6">
        <f t="shared" si="190"/>
        <v>2.8107142857142793</v>
      </c>
      <c r="K898" s="4">
        <f t="shared" si="191"/>
        <v>8.1245235069885773</v>
      </c>
      <c r="L898">
        <f t="shared" si="192"/>
        <v>89.040523603954895</v>
      </c>
      <c r="M898" s="14" t="str">
        <f t="shared" si="185"/>
        <v>OVERBOUGHT</v>
      </c>
      <c r="N898" s="7" t="str">
        <f t="shared" si="186"/>
        <v>SELL</v>
      </c>
      <c r="O898" s="7">
        <f t="shared" si="193"/>
        <v>0</v>
      </c>
      <c r="P898" s="7">
        <f t="shared" si="194"/>
        <v>-1</v>
      </c>
      <c r="Q898" s="10" t="e">
        <f t="shared" si="187"/>
        <v>#N/A</v>
      </c>
      <c r="R898" s="10" t="e">
        <f t="shared" si="188"/>
        <v>#N/A</v>
      </c>
      <c r="S898" s="7">
        <f t="shared" si="195"/>
        <v>1564.55</v>
      </c>
      <c r="T898" s="7">
        <f t="shared" si="196"/>
        <v>0</v>
      </c>
    </row>
    <row r="899" spans="1:20" x14ac:dyDescent="0.25">
      <c r="A899" s="1">
        <v>42535</v>
      </c>
      <c r="B899">
        <v>1790</v>
      </c>
      <c r="C899">
        <v>1831.5</v>
      </c>
      <c r="D899">
        <v>1789.45</v>
      </c>
      <c r="E899">
        <v>1815.5</v>
      </c>
      <c r="F899">
        <v>1413375</v>
      </c>
      <c r="G899" s="4">
        <f t="shared" si="183"/>
        <v>23.200000000000045</v>
      </c>
      <c r="H899" s="4">
        <f t="shared" si="184"/>
        <v>0</v>
      </c>
      <c r="I899" s="6">
        <f t="shared" si="189"/>
        <v>20.735714285714284</v>
      </c>
      <c r="J899" s="6">
        <f t="shared" si="190"/>
        <v>2.8107142857142793</v>
      </c>
      <c r="K899" s="4">
        <f t="shared" si="191"/>
        <v>7.3773824650571953</v>
      </c>
      <c r="L899">
        <f t="shared" si="192"/>
        <v>88.063097224328857</v>
      </c>
      <c r="M899" s="14" t="str">
        <f t="shared" si="185"/>
        <v>OVERBOUGHT</v>
      </c>
      <c r="N899" s="7" t="str">
        <f t="shared" si="186"/>
        <v>SELL</v>
      </c>
      <c r="O899" s="7">
        <f t="shared" si="193"/>
        <v>0</v>
      </c>
      <c r="P899" s="7">
        <f t="shared" si="194"/>
        <v>-1</v>
      </c>
      <c r="Q899" s="10" t="e">
        <f t="shared" si="187"/>
        <v>#N/A</v>
      </c>
      <c r="R899" s="10" t="e">
        <f t="shared" si="188"/>
        <v>#N/A</v>
      </c>
      <c r="S899" s="7">
        <f t="shared" si="195"/>
        <v>1564.55</v>
      </c>
      <c r="T899" s="7">
        <f t="shared" si="196"/>
        <v>0</v>
      </c>
    </row>
    <row r="900" spans="1:20" x14ac:dyDescent="0.25">
      <c r="A900" s="1">
        <v>42536</v>
      </c>
      <c r="B900">
        <v>1810.05</v>
      </c>
      <c r="C900">
        <v>1834.8</v>
      </c>
      <c r="D900">
        <v>1790</v>
      </c>
      <c r="E900">
        <v>1815.4</v>
      </c>
      <c r="F900">
        <v>1070589</v>
      </c>
      <c r="G900" s="4">
        <f t="shared" ref="G900:G963" si="197">IF(E900&gt;E899,E900-E899,0)</f>
        <v>0</v>
      </c>
      <c r="H900" s="4">
        <f t="shared" ref="H900:H963" si="198">IF(E900&lt;E899,E899-E900,0)</f>
        <v>9.9999999999909051E-2</v>
      </c>
      <c r="I900" s="6">
        <f t="shared" si="189"/>
        <v>17.5</v>
      </c>
      <c r="J900" s="6">
        <f t="shared" si="190"/>
        <v>2.8178571428571297</v>
      </c>
      <c r="K900" s="4">
        <f t="shared" si="191"/>
        <v>6.2103929024081408</v>
      </c>
      <c r="L900">
        <f t="shared" si="192"/>
        <v>86.131130251362336</v>
      </c>
      <c r="M900" s="14" t="str">
        <f t="shared" si="185"/>
        <v>OVERBOUGHT</v>
      </c>
      <c r="N900" s="7" t="str">
        <f t="shared" si="186"/>
        <v>SELL</v>
      </c>
      <c r="O900" s="7">
        <f t="shared" si="193"/>
        <v>0</v>
      </c>
      <c r="P900" s="7">
        <f t="shared" si="194"/>
        <v>-1</v>
      </c>
      <c r="Q900" s="10" t="e">
        <f t="shared" si="187"/>
        <v>#N/A</v>
      </c>
      <c r="R900" s="10" t="e">
        <f t="shared" si="188"/>
        <v>#N/A</v>
      </c>
      <c r="S900" s="7">
        <f t="shared" si="195"/>
        <v>1564.55</v>
      </c>
      <c r="T900" s="7">
        <f t="shared" si="196"/>
        <v>0</v>
      </c>
    </row>
    <row r="901" spans="1:20" x14ac:dyDescent="0.25">
      <c r="A901" s="1">
        <v>42537</v>
      </c>
      <c r="B901">
        <v>1819.7</v>
      </c>
      <c r="C901">
        <v>1849.9</v>
      </c>
      <c r="D901">
        <v>1816.7</v>
      </c>
      <c r="E901">
        <v>1845.85</v>
      </c>
      <c r="F901">
        <v>923427</v>
      </c>
      <c r="G901" s="4">
        <f t="shared" si="197"/>
        <v>30.449999999999818</v>
      </c>
      <c r="H901" s="4">
        <f t="shared" si="198"/>
        <v>0</v>
      </c>
      <c r="I901" s="6">
        <f t="shared" si="189"/>
        <v>17.396428571428551</v>
      </c>
      <c r="J901" s="6">
        <f t="shared" si="190"/>
        <v>2.8178571428571297</v>
      </c>
      <c r="K901" s="4">
        <f t="shared" si="191"/>
        <v>6.1736375158428602</v>
      </c>
      <c r="L901">
        <f t="shared" si="192"/>
        <v>86.060070671378128</v>
      </c>
      <c r="M901" s="14" t="str">
        <f t="shared" si="185"/>
        <v>OVERBOUGHT</v>
      </c>
      <c r="N901" s="7" t="str">
        <f t="shared" si="186"/>
        <v>SELL</v>
      </c>
      <c r="O901" s="7">
        <f t="shared" si="193"/>
        <v>0</v>
      </c>
      <c r="P901" s="7">
        <f t="shared" si="194"/>
        <v>-1</v>
      </c>
      <c r="Q901" s="10" t="e">
        <f t="shared" si="187"/>
        <v>#N/A</v>
      </c>
      <c r="R901" s="10" t="e">
        <f t="shared" si="188"/>
        <v>#N/A</v>
      </c>
      <c r="S901" s="7">
        <f t="shared" si="195"/>
        <v>1564.55</v>
      </c>
      <c r="T901" s="7">
        <f t="shared" si="196"/>
        <v>0</v>
      </c>
    </row>
    <row r="902" spans="1:20" x14ac:dyDescent="0.25">
      <c r="A902" s="1">
        <v>42538</v>
      </c>
      <c r="B902">
        <v>1840</v>
      </c>
      <c r="C902">
        <v>1877.4</v>
      </c>
      <c r="D902">
        <v>1840</v>
      </c>
      <c r="E902">
        <v>1867.2</v>
      </c>
      <c r="F902">
        <v>1177592</v>
      </c>
      <c r="G902" s="4">
        <f t="shared" si="197"/>
        <v>21.350000000000136</v>
      </c>
      <c r="H902" s="4">
        <f t="shared" si="198"/>
        <v>0</v>
      </c>
      <c r="I902" s="6">
        <f t="shared" si="189"/>
        <v>18.378571428571426</v>
      </c>
      <c r="J902" s="6">
        <f t="shared" si="190"/>
        <v>2.8178571428571297</v>
      </c>
      <c r="K902" s="4">
        <f t="shared" si="191"/>
        <v>6.522179974651487</v>
      </c>
      <c r="L902">
        <f t="shared" si="192"/>
        <v>86.705981465880427</v>
      </c>
      <c r="M902" s="14" t="str">
        <f t="shared" si="185"/>
        <v>OVERBOUGHT</v>
      </c>
      <c r="N902" s="7" t="str">
        <f t="shared" si="186"/>
        <v>SELL</v>
      </c>
      <c r="O902" s="7">
        <f t="shared" si="193"/>
        <v>0</v>
      </c>
      <c r="P902" s="7">
        <f t="shared" si="194"/>
        <v>-1</v>
      </c>
      <c r="Q902" s="10" t="e">
        <f t="shared" si="187"/>
        <v>#N/A</v>
      </c>
      <c r="R902" s="10" t="e">
        <f t="shared" si="188"/>
        <v>#N/A</v>
      </c>
      <c r="S902" s="7">
        <f t="shared" si="195"/>
        <v>1564.55</v>
      </c>
      <c r="T902" s="7">
        <f t="shared" si="196"/>
        <v>0</v>
      </c>
    </row>
    <row r="903" spans="1:20" x14ac:dyDescent="0.25">
      <c r="A903" s="1">
        <v>42541</v>
      </c>
      <c r="B903">
        <v>1873</v>
      </c>
      <c r="C903">
        <v>1881.95</v>
      </c>
      <c r="D903">
        <v>1864.65</v>
      </c>
      <c r="E903">
        <v>1870.1</v>
      </c>
      <c r="F903">
        <v>1152645</v>
      </c>
      <c r="G903" s="4">
        <f t="shared" si="197"/>
        <v>2.8999999999998636</v>
      </c>
      <c r="H903" s="4">
        <f t="shared" si="198"/>
        <v>0</v>
      </c>
      <c r="I903" s="6">
        <f t="shared" si="189"/>
        <v>16.503571428571409</v>
      </c>
      <c r="J903" s="6">
        <f t="shared" si="190"/>
        <v>2.8178571428571297</v>
      </c>
      <c r="K903" s="4">
        <f t="shared" si="191"/>
        <v>5.8567807351077512</v>
      </c>
      <c r="L903">
        <f t="shared" si="192"/>
        <v>85.41589648798525</v>
      </c>
      <c r="M903" s="14" t="str">
        <f t="shared" si="185"/>
        <v>OVERBOUGHT</v>
      </c>
      <c r="N903" s="7" t="str">
        <f t="shared" si="186"/>
        <v>SELL</v>
      </c>
      <c r="O903" s="7">
        <f t="shared" si="193"/>
        <v>0</v>
      </c>
      <c r="P903" s="7">
        <f t="shared" si="194"/>
        <v>-1</v>
      </c>
      <c r="Q903" s="10" t="e">
        <f t="shared" si="187"/>
        <v>#N/A</v>
      </c>
      <c r="R903" s="10" t="e">
        <f t="shared" si="188"/>
        <v>#N/A</v>
      </c>
      <c r="S903" s="7">
        <f t="shared" si="195"/>
        <v>1564.55</v>
      </c>
      <c r="T903" s="7">
        <f t="shared" si="196"/>
        <v>0</v>
      </c>
    </row>
    <row r="904" spans="1:20" x14ac:dyDescent="0.25">
      <c r="A904" s="1">
        <v>42542</v>
      </c>
      <c r="B904">
        <v>1874</v>
      </c>
      <c r="C904">
        <v>1890.9</v>
      </c>
      <c r="D904">
        <v>1813.45</v>
      </c>
      <c r="E904">
        <v>1822.7</v>
      </c>
      <c r="F904">
        <v>1347490</v>
      </c>
      <c r="G904" s="4">
        <f t="shared" si="197"/>
        <v>0</v>
      </c>
      <c r="H904" s="4">
        <f t="shared" si="198"/>
        <v>47.399999999999864</v>
      </c>
      <c r="I904" s="6">
        <f t="shared" si="189"/>
        <v>16.503571428571409</v>
      </c>
      <c r="J904" s="6">
        <f t="shared" si="190"/>
        <v>4.9107142857142696</v>
      </c>
      <c r="K904" s="4">
        <f t="shared" si="191"/>
        <v>3.3607272727272797</v>
      </c>
      <c r="L904">
        <f t="shared" si="192"/>
        <v>77.068045363575749</v>
      </c>
      <c r="M904" s="14" t="str">
        <f t="shared" si="185"/>
        <v>OVERBOUGHT</v>
      </c>
      <c r="N904" s="7" t="str">
        <f t="shared" si="186"/>
        <v>SELL</v>
      </c>
      <c r="O904" s="7">
        <f t="shared" si="193"/>
        <v>0</v>
      </c>
      <c r="P904" s="7">
        <f t="shared" si="194"/>
        <v>-1</v>
      </c>
      <c r="Q904" s="10" t="e">
        <f t="shared" si="187"/>
        <v>#N/A</v>
      </c>
      <c r="R904" s="10" t="e">
        <f t="shared" si="188"/>
        <v>#N/A</v>
      </c>
      <c r="S904" s="7">
        <f t="shared" si="195"/>
        <v>1564.55</v>
      </c>
      <c r="T904" s="7">
        <f t="shared" si="196"/>
        <v>0</v>
      </c>
    </row>
    <row r="905" spans="1:20" x14ac:dyDescent="0.25">
      <c r="A905" s="1">
        <v>42543</v>
      </c>
      <c r="B905">
        <v>1805.1</v>
      </c>
      <c r="C905">
        <v>1856.15</v>
      </c>
      <c r="D905">
        <v>1783.7</v>
      </c>
      <c r="E905">
        <v>1845.4</v>
      </c>
      <c r="F905">
        <v>1079314</v>
      </c>
      <c r="G905" s="4">
        <f t="shared" si="197"/>
        <v>22.700000000000045</v>
      </c>
      <c r="H905" s="4">
        <f t="shared" si="198"/>
        <v>0</v>
      </c>
      <c r="I905" s="6">
        <f t="shared" si="189"/>
        <v>12.239285714285709</v>
      </c>
      <c r="J905" s="6">
        <f t="shared" si="190"/>
        <v>4.9107142857142696</v>
      </c>
      <c r="K905" s="4">
        <f t="shared" si="191"/>
        <v>2.4923636363636432</v>
      </c>
      <c r="L905">
        <f t="shared" si="192"/>
        <v>71.36609745939198</v>
      </c>
      <c r="M905" s="14" t="str">
        <f t="shared" si="185"/>
        <v>OVERBOUGHT</v>
      </c>
      <c r="N905" s="7" t="str">
        <f t="shared" si="186"/>
        <v>SELL</v>
      </c>
      <c r="O905" s="7">
        <f t="shared" si="193"/>
        <v>0</v>
      </c>
      <c r="P905" s="7">
        <f t="shared" si="194"/>
        <v>-1</v>
      </c>
      <c r="Q905" s="10" t="e">
        <f t="shared" si="187"/>
        <v>#N/A</v>
      </c>
      <c r="R905" s="10" t="e">
        <f t="shared" si="188"/>
        <v>#N/A</v>
      </c>
      <c r="S905" s="7">
        <f t="shared" si="195"/>
        <v>1564.55</v>
      </c>
      <c r="T905" s="7">
        <f t="shared" si="196"/>
        <v>0</v>
      </c>
    </row>
    <row r="906" spans="1:20" x14ac:dyDescent="0.25">
      <c r="A906" s="1">
        <v>42544</v>
      </c>
      <c r="B906">
        <v>1841</v>
      </c>
      <c r="C906">
        <v>1841</v>
      </c>
      <c r="D906">
        <v>1808.15</v>
      </c>
      <c r="E906">
        <v>1814</v>
      </c>
      <c r="F906">
        <v>1038787</v>
      </c>
      <c r="G906" s="4">
        <f t="shared" si="197"/>
        <v>0</v>
      </c>
      <c r="H906" s="4">
        <f t="shared" si="198"/>
        <v>31.400000000000091</v>
      </c>
      <c r="I906" s="6">
        <f t="shared" si="189"/>
        <v>11.974999999999991</v>
      </c>
      <c r="J906" s="6">
        <f t="shared" si="190"/>
        <v>7.1535714285714187</v>
      </c>
      <c r="K906" s="4">
        <f t="shared" si="191"/>
        <v>1.6739890164752882</v>
      </c>
      <c r="L906">
        <f t="shared" si="192"/>
        <v>62.602688573562382</v>
      </c>
      <c r="M906" s="14" t="str">
        <f t="shared" si="185"/>
        <v/>
      </c>
      <c r="N906" s="7">
        <f t="shared" si="186"/>
        <v>0</v>
      </c>
      <c r="O906" s="7">
        <f t="shared" si="193"/>
        <v>0</v>
      </c>
      <c r="P906" s="7">
        <f t="shared" si="194"/>
        <v>-1</v>
      </c>
      <c r="Q906" s="10" t="e">
        <f t="shared" si="187"/>
        <v>#N/A</v>
      </c>
      <c r="R906" s="10" t="e">
        <f t="shared" si="188"/>
        <v>#N/A</v>
      </c>
      <c r="S906" s="7">
        <f t="shared" si="195"/>
        <v>1564.55</v>
      </c>
      <c r="T906" s="7">
        <f t="shared" si="196"/>
        <v>0</v>
      </c>
    </row>
    <row r="907" spans="1:20" x14ac:dyDescent="0.25">
      <c r="A907" s="1">
        <v>42545</v>
      </c>
      <c r="B907">
        <v>1820.2</v>
      </c>
      <c r="C907">
        <v>1844.85</v>
      </c>
      <c r="D907">
        <v>1809.95</v>
      </c>
      <c r="E907">
        <v>1819.8</v>
      </c>
      <c r="F907">
        <v>1084148</v>
      </c>
      <c r="G907" s="4">
        <f t="shared" si="197"/>
        <v>5.7999999999999545</v>
      </c>
      <c r="H907" s="4">
        <f t="shared" si="198"/>
        <v>0</v>
      </c>
      <c r="I907" s="6">
        <f t="shared" si="189"/>
        <v>12.15357142857142</v>
      </c>
      <c r="J907" s="6">
        <f t="shared" si="190"/>
        <v>7.1535714285714187</v>
      </c>
      <c r="K907" s="4">
        <f t="shared" si="191"/>
        <v>1.6989515726410396</v>
      </c>
      <c r="L907">
        <f t="shared" si="192"/>
        <v>62.948575656677782</v>
      </c>
      <c r="M907" s="14" t="str">
        <f t="shared" si="185"/>
        <v/>
      </c>
      <c r="N907" s="7">
        <f t="shared" si="186"/>
        <v>0</v>
      </c>
      <c r="O907" s="7">
        <f t="shared" si="193"/>
        <v>0</v>
      </c>
      <c r="P907" s="7">
        <f t="shared" si="194"/>
        <v>-1</v>
      </c>
      <c r="Q907" s="10" t="e">
        <f t="shared" si="187"/>
        <v>#N/A</v>
      </c>
      <c r="R907" s="10" t="e">
        <f t="shared" si="188"/>
        <v>#N/A</v>
      </c>
      <c r="S907" s="7">
        <f t="shared" si="195"/>
        <v>1564.55</v>
      </c>
      <c r="T907" s="7">
        <f t="shared" si="196"/>
        <v>0</v>
      </c>
    </row>
    <row r="908" spans="1:20" x14ac:dyDescent="0.25">
      <c r="A908" s="1">
        <v>42548</v>
      </c>
      <c r="B908">
        <v>1824.5</v>
      </c>
      <c r="C908">
        <v>1858</v>
      </c>
      <c r="D908">
        <v>1802</v>
      </c>
      <c r="E908">
        <v>1833.5</v>
      </c>
      <c r="F908">
        <v>1651034</v>
      </c>
      <c r="G908" s="4">
        <f t="shared" si="197"/>
        <v>13.700000000000045</v>
      </c>
      <c r="H908" s="4">
        <f t="shared" si="198"/>
        <v>0</v>
      </c>
      <c r="I908" s="6">
        <f t="shared" si="189"/>
        <v>10.774999999999993</v>
      </c>
      <c r="J908" s="6">
        <f t="shared" si="190"/>
        <v>7.1535714285714187</v>
      </c>
      <c r="K908" s="4">
        <f t="shared" si="191"/>
        <v>1.5062406390414389</v>
      </c>
      <c r="L908">
        <f t="shared" si="192"/>
        <v>60.099601593625515</v>
      </c>
      <c r="M908" s="14" t="str">
        <f t="shared" si="185"/>
        <v/>
      </c>
      <c r="N908" s="7">
        <f t="shared" si="186"/>
        <v>0</v>
      </c>
      <c r="O908" s="7">
        <f t="shared" si="193"/>
        <v>0</v>
      </c>
      <c r="P908" s="7">
        <f t="shared" si="194"/>
        <v>-1</v>
      </c>
      <c r="Q908" s="10" t="e">
        <f t="shared" si="187"/>
        <v>#N/A</v>
      </c>
      <c r="R908" s="10" t="e">
        <f t="shared" si="188"/>
        <v>#N/A</v>
      </c>
      <c r="S908" s="7">
        <f t="shared" si="195"/>
        <v>1564.55</v>
      </c>
      <c r="T908" s="7">
        <f t="shared" si="196"/>
        <v>0</v>
      </c>
    </row>
    <row r="909" spans="1:20" x14ac:dyDescent="0.25">
      <c r="A909" s="1">
        <v>42549</v>
      </c>
      <c r="B909">
        <v>1824.2</v>
      </c>
      <c r="C909">
        <v>1830</v>
      </c>
      <c r="D909">
        <v>1755.55</v>
      </c>
      <c r="E909">
        <v>1780.9</v>
      </c>
      <c r="F909">
        <v>1389965</v>
      </c>
      <c r="G909" s="4">
        <f t="shared" si="197"/>
        <v>0</v>
      </c>
      <c r="H909" s="4">
        <f t="shared" si="198"/>
        <v>52.599999999999909</v>
      </c>
      <c r="I909" s="6">
        <f t="shared" si="189"/>
        <v>9.8499999999999908</v>
      </c>
      <c r="J909" s="6">
        <f t="shared" si="190"/>
        <v>10.910714285714269</v>
      </c>
      <c r="K909" s="4">
        <f t="shared" si="191"/>
        <v>0.90278232405892034</v>
      </c>
      <c r="L909">
        <f t="shared" si="192"/>
        <v>47.445381042490986</v>
      </c>
      <c r="M909" s="14" t="str">
        <f t="shared" si="185"/>
        <v/>
      </c>
      <c r="N909" s="7">
        <f t="shared" si="186"/>
        <v>0</v>
      </c>
      <c r="O909" s="7">
        <f t="shared" si="193"/>
        <v>0</v>
      </c>
      <c r="P909" s="7">
        <f t="shared" si="194"/>
        <v>-1</v>
      </c>
      <c r="Q909" s="10" t="e">
        <f t="shared" si="187"/>
        <v>#N/A</v>
      </c>
      <c r="R909" s="10" t="e">
        <f t="shared" si="188"/>
        <v>#N/A</v>
      </c>
      <c r="S909" s="7">
        <f t="shared" si="195"/>
        <v>1564.55</v>
      </c>
      <c r="T909" s="7">
        <f t="shared" si="196"/>
        <v>0</v>
      </c>
    </row>
    <row r="910" spans="1:20" x14ac:dyDescent="0.25">
      <c r="A910" s="1">
        <v>42550</v>
      </c>
      <c r="B910">
        <v>1798</v>
      </c>
      <c r="C910">
        <v>1807</v>
      </c>
      <c r="D910">
        <v>1755.55</v>
      </c>
      <c r="E910">
        <v>1777.45</v>
      </c>
      <c r="F910">
        <v>1060676</v>
      </c>
      <c r="G910" s="4">
        <f t="shared" si="197"/>
        <v>0</v>
      </c>
      <c r="H910" s="4">
        <f t="shared" si="198"/>
        <v>3.4500000000000455</v>
      </c>
      <c r="I910" s="6">
        <f t="shared" si="189"/>
        <v>9.8499999999999908</v>
      </c>
      <c r="J910" s="6">
        <f t="shared" si="190"/>
        <v>9.6392857142857018</v>
      </c>
      <c r="K910" s="4">
        <f t="shared" si="191"/>
        <v>1.021859948128937</v>
      </c>
      <c r="L910">
        <f t="shared" si="192"/>
        <v>50.540590067802839</v>
      </c>
      <c r="M910" s="14" t="str">
        <f t="shared" si="185"/>
        <v/>
      </c>
      <c r="N910" s="7">
        <f t="shared" si="186"/>
        <v>0</v>
      </c>
      <c r="O910" s="7">
        <f t="shared" si="193"/>
        <v>0</v>
      </c>
      <c r="P910" s="7">
        <f t="shared" si="194"/>
        <v>-1</v>
      </c>
      <c r="Q910" s="10" t="e">
        <f t="shared" si="187"/>
        <v>#N/A</v>
      </c>
      <c r="R910" s="10" t="e">
        <f t="shared" si="188"/>
        <v>#N/A</v>
      </c>
      <c r="S910" s="7">
        <f t="shared" si="195"/>
        <v>1564.55</v>
      </c>
      <c r="T910" s="7">
        <f t="shared" si="196"/>
        <v>0</v>
      </c>
    </row>
    <row r="911" spans="1:20" x14ac:dyDescent="0.25">
      <c r="A911" s="1">
        <v>42551</v>
      </c>
      <c r="B911">
        <v>1789.8</v>
      </c>
      <c r="C911">
        <v>1789.8</v>
      </c>
      <c r="D911">
        <v>1730</v>
      </c>
      <c r="E911">
        <v>1736.4</v>
      </c>
      <c r="F911">
        <v>1362422</v>
      </c>
      <c r="G911" s="4">
        <f t="shared" si="197"/>
        <v>0</v>
      </c>
      <c r="H911" s="4">
        <f t="shared" si="198"/>
        <v>41.049999999999955</v>
      </c>
      <c r="I911" s="6">
        <f t="shared" si="189"/>
        <v>9.5142857142857018</v>
      </c>
      <c r="J911" s="6">
        <f t="shared" si="190"/>
        <v>12.571428571428555</v>
      </c>
      <c r="K911" s="4">
        <f t="shared" si="191"/>
        <v>0.75681818181818183</v>
      </c>
      <c r="L911">
        <f t="shared" si="192"/>
        <v>43.078913324708928</v>
      </c>
      <c r="M911" s="14" t="str">
        <f t="shared" si="185"/>
        <v/>
      </c>
      <c r="N911" s="7">
        <f t="shared" si="186"/>
        <v>0</v>
      </c>
      <c r="O911" s="7">
        <f t="shared" si="193"/>
        <v>0</v>
      </c>
      <c r="P911" s="7">
        <f t="shared" si="194"/>
        <v>-1</v>
      </c>
      <c r="Q911" s="10" t="e">
        <f t="shared" si="187"/>
        <v>#N/A</v>
      </c>
      <c r="R911" s="10" t="e">
        <f t="shared" si="188"/>
        <v>#N/A</v>
      </c>
      <c r="S911" s="7">
        <f t="shared" si="195"/>
        <v>1564.55</v>
      </c>
      <c r="T911" s="7">
        <f t="shared" si="196"/>
        <v>0</v>
      </c>
    </row>
    <row r="912" spans="1:20" x14ac:dyDescent="0.25">
      <c r="A912" s="1">
        <v>42552</v>
      </c>
      <c r="B912">
        <v>1740.1</v>
      </c>
      <c r="C912">
        <v>1743.7</v>
      </c>
      <c r="D912">
        <v>1701.15</v>
      </c>
      <c r="E912">
        <v>1717.8</v>
      </c>
      <c r="F912">
        <v>1811997</v>
      </c>
      <c r="G912" s="4">
        <f t="shared" si="197"/>
        <v>0</v>
      </c>
      <c r="H912" s="4">
        <f t="shared" si="198"/>
        <v>18.600000000000136</v>
      </c>
      <c r="I912" s="6">
        <f t="shared" si="189"/>
        <v>8.5785714285714221</v>
      </c>
      <c r="J912" s="6">
        <f t="shared" si="190"/>
        <v>13.899999999999993</v>
      </c>
      <c r="K912" s="4">
        <f t="shared" si="191"/>
        <v>0.61716341212744075</v>
      </c>
      <c r="L912">
        <f t="shared" si="192"/>
        <v>38.163330155703839</v>
      </c>
      <c r="M912" s="14" t="str">
        <f t="shared" ref="M912:M975" si="199">IF(L912&gt;RSI_Overbought,"OVERBOUGHT",IF(L912&lt;RSI_Oversold,"OVERSOLD",""))</f>
        <v/>
      </c>
      <c r="N912" s="7">
        <f t="shared" ref="N912:N975" si="200">IF(L912&gt;RSI_Overbought,"SELL",IF(L912&lt;RSI_Oversold,"BUY",0))</f>
        <v>0</v>
      </c>
      <c r="O912" s="7">
        <f t="shared" si="193"/>
        <v>0</v>
      </c>
      <c r="P912" s="7">
        <f t="shared" si="194"/>
        <v>-1</v>
      </c>
      <c r="Q912" s="10" t="e">
        <f t="shared" ref="Q912:Q975" si="201">IF($O912="BUY",$E912,NA())</f>
        <v>#N/A</v>
      </c>
      <c r="R912" s="10" t="e">
        <f t="shared" ref="R912:R975" si="202">IF($O912="SELL",$E912,NA())</f>
        <v>#N/A</v>
      </c>
      <c r="S912" s="7">
        <f t="shared" si="195"/>
        <v>1564.55</v>
      </c>
      <c r="T912" s="7">
        <f t="shared" si="196"/>
        <v>0</v>
      </c>
    </row>
    <row r="913" spans="1:20" x14ac:dyDescent="0.25">
      <c r="A913" s="1">
        <v>42555</v>
      </c>
      <c r="B913">
        <v>1705</v>
      </c>
      <c r="C913">
        <v>1797.15</v>
      </c>
      <c r="D913">
        <v>1695.2</v>
      </c>
      <c r="E913">
        <v>1778.95</v>
      </c>
      <c r="F913">
        <v>2130494</v>
      </c>
      <c r="G913" s="4">
        <f t="shared" si="197"/>
        <v>61.150000000000091</v>
      </c>
      <c r="H913" s="4">
        <f t="shared" si="198"/>
        <v>0</v>
      </c>
      <c r="I913" s="6">
        <f t="shared" ref="I913:I976" si="203">AVERAGE(G900:G913)</f>
        <v>11.289285714285711</v>
      </c>
      <c r="J913" s="6">
        <f t="shared" ref="J913:J976" si="204">AVERAGE(H900:H913)</f>
        <v>13.899999999999993</v>
      </c>
      <c r="K913" s="4">
        <f t="shared" ref="K913:K976" si="205">I913/J913</f>
        <v>0.81217882836587885</v>
      </c>
      <c r="L913">
        <f t="shared" ref="L913:L976" si="206">100-(100/(K913+1))</f>
        <v>44.817808024953926</v>
      </c>
      <c r="M913" s="14" t="str">
        <f t="shared" si="199"/>
        <v/>
      </c>
      <c r="N913" s="7">
        <f t="shared" si="200"/>
        <v>0</v>
      </c>
      <c r="O913" s="7">
        <f t="shared" ref="O913:O976" si="207">IF(AND(N913="BUY",P912&lt;&gt;1),"BUY",IF(AND(N913="SELL",P912&lt;&gt;-1),"SELL",0))</f>
        <v>0</v>
      </c>
      <c r="P913" s="7">
        <f t="shared" ref="P913:P976" si="208">IF(O913="BUY",1,IF(O913="SELL",-1,P912))</f>
        <v>-1</v>
      </c>
      <c r="Q913" s="10" t="e">
        <f t="shared" si="201"/>
        <v>#N/A</v>
      </c>
      <c r="R913" s="10" t="e">
        <f t="shared" si="202"/>
        <v>#N/A</v>
      </c>
      <c r="S913" s="7">
        <f t="shared" ref="S913:S976" si="209">IF(O913&lt;&gt;0,E913,S912)</f>
        <v>1564.55</v>
      </c>
      <c r="T913" s="7">
        <f t="shared" si="196"/>
        <v>0</v>
      </c>
    </row>
    <row r="914" spans="1:20" x14ac:dyDescent="0.25">
      <c r="A914" s="1">
        <v>42556</v>
      </c>
      <c r="B914">
        <v>1794</v>
      </c>
      <c r="C914">
        <v>1838</v>
      </c>
      <c r="D914">
        <v>1784.3</v>
      </c>
      <c r="E914">
        <v>1829.45</v>
      </c>
      <c r="F914">
        <v>2016442</v>
      </c>
      <c r="G914" s="4">
        <f t="shared" si="197"/>
        <v>50.5</v>
      </c>
      <c r="H914" s="4">
        <f t="shared" si="198"/>
        <v>0</v>
      </c>
      <c r="I914" s="6">
        <f t="shared" si="203"/>
        <v>14.896428571428569</v>
      </c>
      <c r="J914" s="6">
        <f t="shared" si="204"/>
        <v>13.892857142857142</v>
      </c>
      <c r="K914" s="4">
        <f t="shared" si="205"/>
        <v>1.0722365038560411</v>
      </c>
      <c r="L914">
        <f t="shared" si="206"/>
        <v>51.742959930529707</v>
      </c>
      <c r="M914" s="14" t="str">
        <f t="shared" si="199"/>
        <v/>
      </c>
      <c r="N914" s="7">
        <f t="shared" si="200"/>
        <v>0</v>
      </c>
      <c r="O914" s="7">
        <f t="shared" si="207"/>
        <v>0</v>
      </c>
      <c r="P914" s="7">
        <f t="shared" si="208"/>
        <v>-1</v>
      </c>
      <c r="Q914" s="10" t="e">
        <f t="shared" si="201"/>
        <v>#N/A</v>
      </c>
      <c r="R914" s="10" t="e">
        <f t="shared" si="202"/>
        <v>#N/A</v>
      </c>
      <c r="S914" s="7">
        <f t="shared" si="209"/>
        <v>1564.55</v>
      </c>
      <c r="T914" s="7">
        <f t="shared" si="196"/>
        <v>0</v>
      </c>
    </row>
    <row r="915" spans="1:20" x14ac:dyDescent="0.25">
      <c r="A915" s="1">
        <v>42557</v>
      </c>
      <c r="B915">
        <v>1823.1</v>
      </c>
      <c r="C915">
        <v>1878.6</v>
      </c>
      <c r="D915">
        <v>1814</v>
      </c>
      <c r="E915">
        <v>1842</v>
      </c>
      <c r="F915">
        <v>1331619</v>
      </c>
      <c r="G915" s="4">
        <f t="shared" si="197"/>
        <v>12.549999999999955</v>
      </c>
      <c r="H915" s="4">
        <f t="shared" si="198"/>
        <v>0</v>
      </c>
      <c r="I915" s="6">
        <f t="shared" si="203"/>
        <v>13.617857142857149</v>
      </c>
      <c r="J915" s="6">
        <f t="shared" si="204"/>
        <v>13.892857142857142</v>
      </c>
      <c r="K915" s="4">
        <f t="shared" si="205"/>
        <v>0.98020565552699279</v>
      </c>
      <c r="L915">
        <f t="shared" si="206"/>
        <v>49.500194729326253</v>
      </c>
      <c r="M915" s="14" t="str">
        <f t="shared" si="199"/>
        <v/>
      </c>
      <c r="N915" s="7">
        <f t="shared" si="200"/>
        <v>0</v>
      </c>
      <c r="O915" s="7">
        <f t="shared" si="207"/>
        <v>0</v>
      </c>
      <c r="P915" s="7">
        <f t="shared" si="208"/>
        <v>-1</v>
      </c>
      <c r="Q915" s="10" t="e">
        <f t="shared" si="201"/>
        <v>#N/A</v>
      </c>
      <c r="R915" s="10" t="e">
        <f t="shared" si="202"/>
        <v>#N/A</v>
      </c>
      <c r="S915" s="7">
        <f t="shared" si="209"/>
        <v>1564.55</v>
      </c>
      <c r="T915" s="7">
        <f t="shared" si="196"/>
        <v>0</v>
      </c>
    </row>
    <row r="916" spans="1:20" x14ac:dyDescent="0.25">
      <c r="A916" s="1">
        <v>42558</v>
      </c>
      <c r="B916">
        <v>1839</v>
      </c>
      <c r="C916">
        <v>1878.85</v>
      </c>
      <c r="D916">
        <v>1830</v>
      </c>
      <c r="E916">
        <v>1838.8</v>
      </c>
      <c r="F916">
        <v>972642</v>
      </c>
      <c r="G916" s="4">
        <f t="shared" si="197"/>
        <v>0</v>
      </c>
      <c r="H916" s="4">
        <f t="shared" si="198"/>
        <v>3.2000000000000455</v>
      </c>
      <c r="I916" s="6">
        <f t="shared" si="203"/>
        <v>12.09285714285714</v>
      </c>
      <c r="J916" s="6">
        <f t="shared" si="204"/>
        <v>14.121428571428575</v>
      </c>
      <c r="K916" s="4">
        <f t="shared" si="205"/>
        <v>0.85634800202326711</v>
      </c>
      <c r="L916">
        <f t="shared" si="206"/>
        <v>46.130790190735681</v>
      </c>
      <c r="M916" s="14" t="str">
        <f t="shared" si="199"/>
        <v/>
      </c>
      <c r="N916" s="7">
        <f t="shared" si="200"/>
        <v>0</v>
      </c>
      <c r="O916" s="7">
        <f t="shared" si="207"/>
        <v>0</v>
      </c>
      <c r="P916" s="7">
        <f t="shared" si="208"/>
        <v>-1</v>
      </c>
      <c r="Q916" s="10" t="e">
        <f t="shared" si="201"/>
        <v>#N/A</v>
      </c>
      <c r="R916" s="10" t="e">
        <f t="shared" si="202"/>
        <v>#N/A</v>
      </c>
      <c r="S916" s="7">
        <f t="shared" si="209"/>
        <v>1564.55</v>
      </c>
      <c r="T916" s="7">
        <f t="shared" si="196"/>
        <v>0</v>
      </c>
    </row>
    <row r="917" spans="1:20" x14ac:dyDescent="0.25">
      <c r="A917" s="1">
        <v>42559</v>
      </c>
      <c r="B917">
        <v>1828</v>
      </c>
      <c r="C917">
        <v>1946.1</v>
      </c>
      <c r="D917">
        <v>1828</v>
      </c>
      <c r="E917">
        <v>1907.9</v>
      </c>
      <c r="F917">
        <v>2222342</v>
      </c>
      <c r="G917" s="4">
        <f t="shared" si="197"/>
        <v>69.100000000000136</v>
      </c>
      <c r="H917" s="4">
        <f t="shared" si="198"/>
        <v>0</v>
      </c>
      <c r="I917" s="6">
        <f t="shared" si="203"/>
        <v>16.821428571428587</v>
      </c>
      <c r="J917" s="6">
        <f t="shared" si="204"/>
        <v>14.121428571428575</v>
      </c>
      <c r="K917" s="4">
        <f t="shared" si="205"/>
        <v>1.1911987860394544</v>
      </c>
      <c r="L917">
        <f t="shared" si="206"/>
        <v>54.362880886426609</v>
      </c>
      <c r="M917" s="14" t="str">
        <f t="shared" si="199"/>
        <v/>
      </c>
      <c r="N917" s="7">
        <f t="shared" si="200"/>
        <v>0</v>
      </c>
      <c r="O917" s="7">
        <f t="shared" si="207"/>
        <v>0</v>
      </c>
      <c r="P917" s="7">
        <f t="shared" si="208"/>
        <v>-1</v>
      </c>
      <c r="Q917" s="10" t="e">
        <f t="shared" si="201"/>
        <v>#N/A</v>
      </c>
      <c r="R917" s="10" t="e">
        <f t="shared" si="202"/>
        <v>#N/A</v>
      </c>
      <c r="S917" s="7">
        <f t="shared" si="209"/>
        <v>1564.55</v>
      </c>
      <c r="T917" s="7">
        <f t="shared" si="196"/>
        <v>0</v>
      </c>
    </row>
    <row r="918" spans="1:20" x14ac:dyDescent="0.25">
      <c r="A918" s="1">
        <v>42562</v>
      </c>
      <c r="B918">
        <v>1901</v>
      </c>
      <c r="C918">
        <v>1970</v>
      </c>
      <c r="D918">
        <v>1878.3</v>
      </c>
      <c r="E918">
        <v>1947.1</v>
      </c>
      <c r="F918">
        <v>2952591</v>
      </c>
      <c r="G918" s="4">
        <f t="shared" si="197"/>
        <v>39.199999999999818</v>
      </c>
      <c r="H918" s="4">
        <f t="shared" si="198"/>
        <v>0</v>
      </c>
      <c r="I918" s="6">
        <f t="shared" si="203"/>
        <v>19.621428571428574</v>
      </c>
      <c r="J918" s="6">
        <f t="shared" si="204"/>
        <v>10.735714285714298</v>
      </c>
      <c r="K918" s="4">
        <f t="shared" si="205"/>
        <v>1.8276779773785743</v>
      </c>
      <c r="L918">
        <f t="shared" si="206"/>
        <v>64.635294117647035</v>
      </c>
      <c r="M918" s="14" t="str">
        <f t="shared" si="199"/>
        <v/>
      </c>
      <c r="N918" s="7">
        <f t="shared" si="200"/>
        <v>0</v>
      </c>
      <c r="O918" s="7">
        <f t="shared" si="207"/>
        <v>0</v>
      </c>
      <c r="P918" s="7">
        <f t="shared" si="208"/>
        <v>-1</v>
      </c>
      <c r="Q918" s="10" t="e">
        <f t="shared" si="201"/>
        <v>#N/A</v>
      </c>
      <c r="R918" s="10" t="e">
        <f t="shared" si="202"/>
        <v>#N/A</v>
      </c>
      <c r="S918" s="7">
        <f t="shared" si="209"/>
        <v>1564.55</v>
      </c>
      <c r="T918" s="7">
        <f t="shared" si="196"/>
        <v>0</v>
      </c>
    </row>
    <row r="919" spans="1:20" x14ac:dyDescent="0.25">
      <c r="A919" s="1">
        <v>42563</v>
      </c>
      <c r="B919">
        <v>1939</v>
      </c>
      <c r="C919">
        <v>2050</v>
      </c>
      <c r="D919">
        <v>1930</v>
      </c>
      <c r="E919">
        <v>2033.2</v>
      </c>
      <c r="F919">
        <v>2641471</v>
      </c>
      <c r="G919" s="4">
        <f t="shared" si="197"/>
        <v>86.100000000000136</v>
      </c>
      <c r="H919" s="4">
        <f t="shared" si="198"/>
        <v>0</v>
      </c>
      <c r="I919" s="6">
        <f t="shared" si="203"/>
        <v>24.150000000000009</v>
      </c>
      <c r="J919" s="6">
        <f t="shared" si="204"/>
        <v>10.735714285714298</v>
      </c>
      <c r="K919" s="4">
        <f t="shared" si="205"/>
        <v>2.2495009980039904</v>
      </c>
      <c r="L919">
        <f t="shared" si="206"/>
        <v>69.226044226044209</v>
      </c>
      <c r="M919" s="14" t="str">
        <f t="shared" si="199"/>
        <v/>
      </c>
      <c r="N919" s="7">
        <f t="shared" si="200"/>
        <v>0</v>
      </c>
      <c r="O919" s="7">
        <f t="shared" si="207"/>
        <v>0</v>
      </c>
      <c r="P919" s="7">
        <f t="shared" si="208"/>
        <v>-1</v>
      </c>
      <c r="Q919" s="10" t="e">
        <f t="shared" si="201"/>
        <v>#N/A</v>
      </c>
      <c r="R919" s="10" t="e">
        <f t="shared" si="202"/>
        <v>#N/A</v>
      </c>
      <c r="S919" s="7">
        <f t="shared" si="209"/>
        <v>1564.55</v>
      </c>
      <c r="T919" s="7">
        <f t="shared" si="196"/>
        <v>0</v>
      </c>
    </row>
    <row r="920" spans="1:20" x14ac:dyDescent="0.25">
      <c r="A920" s="1">
        <v>42564</v>
      </c>
      <c r="B920">
        <v>2020</v>
      </c>
      <c r="C920">
        <v>2069</v>
      </c>
      <c r="D920">
        <v>2017.5</v>
      </c>
      <c r="E920">
        <v>2056.85</v>
      </c>
      <c r="F920">
        <v>1077017</v>
      </c>
      <c r="G920" s="4">
        <f t="shared" si="197"/>
        <v>23.649999999999864</v>
      </c>
      <c r="H920" s="4">
        <f t="shared" si="198"/>
        <v>0</v>
      </c>
      <c r="I920" s="6">
        <f t="shared" si="203"/>
        <v>25.839285714285715</v>
      </c>
      <c r="J920" s="6">
        <f t="shared" si="204"/>
        <v>8.4928571428571491</v>
      </c>
      <c r="K920" s="4">
        <f t="shared" si="205"/>
        <v>3.0424726661059691</v>
      </c>
      <c r="L920">
        <f t="shared" si="206"/>
        <v>75.262665140954937</v>
      </c>
      <c r="M920" s="14" t="str">
        <f t="shared" si="199"/>
        <v>OVERBOUGHT</v>
      </c>
      <c r="N920" s="7" t="str">
        <f t="shared" si="200"/>
        <v>SELL</v>
      </c>
      <c r="O920" s="7">
        <f t="shared" si="207"/>
        <v>0</v>
      </c>
      <c r="P920" s="7">
        <f t="shared" si="208"/>
        <v>-1</v>
      </c>
      <c r="Q920" s="10" t="e">
        <f t="shared" si="201"/>
        <v>#N/A</v>
      </c>
      <c r="R920" s="10" t="e">
        <f t="shared" si="202"/>
        <v>#N/A</v>
      </c>
      <c r="S920" s="7">
        <f t="shared" si="209"/>
        <v>1564.55</v>
      </c>
      <c r="T920" s="7">
        <f t="shared" si="196"/>
        <v>0</v>
      </c>
    </row>
    <row r="921" spans="1:20" x14ac:dyDescent="0.25">
      <c r="A921" s="1">
        <v>42565</v>
      </c>
      <c r="B921">
        <v>2050.1</v>
      </c>
      <c r="C921">
        <v>2067</v>
      </c>
      <c r="D921">
        <v>1986.15</v>
      </c>
      <c r="E921">
        <v>2001.1</v>
      </c>
      <c r="F921">
        <v>1177532</v>
      </c>
      <c r="G921" s="4">
        <f t="shared" si="197"/>
        <v>0</v>
      </c>
      <c r="H921" s="4">
        <f t="shared" si="198"/>
        <v>55.75</v>
      </c>
      <c r="I921" s="6">
        <f t="shared" si="203"/>
        <v>25.425000000000004</v>
      </c>
      <c r="J921" s="6">
        <f t="shared" si="204"/>
        <v>12.475000000000007</v>
      </c>
      <c r="K921" s="4">
        <f t="shared" si="205"/>
        <v>2.0380761523046083</v>
      </c>
      <c r="L921">
        <f t="shared" si="206"/>
        <v>67.084432717678084</v>
      </c>
      <c r="M921" s="14" t="str">
        <f t="shared" si="199"/>
        <v/>
      </c>
      <c r="N921" s="7">
        <f t="shared" si="200"/>
        <v>0</v>
      </c>
      <c r="O921" s="7">
        <f t="shared" si="207"/>
        <v>0</v>
      </c>
      <c r="P921" s="7">
        <f t="shared" si="208"/>
        <v>-1</v>
      </c>
      <c r="Q921" s="10" t="e">
        <f t="shared" si="201"/>
        <v>#N/A</v>
      </c>
      <c r="R921" s="10" t="e">
        <f t="shared" si="202"/>
        <v>#N/A</v>
      </c>
      <c r="S921" s="7">
        <f t="shared" si="209"/>
        <v>1564.55</v>
      </c>
      <c r="T921" s="7">
        <f t="shared" si="196"/>
        <v>0</v>
      </c>
    </row>
    <row r="922" spans="1:20" x14ac:dyDescent="0.25">
      <c r="A922" s="1">
        <v>42566</v>
      </c>
      <c r="B922">
        <v>2000</v>
      </c>
      <c r="C922">
        <v>2078.8000000000002</v>
      </c>
      <c r="D922">
        <v>1993.95</v>
      </c>
      <c r="E922">
        <v>2069.1</v>
      </c>
      <c r="F922">
        <v>1313258</v>
      </c>
      <c r="G922" s="4">
        <f t="shared" si="197"/>
        <v>68</v>
      </c>
      <c r="H922" s="4">
        <f t="shared" si="198"/>
        <v>0</v>
      </c>
      <c r="I922" s="6">
        <f t="shared" si="203"/>
        <v>29.303571428571427</v>
      </c>
      <c r="J922" s="6">
        <f t="shared" si="204"/>
        <v>12.475000000000007</v>
      </c>
      <c r="K922" s="4">
        <f t="shared" si="205"/>
        <v>2.3489836816490111</v>
      </c>
      <c r="L922">
        <f t="shared" si="206"/>
        <v>70.140194905111969</v>
      </c>
      <c r="M922" s="14" t="str">
        <f t="shared" si="199"/>
        <v>OVERBOUGHT</v>
      </c>
      <c r="N922" s="7" t="str">
        <f t="shared" si="200"/>
        <v>SELL</v>
      </c>
      <c r="O922" s="7">
        <f t="shared" si="207"/>
        <v>0</v>
      </c>
      <c r="P922" s="7">
        <f t="shared" si="208"/>
        <v>-1</v>
      </c>
      <c r="Q922" s="10" t="e">
        <f t="shared" si="201"/>
        <v>#N/A</v>
      </c>
      <c r="R922" s="10" t="e">
        <f t="shared" si="202"/>
        <v>#N/A</v>
      </c>
      <c r="S922" s="7">
        <f t="shared" si="209"/>
        <v>1564.55</v>
      </c>
      <c r="T922" s="7">
        <f t="shared" ref="T922:T985" si="210">IF(O922="BUY",(S921-S922)/S921,IF(O922="SELL",(S922-S921)/S921,0))</f>
        <v>0</v>
      </c>
    </row>
    <row r="923" spans="1:20" x14ac:dyDescent="0.25">
      <c r="A923" s="1">
        <v>42569</v>
      </c>
      <c r="B923">
        <v>2069</v>
      </c>
      <c r="C923">
        <v>2069</v>
      </c>
      <c r="D923">
        <v>1981.05</v>
      </c>
      <c r="E923">
        <v>1990.75</v>
      </c>
      <c r="F923">
        <v>1963746</v>
      </c>
      <c r="G923" s="4">
        <f t="shared" si="197"/>
        <v>0</v>
      </c>
      <c r="H923" s="4">
        <f t="shared" si="198"/>
        <v>78.349999999999909</v>
      </c>
      <c r="I923" s="6">
        <f t="shared" si="203"/>
        <v>29.303571428571427</v>
      </c>
      <c r="J923" s="6">
        <f t="shared" si="204"/>
        <v>14.31428571428572</v>
      </c>
      <c r="K923" s="4">
        <f t="shared" si="205"/>
        <v>2.0471556886227535</v>
      </c>
      <c r="L923">
        <f t="shared" si="206"/>
        <v>67.182510439695392</v>
      </c>
      <c r="M923" s="14" t="str">
        <f t="shared" si="199"/>
        <v/>
      </c>
      <c r="N923" s="7">
        <f t="shared" si="200"/>
        <v>0</v>
      </c>
      <c r="O923" s="7">
        <f t="shared" si="207"/>
        <v>0</v>
      </c>
      <c r="P923" s="7">
        <f t="shared" si="208"/>
        <v>-1</v>
      </c>
      <c r="Q923" s="10" t="e">
        <f t="shared" si="201"/>
        <v>#N/A</v>
      </c>
      <c r="R923" s="10" t="e">
        <f t="shared" si="202"/>
        <v>#N/A</v>
      </c>
      <c r="S923" s="7">
        <f t="shared" si="209"/>
        <v>1564.55</v>
      </c>
      <c r="T923" s="7">
        <f t="shared" si="210"/>
        <v>0</v>
      </c>
    </row>
    <row r="924" spans="1:20" x14ac:dyDescent="0.25">
      <c r="A924" s="1">
        <v>42570</v>
      </c>
      <c r="B924">
        <v>2009</v>
      </c>
      <c r="C924">
        <v>2025</v>
      </c>
      <c r="D924">
        <v>1975</v>
      </c>
      <c r="E924">
        <v>1988.8</v>
      </c>
      <c r="F924">
        <v>1379798</v>
      </c>
      <c r="G924" s="4">
        <f t="shared" si="197"/>
        <v>0</v>
      </c>
      <c r="H924" s="4">
        <f t="shared" si="198"/>
        <v>1.9500000000000455</v>
      </c>
      <c r="I924" s="6">
        <f t="shared" si="203"/>
        <v>29.303571428571427</v>
      </c>
      <c r="J924" s="6">
        <f t="shared" si="204"/>
        <v>14.207142857142864</v>
      </c>
      <c r="K924" s="4">
        <f t="shared" si="205"/>
        <v>2.0625942684766203</v>
      </c>
      <c r="L924">
        <f t="shared" si="206"/>
        <v>67.347943856193041</v>
      </c>
      <c r="M924" s="14" t="str">
        <f t="shared" si="199"/>
        <v/>
      </c>
      <c r="N924" s="7">
        <f t="shared" si="200"/>
        <v>0</v>
      </c>
      <c r="O924" s="7">
        <f t="shared" si="207"/>
        <v>0</v>
      </c>
      <c r="P924" s="7">
        <f t="shared" si="208"/>
        <v>-1</v>
      </c>
      <c r="Q924" s="10" t="e">
        <f t="shared" si="201"/>
        <v>#N/A</v>
      </c>
      <c r="R924" s="10" t="e">
        <f t="shared" si="202"/>
        <v>#N/A</v>
      </c>
      <c r="S924" s="7">
        <f t="shared" si="209"/>
        <v>1564.55</v>
      </c>
      <c r="T924" s="7">
        <f t="shared" si="210"/>
        <v>0</v>
      </c>
    </row>
    <row r="925" spans="1:20" x14ac:dyDescent="0.25">
      <c r="A925" s="1">
        <v>42571</v>
      </c>
      <c r="B925">
        <v>1986</v>
      </c>
      <c r="C925">
        <v>2016.7</v>
      </c>
      <c r="D925">
        <v>1981</v>
      </c>
      <c r="E925">
        <v>1987.9</v>
      </c>
      <c r="F925">
        <v>2150486</v>
      </c>
      <c r="G925" s="4">
        <f t="shared" si="197"/>
        <v>0</v>
      </c>
      <c r="H925" s="4">
        <f t="shared" si="198"/>
        <v>0.89999999999986358</v>
      </c>
      <c r="I925" s="6">
        <f t="shared" si="203"/>
        <v>29.303571428571427</v>
      </c>
      <c r="J925" s="6">
        <f t="shared" si="204"/>
        <v>11.339285714285714</v>
      </c>
      <c r="K925" s="4">
        <f t="shared" si="205"/>
        <v>2.5842519685039371</v>
      </c>
      <c r="L925">
        <f t="shared" si="206"/>
        <v>72.100175746924435</v>
      </c>
      <c r="M925" s="14" t="str">
        <f t="shared" si="199"/>
        <v>OVERBOUGHT</v>
      </c>
      <c r="N925" s="7" t="str">
        <f t="shared" si="200"/>
        <v>SELL</v>
      </c>
      <c r="O925" s="7">
        <f t="shared" si="207"/>
        <v>0</v>
      </c>
      <c r="P925" s="7">
        <f t="shared" si="208"/>
        <v>-1</v>
      </c>
      <c r="Q925" s="10" t="e">
        <f t="shared" si="201"/>
        <v>#N/A</v>
      </c>
      <c r="R925" s="10" t="e">
        <f t="shared" si="202"/>
        <v>#N/A</v>
      </c>
      <c r="S925" s="7">
        <f t="shared" si="209"/>
        <v>1564.55</v>
      </c>
      <c r="T925" s="7">
        <f t="shared" si="210"/>
        <v>0</v>
      </c>
    </row>
    <row r="926" spans="1:20" x14ac:dyDescent="0.25">
      <c r="A926" s="1">
        <v>42572</v>
      </c>
      <c r="B926">
        <v>2008</v>
      </c>
      <c r="C926">
        <v>2018</v>
      </c>
      <c r="D926">
        <v>1983.5</v>
      </c>
      <c r="E926">
        <v>1993.8</v>
      </c>
      <c r="F926">
        <v>1504247</v>
      </c>
      <c r="G926" s="4">
        <f t="shared" si="197"/>
        <v>5.8999999999998636</v>
      </c>
      <c r="H926" s="4">
        <f t="shared" si="198"/>
        <v>0</v>
      </c>
      <c r="I926" s="6">
        <f t="shared" si="203"/>
        <v>29.724999999999991</v>
      </c>
      <c r="J926" s="6">
        <f t="shared" si="204"/>
        <v>10.010714285714275</v>
      </c>
      <c r="K926" s="4">
        <f t="shared" si="205"/>
        <v>2.9693185872279719</v>
      </c>
      <c r="L926">
        <f t="shared" si="206"/>
        <v>74.806758943016376</v>
      </c>
      <c r="M926" s="14" t="str">
        <f t="shared" si="199"/>
        <v>OVERBOUGHT</v>
      </c>
      <c r="N926" s="7" t="str">
        <f t="shared" si="200"/>
        <v>SELL</v>
      </c>
      <c r="O926" s="7">
        <f t="shared" si="207"/>
        <v>0</v>
      </c>
      <c r="P926" s="7">
        <f t="shared" si="208"/>
        <v>-1</v>
      </c>
      <c r="Q926" s="10" t="e">
        <f t="shared" si="201"/>
        <v>#N/A</v>
      </c>
      <c r="R926" s="10" t="e">
        <f t="shared" si="202"/>
        <v>#N/A</v>
      </c>
      <c r="S926" s="7">
        <f t="shared" si="209"/>
        <v>1564.55</v>
      </c>
      <c r="T926" s="7">
        <f t="shared" si="210"/>
        <v>0</v>
      </c>
    </row>
    <row r="927" spans="1:20" x14ac:dyDescent="0.25">
      <c r="A927" s="1">
        <v>42573</v>
      </c>
      <c r="B927">
        <v>1995</v>
      </c>
      <c r="C927">
        <v>1998.55</v>
      </c>
      <c r="D927">
        <v>1945.8</v>
      </c>
      <c r="E927">
        <v>1967.9</v>
      </c>
      <c r="F927">
        <v>952784</v>
      </c>
      <c r="G927" s="4">
        <f t="shared" si="197"/>
        <v>0</v>
      </c>
      <c r="H927" s="4">
        <f t="shared" si="198"/>
        <v>25.899999999999864</v>
      </c>
      <c r="I927" s="6">
        <f t="shared" si="203"/>
        <v>25.35714285714284</v>
      </c>
      <c r="J927" s="6">
        <f t="shared" si="204"/>
        <v>11.860714285714266</v>
      </c>
      <c r="K927" s="4">
        <f t="shared" si="205"/>
        <v>2.1379102679915709</v>
      </c>
      <c r="L927">
        <f t="shared" si="206"/>
        <v>68.131657230592097</v>
      </c>
      <c r="M927" s="14" t="str">
        <f t="shared" si="199"/>
        <v/>
      </c>
      <c r="N927" s="7">
        <f t="shared" si="200"/>
        <v>0</v>
      </c>
      <c r="O927" s="7">
        <f t="shared" si="207"/>
        <v>0</v>
      </c>
      <c r="P927" s="7">
        <f t="shared" si="208"/>
        <v>-1</v>
      </c>
      <c r="Q927" s="10" t="e">
        <f t="shared" si="201"/>
        <v>#N/A</v>
      </c>
      <c r="R927" s="10" t="e">
        <f t="shared" si="202"/>
        <v>#N/A</v>
      </c>
      <c r="S927" s="7">
        <f t="shared" si="209"/>
        <v>1564.55</v>
      </c>
      <c r="T927" s="7">
        <f t="shared" si="210"/>
        <v>0</v>
      </c>
    </row>
    <row r="928" spans="1:20" x14ac:dyDescent="0.25">
      <c r="A928" s="1">
        <v>42576</v>
      </c>
      <c r="B928">
        <v>1965</v>
      </c>
      <c r="C928">
        <v>1990</v>
      </c>
      <c r="D928">
        <v>1946.55</v>
      </c>
      <c r="E928">
        <v>1953.75</v>
      </c>
      <c r="F928">
        <v>1048160</v>
      </c>
      <c r="G928" s="4">
        <f t="shared" si="197"/>
        <v>0</v>
      </c>
      <c r="H928" s="4">
        <f t="shared" si="198"/>
        <v>14.150000000000091</v>
      </c>
      <c r="I928" s="6">
        <f t="shared" si="203"/>
        <v>21.749999999999982</v>
      </c>
      <c r="J928" s="6">
        <f t="shared" si="204"/>
        <v>12.871428571428558</v>
      </c>
      <c r="K928" s="4">
        <f t="shared" si="205"/>
        <v>1.6897891231964488</v>
      </c>
      <c r="L928">
        <f t="shared" si="206"/>
        <v>62.822364349081909</v>
      </c>
      <c r="M928" s="14" t="str">
        <f t="shared" si="199"/>
        <v/>
      </c>
      <c r="N928" s="7">
        <f t="shared" si="200"/>
        <v>0</v>
      </c>
      <c r="O928" s="7">
        <f t="shared" si="207"/>
        <v>0</v>
      </c>
      <c r="P928" s="7">
        <f t="shared" si="208"/>
        <v>-1</v>
      </c>
      <c r="Q928" s="10" t="e">
        <f t="shared" si="201"/>
        <v>#N/A</v>
      </c>
      <c r="R928" s="10" t="e">
        <f t="shared" si="202"/>
        <v>#N/A</v>
      </c>
      <c r="S928" s="7">
        <f t="shared" si="209"/>
        <v>1564.55</v>
      </c>
      <c r="T928" s="7">
        <f t="shared" si="210"/>
        <v>0</v>
      </c>
    </row>
    <row r="929" spans="1:20" x14ac:dyDescent="0.25">
      <c r="A929" s="1">
        <v>42577</v>
      </c>
      <c r="B929">
        <v>1950</v>
      </c>
      <c r="C929">
        <v>1985</v>
      </c>
      <c r="D929">
        <v>1894.05</v>
      </c>
      <c r="E929">
        <v>1902.55</v>
      </c>
      <c r="F929">
        <v>1230253</v>
      </c>
      <c r="G929" s="4">
        <f t="shared" si="197"/>
        <v>0</v>
      </c>
      <c r="H929" s="4">
        <f t="shared" si="198"/>
        <v>51.200000000000045</v>
      </c>
      <c r="I929" s="6">
        <f t="shared" si="203"/>
        <v>20.853571428571417</v>
      </c>
      <c r="J929" s="6">
        <f t="shared" si="204"/>
        <v>16.528571428571418</v>
      </c>
      <c r="K929" s="4">
        <f t="shared" si="205"/>
        <v>1.2616681071737252</v>
      </c>
      <c r="L929">
        <f t="shared" si="206"/>
        <v>55.784847616317954</v>
      </c>
      <c r="M929" s="14" t="str">
        <f t="shared" si="199"/>
        <v/>
      </c>
      <c r="N929" s="7">
        <f t="shared" si="200"/>
        <v>0</v>
      </c>
      <c r="O929" s="7">
        <f t="shared" si="207"/>
        <v>0</v>
      </c>
      <c r="P929" s="7">
        <f t="shared" si="208"/>
        <v>-1</v>
      </c>
      <c r="Q929" s="10" t="e">
        <f t="shared" si="201"/>
        <v>#N/A</v>
      </c>
      <c r="R929" s="10" t="e">
        <f t="shared" si="202"/>
        <v>#N/A</v>
      </c>
      <c r="S929" s="7">
        <f t="shared" si="209"/>
        <v>1564.55</v>
      </c>
      <c r="T929" s="7">
        <f t="shared" si="210"/>
        <v>0</v>
      </c>
    </row>
    <row r="930" spans="1:20" x14ac:dyDescent="0.25">
      <c r="A930" s="1">
        <v>42578</v>
      </c>
      <c r="B930">
        <v>1900</v>
      </c>
      <c r="C930">
        <v>1952.55</v>
      </c>
      <c r="D930">
        <v>1897.1</v>
      </c>
      <c r="E930">
        <v>1947.45</v>
      </c>
      <c r="F930">
        <v>1663908</v>
      </c>
      <c r="G930" s="4">
        <f t="shared" si="197"/>
        <v>44.900000000000091</v>
      </c>
      <c r="H930" s="4">
        <f t="shared" si="198"/>
        <v>0</v>
      </c>
      <c r="I930" s="6">
        <f t="shared" si="203"/>
        <v>24.06071428571428</v>
      </c>
      <c r="J930" s="6">
        <f t="shared" si="204"/>
        <v>16.299999999999986</v>
      </c>
      <c r="K930" s="4">
        <f t="shared" si="205"/>
        <v>1.476117440841368</v>
      </c>
      <c r="L930">
        <f t="shared" si="206"/>
        <v>59.614193434209376</v>
      </c>
      <c r="M930" s="14" t="str">
        <f t="shared" si="199"/>
        <v/>
      </c>
      <c r="N930" s="7">
        <f t="shared" si="200"/>
        <v>0</v>
      </c>
      <c r="O930" s="7">
        <f t="shared" si="207"/>
        <v>0</v>
      </c>
      <c r="P930" s="7">
        <f t="shared" si="208"/>
        <v>-1</v>
      </c>
      <c r="Q930" s="10" t="e">
        <f t="shared" si="201"/>
        <v>#N/A</v>
      </c>
      <c r="R930" s="10" t="e">
        <f t="shared" si="202"/>
        <v>#N/A</v>
      </c>
      <c r="S930" s="7">
        <f t="shared" si="209"/>
        <v>1564.55</v>
      </c>
      <c r="T930" s="7">
        <f t="shared" si="210"/>
        <v>0</v>
      </c>
    </row>
    <row r="931" spans="1:20" x14ac:dyDescent="0.25">
      <c r="A931" s="1">
        <v>42579</v>
      </c>
      <c r="B931">
        <v>1942.05</v>
      </c>
      <c r="C931">
        <v>1964.8</v>
      </c>
      <c r="D931">
        <v>1937.9</v>
      </c>
      <c r="E931">
        <v>1954.5</v>
      </c>
      <c r="F931">
        <v>1054909</v>
      </c>
      <c r="G931" s="4">
        <f t="shared" si="197"/>
        <v>7.0499999999999545</v>
      </c>
      <c r="H931" s="4">
        <f t="shared" si="198"/>
        <v>0</v>
      </c>
      <c r="I931" s="6">
        <f t="shared" si="203"/>
        <v>19.628571428571409</v>
      </c>
      <c r="J931" s="6">
        <f t="shared" si="204"/>
        <v>16.299999999999986</v>
      </c>
      <c r="K931" s="4">
        <f t="shared" si="205"/>
        <v>1.2042068361086764</v>
      </c>
      <c r="L931">
        <f t="shared" si="206"/>
        <v>54.632206759443342</v>
      </c>
      <c r="M931" s="14" t="str">
        <f t="shared" si="199"/>
        <v/>
      </c>
      <c r="N931" s="7">
        <f t="shared" si="200"/>
        <v>0</v>
      </c>
      <c r="O931" s="7">
        <f t="shared" si="207"/>
        <v>0</v>
      </c>
      <c r="P931" s="7">
        <f t="shared" si="208"/>
        <v>-1</v>
      </c>
      <c r="Q931" s="10" t="e">
        <f t="shared" si="201"/>
        <v>#N/A</v>
      </c>
      <c r="R931" s="10" t="e">
        <f t="shared" si="202"/>
        <v>#N/A</v>
      </c>
      <c r="S931" s="7">
        <f t="shared" si="209"/>
        <v>1564.55</v>
      </c>
      <c r="T931" s="7">
        <f t="shared" si="210"/>
        <v>0</v>
      </c>
    </row>
    <row r="932" spans="1:20" x14ac:dyDescent="0.25">
      <c r="A932" s="1">
        <v>42580</v>
      </c>
      <c r="B932">
        <v>1948</v>
      </c>
      <c r="C932">
        <v>1990</v>
      </c>
      <c r="D932">
        <v>1926.5</v>
      </c>
      <c r="E932">
        <v>1966.3</v>
      </c>
      <c r="F932">
        <v>1953620</v>
      </c>
      <c r="G932" s="4">
        <f t="shared" si="197"/>
        <v>11.799999999999955</v>
      </c>
      <c r="H932" s="4">
        <f t="shared" si="198"/>
        <v>0</v>
      </c>
      <c r="I932" s="6">
        <f t="shared" si="203"/>
        <v>17.67142857142856</v>
      </c>
      <c r="J932" s="6">
        <f t="shared" si="204"/>
        <v>16.299999999999986</v>
      </c>
      <c r="K932" s="4">
        <f t="shared" si="205"/>
        <v>1.0841367221735323</v>
      </c>
      <c r="L932">
        <f t="shared" si="206"/>
        <v>52.018502943650141</v>
      </c>
      <c r="M932" s="14" t="str">
        <f t="shared" si="199"/>
        <v/>
      </c>
      <c r="N932" s="7">
        <f t="shared" si="200"/>
        <v>0</v>
      </c>
      <c r="O932" s="7">
        <f t="shared" si="207"/>
        <v>0</v>
      </c>
      <c r="P932" s="7">
        <f t="shared" si="208"/>
        <v>-1</v>
      </c>
      <c r="Q932" s="10" t="e">
        <f t="shared" si="201"/>
        <v>#N/A</v>
      </c>
      <c r="R932" s="10" t="e">
        <f t="shared" si="202"/>
        <v>#N/A</v>
      </c>
      <c r="S932" s="7">
        <f t="shared" si="209"/>
        <v>1564.55</v>
      </c>
      <c r="T932" s="7">
        <f t="shared" si="210"/>
        <v>0</v>
      </c>
    </row>
    <row r="933" spans="1:20" x14ac:dyDescent="0.25">
      <c r="A933" s="1">
        <v>42583</v>
      </c>
      <c r="B933">
        <v>1950</v>
      </c>
      <c r="C933">
        <v>1989.9</v>
      </c>
      <c r="D933">
        <v>1941</v>
      </c>
      <c r="E933">
        <v>1950.3</v>
      </c>
      <c r="F933">
        <v>1795929</v>
      </c>
      <c r="G933" s="4">
        <f t="shared" si="197"/>
        <v>0</v>
      </c>
      <c r="H933" s="4">
        <f t="shared" si="198"/>
        <v>16</v>
      </c>
      <c r="I933" s="6">
        <f t="shared" si="203"/>
        <v>11.521428571428553</v>
      </c>
      <c r="J933" s="6">
        <f t="shared" si="204"/>
        <v>17.442857142857129</v>
      </c>
      <c r="K933" s="4">
        <f t="shared" si="205"/>
        <v>0.66052416052415996</v>
      </c>
      <c r="L933">
        <f t="shared" si="206"/>
        <v>39.778051787916127</v>
      </c>
      <c r="M933" s="14" t="str">
        <f t="shared" si="199"/>
        <v/>
      </c>
      <c r="N933" s="7">
        <f t="shared" si="200"/>
        <v>0</v>
      </c>
      <c r="O933" s="7">
        <f t="shared" si="207"/>
        <v>0</v>
      </c>
      <c r="P933" s="7">
        <f t="shared" si="208"/>
        <v>-1</v>
      </c>
      <c r="Q933" s="10" t="e">
        <f t="shared" si="201"/>
        <v>#N/A</v>
      </c>
      <c r="R933" s="10" t="e">
        <f t="shared" si="202"/>
        <v>#N/A</v>
      </c>
      <c r="S933" s="7">
        <f t="shared" si="209"/>
        <v>1564.55</v>
      </c>
      <c r="T933" s="7">
        <f t="shared" si="210"/>
        <v>0</v>
      </c>
    </row>
    <row r="934" spans="1:20" x14ac:dyDescent="0.25">
      <c r="A934" s="1">
        <v>42584</v>
      </c>
      <c r="B934">
        <v>1950</v>
      </c>
      <c r="C934">
        <v>1977.2</v>
      </c>
      <c r="D934">
        <v>1940</v>
      </c>
      <c r="E934">
        <v>1955.1</v>
      </c>
      <c r="F934">
        <v>1494379</v>
      </c>
      <c r="G934" s="4">
        <f t="shared" si="197"/>
        <v>4.7999999999999545</v>
      </c>
      <c r="H934" s="4">
        <f t="shared" si="198"/>
        <v>0</v>
      </c>
      <c r="I934" s="6">
        <f t="shared" si="203"/>
        <v>10.174999999999986</v>
      </c>
      <c r="J934" s="6">
        <f t="shared" si="204"/>
        <v>17.442857142857129</v>
      </c>
      <c r="K934" s="4">
        <f t="shared" si="205"/>
        <v>0.58333333333333304</v>
      </c>
      <c r="L934">
        <f t="shared" si="206"/>
        <v>36.842105263157883</v>
      </c>
      <c r="M934" s="14" t="str">
        <f t="shared" si="199"/>
        <v/>
      </c>
      <c r="N934" s="7">
        <f t="shared" si="200"/>
        <v>0</v>
      </c>
      <c r="O934" s="7">
        <f t="shared" si="207"/>
        <v>0</v>
      </c>
      <c r="P934" s="7">
        <f t="shared" si="208"/>
        <v>-1</v>
      </c>
      <c r="Q934" s="10" t="e">
        <f t="shared" si="201"/>
        <v>#N/A</v>
      </c>
      <c r="R934" s="10" t="e">
        <f t="shared" si="202"/>
        <v>#N/A</v>
      </c>
      <c r="S934" s="7">
        <f t="shared" si="209"/>
        <v>1564.55</v>
      </c>
      <c r="T934" s="7">
        <f t="shared" si="210"/>
        <v>0</v>
      </c>
    </row>
    <row r="935" spans="1:20" x14ac:dyDescent="0.25">
      <c r="A935" s="1">
        <v>42585</v>
      </c>
      <c r="B935">
        <v>1955</v>
      </c>
      <c r="C935">
        <v>1977.9</v>
      </c>
      <c r="D935">
        <v>1926</v>
      </c>
      <c r="E935">
        <v>1939.5</v>
      </c>
      <c r="F935">
        <v>2470150</v>
      </c>
      <c r="G935" s="4">
        <f t="shared" si="197"/>
        <v>0</v>
      </c>
      <c r="H935" s="4">
        <f t="shared" si="198"/>
        <v>15.599999999999909</v>
      </c>
      <c r="I935" s="6">
        <f t="shared" si="203"/>
        <v>10.174999999999986</v>
      </c>
      <c r="J935" s="6">
        <f t="shared" si="204"/>
        <v>14.57499999999998</v>
      </c>
      <c r="K935" s="4">
        <f t="shared" si="205"/>
        <v>0.69811320754716988</v>
      </c>
      <c r="L935">
        <f t="shared" si="206"/>
        <v>41.111111111111114</v>
      </c>
      <c r="M935" s="14" t="str">
        <f t="shared" si="199"/>
        <v/>
      </c>
      <c r="N935" s="7">
        <f t="shared" si="200"/>
        <v>0</v>
      </c>
      <c r="O935" s="7">
        <f t="shared" si="207"/>
        <v>0</v>
      </c>
      <c r="P935" s="7">
        <f t="shared" si="208"/>
        <v>-1</v>
      </c>
      <c r="Q935" s="10" t="e">
        <f t="shared" si="201"/>
        <v>#N/A</v>
      </c>
      <c r="R935" s="10" t="e">
        <f t="shared" si="202"/>
        <v>#N/A</v>
      </c>
      <c r="S935" s="7">
        <f t="shared" si="209"/>
        <v>1564.55</v>
      </c>
      <c r="T935" s="7">
        <f t="shared" si="210"/>
        <v>0</v>
      </c>
    </row>
    <row r="936" spans="1:20" x14ac:dyDescent="0.25">
      <c r="A936" s="1">
        <v>42586</v>
      </c>
      <c r="B936">
        <v>1941.5</v>
      </c>
      <c r="C936">
        <v>1970.95</v>
      </c>
      <c r="D936">
        <v>1920.2</v>
      </c>
      <c r="E936">
        <v>1959.05</v>
      </c>
      <c r="F936">
        <v>2166929</v>
      </c>
      <c r="G936" s="4">
        <f t="shared" si="197"/>
        <v>19.549999999999955</v>
      </c>
      <c r="H936" s="4">
        <f t="shared" si="198"/>
        <v>0</v>
      </c>
      <c r="I936" s="6">
        <f t="shared" si="203"/>
        <v>6.7142857142856984</v>
      </c>
      <c r="J936" s="6">
        <f t="shared" si="204"/>
        <v>14.57499999999998</v>
      </c>
      <c r="K936" s="4">
        <f t="shared" si="205"/>
        <v>0.46067140406763002</v>
      </c>
      <c r="L936">
        <f t="shared" si="206"/>
        <v>31.538332494547873</v>
      </c>
      <c r="M936" s="14" t="str">
        <f t="shared" si="199"/>
        <v/>
      </c>
      <c r="N936" s="7">
        <f t="shared" si="200"/>
        <v>0</v>
      </c>
      <c r="O936" s="7">
        <f t="shared" si="207"/>
        <v>0</v>
      </c>
      <c r="P936" s="7">
        <f t="shared" si="208"/>
        <v>-1</v>
      </c>
      <c r="Q936" s="10" t="e">
        <f t="shared" si="201"/>
        <v>#N/A</v>
      </c>
      <c r="R936" s="10" t="e">
        <f t="shared" si="202"/>
        <v>#N/A</v>
      </c>
      <c r="S936" s="7">
        <f t="shared" si="209"/>
        <v>1564.55</v>
      </c>
      <c r="T936" s="7">
        <f t="shared" si="210"/>
        <v>0</v>
      </c>
    </row>
    <row r="937" spans="1:20" x14ac:dyDescent="0.25">
      <c r="A937" s="1">
        <v>42587</v>
      </c>
      <c r="B937">
        <v>1954.8</v>
      </c>
      <c r="C937">
        <v>1974.1</v>
      </c>
      <c r="D937">
        <v>1935.1</v>
      </c>
      <c r="E937">
        <v>1942.9</v>
      </c>
      <c r="F937">
        <v>2459852</v>
      </c>
      <c r="G937" s="4">
        <f t="shared" si="197"/>
        <v>0</v>
      </c>
      <c r="H937" s="4">
        <f t="shared" si="198"/>
        <v>16.149999999999864</v>
      </c>
      <c r="I937" s="6">
        <f t="shared" si="203"/>
        <v>6.7142857142856984</v>
      </c>
      <c r="J937" s="6">
        <f t="shared" si="204"/>
        <v>10.132142857142835</v>
      </c>
      <c r="K937" s="4">
        <f t="shared" si="205"/>
        <v>0.66267183644695093</v>
      </c>
      <c r="L937">
        <f t="shared" si="206"/>
        <v>39.855840576637689</v>
      </c>
      <c r="M937" s="14" t="str">
        <f t="shared" si="199"/>
        <v/>
      </c>
      <c r="N937" s="7">
        <f t="shared" si="200"/>
        <v>0</v>
      </c>
      <c r="O937" s="7">
        <f t="shared" si="207"/>
        <v>0</v>
      </c>
      <c r="P937" s="7">
        <f t="shared" si="208"/>
        <v>-1</v>
      </c>
      <c r="Q937" s="10" t="e">
        <f t="shared" si="201"/>
        <v>#N/A</v>
      </c>
      <c r="R937" s="10" t="e">
        <f t="shared" si="202"/>
        <v>#N/A</v>
      </c>
      <c r="S937" s="7">
        <f t="shared" si="209"/>
        <v>1564.55</v>
      </c>
      <c r="T937" s="7">
        <f t="shared" si="210"/>
        <v>0</v>
      </c>
    </row>
    <row r="938" spans="1:20" x14ac:dyDescent="0.25">
      <c r="A938" s="1">
        <v>42590</v>
      </c>
      <c r="B938">
        <v>1943.1</v>
      </c>
      <c r="C938">
        <v>1961.95</v>
      </c>
      <c r="D938">
        <v>1937.45</v>
      </c>
      <c r="E938">
        <v>1948.1</v>
      </c>
      <c r="F938">
        <v>892333</v>
      </c>
      <c r="G938" s="4">
        <f t="shared" si="197"/>
        <v>5.1999999999998181</v>
      </c>
      <c r="H938" s="4">
        <f t="shared" si="198"/>
        <v>0</v>
      </c>
      <c r="I938" s="6">
        <f t="shared" si="203"/>
        <v>7.0857142857142561</v>
      </c>
      <c r="J938" s="6">
        <f t="shared" si="204"/>
        <v>9.9928571428571171</v>
      </c>
      <c r="K938" s="4">
        <f t="shared" si="205"/>
        <v>0.70907791279485233</v>
      </c>
      <c r="L938">
        <f t="shared" si="206"/>
        <v>41.488916771225391</v>
      </c>
      <c r="M938" s="14" t="str">
        <f t="shared" si="199"/>
        <v/>
      </c>
      <c r="N938" s="7">
        <f t="shared" si="200"/>
        <v>0</v>
      </c>
      <c r="O938" s="7">
        <f t="shared" si="207"/>
        <v>0</v>
      </c>
      <c r="P938" s="7">
        <f t="shared" si="208"/>
        <v>-1</v>
      </c>
      <c r="Q938" s="10" t="e">
        <f t="shared" si="201"/>
        <v>#N/A</v>
      </c>
      <c r="R938" s="10" t="e">
        <f t="shared" si="202"/>
        <v>#N/A</v>
      </c>
      <c r="S938" s="7">
        <f t="shared" si="209"/>
        <v>1564.55</v>
      </c>
      <c r="T938" s="7">
        <f t="shared" si="210"/>
        <v>0</v>
      </c>
    </row>
    <row r="939" spans="1:20" x14ac:dyDescent="0.25">
      <c r="A939" s="1">
        <v>42591</v>
      </c>
      <c r="B939">
        <v>1954</v>
      </c>
      <c r="C939">
        <v>1961.85</v>
      </c>
      <c r="D939">
        <v>1920</v>
      </c>
      <c r="E939">
        <v>1927.8</v>
      </c>
      <c r="F939">
        <v>993675</v>
      </c>
      <c r="G939" s="4">
        <f t="shared" si="197"/>
        <v>0</v>
      </c>
      <c r="H939" s="4">
        <f t="shared" si="198"/>
        <v>20.299999999999955</v>
      </c>
      <c r="I939" s="6">
        <f t="shared" si="203"/>
        <v>7.0857142857142561</v>
      </c>
      <c r="J939" s="6">
        <f t="shared" si="204"/>
        <v>11.378571428571409</v>
      </c>
      <c r="K939" s="4">
        <f t="shared" si="205"/>
        <v>0.62272441933458733</v>
      </c>
      <c r="L939">
        <f t="shared" si="206"/>
        <v>38.375241779497038</v>
      </c>
      <c r="M939" s="14" t="str">
        <f t="shared" si="199"/>
        <v/>
      </c>
      <c r="N939" s="7">
        <f t="shared" si="200"/>
        <v>0</v>
      </c>
      <c r="O939" s="7">
        <f t="shared" si="207"/>
        <v>0</v>
      </c>
      <c r="P939" s="7">
        <f t="shared" si="208"/>
        <v>-1</v>
      </c>
      <c r="Q939" s="10" t="e">
        <f t="shared" si="201"/>
        <v>#N/A</v>
      </c>
      <c r="R939" s="10" t="e">
        <f t="shared" si="202"/>
        <v>#N/A</v>
      </c>
      <c r="S939" s="7">
        <f t="shared" si="209"/>
        <v>1564.55</v>
      </c>
      <c r="T939" s="7">
        <f t="shared" si="210"/>
        <v>0</v>
      </c>
    </row>
    <row r="940" spans="1:20" x14ac:dyDescent="0.25">
      <c r="A940" s="1">
        <v>42592</v>
      </c>
      <c r="B940">
        <v>1932</v>
      </c>
      <c r="C940">
        <v>1954.85</v>
      </c>
      <c r="D940">
        <v>1916.7</v>
      </c>
      <c r="E940">
        <v>1949.05</v>
      </c>
      <c r="F940">
        <v>795997</v>
      </c>
      <c r="G940" s="4">
        <f t="shared" si="197"/>
        <v>21.25</v>
      </c>
      <c r="H940" s="4">
        <f t="shared" si="198"/>
        <v>0</v>
      </c>
      <c r="I940" s="6">
        <f t="shared" si="203"/>
        <v>8.1821428571428374</v>
      </c>
      <c r="J940" s="6">
        <f t="shared" si="204"/>
        <v>11.378571428571409</v>
      </c>
      <c r="K940" s="4">
        <f t="shared" si="205"/>
        <v>0.71908349026993046</v>
      </c>
      <c r="L940">
        <f t="shared" si="206"/>
        <v>41.829468687237515</v>
      </c>
      <c r="M940" s="14" t="str">
        <f t="shared" si="199"/>
        <v/>
      </c>
      <c r="N940" s="7">
        <f t="shared" si="200"/>
        <v>0</v>
      </c>
      <c r="O940" s="7">
        <f t="shared" si="207"/>
        <v>0</v>
      </c>
      <c r="P940" s="7">
        <f t="shared" si="208"/>
        <v>-1</v>
      </c>
      <c r="Q940" s="10" t="e">
        <f t="shared" si="201"/>
        <v>#N/A</v>
      </c>
      <c r="R940" s="10" t="e">
        <f t="shared" si="202"/>
        <v>#N/A</v>
      </c>
      <c r="S940" s="7">
        <f t="shared" si="209"/>
        <v>1564.55</v>
      </c>
      <c r="T940" s="7">
        <f t="shared" si="210"/>
        <v>0</v>
      </c>
    </row>
    <row r="941" spans="1:20" x14ac:dyDescent="0.25">
      <c r="A941" s="1">
        <v>42593</v>
      </c>
      <c r="B941">
        <v>1971.8</v>
      </c>
      <c r="C941">
        <v>2036.9</v>
      </c>
      <c r="D941">
        <v>1960.4</v>
      </c>
      <c r="E941">
        <v>2024.6</v>
      </c>
      <c r="F941">
        <v>2336177</v>
      </c>
      <c r="G941" s="4">
        <f t="shared" si="197"/>
        <v>75.549999999999955</v>
      </c>
      <c r="H941" s="4">
        <f t="shared" si="198"/>
        <v>0</v>
      </c>
      <c r="I941" s="6">
        <f t="shared" si="203"/>
        <v>13.578571428571406</v>
      </c>
      <c r="J941" s="6">
        <f t="shared" si="204"/>
        <v>9.5285714285714196</v>
      </c>
      <c r="K941" s="4">
        <f t="shared" si="205"/>
        <v>1.4250374812593694</v>
      </c>
      <c r="L941">
        <f t="shared" si="206"/>
        <v>58.763523956723326</v>
      </c>
      <c r="M941" s="14" t="str">
        <f t="shared" si="199"/>
        <v/>
      </c>
      <c r="N941" s="7">
        <f t="shared" si="200"/>
        <v>0</v>
      </c>
      <c r="O941" s="7">
        <f t="shared" si="207"/>
        <v>0</v>
      </c>
      <c r="P941" s="7">
        <f t="shared" si="208"/>
        <v>-1</v>
      </c>
      <c r="Q941" s="10" t="e">
        <f t="shared" si="201"/>
        <v>#N/A</v>
      </c>
      <c r="R941" s="10" t="e">
        <f t="shared" si="202"/>
        <v>#N/A</v>
      </c>
      <c r="S941" s="7">
        <f t="shared" si="209"/>
        <v>1564.55</v>
      </c>
      <c r="T941" s="7">
        <f t="shared" si="210"/>
        <v>0</v>
      </c>
    </row>
    <row r="942" spans="1:20" x14ac:dyDescent="0.25">
      <c r="A942" s="1">
        <v>42594</v>
      </c>
      <c r="B942">
        <v>2032</v>
      </c>
      <c r="C942">
        <v>2069</v>
      </c>
      <c r="D942">
        <v>2026.95</v>
      </c>
      <c r="E942">
        <v>2033.6</v>
      </c>
      <c r="F942">
        <v>967016</v>
      </c>
      <c r="G942" s="4">
        <f t="shared" si="197"/>
        <v>9</v>
      </c>
      <c r="H942" s="4">
        <f t="shared" si="198"/>
        <v>0</v>
      </c>
      <c r="I942" s="6">
        <f t="shared" si="203"/>
        <v>14.221428571428548</v>
      </c>
      <c r="J942" s="6">
        <f t="shared" si="204"/>
        <v>8.5178571428571264</v>
      </c>
      <c r="K942" s="4">
        <f t="shared" si="205"/>
        <v>1.6696016771488476</v>
      </c>
      <c r="L942">
        <f t="shared" si="206"/>
        <v>62.541228207947235</v>
      </c>
      <c r="M942" s="14" t="str">
        <f t="shared" si="199"/>
        <v/>
      </c>
      <c r="N942" s="7">
        <f t="shared" si="200"/>
        <v>0</v>
      </c>
      <c r="O942" s="7">
        <f t="shared" si="207"/>
        <v>0</v>
      </c>
      <c r="P942" s="7">
        <f t="shared" si="208"/>
        <v>-1</v>
      </c>
      <c r="Q942" s="10" t="e">
        <f t="shared" si="201"/>
        <v>#N/A</v>
      </c>
      <c r="R942" s="10" t="e">
        <f t="shared" si="202"/>
        <v>#N/A</v>
      </c>
      <c r="S942" s="7">
        <f t="shared" si="209"/>
        <v>1564.55</v>
      </c>
      <c r="T942" s="7">
        <f t="shared" si="210"/>
        <v>0</v>
      </c>
    </row>
    <row r="943" spans="1:20" x14ac:dyDescent="0.25">
      <c r="A943" s="1">
        <v>42597</v>
      </c>
      <c r="B943">
        <v>2035</v>
      </c>
      <c r="C943">
        <v>2097.6999999999998</v>
      </c>
      <c r="D943">
        <v>2025.3</v>
      </c>
      <c r="E943">
        <v>2089.75</v>
      </c>
      <c r="F943">
        <v>996939</v>
      </c>
      <c r="G943" s="4">
        <f t="shared" si="197"/>
        <v>56.150000000000091</v>
      </c>
      <c r="H943" s="4">
        <f t="shared" si="198"/>
        <v>0</v>
      </c>
      <c r="I943" s="6">
        <f t="shared" si="203"/>
        <v>18.23214285714284</v>
      </c>
      <c r="J943" s="6">
        <f t="shared" si="204"/>
        <v>4.8607142857142662</v>
      </c>
      <c r="K943" s="4">
        <f t="shared" si="205"/>
        <v>3.7509184423218338</v>
      </c>
      <c r="L943">
        <f t="shared" si="206"/>
        <v>78.951438292607534</v>
      </c>
      <c r="M943" s="14" t="str">
        <f t="shared" si="199"/>
        <v>OVERBOUGHT</v>
      </c>
      <c r="N943" s="7" t="str">
        <f t="shared" si="200"/>
        <v>SELL</v>
      </c>
      <c r="O943" s="7">
        <f t="shared" si="207"/>
        <v>0</v>
      </c>
      <c r="P943" s="7">
        <f t="shared" si="208"/>
        <v>-1</v>
      </c>
      <c r="Q943" s="10" t="e">
        <f t="shared" si="201"/>
        <v>#N/A</v>
      </c>
      <c r="R943" s="10" t="e">
        <f t="shared" si="202"/>
        <v>#N/A</v>
      </c>
      <c r="S943" s="7">
        <f t="shared" si="209"/>
        <v>1564.55</v>
      </c>
      <c r="T943" s="7">
        <f t="shared" si="210"/>
        <v>0</v>
      </c>
    </row>
    <row r="944" spans="1:20" x14ac:dyDescent="0.25">
      <c r="A944" s="1">
        <v>42598</v>
      </c>
      <c r="B944">
        <v>2083</v>
      </c>
      <c r="C944">
        <v>2098</v>
      </c>
      <c r="D944">
        <v>2056.5500000000002</v>
      </c>
      <c r="E944">
        <v>2061.4499999999998</v>
      </c>
      <c r="F944">
        <v>914053</v>
      </c>
      <c r="G944" s="4">
        <f t="shared" si="197"/>
        <v>0</v>
      </c>
      <c r="H944" s="4">
        <f t="shared" si="198"/>
        <v>28.300000000000182</v>
      </c>
      <c r="I944" s="6">
        <f t="shared" si="203"/>
        <v>15.024999999999977</v>
      </c>
      <c r="J944" s="6">
        <f t="shared" si="204"/>
        <v>6.8821428571428509</v>
      </c>
      <c r="K944" s="4">
        <f t="shared" si="205"/>
        <v>2.1831862999481046</v>
      </c>
      <c r="L944">
        <f t="shared" si="206"/>
        <v>68.584936419954346</v>
      </c>
      <c r="M944" s="14" t="str">
        <f t="shared" si="199"/>
        <v/>
      </c>
      <c r="N944" s="7">
        <f t="shared" si="200"/>
        <v>0</v>
      </c>
      <c r="O944" s="7">
        <f t="shared" si="207"/>
        <v>0</v>
      </c>
      <c r="P944" s="7">
        <f t="shared" si="208"/>
        <v>-1</v>
      </c>
      <c r="Q944" s="10" t="e">
        <f t="shared" si="201"/>
        <v>#N/A</v>
      </c>
      <c r="R944" s="10" t="e">
        <f t="shared" si="202"/>
        <v>#N/A</v>
      </c>
      <c r="S944" s="7">
        <f t="shared" si="209"/>
        <v>1564.55</v>
      </c>
      <c r="T944" s="7">
        <f t="shared" si="210"/>
        <v>0</v>
      </c>
    </row>
    <row r="945" spans="1:20" x14ac:dyDescent="0.25">
      <c r="A945" s="1">
        <v>42599</v>
      </c>
      <c r="B945">
        <v>2055.5</v>
      </c>
      <c r="C945">
        <v>2097.65</v>
      </c>
      <c r="D945">
        <v>2045.1</v>
      </c>
      <c r="E945">
        <v>2090.85</v>
      </c>
      <c r="F945">
        <v>887929</v>
      </c>
      <c r="G945" s="4">
        <f t="shared" si="197"/>
        <v>29.400000000000091</v>
      </c>
      <c r="H945" s="4">
        <f t="shared" si="198"/>
        <v>0</v>
      </c>
      <c r="I945" s="6">
        <f t="shared" si="203"/>
        <v>16.621428571428559</v>
      </c>
      <c r="J945" s="6">
        <f t="shared" si="204"/>
        <v>6.8821428571428509</v>
      </c>
      <c r="K945" s="4">
        <f t="shared" si="205"/>
        <v>2.4151530877010901</v>
      </c>
      <c r="L945">
        <f t="shared" si="206"/>
        <v>70.718735754444623</v>
      </c>
      <c r="M945" s="14" t="str">
        <f t="shared" si="199"/>
        <v>OVERBOUGHT</v>
      </c>
      <c r="N945" s="7" t="str">
        <f t="shared" si="200"/>
        <v>SELL</v>
      </c>
      <c r="O945" s="7">
        <f t="shared" si="207"/>
        <v>0</v>
      </c>
      <c r="P945" s="7">
        <f t="shared" si="208"/>
        <v>-1</v>
      </c>
      <c r="Q945" s="10" t="e">
        <f t="shared" si="201"/>
        <v>#N/A</v>
      </c>
      <c r="R945" s="10" t="e">
        <f t="shared" si="202"/>
        <v>#N/A</v>
      </c>
      <c r="S945" s="7">
        <f t="shared" si="209"/>
        <v>1564.55</v>
      </c>
      <c r="T945" s="7">
        <f t="shared" si="210"/>
        <v>0</v>
      </c>
    </row>
    <row r="946" spans="1:20" x14ac:dyDescent="0.25">
      <c r="A946" s="1">
        <v>42600</v>
      </c>
      <c r="B946">
        <v>2088</v>
      </c>
      <c r="C946">
        <v>2098</v>
      </c>
      <c r="D946">
        <v>2067.25</v>
      </c>
      <c r="E946">
        <v>2080</v>
      </c>
      <c r="F946">
        <v>582160</v>
      </c>
      <c r="G946" s="4">
        <f t="shared" si="197"/>
        <v>0</v>
      </c>
      <c r="H946" s="4">
        <f t="shared" si="198"/>
        <v>10.849999999999909</v>
      </c>
      <c r="I946" s="6">
        <f t="shared" si="203"/>
        <v>15.77857142857142</v>
      </c>
      <c r="J946" s="6">
        <f t="shared" si="204"/>
        <v>7.6571428571428442</v>
      </c>
      <c r="K946" s="4">
        <f t="shared" si="205"/>
        <v>2.0606343283582111</v>
      </c>
      <c r="L946">
        <f t="shared" si="206"/>
        <v>67.327034440719316</v>
      </c>
      <c r="M946" s="14" t="str">
        <f t="shared" si="199"/>
        <v/>
      </c>
      <c r="N946" s="7">
        <f t="shared" si="200"/>
        <v>0</v>
      </c>
      <c r="O946" s="7">
        <f t="shared" si="207"/>
        <v>0</v>
      </c>
      <c r="P946" s="7">
        <f t="shared" si="208"/>
        <v>-1</v>
      </c>
      <c r="Q946" s="10" t="e">
        <f t="shared" si="201"/>
        <v>#N/A</v>
      </c>
      <c r="R946" s="10" t="e">
        <f t="shared" si="202"/>
        <v>#N/A</v>
      </c>
      <c r="S946" s="7">
        <f t="shared" si="209"/>
        <v>1564.55</v>
      </c>
      <c r="T946" s="7">
        <f t="shared" si="210"/>
        <v>0</v>
      </c>
    </row>
    <row r="947" spans="1:20" x14ac:dyDescent="0.25">
      <c r="A947" s="1">
        <v>42601</v>
      </c>
      <c r="B947">
        <v>2103</v>
      </c>
      <c r="C947">
        <v>2138</v>
      </c>
      <c r="D947">
        <v>2082.4</v>
      </c>
      <c r="E947">
        <v>2122.0500000000002</v>
      </c>
      <c r="F947">
        <v>1142224</v>
      </c>
      <c r="G947" s="4">
        <f t="shared" si="197"/>
        <v>42.050000000000182</v>
      </c>
      <c r="H947" s="4">
        <f t="shared" si="198"/>
        <v>0</v>
      </c>
      <c r="I947" s="6">
        <f t="shared" si="203"/>
        <v>18.782142857142862</v>
      </c>
      <c r="J947" s="6">
        <f t="shared" si="204"/>
        <v>6.5142857142857009</v>
      </c>
      <c r="K947" s="4">
        <f t="shared" si="205"/>
        <v>2.8832236842105328</v>
      </c>
      <c r="L947">
        <f t="shared" si="206"/>
        <v>74.248199915290172</v>
      </c>
      <c r="M947" s="14" t="str">
        <f t="shared" si="199"/>
        <v>OVERBOUGHT</v>
      </c>
      <c r="N947" s="7" t="str">
        <f t="shared" si="200"/>
        <v>SELL</v>
      </c>
      <c r="O947" s="7">
        <f t="shared" si="207"/>
        <v>0</v>
      </c>
      <c r="P947" s="7">
        <f t="shared" si="208"/>
        <v>-1</v>
      </c>
      <c r="Q947" s="10" t="e">
        <f t="shared" si="201"/>
        <v>#N/A</v>
      </c>
      <c r="R947" s="10" t="e">
        <f t="shared" si="202"/>
        <v>#N/A</v>
      </c>
      <c r="S947" s="7">
        <f t="shared" si="209"/>
        <v>1564.55</v>
      </c>
      <c r="T947" s="7">
        <f t="shared" si="210"/>
        <v>0</v>
      </c>
    </row>
    <row r="948" spans="1:20" x14ac:dyDescent="0.25">
      <c r="A948" s="1">
        <v>42604</v>
      </c>
      <c r="B948">
        <v>2127.5</v>
      </c>
      <c r="C948">
        <v>2225</v>
      </c>
      <c r="D948">
        <v>2125</v>
      </c>
      <c r="E948">
        <v>2212.75</v>
      </c>
      <c r="F948">
        <v>2187230</v>
      </c>
      <c r="G948" s="4">
        <f t="shared" si="197"/>
        <v>90.699999999999818</v>
      </c>
      <c r="H948" s="4">
        <f t="shared" si="198"/>
        <v>0</v>
      </c>
      <c r="I948" s="6">
        <f t="shared" si="203"/>
        <v>24.917857142857137</v>
      </c>
      <c r="J948" s="6">
        <f t="shared" si="204"/>
        <v>6.5142857142857009</v>
      </c>
      <c r="K948" s="4">
        <f t="shared" si="205"/>
        <v>3.825109649122814</v>
      </c>
      <c r="L948">
        <f t="shared" si="206"/>
        <v>79.275082377002633</v>
      </c>
      <c r="M948" s="14" t="str">
        <f t="shared" si="199"/>
        <v>OVERBOUGHT</v>
      </c>
      <c r="N948" s="7" t="str">
        <f t="shared" si="200"/>
        <v>SELL</v>
      </c>
      <c r="O948" s="7">
        <f t="shared" si="207"/>
        <v>0</v>
      </c>
      <c r="P948" s="7">
        <f t="shared" si="208"/>
        <v>-1</v>
      </c>
      <c r="Q948" s="10" t="e">
        <f t="shared" si="201"/>
        <v>#N/A</v>
      </c>
      <c r="R948" s="10" t="e">
        <f t="shared" si="202"/>
        <v>#N/A</v>
      </c>
      <c r="S948" s="7">
        <f t="shared" si="209"/>
        <v>1564.55</v>
      </c>
      <c r="T948" s="7">
        <f t="shared" si="210"/>
        <v>0</v>
      </c>
    </row>
    <row r="949" spans="1:20" x14ac:dyDescent="0.25">
      <c r="A949" s="1">
        <v>42605</v>
      </c>
      <c r="B949">
        <v>2235</v>
      </c>
      <c r="C949">
        <v>2258.85</v>
      </c>
      <c r="D949">
        <v>2201</v>
      </c>
      <c r="E949">
        <v>2215.4</v>
      </c>
      <c r="F949">
        <v>2332546</v>
      </c>
      <c r="G949" s="4">
        <f t="shared" si="197"/>
        <v>2.6500000000000909</v>
      </c>
      <c r="H949" s="4">
        <f t="shared" si="198"/>
        <v>0</v>
      </c>
      <c r="I949" s="6">
        <f t="shared" si="203"/>
        <v>25.107142857142858</v>
      </c>
      <c r="J949" s="6">
        <f t="shared" si="204"/>
        <v>5.3999999999999932</v>
      </c>
      <c r="K949" s="4">
        <f t="shared" si="205"/>
        <v>4.6494708994709057</v>
      </c>
      <c r="L949">
        <f t="shared" si="206"/>
        <v>82.299227347225496</v>
      </c>
      <c r="M949" s="14" t="str">
        <f t="shared" si="199"/>
        <v>OVERBOUGHT</v>
      </c>
      <c r="N949" s="7" t="str">
        <f t="shared" si="200"/>
        <v>SELL</v>
      </c>
      <c r="O949" s="7">
        <f t="shared" si="207"/>
        <v>0</v>
      </c>
      <c r="P949" s="7">
        <f t="shared" si="208"/>
        <v>-1</v>
      </c>
      <c r="Q949" s="10" t="e">
        <f t="shared" si="201"/>
        <v>#N/A</v>
      </c>
      <c r="R949" s="10" t="e">
        <f t="shared" si="202"/>
        <v>#N/A</v>
      </c>
      <c r="S949" s="7">
        <f t="shared" si="209"/>
        <v>1564.55</v>
      </c>
      <c r="T949" s="7">
        <f t="shared" si="210"/>
        <v>0</v>
      </c>
    </row>
    <row r="950" spans="1:20" x14ac:dyDescent="0.25">
      <c r="A950" s="1">
        <v>42606</v>
      </c>
      <c r="B950">
        <v>2230</v>
      </c>
      <c r="C950">
        <v>2230</v>
      </c>
      <c r="D950">
        <v>2095.6999999999998</v>
      </c>
      <c r="E950">
        <v>2108.4499999999998</v>
      </c>
      <c r="F950">
        <v>3343607</v>
      </c>
      <c r="G950" s="4">
        <f t="shared" si="197"/>
        <v>0</v>
      </c>
      <c r="H950" s="4">
        <f t="shared" si="198"/>
        <v>106.95000000000027</v>
      </c>
      <c r="I950" s="6">
        <f t="shared" si="203"/>
        <v>23.710714285714289</v>
      </c>
      <c r="J950" s="6">
        <f t="shared" si="204"/>
        <v>13.039285714285727</v>
      </c>
      <c r="K950" s="4">
        <f t="shared" si="205"/>
        <v>1.8184059161873445</v>
      </c>
      <c r="L950">
        <f t="shared" si="206"/>
        <v>64.518950437317756</v>
      </c>
      <c r="M950" s="14" t="str">
        <f t="shared" si="199"/>
        <v/>
      </c>
      <c r="N950" s="7">
        <f t="shared" si="200"/>
        <v>0</v>
      </c>
      <c r="O950" s="7">
        <f t="shared" si="207"/>
        <v>0</v>
      </c>
      <c r="P950" s="7">
        <f t="shared" si="208"/>
        <v>-1</v>
      </c>
      <c r="Q950" s="10" t="e">
        <f t="shared" si="201"/>
        <v>#N/A</v>
      </c>
      <c r="R950" s="10" t="e">
        <f t="shared" si="202"/>
        <v>#N/A</v>
      </c>
      <c r="S950" s="7">
        <f t="shared" si="209"/>
        <v>1564.55</v>
      </c>
      <c r="T950" s="7">
        <f t="shared" si="210"/>
        <v>0</v>
      </c>
    </row>
    <row r="951" spans="1:20" x14ac:dyDescent="0.25">
      <c r="A951" s="1">
        <v>42607</v>
      </c>
      <c r="B951">
        <v>2104.8000000000002</v>
      </c>
      <c r="C951">
        <v>2133.8000000000002</v>
      </c>
      <c r="D951">
        <v>2061.5500000000002</v>
      </c>
      <c r="E951">
        <v>2120.65</v>
      </c>
      <c r="F951">
        <v>2673083</v>
      </c>
      <c r="G951" s="4">
        <f t="shared" si="197"/>
        <v>12.200000000000273</v>
      </c>
      <c r="H951" s="4">
        <f t="shared" si="198"/>
        <v>0</v>
      </c>
      <c r="I951" s="6">
        <f t="shared" si="203"/>
        <v>24.58214285714288</v>
      </c>
      <c r="J951" s="6">
        <f t="shared" si="204"/>
        <v>11.885714285714309</v>
      </c>
      <c r="K951" s="4">
        <f t="shared" si="205"/>
        <v>2.0682091346153824</v>
      </c>
      <c r="L951">
        <f t="shared" si="206"/>
        <v>67.407697581040026</v>
      </c>
      <c r="M951" s="14" t="str">
        <f t="shared" si="199"/>
        <v/>
      </c>
      <c r="N951" s="7">
        <f t="shared" si="200"/>
        <v>0</v>
      </c>
      <c r="O951" s="7">
        <f t="shared" si="207"/>
        <v>0</v>
      </c>
      <c r="P951" s="7">
        <f t="shared" si="208"/>
        <v>-1</v>
      </c>
      <c r="Q951" s="10" t="e">
        <f t="shared" si="201"/>
        <v>#N/A</v>
      </c>
      <c r="R951" s="10" t="e">
        <f t="shared" si="202"/>
        <v>#N/A</v>
      </c>
      <c r="S951" s="7">
        <f t="shared" si="209"/>
        <v>1564.55</v>
      </c>
      <c r="T951" s="7">
        <f t="shared" si="210"/>
        <v>0</v>
      </c>
    </row>
    <row r="952" spans="1:20" x14ac:dyDescent="0.25">
      <c r="A952" s="1">
        <v>42608</v>
      </c>
      <c r="B952">
        <v>2125</v>
      </c>
      <c r="C952">
        <v>2127.9499999999998</v>
      </c>
      <c r="D952">
        <v>2050</v>
      </c>
      <c r="E952">
        <v>2071.65</v>
      </c>
      <c r="F952">
        <v>1842686</v>
      </c>
      <c r="G952" s="4">
        <f t="shared" si="197"/>
        <v>0</v>
      </c>
      <c r="H952" s="4">
        <f t="shared" si="198"/>
        <v>49</v>
      </c>
      <c r="I952" s="6">
        <f t="shared" si="203"/>
        <v>24.210714285714321</v>
      </c>
      <c r="J952" s="6">
        <f t="shared" si="204"/>
        <v>15.385714285714309</v>
      </c>
      <c r="K952" s="4">
        <f t="shared" si="205"/>
        <v>1.5735840297121633</v>
      </c>
      <c r="L952">
        <f t="shared" si="206"/>
        <v>61.143681789483175</v>
      </c>
      <c r="M952" s="14" t="str">
        <f t="shared" si="199"/>
        <v/>
      </c>
      <c r="N952" s="7">
        <f t="shared" si="200"/>
        <v>0</v>
      </c>
      <c r="O952" s="7">
        <f t="shared" si="207"/>
        <v>0</v>
      </c>
      <c r="P952" s="7">
        <f t="shared" si="208"/>
        <v>-1</v>
      </c>
      <c r="Q952" s="10" t="e">
        <f t="shared" si="201"/>
        <v>#N/A</v>
      </c>
      <c r="R952" s="10" t="e">
        <f t="shared" si="202"/>
        <v>#N/A</v>
      </c>
      <c r="S952" s="7">
        <f t="shared" si="209"/>
        <v>1564.55</v>
      </c>
      <c r="T952" s="7">
        <f t="shared" si="210"/>
        <v>0</v>
      </c>
    </row>
    <row r="953" spans="1:20" x14ac:dyDescent="0.25">
      <c r="A953" s="1">
        <v>42611</v>
      </c>
      <c r="B953">
        <v>2088</v>
      </c>
      <c r="C953">
        <v>2107.65</v>
      </c>
      <c r="D953">
        <v>2076.85</v>
      </c>
      <c r="E953">
        <v>2089.35</v>
      </c>
      <c r="F953">
        <v>1022307</v>
      </c>
      <c r="G953" s="4">
        <f t="shared" si="197"/>
        <v>17.699999999999818</v>
      </c>
      <c r="H953" s="4">
        <f t="shared" si="198"/>
        <v>0</v>
      </c>
      <c r="I953" s="6">
        <f t="shared" si="203"/>
        <v>25.475000000000023</v>
      </c>
      <c r="J953" s="6">
        <f t="shared" si="204"/>
        <v>13.935714285714312</v>
      </c>
      <c r="K953" s="4">
        <f t="shared" si="205"/>
        <v>1.8280369041517153</v>
      </c>
      <c r="L953">
        <f t="shared" si="206"/>
        <v>64.639782510194806</v>
      </c>
      <c r="M953" s="14" t="str">
        <f t="shared" si="199"/>
        <v/>
      </c>
      <c r="N953" s="7">
        <f t="shared" si="200"/>
        <v>0</v>
      </c>
      <c r="O953" s="7">
        <f t="shared" si="207"/>
        <v>0</v>
      </c>
      <c r="P953" s="7">
        <f t="shared" si="208"/>
        <v>-1</v>
      </c>
      <c r="Q953" s="10" t="e">
        <f t="shared" si="201"/>
        <v>#N/A</v>
      </c>
      <c r="R953" s="10" t="e">
        <f t="shared" si="202"/>
        <v>#N/A</v>
      </c>
      <c r="S953" s="7">
        <f t="shared" si="209"/>
        <v>1564.55</v>
      </c>
      <c r="T953" s="7">
        <f t="shared" si="210"/>
        <v>0</v>
      </c>
    </row>
    <row r="954" spans="1:20" x14ac:dyDescent="0.25">
      <c r="A954" s="1">
        <v>42612</v>
      </c>
      <c r="B954">
        <v>2088.5</v>
      </c>
      <c r="C954">
        <v>2103</v>
      </c>
      <c r="D954">
        <v>2046.15</v>
      </c>
      <c r="E954">
        <v>2061.15</v>
      </c>
      <c r="F954">
        <v>1227748</v>
      </c>
      <c r="G954" s="4">
        <f t="shared" si="197"/>
        <v>0</v>
      </c>
      <c r="H954" s="4">
        <f t="shared" si="198"/>
        <v>28.199999999999818</v>
      </c>
      <c r="I954" s="6">
        <f t="shared" si="203"/>
        <v>23.95714285714288</v>
      </c>
      <c r="J954" s="6">
        <f t="shared" si="204"/>
        <v>15.950000000000014</v>
      </c>
      <c r="K954" s="4">
        <f t="shared" si="205"/>
        <v>1.5020152261531574</v>
      </c>
      <c r="L954">
        <f t="shared" si="206"/>
        <v>60.032217648111697</v>
      </c>
      <c r="M954" s="14" t="str">
        <f t="shared" si="199"/>
        <v/>
      </c>
      <c r="N954" s="7">
        <f t="shared" si="200"/>
        <v>0</v>
      </c>
      <c r="O954" s="7">
        <f t="shared" si="207"/>
        <v>0</v>
      </c>
      <c r="P954" s="7">
        <f t="shared" si="208"/>
        <v>-1</v>
      </c>
      <c r="Q954" s="10" t="e">
        <f t="shared" si="201"/>
        <v>#N/A</v>
      </c>
      <c r="R954" s="10" t="e">
        <f t="shared" si="202"/>
        <v>#N/A</v>
      </c>
      <c r="S954" s="7">
        <f t="shared" si="209"/>
        <v>1564.55</v>
      </c>
      <c r="T954" s="7">
        <f t="shared" si="210"/>
        <v>0</v>
      </c>
    </row>
    <row r="955" spans="1:20" x14ac:dyDescent="0.25">
      <c r="A955" s="1">
        <v>42613</v>
      </c>
      <c r="B955">
        <v>2042</v>
      </c>
      <c r="C955">
        <v>2082.35</v>
      </c>
      <c r="D955">
        <v>2001.85</v>
      </c>
      <c r="E955">
        <v>2008.7</v>
      </c>
      <c r="F955">
        <v>1808879</v>
      </c>
      <c r="G955" s="4">
        <f t="shared" si="197"/>
        <v>0</v>
      </c>
      <c r="H955" s="4">
        <f t="shared" si="198"/>
        <v>52.450000000000045</v>
      </c>
      <c r="I955" s="6">
        <f t="shared" si="203"/>
        <v>18.560714285714312</v>
      </c>
      <c r="J955" s="6">
        <f t="shared" si="204"/>
        <v>19.696428571428587</v>
      </c>
      <c r="K955" s="4">
        <f t="shared" si="205"/>
        <v>0.94233907524932059</v>
      </c>
      <c r="L955">
        <f t="shared" si="206"/>
        <v>48.515683345780445</v>
      </c>
      <c r="M955" s="14" t="str">
        <f t="shared" si="199"/>
        <v/>
      </c>
      <c r="N955" s="7">
        <f t="shared" si="200"/>
        <v>0</v>
      </c>
      <c r="O955" s="7">
        <f t="shared" si="207"/>
        <v>0</v>
      </c>
      <c r="P955" s="7">
        <f t="shared" si="208"/>
        <v>-1</v>
      </c>
      <c r="Q955" s="10" t="e">
        <f t="shared" si="201"/>
        <v>#N/A</v>
      </c>
      <c r="R955" s="10" t="e">
        <f t="shared" si="202"/>
        <v>#N/A</v>
      </c>
      <c r="S955" s="7">
        <f t="shared" si="209"/>
        <v>1564.55</v>
      </c>
      <c r="T955" s="7">
        <f t="shared" si="210"/>
        <v>0</v>
      </c>
    </row>
    <row r="956" spans="1:20" x14ac:dyDescent="0.25">
      <c r="A956" s="1">
        <v>42614</v>
      </c>
      <c r="B956">
        <v>1995</v>
      </c>
      <c r="C956">
        <v>2072</v>
      </c>
      <c r="D956">
        <v>1995</v>
      </c>
      <c r="E956">
        <v>2067.75</v>
      </c>
      <c r="F956">
        <v>1263701</v>
      </c>
      <c r="G956" s="4">
        <f t="shared" si="197"/>
        <v>59.049999999999955</v>
      </c>
      <c r="H956" s="4">
        <f t="shared" si="198"/>
        <v>0</v>
      </c>
      <c r="I956" s="6">
        <f t="shared" si="203"/>
        <v>22.135714285714307</v>
      </c>
      <c r="J956" s="6">
        <f t="shared" si="204"/>
        <v>19.696428571428587</v>
      </c>
      <c r="K956" s="4">
        <f t="shared" si="205"/>
        <v>1.1238440616500456</v>
      </c>
      <c r="L956">
        <f t="shared" si="206"/>
        <v>52.915563903355249</v>
      </c>
      <c r="M956" s="14" t="str">
        <f t="shared" si="199"/>
        <v/>
      </c>
      <c r="N956" s="7">
        <f t="shared" si="200"/>
        <v>0</v>
      </c>
      <c r="O956" s="7">
        <f t="shared" si="207"/>
        <v>0</v>
      </c>
      <c r="P956" s="7">
        <f t="shared" si="208"/>
        <v>-1</v>
      </c>
      <c r="Q956" s="10" t="e">
        <f t="shared" si="201"/>
        <v>#N/A</v>
      </c>
      <c r="R956" s="10" t="e">
        <f t="shared" si="202"/>
        <v>#N/A</v>
      </c>
      <c r="S956" s="7">
        <f t="shared" si="209"/>
        <v>1564.55</v>
      </c>
      <c r="T956" s="7">
        <f t="shared" si="210"/>
        <v>0</v>
      </c>
    </row>
    <row r="957" spans="1:20" x14ac:dyDescent="0.25">
      <c r="A957" s="1">
        <v>42615</v>
      </c>
      <c r="B957">
        <v>2068</v>
      </c>
      <c r="C957">
        <v>2089.8000000000002</v>
      </c>
      <c r="D957">
        <v>2052.5500000000002</v>
      </c>
      <c r="E957">
        <v>2063.9499999999998</v>
      </c>
      <c r="F957">
        <v>901971</v>
      </c>
      <c r="G957" s="4">
        <f t="shared" si="197"/>
        <v>0</v>
      </c>
      <c r="H957" s="4">
        <f t="shared" si="198"/>
        <v>3.8000000000001819</v>
      </c>
      <c r="I957" s="6">
        <f t="shared" si="203"/>
        <v>18.125000000000018</v>
      </c>
      <c r="J957" s="6">
        <f t="shared" si="204"/>
        <v>19.967857142857174</v>
      </c>
      <c r="K957" s="4">
        <f t="shared" si="205"/>
        <v>0.90770881774280043</v>
      </c>
      <c r="L957">
        <f t="shared" si="206"/>
        <v>47.581098818676153</v>
      </c>
      <c r="M957" s="14" t="str">
        <f t="shared" si="199"/>
        <v/>
      </c>
      <c r="N957" s="7">
        <f t="shared" si="200"/>
        <v>0</v>
      </c>
      <c r="O957" s="7">
        <f t="shared" si="207"/>
        <v>0</v>
      </c>
      <c r="P957" s="7">
        <f t="shared" si="208"/>
        <v>-1</v>
      </c>
      <c r="Q957" s="10" t="e">
        <f t="shared" si="201"/>
        <v>#N/A</v>
      </c>
      <c r="R957" s="10" t="e">
        <f t="shared" si="202"/>
        <v>#N/A</v>
      </c>
      <c r="S957" s="7">
        <f t="shared" si="209"/>
        <v>1564.55</v>
      </c>
      <c r="T957" s="7">
        <f t="shared" si="210"/>
        <v>0</v>
      </c>
    </row>
    <row r="958" spans="1:20" x14ac:dyDescent="0.25">
      <c r="A958" s="1">
        <v>42618</v>
      </c>
      <c r="B958">
        <v>2065</v>
      </c>
      <c r="C958">
        <v>2085.8000000000002</v>
      </c>
      <c r="D958">
        <v>2047.9</v>
      </c>
      <c r="E958">
        <v>2069.8000000000002</v>
      </c>
      <c r="F958">
        <v>914538</v>
      </c>
      <c r="G958" s="4">
        <f t="shared" si="197"/>
        <v>5.8500000000003638</v>
      </c>
      <c r="H958" s="4">
        <f t="shared" si="198"/>
        <v>0</v>
      </c>
      <c r="I958" s="6">
        <f t="shared" si="203"/>
        <v>18.542857142857184</v>
      </c>
      <c r="J958" s="6">
        <f t="shared" si="204"/>
        <v>17.946428571428587</v>
      </c>
      <c r="K958" s="4">
        <f t="shared" si="205"/>
        <v>1.0332338308457725</v>
      </c>
      <c r="L958">
        <f t="shared" si="206"/>
        <v>50.817265342076965</v>
      </c>
      <c r="M958" s="14" t="str">
        <f t="shared" si="199"/>
        <v/>
      </c>
      <c r="N958" s="7">
        <f t="shared" si="200"/>
        <v>0</v>
      </c>
      <c r="O958" s="7">
        <f t="shared" si="207"/>
        <v>0</v>
      </c>
      <c r="P958" s="7">
        <f t="shared" si="208"/>
        <v>-1</v>
      </c>
      <c r="Q958" s="10" t="e">
        <f t="shared" si="201"/>
        <v>#N/A</v>
      </c>
      <c r="R958" s="10" t="e">
        <f t="shared" si="202"/>
        <v>#N/A</v>
      </c>
      <c r="S958" s="7">
        <f t="shared" si="209"/>
        <v>1564.55</v>
      </c>
      <c r="T958" s="7">
        <f t="shared" si="210"/>
        <v>0</v>
      </c>
    </row>
    <row r="959" spans="1:20" x14ac:dyDescent="0.25">
      <c r="A959" s="1">
        <v>42619</v>
      </c>
      <c r="B959">
        <v>2070.25</v>
      </c>
      <c r="C959">
        <v>2100</v>
      </c>
      <c r="D959">
        <v>2070.25</v>
      </c>
      <c r="E959">
        <v>2091.9499999999998</v>
      </c>
      <c r="F959">
        <v>1057437</v>
      </c>
      <c r="G959" s="4">
        <f t="shared" si="197"/>
        <v>22.149999999999636</v>
      </c>
      <c r="H959" s="4">
        <f t="shared" si="198"/>
        <v>0</v>
      </c>
      <c r="I959" s="6">
        <f t="shared" si="203"/>
        <v>18.025000000000009</v>
      </c>
      <c r="J959" s="6">
        <f t="shared" si="204"/>
        <v>17.946428571428587</v>
      </c>
      <c r="K959" s="4">
        <f t="shared" si="205"/>
        <v>1.004378109452736</v>
      </c>
      <c r="L959">
        <f t="shared" si="206"/>
        <v>50.109213661636204</v>
      </c>
      <c r="M959" s="14" t="str">
        <f t="shared" si="199"/>
        <v/>
      </c>
      <c r="N959" s="7">
        <f t="shared" si="200"/>
        <v>0</v>
      </c>
      <c r="O959" s="7">
        <f t="shared" si="207"/>
        <v>0</v>
      </c>
      <c r="P959" s="7">
        <f t="shared" si="208"/>
        <v>-1</v>
      </c>
      <c r="Q959" s="10" t="e">
        <f t="shared" si="201"/>
        <v>#N/A</v>
      </c>
      <c r="R959" s="10" t="e">
        <f t="shared" si="202"/>
        <v>#N/A</v>
      </c>
      <c r="S959" s="7">
        <f t="shared" si="209"/>
        <v>1564.55</v>
      </c>
      <c r="T959" s="7">
        <f t="shared" si="210"/>
        <v>0</v>
      </c>
    </row>
    <row r="960" spans="1:20" x14ac:dyDescent="0.25">
      <c r="A960" s="1">
        <v>42620</v>
      </c>
      <c r="B960">
        <v>2089</v>
      </c>
      <c r="C960">
        <v>2129</v>
      </c>
      <c r="D960">
        <v>2079.4</v>
      </c>
      <c r="E960">
        <v>2112.0500000000002</v>
      </c>
      <c r="F960">
        <v>1761538</v>
      </c>
      <c r="G960" s="4">
        <f t="shared" si="197"/>
        <v>20.100000000000364</v>
      </c>
      <c r="H960" s="4">
        <f t="shared" si="198"/>
        <v>0</v>
      </c>
      <c r="I960" s="6">
        <f t="shared" si="203"/>
        <v>19.460714285714321</v>
      </c>
      <c r="J960" s="6">
        <f t="shared" si="204"/>
        <v>17.171428571428596</v>
      </c>
      <c r="K960" s="4">
        <f t="shared" si="205"/>
        <v>1.133319467554077</v>
      </c>
      <c r="L960">
        <f t="shared" si="206"/>
        <v>53.124695330018533</v>
      </c>
      <c r="M960" s="14" t="str">
        <f t="shared" si="199"/>
        <v/>
      </c>
      <c r="N960" s="7">
        <f t="shared" si="200"/>
        <v>0</v>
      </c>
      <c r="O960" s="7">
        <f t="shared" si="207"/>
        <v>0</v>
      </c>
      <c r="P960" s="7">
        <f t="shared" si="208"/>
        <v>-1</v>
      </c>
      <c r="Q960" s="10" t="e">
        <f t="shared" si="201"/>
        <v>#N/A</v>
      </c>
      <c r="R960" s="10" t="e">
        <f t="shared" si="202"/>
        <v>#N/A</v>
      </c>
      <c r="S960" s="7">
        <f t="shared" si="209"/>
        <v>1564.55</v>
      </c>
      <c r="T960" s="7">
        <f t="shared" si="210"/>
        <v>0</v>
      </c>
    </row>
    <row r="961" spans="1:20" x14ac:dyDescent="0.25">
      <c r="A961" s="1">
        <v>42621</v>
      </c>
      <c r="B961">
        <v>2110</v>
      </c>
      <c r="C961">
        <v>2141.9499999999998</v>
      </c>
      <c r="D961">
        <v>2091.1</v>
      </c>
      <c r="E961">
        <v>2097.6</v>
      </c>
      <c r="F961">
        <v>673240</v>
      </c>
      <c r="G961" s="4">
        <f t="shared" si="197"/>
        <v>0</v>
      </c>
      <c r="H961" s="4">
        <f t="shared" si="198"/>
        <v>14.450000000000273</v>
      </c>
      <c r="I961" s="6">
        <f t="shared" si="203"/>
        <v>16.45714285714288</v>
      </c>
      <c r="J961" s="6">
        <f t="shared" si="204"/>
        <v>18.203571428571472</v>
      </c>
      <c r="K961" s="4">
        <f t="shared" si="205"/>
        <v>0.90406121247792737</v>
      </c>
      <c r="L961">
        <f t="shared" si="206"/>
        <v>47.480680061823776</v>
      </c>
      <c r="M961" s="14" t="str">
        <f t="shared" si="199"/>
        <v/>
      </c>
      <c r="N961" s="7">
        <f t="shared" si="200"/>
        <v>0</v>
      </c>
      <c r="O961" s="7">
        <f t="shared" si="207"/>
        <v>0</v>
      </c>
      <c r="P961" s="7">
        <f t="shared" si="208"/>
        <v>-1</v>
      </c>
      <c r="Q961" s="10" t="e">
        <f t="shared" si="201"/>
        <v>#N/A</v>
      </c>
      <c r="R961" s="10" t="e">
        <f t="shared" si="202"/>
        <v>#N/A</v>
      </c>
      <c r="S961" s="7">
        <f t="shared" si="209"/>
        <v>1564.55</v>
      </c>
      <c r="T961" s="7">
        <f t="shared" si="210"/>
        <v>0</v>
      </c>
    </row>
    <row r="962" spans="1:20" x14ac:dyDescent="0.25">
      <c r="A962" s="1">
        <v>42622</v>
      </c>
      <c r="B962">
        <v>2100</v>
      </c>
      <c r="C962">
        <v>2109.4</v>
      </c>
      <c r="D962">
        <v>2095.1999999999998</v>
      </c>
      <c r="E962">
        <v>2099</v>
      </c>
      <c r="F962">
        <v>65452</v>
      </c>
      <c r="G962" s="4">
        <f t="shared" si="197"/>
        <v>1.4000000000000909</v>
      </c>
      <c r="H962" s="4">
        <f t="shared" si="198"/>
        <v>0</v>
      </c>
      <c r="I962" s="6">
        <f t="shared" si="203"/>
        <v>10.07857142857147</v>
      </c>
      <c r="J962" s="6">
        <f t="shared" si="204"/>
        <v>18.203571428571472</v>
      </c>
      <c r="K962" s="4">
        <f t="shared" si="205"/>
        <v>0.55365901510692661</v>
      </c>
      <c r="L962">
        <f t="shared" si="206"/>
        <v>35.635812602601376</v>
      </c>
      <c r="M962" s="14" t="str">
        <f t="shared" si="199"/>
        <v/>
      </c>
      <c r="N962" s="7">
        <f t="shared" si="200"/>
        <v>0</v>
      </c>
      <c r="O962" s="7">
        <f t="shared" si="207"/>
        <v>0</v>
      </c>
      <c r="P962" s="7">
        <f t="shared" si="208"/>
        <v>-1</v>
      </c>
      <c r="Q962" s="10" t="e">
        <f t="shared" si="201"/>
        <v>#N/A</v>
      </c>
      <c r="R962" s="10" t="e">
        <f t="shared" si="202"/>
        <v>#N/A</v>
      </c>
      <c r="S962" s="7">
        <f t="shared" si="209"/>
        <v>1564.55</v>
      </c>
      <c r="T962" s="7">
        <f t="shared" si="210"/>
        <v>0</v>
      </c>
    </row>
    <row r="963" spans="1:20" x14ac:dyDescent="0.25">
      <c r="A963" s="1">
        <v>42625</v>
      </c>
      <c r="B963">
        <v>2100</v>
      </c>
      <c r="C963">
        <v>2105</v>
      </c>
      <c r="D963">
        <v>2031.7</v>
      </c>
      <c r="E963">
        <v>2042</v>
      </c>
      <c r="F963">
        <v>1130643</v>
      </c>
      <c r="G963" s="4">
        <f t="shared" si="197"/>
        <v>0</v>
      </c>
      <c r="H963" s="4">
        <f t="shared" si="198"/>
        <v>57</v>
      </c>
      <c r="I963" s="6">
        <f t="shared" si="203"/>
        <v>9.8892857142857498</v>
      </c>
      <c r="J963" s="6">
        <f t="shared" si="204"/>
        <v>22.275000000000041</v>
      </c>
      <c r="K963" s="4">
        <f t="shared" si="205"/>
        <v>0.44396344396344473</v>
      </c>
      <c r="L963">
        <f t="shared" si="206"/>
        <v>30.74616922051969</v>
      </c>
      <c r="M963" s="14" t="str">
        <f t="shared" si="199"/>
        <v/>
      </c>
      <c r="N963" s="7">
        <f t="shared" si="200"/>
        <v>0</v>
      </c>
      <c r="O963" s="7">
        <f t="shared" si="207"/>
        <v>0</v>
      </c>
      <c r="P963" s="7">
        <f t="shared" si="208"/>
        <v>-1</v>
      </c>
      <c r="Q963" s="10" t="e">
        <f t="shared" si="201"/>
        <v>#N/A</v>
      </c>
      <c r="R963" s="10" t="e">
        <f t="shared" si="202"/>
        <v>#N/A</v>
      </c>
      <c r="S963" s="7">
        <f t="shared" si="209"/>
        <v>1564.55</v>
      </c>
      <c r="T963" s="7">
        <f t="shared" si="210"/>
        <v>0</v>
      </c>
    </row>
    <row r="964" spans="1:20" x14ac:dyDescent="0.25">
      <c r="A964" s="1">
        <v>42626</v>
      </c>
      <c r="B964">
        <v>2063</v>
      </c>
      <c r="C964">
        <v>2103.5500000000002</v>
      </c>
      <c r="D964">
        <v>2059.0500000000002</v>
      </c>
      <c r="E964">
        <v>2091.1</v>
      </c>
      <c r="F964">
        <v>833875</v>
      </c>
      <c r="G964" s="4">
        <f t="shared" ref="G964:G1027" si="211">IF(E964&gt;E963,E964-E963,0)</f>
        <v>49.099999999999909</v>
      </c>
      <c r="H964" s="4">
        <f t="shared" ref="H964:H1027" si="212">IF(E964&lt;E963,E963-E964,0)</f>
        <v>0</v>
      </c>
      <c r="I964" s="6">
        <f t="shared" si="203"/>
        <v>13.396428571428601</v>
      </c>
      <c r="J964" s="6">
        <f t="shared" si="204"/>
        <v>14.635714285714309</v>
      </c>
      <c r="K964" s="4">
        <f t="shared" si="205"/>
        <v>0.91532454856027379</v>
      </c>
      <c r="L964">
        <f t="shared" si="206"/>
        <v>47.789527328322087</v>
      </c>
      <c r="M964" s="14" t="str">
        <f t="shared" si="199"/>
        <v/>
      </c>
      <c r="N964" s="7">
        <f t="shared" si="200"/>
        <v>0</v>
      </c>
      <c r="O964" s="7">
        <f t="shared" si="207"/>
        <v>0</v>
      </c>
      <c r="P964" s="7">
        <f t="shared" si="208"/>
        <v>-1</v>
      </c>
      <c r="Q964" s="10" t="e">
        <f t="shared" si="201"/>
        <v>#N/A</v>
      </c>
      <c r="R964" s="10" t="e">
        <f t="shared" si="202"/>
        <v>#N/A</v>
      </c>
      <c r="S964" s="7">
        <f t="shared" si="209"/>
        <v>1564.55</v>
      </c>
      <c r="T964" s="7">
        <f t="shared" si="210"/>
        <v>0</v>
      </c>
    </row>
    <row r="965" spans="1:20" x14ac:dyDescent="0.25">
      <c r="A965" s="1">
        <v>42627</v>
      </c>
      <c r="B965">
        <v>2100</v>
      </c>
      <c r="C965">
        <v>2148.15</v>
      </c>
      <c r="D965">
        <v>2080.3000000000002</v>
      </c>
      <c r="E965">
        <v>2121.9499999999998</v>
      </c>
      <c r="F965">
        <v>978474</v>
      </c>
      <c r="G965" s="4">
        <f t="shared" si="211"/>
        <v>30.849999999999909</v>
      </c>
      <c r="H965" s="4">
        <f t="shared" si="212"/>
        <v>0</v>
      </c>
      <c r="I965" s="6">
        <f t="shared" si="203"/>
        <v>14.728571428571431</v>
      </c>
      <c r="J965" s="6">
        <f t="shared" si="204"/>
        <v>14.635714285714309</v>
      </c>
      <c r="K965" s="4">
        <f t="shared" si="205"/>
        <v>1.0063445583211308</v>
      </c>
      <c r="L965">
        <f t="shared" si="206"/>
        <v>50.158112381415684</v>
      </c>
      <c r="M965" s="14" t="str">
        <f t="shared" si="199"/>
        <v/>
      </c>
      <c r="N965" s="7">
        <f t="shared" si="200"/>
        <v>0</v>
      </c>
      <c r="O965" s="7">
        <f t="shared" si="207"/>
        <v>0</v>
      </c>
      <c r="P965" s="7">
        <f t="shared" si="208"/>
        <v>-1</v>
      </c>
      <c r="Q965" s="10" t="e">
        <f t="shared" si="201"/>
        <v>#N/A</v>
      </c>
      <c r="R965" s="10" t="e">
        <f t="shared" si="202"/>
        <v>#N/A</v>
      </c>
      <c r="S965" s="7">
        <f t="shared" si="209"/>
        <v>1564.55</v>
      </c>
      <c r="T965" s="7">
        <f t="shared" si="210"/>
        <v>0</v>
      </c>
    </row>
    <row r="966" spans="1:20" x14ac:dyDescent="0.25">
      <c r="A966" s="1">
        <v>42628</v>
      </c>
      <c r="B966">
        <v>2130</v>
      </c>
      <c r="C966">
        <v>2131.75</v>
      </c>
      <c r="D966">
        <v>2071.1999999999998</v>
      </c>
      <c r="E966">
        <v>2090.85</v>
      </c>
      <c r="F966">
        <v>804673</v>
      </c>
      <c r="G966" s="4">
        <f t="shared" si="211"/>
        <v>0</v>
      </c>
      <c r="H966" s="4">
        <f t="shared" si="212"/>
        <v>31.099999999999909</v>
      </c>
      <c r="I966" s="6">
        <f t="shared" si="203"/>
        <v>14.728571428571431</v>
      </c>
      <c r="J966" s="6">
        <f t="shared" si="204"/>
        <v>13.357142857142874</v>
      </c>
      <c r="K966" s="4">
        <f t="shared" si="205"/>
        <v>1.1026737967914426</v>
      </c>
      <c r="L966">
        <f t="shared" si="206"/>
        <v>52.441505595116965</v>
      </c>
      <c r="M966" s="14" t="str">
        <f t="shared" si="199"/>
        <v/>
      </c>
      <c r="N966" s="7">
        <f t="shared" si="200"/>
        <v>0</v>
      </c>
      <c r="O966" s="7">
        <f t="shared" si="207"/>
        <v>0</v>
      </c>
      <c r="P966" s="7">
        <f t="shared" si="208"/>
        <v>-1</v>
      </c>
      <c r="Q966" s="10" t="e">
        <f t="shared" si="201"/>
        <v>#N/A</v>
      </c>
      <c r="R966" s="10" t="e">
        <f t="shared" si="202"/>
        <v>#N/A</v>
      </c>
      <c r="S966" s="7">
        <f t="shared" si="209"/>
        <v>1564.55</v>
      </c>
      <c r="T966" s="7">
        <f t="shared" si="210"/>
        <v>0</v>
      </c>
    </row>
    <row r="967" spans="1:20" x14ac:dyDescent="0.25">
      <c r="A967" s="1">
        <v>42629</v>
      </c>
      <c r="B967">
        <v>2090</v>
      </c>
      <c r="C967">
        <v>2140</v>
      </c>
      <c r="D967">
        <v>2050</v>
      </c>
      <c r="E967">
        <v>2094.65</v>
      </c>
      <c r="F967">
        <v>980569</v>
      </c>
      <c r="G967" s="4">
        <f t="shared" si="211"/>
        <v>3.8000000000001819</v>
      </c>
      <c r="H967" s="4">
        <f t="shared" si="212"/>
        <v>0</v>
      </c>
      <c r="I967" s="6">
        <f t="shared" si="203"/>
        <v>13.735714285714314</v>
      </c>
      <c r="J967" s="6">
        <f t="shared" si="204"/>
        <v>13.357142857142874</v>
      </c>
      <c r="K967" s="4">
        <f t="shared" si="205"/>
        <v>1.0283422459893057</v>
      </c>
      <c r="L967">
        <f t="shared" si="206"/>
        <v>50.698655417875052</v>
      </c>
      <c r="M967" s="14" t="str">
        <f t="shared" si="199"/>
        <v/>
      </c>
      <c r="N967" s="7">
        <f t="shared" si="200"/>
        <v>0</v>
      </c>
      <c r="O967" s="7">
        <f t="shared" si="207"/>
        <v>0</v>
      </c>
      <c r="P967" s="7">
        <f t="shared" si="208"/>
        <v>-1</v>
      </c>
      <c r="Q967" s="10" t="e">
        <f t="shared" si="201"/>
        <v>#N/A</v>
      </c>
      <c r="R967" s="10" t="e">
        <f t="shared" si="202"/>
        <v>#N/A</v>
      </c>
      <c r="S967" s="7">
        <f t="shared" si="209"/>
        <v>1564.55</v>
      </c>
      <c r="T967" s="7">
        <f t="shared" si="210"/>
        <v>0</v>
      </c>
    </row>
    <row r="968" spans="1:20" x14ac:dyDescent="0.25">
      <c r="A968" s="1">
        <v>42632</v>
      </c>
      <c r="B968">
        <v>2096.85</v>
      </c>
      <c r="C968">
        <v>2121.6999999999998</v>
      </c>
      <c r="D968">
        <v>2079</v>
      </c>
      <c r="E968">
        <v>2087.15</v>
      </c>
      <c r="F968">
        <v>500341</v>
      </c>
      <c r="G968" s="4">
        <f t="shared" si="211"/>
        <v>0</v>
      </c>
      <c r="H968" s="4">
        <f t="shared" si="212"/>
        <v>7.5</v>
      </c>
      <c r="I968" s="6">
        <f t="shared" si="203"/>
        <v>13.735714285714314</v>
      </c>
      <c r="J968" s="6">
        <f t="shared" si="204"/>
        <v>11.878571428571458</v>
      </c>
      <c r="K968" s="4">
        <f t="shared" si="205"/>
        <v>1.15634395670475</v>
      </c>
      <c r="L968">
        <f t="shared" si="206"/>
        <v>53.625209146681527</v>
      </c>
      <c r="M968" s="14" t="str">
        <f t="shared" si="199"/>
        <v/>
      </c>
      <c r="N968" s="7">
        <f t="shared" si="200"/>
        <v>0</v>
      </c>
      <c r="O968" s="7">
        <f t="shared" si="207"/>
        <v>0</v>
      </c>
      <c r="P968" s="7">
        <f t="shared" si="208"/>
        <v>-1</v>
      </c>
      <c r="Q968" s="10" t="e">
        <f t="shared" si="201"/>
        <v>#N/A</v>
      </c>
      <c r="R968" s="10" t="e">
        <f t="shared" si="202"/>
        <v>#N/A</v>
      </c>
      <c r="S968" s="7">
        <f t="shared" si="209"/>
        <v>1564.55</v>
      </c>
      <c r="T968" s="7">
        <f t="shared" si="210"/>
        <v>0</v>
      </c>
    </row>
    <row r="969" spans="1:20" x14ac:dyDescent="0.25">
      <c r="A969" s="1">
        <v>42633</v>
      </c>
      <c r="B969">
        <v>2098.9499999999998</v>
      </c>
      <c r="C969">
        <v>2106.1999999999998</v>
      </c>
      <c r="D969">
        <v>2043.65</v>
      </c>
      <c r="E969">
        <v>2049</v>
      </c>
      <c r="F969">
        <v>604169</v>
      </c>
      <c r="G969" s="4">
        <f t="shared" si="211"/>
        <v>0</v>
      </c>
      <c r="H969" s="4">
        <f t="shared" si="212"/>
        <v>38.150000000000091</v>
      </c>
      <c r="I969" s="6">
        <f t="shared" si="203"/>
        <v>13.735714285714314</v>
      </c>
      <c r="J969" s="6">
        <f t="shared" si="204"/>
        <v>10.85714285714289</v>
      </c>
      <c r="K969" s="4">
        <f t="shared" si="205"/>
        <v>1.2651315789473672</v>
      </c>
      <c r="L969">
        <f t="shared" si="206"/>
        <v>55.852454255010144</v>
      </c>
      <c r="M969" s="14" t="str">
        <f t="shared" si="199"/>
        <v/>
      </c>
      <c r="N969" s="7">
        <f t="shared" si="200"/>
        <v>0</v>
      </c>
      <c r="O969" s="7">
        <f t="shared" si="207"/>
        <v>0</v>
      </c>
      <c r="P969" s="7">
        <f t="shared" si="208"/>
        <v>-1</v>
      </c>
      <c r="Q969" s="10" t="e">
        <f t="shared" si="201"/>
        <v>#N/A</v>
      </c>
      <c r="R969" s="10" t="e">
        <f t="shared" si="202"/>
        <v>#N/A</v>
      </c>
      <c r="S969" s="7">
        <f t="shared" si="209"/>
        <v>1564.55</v>
      </c>
      <c r="T969" s="7">
        <f t="shared" si="210"/>
        <v>0</v>
      </c>
    </row>
    <row r="970" spans="1:20" x14ac:dyDescent="0.25">
      <c r="A970" s="1">
        <v>42634</v>
      </c>
      <c r="B970">
        <v>2072</v>
      </c>
      <c r="C970">
        <v>2072</v>
      </c>
      <c r="D970">
        <v>2021.85</v>
      </c>
      <c r="E970">
        <v>2026.2</v>
      </c>
      <c r="F970">
        <v>1064852</v>
      </c>
      <c r="G970" s="4">
        <f t="shared" si="211"/>
        <v>0</v>
      </c>
      <c r="H970" s="4">
        <f t="shared" si="212"/>
        <v>22.799999999999955</v>
      </c>
      <c r="I970" s="6">
        <f t="shared" si="203"/>
        <v>9.5178571428571761</v>
      </c>
      <c r="J970" s="6">
        <f t="shared" si="204"/>
        <v>12.485714285714314</v>
      </c>
      <c r="K970" s="4">
        <f t="shared" si="205"/>
        <v>0.76229977116704895</v>
      </c>
      <c r="L970">
        <f t="shared" si="206"/>
        <v>43.2559649407564</v>
      </c>
      <c r="M970" s="14" t="str">
        <f t="shared" si="199"/>
        <v/>
      </c>
      <c r="N970" s="7">
        <f t="shared" si="200"/>
        <v>0</v>
      </c>
      <c r="O970" s="7">
        <f t="shared" si="207"/>
        <v>0</v>
      </c>
      <c r="P970" s="7">
        <f t="shared" si="208"/>
        <v>-1</v>
      </c>
      <c r="Q970" s="10" t="e">
        <f t="shared" si="201"/>
        <v>#N/A</v>
      </c>
      <c r="R970" s="10" t="e">
        <f t="shared" si="202"/>
        <v>#N/A</v>
      </c>
      <c r="S970" s="7">
        <f t="shared" si="209"/>
        <v>1564.55</v>
      </c>
      <c r="T970" s="7">
        <f t="shared" si="210"/>
        <v>0</v>
      </c>
    </row>
    <row r="971" spans="1:20" x14ac:dyDescent="0.25">
      <c r="A971" s="1">
        <v>42635</v>
      </c>
      <c r="B971">
        <v>2046</v>
      </c>
      <c r="C971">
        <v>2059.9</v>
      </c>
      <c r="D971">
        <v>2032.25</v>
      </c>
      <c r="E971">
        <v>2044</v>
      </c>
      <c r="F971">
        <v>1415801</v>
      </c>
      <c r="G971" s="4">
        <f t="shared" si="211"/>
        <v>17.799999999999955</v>
      </c>
      <c r="H971" s="4">
        <f t="shared" si="212"/>
        <v>0</v>
      </c>
      <c r="I971" s="6">
        <f t="shared" si="203"/>
        <v>10.789285714285743</v>
      </c>
      <c r="J971" s="6">
        <f t="shared" si="204"/>
        <v>12.214285714285731</v>
      </c>
      <c r="K971" s="4">
        <f t="shared" si="205"/>
        <v>0.88333333333333441</v>
      </c>
      <c r="L971">
        <f t="shared" si="206"/>
        <v>46.902654867256665</v>
      </c>
      <c r="M971" s="14" t="str">
        <f t="shared" si="199"/>
        <v/>
      </c>
      <c r="N971" s="7">
        <f t="shared" si="200"/>
        <v>0</v>
      </c>
      <c r="O971" s="7">
        <f t="shared" si="207"/>
        <v>0</v>
      </c>
      <c r="P971" s="7">
        <f t="shared" si="208"/>
        <v>-1</v>
      </c>
      <c r="Q971" s="10" t="e">
        <f t="shared" si="201"/>
        <v>#N/A</v>
      </c>
      <c r="R971" s="10" t="e">
        <f t="shared" si="202"/>
        <v>#N/A</v>
      </c>
      <c r="S971" s="7">
        <f t="shared" si="209"/>
        <v>1564.55</v>
      </c>
      <c r="T971" s="7">
        <f t="shared" si="210"/>
        <v>0</v>
      </c>
    </row>
    <row r="972" spans="1:20" x14ac:dyDescent="0.25">
      <c r="A972" s="1">
        <v>42636</v>
      </c>
      <c r="B972">
        <v>2049.9499999999998</v>
      </c>
      <c r="C972">
        <v>2055</v>
      </c>
      <c r="D972">
        <v>2021.2</v>
      </c>
      <c r="E972">
        <v>2029.9</v>
      </c>
      <c r="F972">
        <v>1038932</v>
      </c>
      <c r="G972" s="4">
        <f t="shared" si="211"/>
        <v>0</v>
      </c>
      <c r="H972" s="4">
        <f t="shared" si="212"/>
        <v>14.099999999999909</v>
      </c>
      <c r="I972" s="6">
        <f t="shared" si="203"/>
        <v>10.371428571428575</v>
      </c>
      <c r="J972" s="6">
        <f t="shared" si="204"/>
        <v>13.22142857142858</v>
      </c>
      <c r="K972" s="4">
        <f t="shared" si="205"/>
        <v>0.78444084278768211</v>
      </c>
      <c r="L972">
        <f t="shared" si="206"/>
        <v>43.960036330608531</v>
      </c>
      <c r="M972" s="14" t="str">
        <f t="shared" si="199"/>
        <v/>
      </c>
      <c r="N972" s="7">
        <f t="shared" si="200"/>
        <v>0</v>
      </c>
      <c r="O972" s="7">
        <f t="shared" si="207"/>
        <v>0</v>
      </c>
      <c r="P972" s="7">
        <f t="shared" si="208"/>
        <v>-1</v>
      </c>
      <c r="Q972" s="10" t="e">
        <f t="shared" si="201"/>
        <v>#N/A</v>
      </c>
      <c r="R972" s="10" t="e">
        <f t="shared" si="202"/>
        <v>#N/A</v>
      </c>
      <c r="S972" s="7">
        <f t="shared" si="209"/>
        <v>1564.55</v>
      </c>
      <c r="T972" s="7">
        <f t="shared" si="210"/>
        <v>0</v>
      </c>
    </row>
    <row r="973" spans="1:20" x14ac:dyDescent="0.25">
      <c r="A973" s="1">
        <v>42639</v>
      </c>
      <c r="B973">
        <v>2046.85</v>
      </c>
      <c r="C973">
        <v>2049.9</v>
      </c>
      <c r="D973">
        <v>2017</v>
      </c>
      <c r="E973">
        <v>2023.6</v>
      </c>
      <c r="F973">
        <v>829348</v>
      </c>
      <c r="G973" s="4">
        <f t="shared" si="211"/>
        <v>0</v>
      </c>
      <c r="H973" s="4">
        <f t="shared" si="212"/>
        <v>6.3000000000001819</v>
      </c>
      <c r="I973" s="6">
        <f t="shared" si="203"/>
        <v>8.789285714285743</v>
      </c>
      <c r="J973" s="6">
        <f t="shared" si="204"/>
        <v>13.671428571428594</v>
      </c>
      <c r="K973" s="4">
        <f t="shared" si="205"/>
        <v>0.64289446185998012</v>
      </c>
      <c r="L973">
        <f t="shared" si="206"/>
        <v>39.131817459055533</v>
      </c>
      <c r="M973" s="14" t="str">
        <f t="shared" si="199"/>
        <v/>
      </c>
      <c r="N973" s="7">
        <f t="shared" si="200"/>
        <v>0</v>
      </c>
      <c r="O973" s="7">
        <f t="shared" si="207"/>
        <v>0</v>
      </c>
      <c r="P973" s="7">
        <f t="shared" si="208"/>
        <v>-1</v>
      </c>
      <c r="Q973" s="10" t="e">
        <f t="shared" si="201"/>
        <v>#N/A</v>
      </c>
      <c r="R973" s="10" t="e">
        <f t="shared" si="202"/>
        <v>#N/A</v>
      </c>
      <c r="S973" s="7">
        <f t="shared" si="209"/>
        <v>1564.55</v>
      </c>
      <c r="T973" s="7">
        <f t="shared" si="210"/>
        <v>0</v>
      </c>
    </row>
    <row r="974" spans="1:20" x14ac:dyDescent="0.25">
      <c r="A974" s="1">
        <v>42640</v>
      </c>
      <c r="B974">
        <v>2023.2</v>
      </c>
      <c r="C974">
        <v>2034.7</v>
      </c>
      <c r="D974">
        <v>1980</v>
      </c>
      <c r="E974">
        <v>1986.6</v>
      </c>
      <c r="F974">
        <v>1151441</v>
      </c>
      <c r="G974" s="4">
        <f t="shared" si="211"/>
        <v>0</v>
      </c>
      <c r="H974" s="4">
        <f t="shared" si="212"/>
        <v>37</v>
      </c>
      <c r="I974" s="6">
        <f t="shared" si="203"/>
        <v>7.3535714285714322</v>
      </c>
      <c r="J974" s="6">
        <f t="shared" si="204"/>
        <v>16.314285714285738</v>
      </c>
      <c r="K974" s="4">
        <f t="shared" si="205"/>
        <v>0.45074430823117295</v>
      </c>
      <c r="L974">
        <f t="shared" si="206"/>
        <v>31.069865700920445</v>
      </c>
      <c r="M974" s="14" t="str">
        <f t="shared" si="199"/>
        <v/>
      </c>
      <c r="N974" s="7">
        <f t="shared" si="200"/>
        <v>0</v>
      </c>
      <c r="O974" s="7">
        <f t="shared" si="207"/>
        <v>0</v>
      </c>
      <c r="P974" s="7">
        <f t="shared" si="208"/>
        <v>-1</v>
      </c>
      <c r="Q974" s="10" t="e">
        <f t="shared" si="201"/>
        <v>#N/A</v>
      </c>
      <c r="R974" s="10" t="e">
        <f t="shared" si="202"/>
        <v>#N/A</v>
      </c>
      <c r="S974" s="7">
        <f t="shared" si="209"/>
        <v>1564.55</v>
      </c>
      <c r="T974" s="7">
        <f t="shared" si="210"/>
        <v>0</v>
      </c>
    </row>
    <row r="975" spans="1:20" x14ac:dyDescent="0.25">
      <c r="A975" s="1">
        <v>42641</v>
      </c>
      <c r="B975">
        <v>1991</v>
      </c>
      <c r="C975">
        <v>2011</v>
      </c>
      <c r="D975">
        <v>1985.1</v>
      </c>
      <c r="E975">
        <v>2000.85</v>
      </c>
      <c r="F975">
        <v>747247</v>
      </c>
      <c r="G975" s="4">
        <f t="shared" si="211"/>
        <v>14.25</v>
      </c>
      <c r="H975" s="4">
        <f t="shared" si="212"/>
        <v>0</v>
      </c>
      <c r="I975" s="6">
        <f t="shared" si="203"/>
        <v>8.3714285714285754</v>
      </c>
      <c r="J975" s="6">
        <f t="shared" si="204"/>
        <v>15.28214285714286</v>
      </c>
      <c r="K975" s="4">
        <f t="shared" si="205"/>
        <v>0.54779154007945796</v>
      </c>
      <c r="L975">
        <f t="shared" si="206"/>
        <v>35.391816397402991</v>
      </c>
      <c r="M975" s="14" t="str">
        <f t="shared" si="199"/>
        <v/>
      </c>
      <c r="N975" s="7">
        <f t="shared" si="200"/>
        <v>0</v>
      </c>
      <c r="O975" s="7">
        <f t="shared" si="207"/>
        <v>0</v>
      </c>
      <c r="P975" s="7">
        <f t="shared" si="208"/>
        <v>-1</v>
      </c>
      <c r="Q975" s="10" t="e">
        <f t="shared" si="201"/>
        <v>#N/A</v>
      </c>
      <c r="R975" s="10" t="e">
        <f t="shared" si="202"/>
        <v>#N/A</v>
      </c>
      <c r="S975" s="7">
        <f t="shared" si="209"/>
        <v>1564.55</v>
      </c>
      <c r="T975" s="7">
        <f t="shared" si="210"/>
        <v>0</v>
      </c>
    </row>
    <row r="976" spans="1:20" x14ac:dyDescent="0.25">
      <c r="A976" s="1">
        <v>42642</v>
      </c>
      <c r="B976">
        <v>2008</v>
      </c>
      <c r="C976">
        <v>2026.85</v>
      </c>
      <c r="D976">
        <v>1993.1</v>
      </c>
      <c r="E976">
        <v>2013.25</v>
      </c>
      <c r="F976">
        <v>975499</v>
      </c>
      <c r="G976" s="4">
        <f t="shared" si="211"/>
        <v>12.400000000000091</v>
      </c>
      <c r="H976" s="4">
        <f t="shared" si="212"/>
        <v>0</v>
      </c>
      <c r="I976" s="6">
        <f t="shared" si="203"/>
        <v>9.1571428571428601</v>
      </c>
      <c r="J976" s="6">
        <f t="shared" si="204"/>
        <v>15.28214285714286</v>
      </c>
      <c r="K976" s="4">
        <f t="shared" si="205"/>
        <v>0.59920542182752989</v>
      </c>
      <c r="L976">
        <f t="shared" si="206"/>
        <v>37.468946368551805</v>
      </c>
      <c r="M976" s="14" t="str">
        <f t="shared" ref="M976:M1039" si="213">IF(L976&gt;RSI_Overbought,"OVERBOUGHT",IF(L976&lt;RSI_Oversold,"OVERSOLD",""))</f>
        <v/>
      </c>
      <c r="N976" s="7">
        <f t="shared" ref="N976:N1039" si="214">IF(L976&gt;RSI_Overbought,"SELL",IF(L976&lt;RSI_Oversold,"BUY",0))</f>
        <v>0</v>
      </c>
      <c r="O976" s="7">
        <f t="shared" si="207"/>
        <v>0</v>
      </c>
      <c r="P976" s="7">
        <f t="shared" si="208"/>
        <v>-1</v>
      </c>
      <c r="Q976" s="10" t="e">
        <f t="shared" ref="Q976:Q1039" si="215">IF($O976="BUY",$E976,NA())</f>
        <v>#N/A</v>
      </c>
      <c r="R976" s="10" t="e">
        <f t="shared" ref="R976:R1039" si="216">IF($O976="SELL",$E976,NA())</f>
        <v>#N/A</v>
      </c>
      <c r="S976" s="7">
        <f t="shared" si="209"/>
        <v>1564.55</v>
      </c>
      <c r="T976" s="7">
        <f t="shared" si="210"/>
        <v>0</v>
      </c>
    </row>
    <row r="977" spans="1:20" x14ac:dyDescent="0.25">
      <c r="A977" s="1">
        <v>42643</v>
      </c>
      <c r="B977">
        <v>2003.1</v>
      </c>
      <c r="C977">
        <v>2016.45</v>
      </c>
      <c r="D977">
        <v>1987</v>
      </c>
      <c r="E977">
        <v>1993.7</v>
      </c>
      <c r="F977">
        <v>1023706</v>
      </c>
      <c r="G977" s="4">
        <f t="shared" si="211"/>
        <v>0</v>
      </c>
      <c r="H977" s="4">
        <f t="shared" si="212"/>
        <v>19.549999999999955</v>
      </c>
      <c r="I977" s="6">
        <f t="shared" ref="I977:I1040" si="217">AVERAGE(G964:G977)</f>
        <v>9.1571428571428601</v>
      </c>
      <c r="J977" s="6">
        <f t="shared" ref="J977:J1040" si="218">AVERAGE(H964:H977)</f>
        <v>12.607142857142858</v>
      </c>
      <c r="K977" s="4">
        <f t="shared" ref="K977:K1040" si="219">I977/J977</f>
        <v>0.72634560906515599</v>
      </c>
      <c r="L977">
        <f t="shared" ref="L977:L1040" si="220">100-(100/(K977+1))</f>
        <v>42.074171316048577</v>
      </c>
      <c r="M977" s="14" t="str">
        <f t="shared" si="213"/>
        <v/>
      </c>
      <c r="N977" s="7">
        <f t="shared" si="214"/>
        <v>0</v>
      </c>
      <c r="O977" s="7">
        <f t="shared" ref="O977:O1040" si="221">IF(AND(N977="BUY",P976&lt;&gt;1),"BUY",IF(AND(N977="SELL",P976&lt;&gt;-1),"SELL",0))</f>
        <v>0</v>
      </c>
      <c r="P977" s="7">
        <f t="shared" ref="P977:P1040" si="222">IF(O977="BUY",1,IF(O977="SELL",-1,P976))</f>
        <v>-1</v>
      </c>
      <c r="Q977" s="10" t="e">
        <f t="shared" si="215"/>
        <v>#N/A</v>
      </c>
      <c r="R977" s="10" t="e">
        <f t="shared" si="216"/>
        <v>#N/A</v>
      </c>
      <c r="S977" s="7">
        <f t="shared" ref="S977:S1040" si="223">IF(O977&lt;&gt;0,E977,S976)</f>
        <v>1564.55</v>
      </c>
      <c r="T977" s="7">
        <f t="shared" si="210"/>
        <v>0</v>
      </c>
    </row>
    <row r="978" spans="1:20" x14ac:dyDescent="0.25">
      <c r="A978" s="1">
        <v>42646</v>
      </c>
      <c r="B978">
        <v>2009</v>
      </c>
      <c r="C978">
        <v>2013.7</v>
      </c>
      <c r="D978">
        <v>1975</v>
      </c>
      <c r="E978">
        <v>1986.45</v>
      </c>
      <c r="F978">
        <v>1060489</v>
      </c>
      <c r="G978" s="4">
        <f t="shared" si="211"/>
        <v>0</v>
      </c>
      <c r="H978" s="4">
        <f t="shared" si="212"/>
        <v>7.25</v>
      </c>
      <c r="I978" s="6">
        <f t="shared" si="217"/>
        <v>5.6500000000000101</v>
      </c>
      <c r="J978" s="6">
        <f t="shared" si="218"/>
        <v>13.125</v>
      </c>
      <c r="K978" s="4">
        <f t="shared" si="219"/>
        <v>0.43047619047619123</v>
      </c>
      <c r="L978">
        <f t="shared" si="220"/>
        <v>30.093209054593913</v>
      </c>
      <c r="M978" s="14" t="str">
        <f t="shared" si="213"/>
        <v/>
      </c>
      <c r="N978" s="7">
        <f t="shared" si="214"/>
        <v>0</v>
      </c>
      <c r="O978" s="7">
        <f t="shared" si="221"/>
        <v>0</v>
      </c>
      <c r="P978" s="7">
        <f t="shared" si="222"/>
        <v>-1</v>
      </c>
      <c r="Q978" s="10" t="e">
        <f t="shared" si="215"/>
        <v>#N/A</v>
      </c>
      <c r="R978" s="10" t="e">
        <f t="shared" si="216"/>
        <v>#N/A</v>
      </c>
      <c r="S978" s="7">
        <f t="shared" si="223"/>
        <v>1564.55</v>
      </c>
      <c r="T978" s="7">
        <f t="shared" si="210"/>
        <v>0</v>
      </c>
    </row>
    <row r="979" spans="1:20" x14ac:dyDescent="0.25">
      <c r="A979" s="1">
        <v>42647</v>
      </c>
      <c r="B979">
        <v>1993.1</v>
      </c>
      <c r="C979">
        <v>1996.55</v>
      </c>
      <c r="D979">
        <v>1970</v>
      </c>
      <c r="E979">
        <v>1984.6</v>
      </c>
      <c r="F979">
        <v>1402861</v>
      </c>
      <c r="G979" s="4">
        <f t="shared" si="211"/>
        <v>0</v>
      </c>
      <c r="H979" s="4">
        <f t="shared" si="212"/>
        <v>1.8500000000001364</v>
      </c>
      <c r="I979" s="6">
        <f t="shared" si="217"/>
        <v>3.4464285714285876</v>
      </c>
      <c r="J979" s="6">
        <f t="shared" si="218"/>
        <v>13.257142857142867</v>
      </c>
      <c r="K979" s="4">
        <f t="shared" si="219"/>
        <v>0.25996767241379415</v>
      </c>
      <c r="L979">
        <f t="shared" si="220"/>
        <v>20.632884327560461</v>
      </c>
      <c r="M979" s="14" t="str">
        <f t="shared" si="213"/>
        <v>OVERSOLD</v>
      </c>
      <c r="N979" s="7" t="str">
        <f t="shared" si="214"/>
        <v>BUY</v>
      </c>
      <c r="O979" s="7" t="str">
        <f t="shared" si="221"/>
        <v>BUY</v>
      </c>
      <c r="P979" s="7">
        <f t="shared" si="222"/>
        <v>1</v>
      </c>
      <c r="Q979" s="10">
        <f t="shared" si="215"/>
        <v>1984.6</v>
      </c>
      <c r="R979" s="10" t="e">
        <f t="shared" si="216"/>
        <v>#N/A</v>
      </c>
      <c r="S979" s="7">
        <f t="shared" si="223"/>
        <v>1984.6</v>
      </c>
      <c r="T979" s="7">
        <f t="shared" si="210"/>
        <v>-0.26847975456201462</v>
      </c>
    </row>
    <row r="980" spans="1:20" x14ac:dyDescent="0.25">
      <c r="A980" s="1">
        <v>42648</v>
      </c>
      <c r="B980">
        <v>1992</v>
      </c>
      <c r="C980">
        <v>2014.7</v>
      </c>
      <c r="D980">
        <v>1981.8</v>
      </c>
      <c r="E980">
        <v>2004.35</v>
      </c>
      <c r="F980">
        <v>962406</v>
      </c>
      <c r="G980" s="4">
        <f t="shared" si="211"/>
        <v>19.75</v>
      </c>
      <c r="H980" s="4">
        <f t="shared" si="212"/>
        <v>0</v>
      </c>
      <c r="I980" s="6">
        <f t="shared" si="217"/>
        <v>4.8571428571428736</v>
      </c>
      <c r="J980" s="6">
        <f t="shared" si="218"/>
        <v>11.035714285714302</v>
      </c>
      <c r="K980" s="4">
        <f t="shared" si="219"/>
        <v>0.44012944983818852</v>
      </c>
      <c r="L980">
        <f t="shared" si="220"/>
        <v>30.561797752809028</v>
      </c>
      <c r="M980" s="14" t="str">
        <f t="shared" si="213"/>
        <v/>
      </c>
      <c r="N980" s="7">
        <f t="shared" si="214"/>
        <v>0</v>
      </c>
      <c r="O980" s="7">
        <f t="shared" si="221"/>
        <v>0</v>
      </c>
      <c r="P980" s="7">
        <f t="shared" si="222"/>
        <v>1</v>
      </c>
      <c r="Q980" s="10" t="e">
        <f t="shared" si="215"/>
        <v>#N/A</v>
      </c>
      <c r="R980" s="10" t="e">
        <f t="shared" si="216"/>
        <v>#N/A</v>
      </c>
      <c r="S980" s="7">
        <f t="shared" si="223"/>
        <v>1984.6</v>
      </c>
      <c r="T980" s="7">
        <f t="shared" si="210"/>
        <v>0</v>
      </c>
    </row>
    <row r="981" spans="1:20" x14ac:dyDescent="0.25">
      <c r="A981" s="1">
        <v>42649</v>
      </c>
      <c r="B981">
        <v>1995</v>
      </c>
      <c r="C981">
        <v>2021</v>
      </c>
      <c r="D981">
        <v>1995</v>
      </c>
      <c r="E981">
        <v>2013.9</v>
      </c>
      <c r="F981">
        <v>626630</v>
      </c>
      <c r="G981" s="4">
        <f t="shared" si="211"/>
        <v>9.5500000000001819</v>
      </c>
      <c r="H981" s="4">
        <f t="shared" si="212"/>
        <v>0</v>
      </c>
      <c r="I981" s="6">
        <f t="shared" si="217"/>
        <v>5.2678571428571592</v>
      </c>
      <c r="J981" s="6">
        <f t="shared" si="218"/>
        <v>11.035714285714302</v>
      </c>
      <c r="K981" s="4">
        <f t="shared" si="219"/>
        <v>0.47734627831715287</v>
      </c>
      <c r="L981">
        <f t="shared" si="220"/>
        <v>32.3110624315444</v>
      </c>
      <c r="M981" s="14" t="str">
        <f t="shared" si="213"/>
        <v/>
      </c>
      <c r="N981" s="7">
        <f t="shared" si="214"/>
        <v>0</v>
      </c>
      <c r="O981" s="7">
        <f t="shared" si="221"/>
        <v>0</v>
      </c>
      <c r="P981" s="7">
        <f t="shared" si="222"/>
        <v>1</v>
      </c>
      <c r="Q981" s="10" t="e">
        <f t="shared" si="215"/>
        <v>#N/A</v>
      </c>
      <c r="R981" s="10" t="e">
        <f t="shared" si="216"/>
        <v>#N/A</v>
      </c>
      <c r="S981" s="7">
        <f t="shared" si="223"/>
        <v>1984.6</v>
      </c>
      <c r="T981" s="7">
        <f t="shared" si="210"/>
        <v>0</v>
      </c>
    </row>
    <row r="982" spans="1:20" x14ac:dyDescent="0.25">
      <c r="A982" s="1">
        <v>42650</v>
      </c>
      <c r="B982">
        <v>2016.05</v>
      </c>
      <c r="C982">
        <v>2042</v>
      </c>
      <c r="D982">
        <v>2015.05</v>
      </c>
      <c r="E982">
        <v>2020.8</v>
      </c>
      <c r="F982">
        <v>724592</v>
      </c>
      <c r="G982" s="4">
        <f t="shared" si="211"/>
        <v>6.8999999999998636</v>
      </c>
      <c r="H982" s="4">
        <f t="shared" si="212"/>
        <v>0</v>
      </c>
      <c r="I982" s="6">
        <f t="shared" si="217"/>
        <v>5.7607142857142923</v>
      </c>
      <c r="J982" s="6">
        <f t="shared" si="218"/>
        <v>10.500000000000016</v>
      </c>
      <c r="K982" s="4">
        <f t="shared" si="219"/>
        <v>0.54863945578231277</v>
      </c>
      <c r="L982">
        <f t="shared" si="220"/>
        <v>35.427190863167141</v>
      </c>
      <c r="M982" s="14" t="str">
        <f t="shared" si="213"/>
        <v/>
      </c>
      <c r="N982" s="7">
        <f t="shared" si="214"/>
        <v>0</v>
      </c>
      <c r="O982" s="7">
        <f t="shared" si="221"/>
        <v>0</v>
      </c>
      <c r="P982" s="7">
        <f t="shared" si="222"/>
        <v>1</v>
      </c>
      <c r="Q982" s="10" t="e">
        <f t="shared" si="215"/>
        <v>#N/A</v>
      </c>
      <c r="R982" s="10" t="e">
        <f t="shared" si="216"/>
        <v>#N/A</v>
      </c>
      <c r="S982" s="7">
        <f t="shared" si="223"/>
        <v>1984.6</v>
      </c>
      <c r="T982" s="7">
        <f t="shared" si="210"/>
        <v>0</v>
      </c>
    </row>
    <row r="983" spans="1:20" x14ac:dyDescent="0.25">
      <c r="A983" s="1">
        <v>42653</v>
      </c>
      <c r="B983">
        <v>2019.9</v>
      </c>
      <c r="C983">
        <v>2031.6</v>
      </c>
      <c r="D983">
        <v>1993.65</v>
      </c>
      <c r="E983">
        <v>2000.05</v>
      </c>
      <c r="F983">
        <v>759518</v>
      </c>
      <c r="G983" s="4">
        <f t="shared" si="211"/>
        <v>0</v>
      </c>
      <c r="H983" s="4">
        <f t="shared" si="212"/>
        <v>20.75</v>
      </c>
      <c r="I983" s="6">
        <f t="shared" si="217"/>
        <v>5.7607142857142923</v>
      </c>
      <c r="J983" s="6">
        <f t="shared" si="218"/>
        <v>9.2571428571428669</v>
      </c>
      <c r="K983" s="4">
        <f t="shared" si="219"/>
        <v>0.62229938271604945</v>
      </c>
      <c r="L983">
        <f t="shared" si="220"/>
        <v>38.359096313912012</v>
      </c>
      <c r="M983" s="14" t="str">
        <f t="shared" si="213"/>
        <v/>
      </c>
      <c r="N983" s="7">
        <f t="shared" si="214"/>
        <v>0</v>
      </c>
      <c r="O983" s="7">
        <f t="shared" si="221"/>
        <v>0</v>
      </c>
      <c r="P983" s="7">
        <f t="shared" si="222"/>
        <v>1</v>
      </c>
      <c r="Q983" s="10" t="e">
        <f t="shared" si="215"/>
        <v>#N/A</v>
      </c>
      <c r="R983" s="10" t="e">
        <f t="shared" si="216"/>
        <v>#N/A</v>
      </c>
      <c r="S983" s="7">
        <f t="shared" si="223"/>
        <v>1984.6</v>
      </c>
      <c r="T983" s="7">
        <f t="shared" si="210"/>
        <v>0</v>
      </c>
    </row>
    <row r="984" spans="1:20" x14ac:dyDescent="0.25">
      <c r="A984" s="1">
        <v>42654</v>
      </c>
      <c r="B984">
        <v>2016</v>
      </c>
      <c r="C984">
        <v>2033.55</v>
      </c>
      <c r="D984">
        <v>1983.05</v>
      </c>
      <c r="E984">
        <v>1987.15</v>
      </c>
      <c r="F984">
        <v>698595</v>
      </c>
      <c r="G984" s="4">
        <f t="shared" si="211"/>
        <v>0</v>
      </c>
      <c r="H984" s="4">
        <f t="shared" si="212"/>
        <v>12.899999999999864</v>
      </c>
      <c r="I984" s="6">
        <f t="shared" si="217"/>
        <v>5.7607142857142923</v>
      </c>
      <c r="J984" s="6">
        <f t="shared" si="218"/>
        <v>8.5500000000000025</v>
      </c>
      <c r="K984" s="4">
        <f t="shared" si="219"/>
        <v>0.67376775271512168</v>
      </c>
      <c r="L984">
        <f t="shared" si="220"/>
        <v>40.254554529573262</v>
      </c>
      <c r="M984" s="14" t="str">
        <f t="shared" si="213"/>
        <v/>
      </c>
      <c r="N984" s="7">
        <f t="shared" si="214"/>
        <v>0</v>
      </c>
      <c r="O984" s="7">
        <f t="shared" si="221"/>
        <v>0</v>
      </c>
      <c r="P984" s="7">
        <f t="shared" si="222"/>
        <v>1</v>
      </c>
      <c r="Q984" s="10" t="e">
        <f t="shared" si="215"/>
        <v>#N/A</v>
      </c>
      <c r="R984" s="10" t="e">
        <f t="shared" si="216"/>
        <v>#N/A</v>
      </c>
      <c r="S984" s="7">
        <f t="shared" si="223"/>
        <v>1984.6</v>
      </c>
      <c r="T984" s="7">
        <f t="shared" si="210"/>
        <v>0</v>
      </c>
    </row>
    <row r="985" spans="1:20" x14ac:dyDescent="0.25">
      <c r="A985" s="1">
        <v>42655</v>
      </c>
      <c r="B985">
        <v>1991</v>
      </c>
      <c r="C985">
        <v>2010</v>
      </c>
      <c r="D985">
        <v>1991</v>
      </c>
      <c r="E985">
        <v>2000.3</v>
      </c>
      <c r="F985">
        <v>723481</v>
      </c>
      <c r="G985" s="4">
        <f t="shared" si="211"/>
        <v>13.149999999999864</v>
      </c>
      <c r="H985" s="4">
        <f t="shared" si="212"/>
        <v>0</v>
      </c>
      <c r="I985" s="6">
        <f t="shared" si="217"/>
        <v>5.4285714285714288</v>
      </c>
      <c r="J985" s="6">
        <f t="shared" si="218"/>
        <v>8.5500000000000025</v>
      </c>
      <c r="K985" s="4">
        <f t="shared" si="219"/>
        <v>0.63492063492063477</v>
      </c>
      <c r="L985">
        <f t="shared" si="220"/>
        <v>38.834951456310677</v>
      </c>
      <c r="M985" s="14" t="str">
        <f t="shared" si="213"/>
        <v/>
      </c>
      <c r="N985" s="7">
        <f t="shared" si="214"/>
        <v>0</v>
      </c>
      <c r="O985" s="7">
        <f t="shared" si="221"/>
        <v>0</v>
      </c>
      <c r="P985" s="7">
        <f t="shared" si="222"/>
        <v>1</v>
      </c>
      <c r="Q985" s="10" t="e">
        <f t="shared" si="215"/>
        <v>#N/A</v>
      </c>
      <c r="R985" s="10" t="e">
        <f t="shared" si="216"/>
        <v>#N/A</v>
      </c>
      <c r="S985" s="7">
        <f t="shared" si="223"/>
        <v>1984.6</v>
      </c>
      <c r="T985" s="7">
        <f t="shared" si="210"/>
        <v>0</v>
      </c>
    </row>
    <row r="986" spans="1:20" x14ac:dyDescent="0.25">
      <c r="A986" s="1">
        <v>42656</v>
      </c>
      <c r="B986">
        <v>2029</v>
      </c>
      <c r="C986">
        <v>2029.95</v>
      </c>
      <c r="D986">
        <v>2000</v>
      </c>
      <c r="E986">
        <v>2004.85</v>
      </c>
      <c r="F986">
        <v>913170</v>
      </c>
      <c r="G986" s="4">
        <f t="shared" si="211"/>
        <v>4.5499999999999545</v>
      </c>
      <c r="H986" s="4">
        <f t="shared" si="212"/>
        <v>0</v>
      </c>
      <c r="I986" s="6">
        <f t="shared" si="217"/>
        <v>5.7535714285714255</v>
      </c>
      <c r="J986" s="6">
        <f t="shared" si="218"/>
        <v>7.5428571428571525</v>
      </c>
      <c r="K986" s="4">
        <f t="shared" si="219"/>
        <v>0.7627840909090895</v>
      </c>
      <c r="L986">
        <f t="shared" si="220"/>
        <v>43.271555197421392</v>
      </c>
      <c r="M986" s="14" t="str">
        <f t="shared" si="213"/>
        <v/>
      </c>
      <c r="N986" s="7">
        <f t="shared" si="214"/>
        <v>0</v>
      </c>
      <c r="O986" s="7">
        <f t="shared" si="221"/>
        <v>0</v>
      </c>
      <c r="P986" s="7">
        <f t="shared" si="222"/>
        <v>1</v>
      </c>
      <c r="Q986" s="10" t="e">
        <f t="shared" si="215"/>
        <v>#N/A</v>
      </c>
      <c r="R986" s="10" t="e">
        <f t="shared" si="216"/>
        <v>#N/A</v>
      </c>
      <c r="S986" s="7">
        <f t="shared" si="223"/>
        <v>1984.6</v>
      </c>
      <c r="T986" s="7">
        <f t="shared" ref="T986:T1049" si="224">IF(O986="BUY",(S985-S986)/S985,IF(O986="SELL",(S986-S985)/S985,0))</f>
        <v>0</v>
      </c>
    </row>
    <row r="987" spans="1:20" x14ac:dyDescent="0.25">
      <c r="A987" s="1">
        <v>42657</v>
      </c>
      <c r="B987">
        <v>2000</v>
      </c>
      <c r="C987">
        <v>2089</v>
      </c>
      <c r="D987">
        <v>2000</v>
      </c>
      <c r="E987">
        <v>2082.75</v>
      </c>
      <c r="F987">
        <v>1826667</v>
      </c>
      <c r="G987" s="4">
        <f t="shared" si="211"/>
        <v>77.900000000000091</v>
      </c>
      <c r="H987" s="4">
        <f t="shared" si="212"/>
        <v>0</v>
      </c>
      <c r="I987" s="6">
        <f t="shared" si="217"/>
        <v>11.317857142857147</v>
      </c>
      <c r="J987" s="6">
        <f t="shared" si="218"/>
        <v>7.0928571428571399</v>
      </c>
      <c r="K987" s="4">
        <f t="shared" si="219"/>
        <v>1.5956696878147041</v>
      </c>
      <c r="L987">
        <f t="shared" si="220"/>
        <v>61.474296799224071</v>
      </c>
      <c r="M987" s="14" t="str">
        <f t="shared" si="213"/>
        <v/>
      </c>
      <c r="N987" s="7">
        <f t="shared" si="214"/>
        <v>0</v>
      </c>
      <c r="O987" s="7">
        <f t="shared" si="221"/>
        <v>0</v>
      </c>
      <c r="P987" s="7">
        <f t="shared" si="222"/>
        <v>1</v>
      </c>
      <c r="Q987" s="10" t="e">
        <f t="shared" si="215"/>
        <v>#N/A</v>
      </c>
      <c r="R987" s="10" t="e">
        <f t="shared" si="216"/>
        <v>#N/A</v>
      </c>
      <c r="S987" s="7">
        <f t="shared" si="223"/>
        <v>1984.6</v>
      </c>
      <c r="T987" s="7">
        <f t="shared" si="224"/>
        <v>0</v>
      </c>
    </row>
    <row r="988" spans="1:20" x14ac:dyDescent="0.25">
      <c r="A988" s="1">
        <v>42660</v>
      </c>
      <c r="B988">
        <v>2079</v>
      </c>
      <c r="C988">
        <v>2086.85</v>
      </c>
      <c r="D988">
        <v>2043</v>
      </c>
      <c r="E988">
        <v>2058.0500000000002</v>
      </c>
      <c r="F988">
        <v>778031</v>
      </c>
      <c r="G988" s="4">
        <f t="shared" si="211"/>
        <v>0</v>
      </c>
      <c r="H988" s="4">
        <f t="shared" si="212"/>
        <v>24.699999999999818</v>
      </c>
      <c r="I988" s="6">
        <f t="shared" si="217"/>
        <v>11.317857142857147</v>
      </c>
      <c r="J988" s="6">
        <f t="shared" si="218"/>
        <v>6.2142857142856984</v>
      </c>
      <c r="K988" s="4">
        <f t="shared" si="219"/>
        <v>1.8212643678160971</v>
      </c>
      <c r="L988">
        <f t="shared" si="220"/>
        <v>64.554899164799409</v>
      </c>
      <c r="M988" s="14" t="str">
        <f t="shared" si="213"/>
        <v/>
      </c>
      <c r="N988" s="7">
        <f t="shared" si="214"/>
        <v>0</v>
      </c>
      <c r="O988" s="7">
        <f t="shared" si="221"/>
        <v>0</v>
      </c>
      <c r="P988" s="7">
        <f t="shared" si="222"/>
        <v>1</v>
      </c>
      <c r="Q988" s="10" t="e">
        <f t="shared" si="215"/>
        <v>#N/A</v>
      </c>
      <c r="R988" s="10" t="e">
        <f t="shared" si="216"/>
        <v>#N/A</v>
      </c>
      <c r="S988" s="7">
        <f t="shared" si="223"/>
        <v>1984.6</v>
      </c>
      <c r="T988" s="7">
        <f t="shared" si="224"/>
        <v>0</v>
      </c>
    </row>
    <row r="989" spans="1:20" x14ac:dyDescent="0.25">
      <c r="A989" s="1">
        <v>42661</v>
      </c>
      <c r="B989">
        <v>2045</v>
      </c>
      <c r="C989">
        <v>2064</v>
      </c>
      <c r="D989">
        <v>2025.1</v>
      </c>
      <c r="E989">
        <v>2028.9</v>
      </c>
      <c r="F989">
        <v>827982</v>
      </c>
      <c r="G989" s="4">
        <f t="shared" si="211"/>
        <v>0</v>
      </c>
      <c r="H989" s="4">
        <f t="shared" si="212"/>
        <v>29.150000000000091</v>
      </c>
      <c r="I989" s="6">
        <f t="shared" si="217"/>
        <v>10.300000000000002</v>
      </c>
      <c r="J989" s="6">
        <f t="shared" si="218"/>
        <v>8.2964285714285619</v>
      </c>
      <c r="K989" s="4">
        <f t="shared" si="219"/>
        <v>1.2414980628497649</v>
      </c>
      <c r="L989">
        <f t="shared" si="220"/>
        <v>55.386979066641096</v>
      </c>
      <c r="M989" s="14" t="str">
        <f t="shared" si="213"/>
        <v/>
      </c>
      <c r="N989" s="7">
        <f t="shared" si="214"/>
        <v>0</v>
      </c>
      <c r="O989" s="7">
        <f t="shared" si="221"/>
        <v>0</v>
      </c>
      <c r="P989" s="7">
        <f t="shared" si="222"/>
        <v>1</v>
      </c>
      <c r="Q989" s="10" t="e">
        <f t="shared" si="215"/>
        <v>#N/A</v>
      </c>
      <c r="R989" s="10" t="e">
        <f t="shared" si="216"/>
        <v>#N/A</v>
      </c>
      <c r="S989" s="7">
        <f t="shared" si="223"/>
        <v>1984.6</v>
      </c>
      <c r="T989" s="7">
        <f t="shared" si="224"/>
        <v>0</v>
      </c>
    </row>
    <row r="990" spans="1:20" x14ac:dyDescent="0.25">
      <c r="A990" s="1">
        <v>42662</v>
      </c>
      <c r="B990">
        <v>2037.95</v>
      </c>
      <c r="C990">
        <v>2045</v>
      </c>
      <c r="D990">
        <v>1995</v>
      </c>
      <c r="E990">
        <v>2001.8</v>
      </c>
      <c r="F990">
        <v>1731675</v>
      </c>
      <c r="G990" s="4">
        <f t="shared" si="211"/>
        <v>0</v>
      </c>
      <c r="H990" s="4">
        <f t="shared" si="212"/>
        <v>27.100000000000136</v>
      </c>
      <c r="I990" s="6">
        <f t="shared" si="217"/>
        <v>9.414285714285711</v>
      </c>
      <c r="J990" s="6">
        <f t="shared" si="218"/>
        <v>10.232142857142858</v>
      </c>
      <c r="K990" s="4">
        <f t="shared" si="219"/>
        <v>0.92006980802792282</v>
      </c>
      <c r="L990">
        <f t="shared" si="220"/>
        <v>47.91856026177058</v>
      </c>
      <c r="M990" s="14" t="str">
        <f t="shared" si="213"/>
        <v/>
      </c>
      <c r="N990" s="7">
        <f t="shared" si="214"/>
        <v>0</v>
      </c>
      <c r="O990" s="7">
        <f t="shared" si="221"/>
        <v>0</v>
      </c>
      <c r="P990" s="7">
        <f t="shared" si="222"/>
        <v>1</v>
      </c>
      <c r="Q990" s="10" t="e">
        <f t="shared" si="215"/>
        <v>#N/A</v>
      </c>
      <c r="R990" s="10" t="e">
        <f t="shared" si="216"/>
        <v>#N/A</v>
      </c>
      <c r="S990" s="7">
        <f t="shared" si="223"/>
        <v>1984.6</v>
      </c>
      <c r="T990" s="7">
        <f t="shared" si="224"/>
        <v>0</v>
      </c>
    </row>
    <row r="991" spans="1:20" x14ac:dyDescent="0.25">
      <c r="A991" s="1">
        <v>42663</v>
      </c>
      <c r="B991">
        <v>2013.7</v>
      </c>
      <c r="C991">
        <v>2039.8</v>
      </c>
      <c r="D991">
        <v>2005.15</v>
      </c>
      <c r="E991">
        <v>2019.15</v>
      </c>
      <c r="F991">
        <v>1429250</v>
      </c>
      <c r="G991" s="4">
        <f t="shared" si="211"/>
        <v>17.350000000000136</v>
      </c>
      <c r="H991" s="4">
        <f t="shared" si="212"/>
        <v>0</v>
      </c>
      <c r="I991" s="6">
        <f t="shared" si="217"/>
        <v>10.653571428571436</v>
      </c>
      <c r="J991" s="6">
        <f t="shared" si="218"/>
        <v>8.835714285714289</v>
      </c>
      <c r="K991" s="4">
        <f t="shared" si="219"/>
        <v>1.2057396928051742</v>
      </c>
      <c r="L991">
        <f t="shared" si="220"/>
        <v>54.663734652739613</v>
      </c>
      <c r="M991" s="14" t="str">
        <f t="shared" si="213"/>
        <v/>
      </c>
      <c r="N991" s="7">
        <f t="shared" si="214"/>
        <v>0</v>
      </c>
      <c r="O991" s="7">
        <f t="shared" si="221"/>
        <v>0</v>
      </c>
      <c r="P991" s="7">
        <f t="shared" si="222"/>
        <v>1</v>
      </c>
      <c r="Q991" s="10" t="e">
        <f t="shared" si="215"/>
        <v>#N/A</v>
      </c>
      <c r="R991" s="10" t="e">
        <f t="shared" si="216"/>
        <v>#N/A</v>
      </c>
      <c r="S991" s="7">
        <f t="shared" si="223"/>
        <v>1984.6</v>
      </c>
      <c r="T991" s="7">
        <f t="shared" si="224"/>
        <v>0</v>
      </c>
    </row>
    <row r="992" spans="1:20" x14ac:dyDescent="0.25">
      <c r="A992" s="1">
        <v>42664</v>
      </c>
      <c r="B992">
        <v>2031.6</v>
      </c>
      <c r="C992">
        <v>2065.85</v>
      </c>
      <c r="D992">
        <v>2030</v>
      </c>
      <c r="E992">
        <v>2045.35</v>
      </c>
      <c r="F992">
        <v>1497737</v>
      </c>
      <c r="G992" s="4">
        <f t="shared" si="211"/>
        <v>26.199999999999818</v>
      </c>
      <c r="H992" s="4">
        <f t="shared" si="212"/>
        <v>0</v>
      </c>
      <c r="I992" s="6">
        <f t="shared" si="217"/>
        <v>12.524999999999993</v>
      </c>
      <c r="J992" s="6">
        <f t="shared" si="218"/>
        <v>8.3178571428571466</v>
      </c>
      <c r="K992" s="4">
        <f t="shared" si="219"/>
        <v>1.5057964791756104</v>
      </c>
      <c r="L992">
        <f t="shared" si="220"/>
        <v>60.092529129540758</v>
      </c>
      <c r="M992" s="14" t="str">
        <f t="shared" si="213"/>
        <v/>
      </c>
      <c r="N992" s="7">
        <f t="shared" si="214"/>
        <v>0</v>
      </c>
      <c r="O992" s="7">
        <f t="shared" si="221"/>
        <v>0</v>
      </c>
      <c r="P992" s="7">
        <f t="shared" si="222"/>
        <v>1</v>
      </c>
      <c r="Q992" s="10" t="e">
        <f t="shared" si="215"/>
        <v>#N/A</v>
      </c>
      <c r="R992" s="10" t="e">
        <f t="shared" si="216"/>
        <v>#N/A</v>
      </c>
      <c r="S992" s="7">
        <f t="shared" si="223"/>
        <v>1984.6</v>
      </c>
      <c r="T992" s="7">
        <f t="shared" si="224"/>
        <v>0</v>
      </c>
    </row>
    <row r="993" spans="1:20" x14ac:dyDescent="0.25">
      <c r="A993" s="1">
        <v>42667</v>
      </c>
      <c r="B993">
        <v>2040</v>
      </c>
      <c r="C993">
        <v>2071</v>
      </c>
      <c r="D993">
        <v>2038</v>
      </c>
      <c r="E993">
        <v>2055.8000000000002</v>
      </c>
      <c r="F993">
        <v>793995</v>
      </c>
      <c r="G993" s="4">
        <f t="shared" si="211"/>
        <v>10.450000000000273</v>
      </c>
      <c r="H993" s="4">
        <f t="shared" si="212"/>
        <v>0</v>
      </c>
      <c r="I993" s="6">
        <f t="shared" si="217"/>
        <v>13.271428571428585</v>
      </c>
      <c r="J993" s="6">
        <f t="shared" si="218"/>
        <v>8.1857142857142797</v>
      </c>
      <c r="K993" s="4">
        <f t="shared" si="219"/>
        <v>1.6212914485165821</v>
      </c>
      <c r="L993">
        <f t="shared" si="220"/>
        <v>61.85086551264984</v>
      </c>
      <c r="M993" s="14" t="str">
        <f t="shared" si="213"/>
        <v/>
      </c>
      <c r="N993" s="7">
        <f t="shared" si="214"/>
        <v>0</v>
      </c>
      <c r="O993" s="7">
        <f t="shared" si="221"/>
        <v>0</v>
      </c>
      <c r="P993" s="7">
        <f t="shared" si="222"/>
        <v>1</v>
      </c>
      <c r="Q993" s="10" t="e">
        <f t="shared" si="215"/>
        <v>#N/A</v>
      </c>
      <c r="R993" s="10" t="e">
        <f t="shared" si="216"/>
        <v>#N/A</v>
      </c>
      <c r="S993" s="7">
        <f t="shared" si="223"/>
        <v>1984.6</v>
      </c>
      <c r="T993" s="7">
        <f t="shared" si="224"/>
        <v>0</v>
      </c>
    </row>
    <row r="994" spans="1:20" x14ac:dyDescent="0.25">
      <c r="A994" s="1">
        <v>42668</v>
      </c>
      <c r="B994">
        <v>2075.9499999999998</v>
      </c>
      <c r="C994">
        <v>2110</v>
      </c>
      <c r="D994">
        <v>2062.65</v>
      </c>
      <c r="E994">
        <v>2081.5</v>
      </c>
      <c r="F994">
        <v>1080993</v>
      </c>
      <c r="G994" s="4">
        <f t="shared" si="211"/>
        <v>25.699999999999818</v>
      </c>
      <c r="H994" s="4">
        <f t="shared" si="212"/>
        <v>0</v>
      </c>
      <c r="I994" s="6">
        <f t="shared" si="217"/>
        <v>13.696428571428571</v>
      </c>
      <c r="J994" s="6">
        <f t="shared" si="218"/>
        <v>8.1857142857142797</v>
      </c>
      <c r="K994" s="4">
        <f t="shared" si="219"/>
        <v>1.6732111692844689</v>
      </c>
      <c r="L994">
        <f t="shared" si="220"/>
        <v>62.591806756977327</v>
      </c>
      <c r="M994" s="14" t="str">
        <f t="shared" si="213"/>
        <v/>
      </c>
      <c r="N994" s="7">
        <f t="shared" si="214"/>
        <v>0</v>
      </c>
      <c r="O994" s="7">
        <f t="shared" si="221"/>
        <v>0</v>
      </c>
      <c r="P994" s="7">
        <f t="shared" si="222"/>
        <v>1</v>
      </c>
      <c r="Q994" s="10" t="e">
        <f t="shared" si="215"/>
        <v>#N/A</v>
      </c>
      <c r="R994" s="10" t="e">
        <f t="shared" si="216"/>
        <v>#N/A</v>
      </c>
      <c r="S994" s="7">
        <f t="shared" si="223"/>
        <v>1984.6</v>
      </c>
      <c r="T994" s="7">
        <f t="shared" si="224"/>
        <v>0</v>
      </c>
    </row>
    <row r="995" spans="1:20" x14ac:dyDescent="0.25">
      <c r="A995" s="1">
        <v>42669</v>
      </c>
      <c r="B995">
        <v>2088.1</v>
      </c>
      <c r="C995">
        <v>2130</v>
      </c>
      <c r="D995">
        <v>2085.85</v>
      </c>
      <c r="E995">
        <v>2120.5500000000002</v>
      </c>
      <c r="F995">
        <v>982906</v>
      </c>
      <c r="G995" s="4">
        <f t="shared" si="211"/>
        <v>39.050000000000182</v>
      </c>
      <c r="H995" s="4">
        <f t="shared" si="212"/>
        <v>0</v>
      </c>
      <c r="I995" s="6">
        <f t="shared" si="217"/>
        <v>15.803571428571429</v>
      </c>
      <c r="J995" s="6">
        <f t="shared" si="218"/>
        <v>8.1857142857142797</v>
      </c>
      <c r="K995" s="4">
        <f t="shared" si="219"/>
        <v>1.9306282722513104</v>
      </c>
      <c r="L995">
        <f t="shared" si="220"/>
        <v>65.877623939258612</v>
      </c>
      <c r="M995" s="14" t="str">
        <f t="shared" si="213"/>
        <v/>
      </c>
      <c r="N995" s="7">
        <f t="shared" si="214"/>
        <v>0</v>
      </c>
      <c r="O995" s="7">
        <f t="shared" si="221"/>
        <v>0</v>
      </c>
      <c r="P995" s="7">
        <f t="shared" si="222"/>
        <v>1</v>
      </c>
      <c r="Q995" s="10" t="e">
        <f t="shared" si="215"/>
        <v>#N/A</v>
      </c>
      <c r="R995" s="10" t="e">
        <f t="shared" si="216"/>
        <v>#N/A</v>
      </c>
      <c r="S995" s="7">
        <f t="shared" si="223"/>
        <v>1984.6</v>
      </c>
      <c r="T995" s="7">
        <f t="shared" si="224"/>
        <v>0</v>
      </c>
    </row>
    <row r="996" spans="1:20" x14ac:dyDescent="0.25">
      <c r="A996" s="1">
        <v>42670</v>
      </c>
      <c r="B996">
        <v>2129.9499999999998</v>
      </c>
      <c r="C996">
        <v>2143.4499999999998</v>
      </c>
      <c r="D996">
        <v>2097.9499999999998</v>
      </c>
      <c r="E996">
        <v>2109.0500000000002</v>
      </c>
      <c r="F996">
        <v>660612</v>
      </c>
      <c r="G996" s="4">
        <f t="shared" si="211"/>
        <v>0</v>
      </c>
      <c r="H996" s="4">
        <f t="shared" si="212"/>
        <v>11.5</v>
      </c>
      <c r="I996" s="6">
        <f t="shared" si="217"/>
        <v>15.310714285714296</v>
      </c>
      <c r="J996" s="6">
        <f t="shared" si="218"/>
        <v>9.0071428571428509</v>
      </c>
      <c r="K996" s="4">
        <f t="shared" si="219"/>
        <v>1.6998413957176868</v>
      </c>
      <c r="L996">
        <f t="shared" si="220"/>
        <v>62.960787193420508</v>
      </c>
      <c r="M996" s="14" t="str">
        <f t="shared" si="213"/>
        <v/>
      </c>
      <c r="N996" s="7">
        <f t="shared" si="214"/>
        <v>0</v>
      </c>
      <c r="O996" s="7">
        <f t="shared" si="221"/>
        <v>0</v>
      </c>
      <c r="P996" s="7">
        <f t="shared" si="222"/>
        <v>1</v>
      </c>
      <c r="Q996" s="10" t="e">
        <f t="shared" si="215"/>
        <v>#N/A</v>
      </c>
      <c r="R996" s="10" t="e">
        <f t="shared" si="216"/>
        <v>#N/A</v>
      </c>
      <c r="S996" s="7">
        <f t="shared" si="223"/>
        <v>1984.6</v>
      </c>
      <c r="T996" s="7">
        <f t="shared" si="224"/>
        <v>0</v>
      </c>
    </row>
    <row r="997" spans="1:20" x14ac:dyDescent="0.25">
      <c r="A997" s="1">
        <v>42671</v>
      </c>
      <c r="B997">
        <v>2119.8000000000002</v>
      </c>
      <c r="C997">
        <v>2129</v>
      </c>
      <c r="D997">
        <v>2104.25</v>
      </c>
      <c r="E997">
        <v>2110.6999999999998</v>
      </c>
      <c r="F997">
        <v>435078</v>
      </c>
      <c r="G997" s="4">
        <f t="shared" si="211"/>
        <v>1.6499999999996362</v>
      </c>
      <c r="H997" s="4">
        <f t="shared" si="212"/>
        <v>0</v>
      </c>
      <c r="I997" s="6">
        <f t="shared" si="217"/>
        <v>15.428571428571413</v>
      </c>
      <c r="J997" s="6">
        <f t="shared" si="218"/>
        <v>7.5249999999999932</v>
      </c>
      <c r="K997" s="4">
        <f t="shared" si="219"/>
        <v>2.0503084954912194</v>
      </c>
      <c r="L997">
        <f t="shared" si="220"/>
        <v>67.216430683055847</v>
      </c>
      <c r="M997" s="14" t="str">
        <f t="shared" si="213"/>
        <v/>
      </c>
      <c r="N997" s="7">
        <f t="shared" si="214"/>
        <v>0</v>
      </c>
      <c r="O997" s="7">
        <f t="shared" si="221"/>
        <v>0</v>
      </c>
      <c r="P997" s="7">
        <f t="shared" si="222"/>
        <v>1</v>
      </c>
      <c r="Q997" s="10" t="e">
        <f t="shared" si="215"/>
        <v>#N/A</v>
      </c>
      <c r="R997" s="10" t="e">
        <f t="shared" si="216"/>
        <v>#N/A</v>
      </c>
      <c r="S997" s="7">
        <f t="shared" si="223"/>
        <v>1984.6</v>
      </c>
      <c r="T997" s="7">
        <f t="shared" si="224"/>
        <v>0</v>
      </c>
    </row>
    <row r="998" spans="1:20" x14ac:dyDescent="0.25">
      <c r="A998" s="1">
        <v>42674</v>
      </c>
      <c r="B998">
        <v>2115</v>
      </c>
      <c r="C998">
        <v>2117</v>
      </c>
      <c r="D998">
        <v>2091.4499999999998</v>
      </c>
      <c r="E998">
        <v>2100.3000000000002</v>
      </c>
      <c r="F998">
        <v>1148597</v>
      </c>
      <c r="G998" s="4">
        <f t="shared" si="211"/>
        <v>0</v>
      </c>
      <c r="H998" s="4">
        <f t="shared" si="212"/>
        <v>10.399999999999636</v>
      </c>
      <c r="I998" s="6">
        <f t="shared" si="217"/>
        <v>15.428571428571413</v>
      </c>
      <c r="J998" s="6">
        <f t="shared" si="218"/>
        <v>7.3464285714285484</v>
      </c>
      <c r="K998" s="4">
        <f t="shared" si="219"/>
        <v>2.1001458434613558</v>
      </c>
      <c r="L998">
        <f t="shared" si="220"/>
        <v>67.74345303434221</v>
      </c>
      <c r="M998" s="14" t="str">
        <f t="shared" si="213"/>
        <v/>
      </c>
      <c r="N998" s="7">
        <f t="shared" si="214"/>
        <v>0</v>
      </c>
      <c r="O998" s="7">
        <f t="shared" si="221"/>
        <v>0</v>
      </c>
      <c r="P998" s="7">
        <f t="shared" si="222"/>
        <v>1</v>
      </c>
      <c r="Q998" s="10" t="e">
        <f t="shared" si="215"/>
        <v>#N/A</v>
      </c>
      <c r="R998" s="10" t="e">
        <f t="shared" si="216"/>
        <v>#N/A</v>
      </c>
      <c r="S998" s="7">
        <f t="shared" si="223"/>
        <v>1984.6</v>
      </c>
      <c r="T998" s="7">
        <f t="shared" si="224"/>
        <v>0</v>
      </c>
    </row>
    <row r="999" spans="1:20" x14ac:dyDescent="0.25">
      <c r="A999" s="1">
        <v>42675</v>
      </c>
      <c r="B999">
        <v>2107</v>
      </c>
      <c r="C999">
        <v>2169.9</v>
      </c>
      <c r="D999">
        <v>2105</v>
      </c>
      <c r="E999">
        <v>2160.65</v>
      </c>
      <c r="F999">
        <v>1239973</v>
      </c>
      <c r="G999" s="4">
        <f t="shared" si="211"/>
        <v>60.349999999999909</v>
      </c>
      <c r="H999" s="4">
        <f t="shared" si="212"/>
        <v>0</v>
      </c>
      <c r="I999" s="6">
        <f t="shared" si="217"/>
        <v>18.799999999999986</v>
      </c>
      <c r="J999" s="6">
        <f t="shared" si="218"/>
        <v>7.3464285714285484</v>
      </c>
      <c r="K999" s="4">
        <f t="shared" si="219"/>
        <v>2.5590666018473569</v>
      </c>
      <c r="L999">
        <f t="shared" si="220"/>
        <v>71.902745526567458</v>
      </c>
      <c r="M999" s="14" t="str">
        <f t="shared" si="213"/>
        <v>OVERBOUGHT</v>
      </c>
      <c r="N999" s="7" t="str">
        <f t="shared" si="214"/>
        <v>SELL</v>
      </c>
      <c r="O999" s="7" t="str">
        <f t="shared" si="221"/>
        <v>SELL</v>
      </c>
      <c r="P999" s="7">
        <f t="shared" si="222"/>
        <v>-1</v>
      </c>
      <c r="Q999" s="10" t="e">
        <f t="shared" si="215"/>
        <v>#N/A</v>
      </c>
      <c r="R999" s="10">
        <f t="shared" si="216"/>
        <v>2160.65</v>
      </c>
      <c r="S999" s="7">
        <f t="shared" si="223"/>
        <v>2160.65</v>
      </c>
      <c r="T999" s="7">
        <f t="shared" si="224"/>
        <v>8.8708052000403201E-2</v>
      </c>
    </row>
    <row r="1000" spans="1:20" x14ac:dyDescent="0.25">
      <c r="A1000" s="1">
        <v>42676</v>
      </c>
      <c r="B1000">
        <v>2170</v>
      </c>
      <c r="C1000">
        <v>2175.25</v>
      </c>
      <c r="D1000">
        <v>2146.6999999999998</v>
      </c>
      <c r="E1000">
        <v>2156.0500000000002</v>
      </c>
      <c r="F1000">
        <v>834388</v>
      </c>
      <c r="G1000" s="4">
        <f t="shared" si="211"/>
        <v>0</v>
      </c>
      <c r="H1000" s="4">
        <f t="shared" si="212"/>
        <v>4.5999999999999091</v>
      </c>
      <c r="I1000" s="6">
        <f t="shared" si="217"/>
        <v>18.474999999999991</v>
      </c>
      <c r="J1000" s="6">
        <f t="shared" si="218"/>
        <v>7.6749999999999705</v>
      </c>
      <c r="K1000" s="4">
        <f t="shared" si="219"/>
        <v>2.4071661237785098</v>
      </c>
      <c r="L1000">
        <f t="shared" si="220"/>
        <v>70.650095602294527</v>
      </c>
      <c r="M1000" s="14" t="str">
        <f t="shared" si="213"/>
        <v>OVERBOUGHT</v>
      </c>
      <c r="N1000" s="7" t="str">
        <f t="shared" si="214"/>
        <v>SELL</v>
      </c>
      <c r="O1000" s="7">
        <f t="shared" si="221"/>
        <v>0</v>
      </c>
      <c r="P1000" s="7">
        <f t="shared" si="222"/>
        <v>-1</v>
      </c>
      <c r="Q1000" s="10" t="e">
        <f t="shared" si="215"/>
        <v>#N/A</v>
      </c>
      <c r="R1000" s="10" t="e">
        <f t="shared" si="216"/>
        <v>#N/A</v>
      </c>
      <c r="S1000" s="7">
        <f t="shared" si="223"/>
        <v>2160.65</v>
      </c>
      <c r="T1000" s="7">
        <f t="shared" si="224"/>
        <v>0</v>
      </c>
    </row>
    <row r="1001" spans="1:20" x14ac:dyDescent="0.25">
      <c r="A1001" s="1">
        <v>42677</v>
      </c>
      <c r="B1001">
        <v>2160.1</v>
      </c>
      <c r="C1001">
        <v>2184.9499999999998</v>
      </c>
      <c r="D1001">
        <v>2150.9</v>
      </c>
      <c r="E1001">
        <v>2172.0500000000002</v>
      </c>
      <c r="F1001">
        <v>622888</v>
      </c>
      <c r="G1001" s="4">
        <f t="shared" si="211"/>
        <v>16</v>
      </c>
      <c r="H1001" s="4">
        <f t="shared" si="212"/>
        <v>0</v>
      </c>
      <c r="I1001" s="6">
        <f t="shared" si="217"/>
        <v>14.053571428571413</v>
      </c>
      <c r="J1001" s="6">
        <f t="shared" si="218"/>
        <v>7.6749999999999705</v>
      </c>
      <c r="K1001" s="4">
        <f t="shared" si="219"/>
        <v>1.831084225221038</v>
      </c>
      <c r="L1001">
        <f t="shared" si="220"/>
        <v>64.677843523997439</v>
      </c>
      <c r="M1001" s="14" t="str">
        <f t="shared" si="213"/>
        <v/>
      </c>
      <c r="N1001" s="7">
        <f t="shared" si="214"/>
        <v>0</v>
      </c>
      <c r="O1001" s="7">
        <f t="shared" si="221"/>
        <v>0</v>
      </c>
      <c r="P1001" s="7">
        <f t="shared" si="222"/>
        <v>-1</v>
      </c>
      <c r="Q1001" s="10" t="e">
        <f t="shared" si="215"/>
        <v>#N/A</v>
      </c>
      <c r="R1001" s="10" t="e">
        <f t="shared" si="216"/>
        <v>#N/A</v>
      </c>
      <c r="S1001" s="7">
        <f t="shared" si="223"/>
        <v>2160.65</v>
      </c>
      <c r="T1001" s="7">
        <f t="shared" si="224"/>
        <v>0</v>
      </c>
    </row>
    <row r="1002" spans="1:20" x14ac:dyDescent="0.25">
      <c r="A1002" s="1">
        <v>42678</v>
      </c>
      <c r="B1002">
        <v>2180.1</v>
      </c>
      <c r="C1002">
        <v>2184.5</v>
      </c>
      <c r="D1002">
        <v>2151.1</v>
      </c>
      <c r="E1002">
        <v>2153.3000000000002</v>
      </c>
      <c r="F1002">
        <v>264976</v>
      </c>
      <c r="G1002" s="4">
        <f t="shared" si="211"/>
        <v>0</v>
      </c>
      <c r="H1002" s="4">
        <f t="shared" si="212"/>
        <v>18.75</v>
      </c>
      <c r="I1002" s="6">
        <f t="shared" si="217"/>
        <v>14.053571428571413</v>
      </c>
      <c r="J1002" s="6">
        <f t="shared" si="218"/>
        <v>7.249999999999984</v>
      </c>
      <c r="K1002" s="4">
        <f t="shared" si="219"/>
        <v>1.9384236453201991</v>
      </c>
      <c r="L1002">
        <f t="shared" si="220"/>
        <v>65.96814752724228</v>
      </c>
      <c r="M1002" s="14" t="str">
        <f t="shared" si="213"/>
        <v/>
      </c>
      <c r="N1002" s="7">
        <f t="shared" si="214"/>
        <v>0</v>
      </c>
      <c r="O1002" s="7">
        <f t="shared" si="221"/>
        <v>0</v>
      </c>
      <c r="P1002" s="7">
        <f t="shared" si="222"/>
        <v>-1</v>
      </c>
      <c r="Q1002" s="10" t="e">
        <f t="shared" si="215"/>
        <v>#N/A</v>
      </c>
      <c r="R1002" s="10" t="e">
        <f t="shared" si="216"/>
        <v>#N/A</v>
      </c>
      <c r="S1002" s="7">
        <f t="shared" si="223"/>
        <v>2160.65</v>
      </c>
      <c r="T1002" s="7">
        <f t="shared" si="224"/>
        <v>0</v>
      </c>
    </row>
    <row r="1003" spans="1:20" x14ac:dyDescent="0.25">
      <c r="A1003" s="1">
        <v>42681</v>
      </c>
      <c r="B1003">
        <v>2166</v>
      </c>
      <c r="C1003">
        <v>2189</v>
      </c>
      <c r="D1003">
        <v>2156.15</v>
      </c>
      <c r="E1003">
        <v>2167</v>
      </c>
      <c r="F1003">
        <v>863474</v>
      </c>
      <c r="G1003" s="4">
        <f t="shared" si="211"/>
        <v>13.699999999999818</v>
      </c>
      <c r="H1003" s="4">
        <f t="shared" si="212"/>
        <v>0</v>
      </c>
      <c r="I1003" s="6">
        <f t="shared" si="217"/>
        <v>15.032142857142828</v>
      </c>
      <c r="J1003" s="6">
        <f t="shared" si="218"/>
        <v>5.1678571428571205</v>
      </c>
      <c r="K1003" s="4">
        <f t="shared" si="219"/>
        <v>2.9087767795438908</v>
      </c>
      <c r="L1003">
        <f t="shared" si="220"/>
        <v>74.416548797736965</v>
      </c>
      <c r="M1003" s="14" t="str">
        <f t="shared" si="213"/>
        <v>OVERBOUGHT</v>
      </c>
      <c r="N1003" s="7" t="str">
        <f t="shared" si="214"/>
        <v>SELL</v>
      </c>
      <c r="O1003" s="7">
        <f t="shared" si="221"/>
        <v>0</v>
      </c>
      <c r="P1003" s="7">
        <f t="shared" si="222"/>
        <v>-1</v>
      </c>
      <c r="Q1003" s="10" t="e">
        <f t="shared" si="215"/>
        <v>#N/A</v>
      </c>
      <c r="R1003" s="10" t="e">
        <f t="shared" si="216"/>
        <v>#N/A</v>
      </c>
      <c r="S1003" s="7">
        <f t="shared" si="223"/>
        <v>2160.65</v>
      </c>
      <c r="T1003" s="7">
        <f t="shared" si="224"/>
        <v>0</v>
      </c>
    </row>
    <row r="1004" spans="1:20" x14ac:dyDescent="0.25">
      <c r="A1004" s="1">
        <v>42682</v>
      </c>
      <c r="B1004">
        <v>2164.6999999999998</v>
      </c>
      <c r="C1004">
        <v>2229.1</v>
      </c>
      <c r="D1004">
        <v>2147.25</v>
      </c>
      <c r="E1004">
        <v>2222.1999999999998</v>
      </c>
      <c r="F1004">
        <v>1309087</v>
      </c>
      <c r="G1004" s="4">
        <f t="shared" si="211"/>
        <v>55.199999999999818</v>
      </c>
      <c r="H1004" s="4">
        <f t="shared" si="212"/>
        <v>0</v>
      </c>
      <c r="I1004" s="6">
        <f t="shared" si="217"/>
        <v>18.974999999999959</v>
      </c>
      <c r="J1004" s="6">
        <f t="shared" si="218"/>
        <v>3.2321428571428248</v>
      </c>
      <c r="K1004" s="4">
        <f t="shared" si="219"/>
        <v>5.8707182320442453</v>
      </c>
      <c r="L1004">
        <f t="shared" si="220"/>
        <v>85.445480862013611</v>
      </c>
      <c r="M1004" s="14" t="str">
        <f t="shared" si="213"/>
        <v>OVERBOUGHT</v>
      </c>
      <c r="N1004" s="7" t="str">
        <f t="shared" si="214"/>
        <v>SELL</v>
      </c>
      <c r="O1004" s="7">
        <f t="shared" si="221"/>
        <v>0</v>
      </c>
      <c r="P1004" s="7">
        <f t="shared" si="222"/>
        <v>-1</v>
      </c>
      <c r="Q1004" s="10" t="e">
        <f t="shared" si="215"/>
        <v>#N/A</v>
      </c>
      <c r="R1004" s="10" t="e">
        <f t="shared" si="216"/>
        <v>#N/A</v>
      </c>
      <c r="S1004" s="7">
        <f t="shared" si="223"/>
        <v>2160.65</v>
      </c>
      <c r="T1004" s="7">
        <f t="shared" si="224"/>
        <v>0</v>
      </c>
    </row>
    <row r="1005" spans="1:20" x14ac:dyDescent="0.25">
      <c r="A1005" s="1">
        <v>42683</v>
      </c>
      <c r="B1005">
        <v>2229</v>
      </c>
      <c r="C1005">
        <v>2244</v>
      </c>
      <c r="D1005">
        <v>2197</v>
      </c>
      <c r="E1005">
        <v>2239.6</v>
      </c>
      <c r="F1005">
        <v>1155905</v>
      </c>
      <c r="G1005" s="4">
        <f t="shared" si="211"/>
        <v>17.400000000000091</v>
      </c>
      <c r="H1005" s="4">
        <f t="shared" si="212"/>
        <v>0</v>
      </c>
      <c r="I1005" s="6">
        <f t="shared" si="217"/>
        <v>18.978571428571382</v>
      </c>
      <c r="J1005" s="6">
        <f t="shared" si="218"/>
        <v>3.2321428571428248</v>
      </c>
      <c r="K1005" s="4">
        <f t="shared" si="219"/>
        <v>5.8718232044199334</v>
      </c>
      <c r="L1005">
        <f t="shared" si="220"/>
        <v>85.44782119311796</v>
      </c>
      <c r="M1005" s="14" t="str">
        <f t="shared" si="213"/>
        <v>OVERBOUGHT</v>
      </c>
      <c r="N1005" s="7" t="str">
        <f t="shared" si="214"/>
        <v>SELL</v>
      </c>
      <c r="O1005" s="7">
        <f t="shared" si="221"/>
        <v>0</v>
      </c>
      <c r="P1005" s="7">
        <f t="shared" si="222"/>
        <v>-1</v>
      </c>
      <c r="Q1005" s="10" t="e">
        <f t="shared" si="215"/>
        <v>#N/A</v>
      </c>
      <c r="R1005" s="10" t="e">
        <f t="shared" si="216"/>
        <v>#N/A</v>
      </c>
      <c r="S1005" s="7">
        <f t="shared" si="223"/>
        <v>2160.65</v>
      </c>
      <c r="T1005" s="7">
        <f t="shared" si="224"/>
        <v>0</v>
      </c>
    </row>
    <row r="1006" spans="1:20" x14ac:dyDescent="0.25">
      <c r="A1006" s="1">
        <v>42684</v>
      </c>
      <c r="B1006">
        <v>2240</v>
      </c>
      <c r="C1006">
        <v>2256.4499999999998</v>
      </c>
      <c r="D1006">
        <v>2199</v>
      </c>
      <c r="E1006">
        <v>2206.15</v>
      </c>
      <c r="F1006">
        <v>1448743</v>
      </c>
      <c r="G1006" s="4">
        <f t="shared" si="211"/>
        <v>0</v>
      </c>
      <c r="H1006" s="4">
        <f t="shared" si="212"/>
        <v>33.449999999999818</v>
      </c>
      <c r="I1006" s="6">
        <f t="shared" si="217"/>
        <v>17.107142857142826</v>
      </c>
      <c r="J1006" s="6">
        <f t="shared" si="218"/>
        <v>5.6214285714285257</v>
      </c>
      <c r="K1006" s="4">
        <f t="shared" si="219"/>
        <v>3.0432020330368679</v>
      </c>
      <c r="L1006">
        <f t="shared" si="220"/>
        <v>75.267127592709102</v>
      </c>
      <c r="M1006" s="14" t="str">
        <f t="shared" si="213"/>
        <v>OVERBOUGHT</v>
      </c>
      <c r="N1006" s="7" t="str">
        <f t="shared" si="214"/>
        <v>SELL</v>
      </c>
      <c r="O1006" s="7">
        <f t="shared" si="221"/>
        <v>0</v>
      </c>
      <c r="P1006" s="7">
        <f t="shared" si="222"/>
        <v>-1</v>
      </c>
      <c r="Q1006" s="10" t="e">
        <f t="shared" si="215"/>
        <v>#N/A</v>
      </c>
      <c r="R1006" s="10" t="e">
        <f t="shared" si="216"/>
        <v>#N/A</v>
      </c>
      <c r="S1006" s="7">
        <f t="shared" si="223"/>
        <v>2160.65</v>
      </c>
      <c r="T1006" s="7">
        <f t="shared" si="224"/>
        <v>0</v>
      </c>
    </row>
    <row r="1007" spans="1:20" x14ac:dyDescent="0.25">
      <c r="A1007" s="1">
        <v>42685</v>
      </c>
      <c r="B1007">
        <v>2212</v>
      </c>
      <c r="C1007">
        <v>2244</v>
      </c>
      <c r="D1007">
        <v>2210</v>
      </c>
      <c r="E1007">
        <v>2232.65</v>
      </c>
      <c r="F1007">
        <v>1275010</v>
      </c>
      <c r="G1007" s="4">
        <f t="shared" si="211"/>
        <v>26.5</v>
      </c>
      <c r="H1007" s="4">
        <f t="shared" si="212"/>
        <v>0</v>
      </c>
      <c r="I1007" s="6">
        <f t="shared" si="217"/>
        <v>18.253571428571377</v>
      </c>
      <c r="J1007" s="6">
        <f t="shared" si="218"/>
        <v>5.6214285714285257</v>
      </c>
      <c r="K1007" s="4">
        <f t="shared" si="219"/>
        <v>3.247141041931402</v>
      </c>
      <c r="L1007">
        <f t="shared" si="220"/>
        <v>76.454749439042729</v>
      </c>
      <c r="M1007" s="14" t="str">
        <f t="shared" si="213"/>
        <v>OVERBOUGHT</v>
      </c>
      <c r="N1007" s="7" t="str">
        <f t="shared" si="214"/>
        <v>SELL</v>
      </c>
      <c r="O1007" s="7">
        <f t="shared" si="221"/>
        <v>0</v>
      </c>
      <c r="P1007" s="7">
        <f t="shared" si="222"/>
        <v>-1</v>
      </c>
      <c r="Q1007" s="10" t="e">
        <f t="shared" si="215"/>
        <v>#N/A</v>
      </c>
      <c r="R1007" s="10" t="e">
        <f t="shared" si="216"/>
        <v>#N/A</v>
      </c>
      <c r="S1007" s="7">
        <f t="shared" si="223"/>
        <v>2160.65</v>
      </c>
      <c r="T1007" s="7">
        <f t="shared" si="224"/>
        <v>0</v>
      </c>
    </row>
    <row r="1008" spans="1:20" x14ac:dyDescent="0.25">
      <c r="A1008" s="1">
        <v>42688</v>
      </c>
      <c r="B1008">
        <v>2228.75</v>
      </c>
      <c r="C1008">
        <v>2255.5</v>
      </c>
      <c r="D1008">
        <v>2222.1</v>
      </c>
      <c r="E1008">
        <v>2241.9499999999998</v>
      </c>
      <c r="F1008">
        <v>1291103</v>
      </c>
      <c r="G1008" s="4">
        <f t="shared" si="211"/>
        <v>9.2999999999997272</v>
      </c>
      <c r="H1008" s="4">
        <f t="shared" si="212"/>
        <v>0</v>
      </c>
      <c r="I1008" s="6">
        <f t="shared" si="217"/>
        <v>17.082142857142799</v>
      </c>
      <c r="J1008" s="6">
        <f t="shared" si="218"/>
        <v>5.6214285714285257</v>
      </c>
      <c r="K1008" s="4">
        <f t="shared" si="219"/>
        <v>3.0387547649301285</v>
      </c>
      <c r="L1008">
        <f t="shared" si="220"/>
        <v>75.239893031304163</v>
      </c>
      <c r="M1008" s="14" t="str">
        <f t="shared" si="213"/>
        <v>OVERBOUGHT</v>
      </c>
      <c r="N1008" s="7" t="str">
        <f t="shared" si="214"/>
        <v>SELL</v>
      </c>
      <c r="O1008" s="7">
        <f t="shared" si="221"/>
        <v>0</v>
      </c>
      <c r="P1008" s="7">
        <f t="shared" si="222"/>
        <v>-1</v>
      </c>
      <c r="Q1008" s="10" t="e">
        <f t="shared" si="215"/>
        <v>#N/A</v>
      </c>
      <c r="R1008" s="10" t="e">
        <f t="shared" si="216"/>
        <v>#N/A</v>
      </c>
      <c r="S1008" s="7">
        <f t="shared" si="223"/>
        <v>2160.65</v>
      </c>
      <c r="T1008" s="7">
        <f t="shared" si="224"/>
        <v>0</v>
      </c>
    </row>
    <row r="1009" spans="1:20" x14ac:dyDescent="0.25">
      <c r="A1009" s="1">
        <v>42689</v>
      </c>
      <c r="B1009">
        <v>2260</v>
      </c>
      <c r="C1009">
        <v>2309.8000000000002</v>
      </c>
      <c r="D1009">
        <v>2235</v>
      </c>
      <c r="E1009">
        <v>2280.9</v>
      </c>
      <c r="F1009">
        <v>1684667</v>
      </c>
      <c r="G1009" s="4">
        <f t="shared" si="211"/>
        <v>38.950000000000273</v>
      </c>
      <c r="H1009" s="4">
        <f t="shared" si="212"/>
        <v>0</v>
      </c>
      <c r="I1009" s="6">
        <f t="shared" si="217"/>
        <v>17.07499999999995</v>
      </c>
      <c r="J1009" s="6">
        <f t="shared" si="218"/>
        <v>5.6214285714285257</v>
      </c>
      <c r="K1009" s="4">
        <f t="shared" si="219"/>
        <v>3.0374841168996345</v>
      </c>
      <c r="L1009">
        <f t="shared" si="220"/>
        <v>75.232100708103957</v>
      </c>
      <c r="M1009" s="14" t="str">
        <f t="shared" si="213"/>
        <v>OVERBOUGHT</v>
      </c>
      <c r="N1009" s="7" t="str">
        <f t="shared" si="214"/>
        <v>SELL</v>
      </c>
      <c r="O1009" s="7">
        <f t="shared" si="221"/>
        <v>0</v>
      </c>
      <c r="P1009" s="7">
        <f t="shared" si="222"/>
        <v>-1</v>
      </c>
      <c r="Q1009" s="10" t="e">
        <f t="shared" si="215"/>
        <v>#N/A</v>
      </c>
      <c r="R1009" s="10" t="e">
        <f t="shared" si="216"/>
        <v>#N/A</v>
      </c>
      <c r="S1009" s="7">
        <f t="shared" si="223"/>
        <v>2160.65</v>
      </c>
      <c r="T1009" s="7">
        <f t="shared" si="224"/>
        <v>0</v>
      </c>
    </row>
    <row r="1010" spans="1:20" x14ac:dyDescent="0.25">
      <c r="A1010" s="1">
        <v>42690</v>
      </c>
      <c r="B1010">
        <v>2285</v>
      </c>
      <c r="C1010">
        <v>2384</v>
      </c>
      <c r="D1010">
        <v>2285</v>
      </c>
      <c r="E1010">
        <v>2368.75</v>
      </c>
      <c r="F1010">
        <v>1907158</v>
      </c>
      <c r="G1010" s="4">
        <f t="shared" si="211"/>
        <v>87.849999999999909</v>
      </c>
      <c r="H1010" s="4">
        <f t="shared" si="212"/>
        <v>0</v>
      </c>
      <c r="I1010" s="6">
        <f t="shared" si="217"/>
        <v>23.349999999999941</v>
      </c>
      <c r="J1010" s="6">
        <f t="shared" si="218"/>
        <v>4.7999999999999545</v>
      </c>
      <c r="K1010" s="4">
        <f t="shared" si="219"/>
        <v>4.8645833333333668</v>
      </c>
      <c r="L1010">
        <f t="shared" si="220"/>
        <v>82.948490230905961</v>
      </c>
      <c r="M1010" s="14" t="str">
        <f t="shared" si="213"/>
        <v>OVERBOUGHT</v>
      </c>
      <c r="N1010" s="7" t="str">
        <f t="shared" si="214"/>
        <v>SELL</v>
      </c>
      <c r="O1010" s="7">
        <f t="shared" si="221"/>
        <v>0</v>
      </c>
      <c r="P1010" s="7">
        <f t="shared" si="222"/>
        <v>-1</v>
      </c>
      <c r="Q1010" s="10" t="e">
        <f t="shared" si="215"/>
        <v>#N/A</v>
      </c>
      <c r="R1010" s="10" t="e">
        <f t="shared" si="216"/>
        <v>#N/A</v>
      </c>
      <c r="S1010" s="7">
        <f t="shared" si="223"/>
        <v>2160.65</v>
      </c>
      <c r="T1010" s="7">
        <f t="shared" si="224"/>
        <v>0</v>
      </c>
    </row>
    <row r="1011" spans="1:20" x14ac:dyDescent="0.25">
      <c r="A1011" s="1">
        <v>42691</v>
      </c>
      <c r="B1011">
        <v>2372</v>
      </c>
      <c r="C1011">
        <v>2384.8000000000002</v>
      </c>
      <c r="D1011">
        <v>2320</v>
      </c>
      <c r="E1011">
        <v>2326.75</v>
      </c>
      <c r="F1011">
        <v>1487482</v>
      </c>
      <c r="G1011" s="4">
        <f t="shared" si="211"/>
        <v>0</v>
      </c>
      <c r="H1011" s="4">
        <f t="shared" si="212"/>
        <v>42</v>
      </c>
      <c r="I1011" s="6">
        <f t="shared" si="217"/>
        <v>23.232142857142826</v>
      </c>
      <c r="J1011" s="6">
        <f t="shared" si="218"/>
        <v>7.7999999999999545</v>
      </c>
      <c r="K1011" s="4">
        <f t="shared" si="219"/>
        <v>2.9784798534798669</v>
      </c>
      <c r="L1011">
        <f t="shared" si="220"/>
        <v>74.864771550236014</v>
      </c>
      <c r="M1011" s="14" t="str">
        <f t="shared" si="213"/>
        <v>OVERBOUGHT</v>
      </c>
      <c r="N1011" s="7" t="str">
        <f t="shared" si="214"/>
        <v>SELL</v>
      </c>
      <c r="O1011" s="7">
        <f t="shared" si="221"/>
        <v>0</v>
      </c>
      <c r="P1011" s="7">
        <f t="shared" si="222"/>
        <v>-1</v>
      </c>
      <c r="Q1011" s="10" t="e">
        <f t="shared" si="215"/>
        <v>#N/A</v>
      </c>
      <c r="R1011" s="10" t="e">
        <f t="shared" si="216"/>
        <v>#N/A</v>
      </c>
      <c r="S1011" s="7">
        <f t="shared" si="223"/>
        <v>2160.65</v>
      </c>
      <c r="T1011" s="7">
        <f t="shared" si="224"/>
        <v>0</v>
      </c>
    </row>
    <row r="1012" spans="1:20" x14ac:dyDescent="0.25">
      <c r="A1012" s="1">
        <v>42692</v>
      </c>
      <c r="B1012">
        <v>2342.4499999999998</v>
      </c>
      <c r="C1012">
        <v>2378.1999999999998</v>
      </c>
      <c r="D1012">
        <v>2327</v>
      </c>
      <c r="E1012">
        <v>2353.6</v>
      </c>
      <c r="F1012">
        <v>1524427</v>
      </c>
      <c r="G1012" s="4">
        <f t="shared" si="211"/>
        <v>26.849999999999909</v>
      </c>
      <c r="H1012" s="4">
        <f t="shared" si="212"/>
        <v>0</v>
      </c>
      <c r="I1012" s="6">
        <f t="shared" si="217"/>
        <v>25.149999999999959</v>
      </c>
      <c r="J1012" s="6">
        <f t="shared" si="218"/>
        <v>7.0571428571428374</v>
      </c>
      <c r="K1012" s="4">
        <f t="shared" si="219"/>
        <v>3.5637651821862391</v>
      </c>
      <c r="L1012">
        <f t="shared" si="220"/>
        <v>78.088267908627216</v>
      </c>
      <c r="M1012" s="14" t="str">
        <f t="shared" si="213"/>
        <v>OVERBOUGHT</v>
      </c>
      <c r="N1012" s="7" t="str">
        <f t="shared" si="214"/>
        <v>SELL</v>
      </c>
      <c r="O1012" s="7">
        <f t="shared" si="221"/>
        <v>0</v>
      </c>
      <c r="P1012" s="7">
        <f t="shared" si="222"/>
        <v>-1</v>
      </c>
      <c r="Q1012" s="10" t="e">
        <f t="shared" si="215"/>
        <v>#N/A</v>
      </c>
      <c r="R1012" s="10" t="e">
        <f t="shared" si="216"/>
        <v>#N/A</v>
      </c>
      <c r="S1012" s="7">
        <f t="shared" si="223"/>
        <v>2160.65</v>
      </c>
      <c r="T1012" s="7">
        <f t="shared" si="224"/>
        <v>0</v>
      </c>
    </row>
    <row r="1013" spans="1:20" x14ac:dyDescent="0.25">
      <c r="A1013" s="1">
        <v>42695</v>
      </c>
      <c r="B1013">
        <v>2380</v>
      </c>
      <c r="C1013">
        <v>2380.1</v>
      </c>
      <c r="D1013">
        <v>2325</v>
      </c>
      <c r="E1013">
        <v>2350.3000000000002</v>
      </c>
      <c r="F1013">
        <v>1498981</v>
      </c>
      <c r="G1013" s="4">
        <f t="shared" si="211"/>
        <v>0</v>
      </c>
      <c r="H1013" s="4">
        <f t="shared" si="212"/>
        <v>3.2999999999997272</v>
      </c>
      <c r="I1013" s="6">
        <f t="shared" si="217"/>
        <v>20.839285714285683</v>
      </c>
      <c r="J1013" s="6">
        <f t="shared" si="218"/>
        <v>7.2928571428571036</v>
      </c>
      <c r="K1013" s="4">
        <f t="shared" si="219"/>
        <v>2.8574926542605401</v>
      </c>
      <c r="L1013">
        <f t="shared" si="220"/>
        <v>74.076425034911836</v>
      </c>
      <c r="M1013" s="14" t="str">
        <f t="shared" si="213"/>
        <v>OVERBOUGHT</v>
      </c>
      <c r="N1013" s="7" t="str">
        <f t="shared" si="214"/>
        <v>SELL</v>
      </c>
      <c r="O1013" s="7">
        <f t="shared" si="221"/>
        <v>0</v>
      </c>
      <c r="P1013" s="7">
        <f t="shared" si="222"/>
        <v>-1</v>
      </c>
      <c r="Q1013" s="10" t="e">
        <f t="shared" si="215"/>
        <v>#N/A</v>
      </c>
      <c r="R1013" s="10" t="e">
        <f t="shared" si="216"/>
        <v>#N/A</v>
      </c>
      <c r="S1013" s="7">
        <f t="shared" si="223"/>
        <v>2160.65</v>
      </c>
      <c r="T1013" s="7">
        <f t="shared" si="224"/>
        <v>0</v>
      </c>
    </row>
    <row r="1014" spans="1:20" x14ac:dyDescent="0.25">
      <c r="A1014" s="1">
        <v>42696</v>
      </c>
      <c r="B1014">
        <v>2298</v>
      </c>
      <c r="C1014">
        <v>2298</v>
      </c>
      <c r="D1014">
        <v>2206.0500000000002</v>
      </c>
      <c r="E1014">
        <v>2213.0500000000002</v>
      </c>
      <c r="F1014">
        <v>3782378</v>
      </c>
      <c r="G1014" s="4">
        <f t="shared" si="211"/>
        <v>0</v>
      </c>
      <c r="H1014" s="4">
        <f t="shared" si="212"/>
        <v>137.25</v>
      </c>
      <c r="I1014" s="6">
        <f t="shared" si="217"/>
        <v>20.839285714285683</v>
      </c>
      <c r="J1014" s="6">
        <f t="shared" si="218"/>
        <v>16.76785714285711</v>
      </c>
      <c r="K1014" s="4">
        <f t="shared" si="219"/>
        <v>1.2428115015974446</v>
      </c>
      <c r="L1014">
        <f t="shared" si="220"/>
        <v>55.41310541310542</v>
      </c>
      <c r="M1014" s="14" t="str">
        <f t="shared" si="213"/>
        <v/>
      </c>
      <c r="N1014" s="7">
        <f t="shared" si="214"/>
        <v>0</v>
      </c>
      <c r="O1014" s="7">
        <f t="shared" si="221"/>
        <v>0</v>
      </c>
      <c r="P1014" s="7">
        <f t="shared" si="222"/>
        <v>-1</v>
      </c>
      <c r="Q1014" s="10" t="e">
        <f t="shared" si="215"/>
        <v>#N/A</v>
      </c>
      <c r="R1014" s="10" t="e">
        <f t="shared" si="216"/>
        <v>#N/A</v>
      </c>
      <c r="S1014" s="7">
        <f t="shared" si="223"/>
        <v>2160.65</v>
      </c>
      <c r="T1014" s="7">
        <f t="shared" si="224"/>
        <v>0</v>
      </c>
    </row>
    <row r="1015" spans="1:20" x14ac:dyDescent="0.25">
      <c r="A1015" s="1">
        <v>42697</v>
      </c>
      <c r="B1015">
        <v>2218.9499999999998</v>
      </c>
      <c r="C1015">
        <v>2350</v>
      </c>
      <c r="D1015">
        <v>2215.5</v>
      </c>
      <c r="E1015">
        <v>2338.1999999999998</v>
      </c>
      <c r="F1015">
        <v>3005279</v>
      </c>
      <c r="G1015" s="4">
        <f t="shared" si="211"/>
        <v>125.14999999999964</v>
      </c>
      <c r="H1015" s="4">
        <f t="shared" si="212"/>
        <v>0</v>
      </c>
      <c r="I1015" s="6">
        <f t="shared" si="217"/>
        <v>28.635714285714226</v>
      </c>
      <c r="J1015" s="6">
        <f t="shared" si="218"/>
        <v>16.76785714285711</v>
      </c>
      <c r="K1015" s="4">
        <f t="shared" si="219"/>
        <v>1.7077742279020232</v>
      </c>
      <c r="L1015">
        <f t="shared" si="220"/>
        <v>63.069299142609921</v>
      </c>
      <c r="M1015" s="14" t="str">
        <f t="shared" si="213"/>
        <v/>
      </c>
      <c r="N1015" s="7">
        <f t="shared" si="214"/>
        <v>0</v>
      </c>
      <c r="O1015" s="7">
        <f t="shared" si="221"/>
        <v>0</v>
      </c>
      <c r="P1015" s="7">
        <f t="shared" si="222"/>
        <v>-1</v>
      </c>
      <c r="Q1015" s="10" t="e">
        <f t="shared" si="215"/>
        <v>#N/A</v>
      </c>
      <c r="R1015" s="10" t="e">
        <f t="shared" si="216"/>
        <v>#N/A</v>
      </c>
      <c r="S1015" s="7">
        <f t="shared" si="223"/>
        <v>2160.65</v>
      </c>
      <c r="T1015" s="7">
        <f t="shared" si="224"/>
        <v>0</v>
      </c>
    </row>
    <row r="1016" spans="1:20" x14ac:dyDescent="0.25">
      <c r="A1016" s="1">
        <v>42698</v>
      </c>
      <c r="B1016">
        <v>2334</v>
      </c>
      <c r="C1016">
        <v>2339.25</v>
      </c>
      <c r="D1016">
        <v>2275.1</v>
      </c>
      <c r="E1016">
        <v>2280.3000000000002</v>
      </c>
      <c r="F1016">
        <v>1566141</v>
      </c>
      <c r="G1016" s="4">
        <f t="shared" si="211"/>
        <v>0</v>
      </c>
      <c r="H1016" s="4">
        <f t="shared" si="212"/>
        <v>57.899999999999636</v>
      </c>
      <c r="I1016" s="6">
        <f t="shared" si="217"/>
        <v>28.635714285714226</v>
      </c>
      <c r="J1016" s="6">
        <f t="shared" si="218"/>
        <v>19.564285714285656</v>
      </c>
      <c r="K1016" s="4">
        <f t="shared" si="219"/>
        <v>1.4636728733114288</v>
      </c>
      <c r="L1016">
        <f t="shared" si="220"/>
        <v>59.410195613515135</v>
      </c>
      <c r="M1016" s="14" t="str">
        <f t="shared" si="213"/>
        <v/>
      </c>
      <c r="N1016" s="7">
        <f t="shared" si="214"/>
        <v>0</v>
      </c>
      <c r="O1016" s="7">
        <f t="shared" si="221"/>
        <v>0</v>
      </c>
      <c r="P1016" s="7">
        <f t="shared" si="222"/>
        <v>-1</v>
      </c>
      <c r="Q1016" s="10" t="e">
        <f t="shared" si="215"/>
        <v>#N/A</v>
      </c>
      <c r="R1016" s="10" t="e">
        <f t="shared" si="216"/>
        <v>#N/A</v>
      </c>
      <c r="S1016" s="7">
        <f t="shared" si="223"/>
        <v>2160.65</v>
      </c>
      <c r="T1016" s="7">
        <f t="shared" si="224"/>
        <v>0</v>
      </c>
    </row>
    <row r="1017" spans="1:20" x14ac:dyDescent="0.25">
      <c r="A1017" s="1">
        <v>42699</v>
      </c>
      <c r="B1017">
        <v>2287.1</v>
      </c>
      <c r="C1017">
        <v>2296.85</v>
      </c>
      <c r="D1017">
        <v>2264.1</v>
      </c>
      <c r="E1017">
        <v>2274.0500000000002</v>
      </c>
      <c r="F1017">
        <v>1192015</v>
      </c>
      <c r="G1017" s="4">
        <f t="shared" si="211"/>
        <v>0</v>
      </c>
      <c r="H1017" s="4">
        <f t="shared" si="212"/>
        <v>6.25</v>
      </c>
      <c r="I1017" s="6">
        <f t="shared" si="217"/>
        <v>27.657142857142812</v>
      </c>
      <c r="J1017" s="6">
        <f t="shared" si="218"/>
        <v>20.010714285714226</v>
      </c>
      <c r="K1017" s="4">
        <f t="shared" si="219"/>
        <v>1.3821167231840104</v>
      </c>
      <c r="L1017">
        <f t="shared" si="220"/>
        <v>58.020528957818264</v>
      </c>
      <c r="M1017" s="14" t="str">
        <f t="shared" si="213"/>
        <v/>
      </c>
      <c r="N1017" s="7">
        <f t="shared" si="214"/>
        <v>0</v>
      </c>
      <c r="O1017" s="7">
        <f t="shared" si="221"/>
        <v>0</v>
      </c>
      <c r="P1017" s="7">
        <f t="shared" si="222"/>
        <v>-1</v>
      </c>
      <c r="Q1017" s="10" t="e">
        <f t="shared" si="215"/>
        <v>#N/A</v>
      </c>
      <c r="R1017" s="10" t="e">
        <f t="shared" si="216"/>
        <v>#N/A</v>
      </c>
      <c r="S1017" s="7">
        <f t="shared" si="223"/>
        <v>2160.65</v>
      </c>
      <c r="T1017" s="7">
        <f t="shared" si="224"/>
        <v>0</v>
      </c>
    </row>
    <row r="1018" spans="1:20" x14ac:dyDescent="0.25">
      <c r="A1018" s="1">
        <v>42702</v>
      </c>
      <c r="B1018">
        <v>2268.1</v>
      </c>
      <c r="C1018">
        <v>2276.6999999999998</v>
      </c>
      <c r="D1018">
        <v>2237.3000000000002</v>
      </c>
      <c r="E1018">
        <v>2252.4499999999998</v>
      </c>
      <c r="F1018">
        <v>1145381</v>
      </c>
      <c r="G1018" s="4">
        <f t="shared" si="211"/>
        <v>0</v>
      </c>
      <c r="H1018" s="4">
        <f t="shared" si="212"/>
        <v>21.600000000000364</v>
      </c>
      <c r="I1018" s="6">
        <f t="shared" si="217"/>
        <v>23.714285714285683</v>
      </c>
      <c r="J1018" s="6">
        <f t="shared" si="218"/>
        <v>21.553571428571395</v>
      </c>
      <c r="K1018" s="4">
        <f t="shared" si="219"/>
        <v>1.1002485501242754</v>
      </c>
      <c r="L1018">
        <f t="shared" si="220"/>
        <v>52.386587771203168</v>
      </c>
      <c r="M1018" s="14" t="str">
        <f t="shared" si="213"/>
        <v/>
      </c>
      <c r="N1018" s="7">
        <f t="shared" si="214"/>
        <v>0</v>
      </c>
      <c r="O1018" s="7">
        <f t="shared" si="221"/>
        <v>0</v>
      </c>
      <c r="P1018" s="7">
        <f t="shared" si="222"/>
        <v>-1</v>
      </c>
      <c r="Q1018" s="10" t="e">
        <f t="shared" si="215"/>
        <v>#N/A</v>
      </c>
      <c r="R1018" s="10" t="e">
        <f t="shared" si="216"/>
        <v>#N/A</v>
      </c>
      <c r="S1018" s="7">
        <f t="shared" si="223"/>
        <v>2160.65</v>
      </c>
      <c r="T1018" s="7">
        <f t="shared" si="224"/>
        <v>0</v>
      </c>
    </row>
    <row r="1019" spans="1:20" x14ac:dyDescent="0.25">
      <c r="A1019" s="1">
        <v>42703</v>
      </c>
      <c r="B1019">
        <v>2244</v>
      </c>
      <c r="C1019">
        <v>2283.25</v>
      </c>
      <c r="D1019">
        <v>2235</v>
      </c>
      <c r="E1019">
        <v>2248.6999999999998</v>
      </c>
      <c r="F1019">
        <v>925133</v>
      </c>
      <c r="G1019" s="4">
        <f t="shared" si="211"/>
        <v>0</v>
      </c>
      <c r="H1019" s="4">
        <f t="shared" si="212"/>
        <v>3.75</v>
      </c>
      <c r="I1019" s="6">
        <f t="shared" si="217"/>
        <v>22.471428571428532</v>
      </c>
      <c r="J1019" s="6">
        <f t="shared" si="218"/>
        <v>21.821428571428537</v>
      </c>
      <c r="K1019" s="4">
        <f t="shared" si="219"/>
        <v>1.0297872340425529</v>
      </c>
      <c r="L1019">
        <f t="shared" si="220"/>
        <v>50.733752620545069</v>
      </c>
      <c r="M1019" s="14" t="str">
        <f t="shared" si="213"/>
        <v/>
      </c>
      <c r="N1019" s="7">
        <f t="shared" si="214"/>
        <v>0</v>
      </c>
      <c r="O1019" s="7">
        <f t="shared" si="221"/>
        <v>0</v>
      </c>
      <c r="P1019" s="7">
        <f t="shared" si="222"/>
        <v>-1</v>
      </c>
      <c r="Q1019" s="10" t="e">
        <f t="shared" si="215"/>
        <v>#N/A</v>
      </c>
      <c r="R1019" s="10" t="e">
        <f t="shared" si="216"/>
        <v>#N/A</v>
      </c>
      <c r="S1019" s="7">
        <f t="shared" si="223"/>
        <v>2160.65</v>
      </c>
      <c r="T1019" s="7">
        <f t="shared" si="224"/>
        <v>0</v>
      </c>
    </row>
    <row r="1020" spans="1:20" x14ac:dyDescent="0.25">
      <c r="A1020" s="1">
        <v>42704</v>
      </c>
      <c r="B1020">
        <v>2226</v>
      </c>
      <c r="C1020">
        <v>2259.5</v>
      </c>
      <c r="D1020">
        <v>2220.1</v>
      </c>
      <c r="E1020">
        <v>2229.6</v>
      </c>
      <c r="F1020">
        <v>1266474</v>
      </c>
      <c r="G1020" s="4">
        <f t="shared" si="211"/>
        <v>0</v>
      </c>
      <c r="H1020" s="4">
        <f t="shared" si="212"/>
        <v>19.099999999999909</v>
      </c>
      <c r="I1020" s="6">
        <f t="shared" si="217"/>
        <v>22.471428571428532</v>
      </c>
      <c r="J1020" s="6">
        <f t="shared" si="218"/>
        <v>20.796428571428546</v>
      </c>
      <c r="K1020" s="4">
        <f t="shared" si="219"/>
        <v>1.0805426755967709</v>
      </c>
      <c r="L1020">
        <f t="shared" si="220"/>
        <v>51.935617003714391</v>
      </c>
      <c r="M1020" s="14" t="str">
        <f t="shared" si="213"/>
        <v/>
      </c>
      <c r="N1020" s="7">
        <f t="shared" si="214"/>
        <v>0</v>
      </c>
      <c r="O1020" s="7">
        <f t="shared" si="221"/>
        <v>0</v>
      </c>
      <c r="P1020" s="7">
        <f t="shared" si="222"/>
        <v>-1</v>
      </c>
      <c r="Q1020" s="10" t="e">
        <f t="shared" si="215"/>
        <v>#N/A</v>
      </c>
      <c r="R1020" s="10" t="e">
        <f t="shared" si="216"/>
        <v>#N/A</v>
      </c>
      <c r="S1020" s="7">
        <f t="shared" si="223"/>
        <v>2160.65</v>
      </c>
      <c r="T1020" s="7">
        <f t="shared" si="224"/>
        <v>0</v>
      </c>
    </row>
    <row r="1021" spans="1:20" x14ac:dyDescent="0.25">
      <c r="A1021" s="1">
        <v>42705</v>
      </c>
      <c r="B1021">
        <v>2232</v>
      </c>
      <c r="C1021">
        <v>2247.85</v>
      </c>
      <c r="D1021">
        <v>2196.1</v>
      </c>
      <c r="E1021">
        <v>2212.35</v>
      </c>
      <c r="F1021">
        <v>1426083</v>
      </c>
      <c r="G1021" s="4">
        <f t="shared" si="211"/>
        <v>0</v>
      </c>
      <c r="H1021" s="4">
        <f t="shared" si="212"/>
        <v>17.25</v>
      </c>
      <c r="I1021" s="6">
        <f t="shared" si="217"/>
        <v>20.57857142857139</v>
      </c>
      <c r="J1021" s="6">
        <f t="shared" si="218"/>
        <v>22.028571428571404</v>
      </c>
      <c r="K1021" s="4">
        <f t="shared" si="219"/>
        <v>0.93417639429312516</v>
      </c>
      <c r="L1021">
        <f t="shared" si="220"/>
        <v>48.298407376362093</v>
      </c>
      <c r="M1021" s="14" t="str">
        <f t="shared" si="213"/>
        <v/>
      </c>
      <c r="N1021" s="7">
        <f t="shared" si="214"/>
        <v>0</v>
      </c>
      <c r="O1021" s="7">
        <f t="shared" si="221"/>
        <v>0</v>
      </c>
      <c r="P1021" s="7">
        <f t="shared" si="222"/>
        <v>-1</v>
      </c>
      <c r="Q1021" s="10" t="e">
        <f t="shared" si="215"/>
        <v>#N/A</v>
      </c>
      <c r="R1021" s="10" t="e">
        <f t="shared" si="216"/>
        <v>#N/A</v>
      </c>
      <c r="S1021" s="7">
        <f t="shared" si="223"/>
        <v>2160.65</v>
      </c>
      <c r="T1021" s="7">
        <f t="shared" si="224"/>
        <v>0</v>
      </c>
    </row>
    <row r="1022" spans="1:20" x14ac:dyDescent="0.25">
      <c r="A1022" s="1">
        <v>42706</v>
      </c>
      <c r="B1022">
        <v>2240</v>
      </c>
      <c r="C1022">
        <v>2240</v>
      </c>
      <c r="D1022">
        <v>2205</v>
      </c>
      <c r="E1022">
        <v>2209.8000000000002</v>
      </c>
      <c r="F1022">
        <v>849038</v>
      </c>
      <c r="G1022" s="4">
        <f t="shared" si="211"/>
        <v>0</v>
      </c>
      <c r="H1022" s="4">
        <f t="shared" si="212"/>
        <v>2.5499999999997272</v>
      </c>
      <c r="I1022" s="6">
        <f t="shared" si="217"/>
        <v>19.914285714285693</v>
      </c>
      <c r="J1022" s="6">
        <f t="shared" si="218"/>
        <v>22.210714285714239</v>
      </c>
      <c r="K1022" s="4">
        <f t="shared" si="219"/>
        <v>0.89660717157099301</v>
      </c>
      <c r="L1022">
        <f t="shared" si="220"/>
        <v>47.274268757948306</v>
      </c>
      <c r="M1022" s="14" t="str">
        <f t="shared" si="213"/>
        <v/>
      </c>
      <c r="N1022" s="7">
        <f t="shared" si="214"/>
        <v>0</v>
      </c>
      <c r="O1022" s="7">
        <f t="shared" si="221"/>
        <v>0</v>
      </c>
      <c r="P1022" s="7">
        <f t="shared" si="222"/>
        <v>-1</v>
      </c>
      <c r="Q1022" s="10" t="e">
        <f t="shared" si="215"/>
        <v>#N/A</v>
      </c>
      <c r="R1022" s="10" t="e">
        <f t="shared" si="216"/>
        <v>#N/A</v>
      </c>
      <c r="S1022" s="7">
        <f t="shared" si="223"/>
        <v>2160.65</v>
      </c>
      <c r="T1022" s="7">
        <f t="shared" si="224"/>
        <v>0</v>
      </c>
    </row>
    <row r="1023" spans="1:20" x14ac:dyDescent="0.25">
      <c r="A1023" s="1">
        <v>42709</v>
      </c>
      <c r="B1023">
        <v>2198.0500000000002</v>
      </c>
      <c r="C1023">
        <v>2227</v>
      </c>
      <c r="D1023">
        <v>2190</v>
      </c>
      <c r="E1023">
        <v>2217.6</v>
      </c>
      <c r="F1023">
        <v>1112625</v>
      </c>
      <c r="G1023" s="4">
        <f t="shared" si="211"/>
        <v>7.7999999999997272</v>
      </c>
      <c r="H1023" s="4">
        <f t="shared" si="212"/>
        <v>0</v>
      </c>
      <c r="I1023" s="6">
        <f t="shared" si="217"/>
        <v>17.689285714285656</v>
      </c>
      <c r="J1023" s="6">
        <f t="shared" si="218"/>
        <v>22.210714285714239</v>
      </c>
      <c r="K1023" s="4">
        <f t="shared" si="219"/>
        <v>0.79643029425952627</v>
      </c>
      <c r="L1023">
        <f t="shared" si="220"/>
        <v>44.334049409237352</v>
      </c>
      <c r="M1023" s="14" t="str">
        <f t="shared" si="213"/>
        <v/>
      </c>
      <c r="N1023" s="7">
        <f t="shared" si="214"/>
        <v>0</v>
      </c>
      <c r="O1023" s="7">
        <f t="shared" si="221"/>
        <v>0</v>
      </c>
      <c r="P1023" s="7">
        <f t="shared" si="222"/>
        <v>-1</v>
      </c>
      <c r="Q1023" s="10" t="e">
        <f t="shared" si="215"/>
        <v>#N/A</v>
      </c>
      <c r="R1023" s="10" t="e">
        <f t="shared" si="216"/>
        <v>#N/A</v>
      </c>
      <c r="S1023" s="7">
        <f t="shared" si="223"/>
        <v>2160.65</v>
      </c>
      <c r="T1023" s="7">
        <f t="shared" si="224"/>
        <v>0</v>
      </c>
    </row>
    <row r="1024" spans="1:20" x14ac:dyDescent="0.25">
      <c r="A1024" s="1">
        <v>42710</v>
      </c>
      <c r="B1024">
        <v>2225.1</v>
      </c>
      <c r="C1024">
        <v>2269.8000000000002</v>
      </c>
      <c r="D1024">
        <v>2221</v>
      </c>
      <c r="E1024">
        <v>2241.0500000000002</v>
      </c>
      <c r="F1024">
        <v>1087123</v>
      </c>
      <c r="G1024" s="4">
        <f t="shared" si="211"/>
        <v>23.450000000000273</v>
      </c>
      <c r="H1024" s="4">
        <f t="shared" si="212"/>
        <v>0</v>
      </c>
      <c r="I1024" s="6">
        <f t="shared" si="217"/>
        <v>13.089285714285682</v>
      </c>
      <c r="J1024" s="6">
        <f t="shared" si="218"/>
        <v>22.210714285714239</v>
      </c>
      <c r="K1024" s="4">
        <f t="shared" si="219"/>
        <v>0.58932304228975696</v>
      </c>
      <c r="L1024">
        <f t="shared" si="220"/>
        <v>37.080129502225809</v>
      </c>
      <c r="M1024" s="14" t="str">
        <f t="shared" si="213"/>
        <v/>
      </c>
      <c r="N1024" s="7">
        <f t="shared" si="214"/>
        <v>0</v>
      </c>
      <c r="O1024" s="7">
        <f t="shared" si="221"/>
        <v>0</v>
      </c>
      <c r="P1024" s="7">
        <f t="shared" si="222"/>
        <v>-1</v>
      </c>
      <c r="Q1024" s="10" t="e">
        <f t="shared" si="215"/>
        <v>#N/A</v>
      </c>
      <c r="R1024" s="10" t="e">
        <f t="shared" si="216"/>
        <v>#N/A</v>
      </c>
      <c r="S1024" s="7">
        <f t="shared" si="223"/>
        <v>2160.65</v>
      </c>
      <c r="T1024" s="7">
        <f t="shared" si="224"/>
        <v>0</v>
      </c>
    </row>
    <row r="1025" spans="1:20" x14ac:dyDescent="0.25">
      <c r="A1025" s="1">
        <v>42711</v>
      </c>
      <c r="B1025">
        <v>2222</v>
      </c>
      <c r="C1025">
        <v>2244.25</v>
      </c>
      <c r="D1025">
        <v>2190.8000000000002</v>
      </c>
      <c r="E1025">
        <v>2194.4499999999998</v>
      </c>
      <c r="F1025">
        <v>681240</v>
      </c>
      <c r="G1025" s="4">
        <f t="shared" si="211"/>
        <v>0</v>
      </c>
      <c r="H1025" s="4">
        <f t="shared" si="212"/>
        <v>46.600000000000364</v>
      </c>
      <c r="I1025" s="6">
        <f t="shared" si="217"/>
        <v>13.089285714285682</v>
      </c>
      <c r="J1025" s="6">
        <f t="shared" si="218"/>
        <v>22.539285714285693</v>
      </c>
      <c r="K1025" s="4">
        <f t="shared" si="219"/>
        <v>0.58073205514181492</v>
      </c>
      <c r="L1025">
        <f t="shared" si="220"/>
        <v>36.738171611868445</v>
      </c>
      <c r="M1025" s="14" t="str">
        <f t="shared" si="213"/>
        <v/>
      </c>
      <c r="N1025" s="7">
        <f t="shared" si="214"/>
        <v>0</v>
      </c>
      <c r="O1025" s="7">
        <f t="shared" si="221"/>
        <v>0</v>
      </c>
      <c r="P1025" s="7">
        <f t="shared" si="222"/>
        <v>-1</v>
      </c>
      <c r="Q1025" s="10" t="e">
        <f t="shared" si="215"/>
        <v>#N/A</v>
      </c>
      <c r="R1025" s="10" t="e">
        <f t="shared" si="216"/>
        <v>#N/A</v>
      </c>
      <c r="S1025" s="7">
        <f t="shared" si="223"/>
        <v>2160.65</v>
      </c>
      <c r="T1025" s="7">
        <f t="shared" si="224"/>
        <v>0</v>
      </c>
    </row>
    <row r="1026" spans="1:20" x14ac:dyDescent="0.25">
      <c r="A1026" s="1">
        <v>42712</v>
      </c>
      <c r="B1026">
        <v>2174</v>
      </c>
      <c r="C1026">
        <v>2175</v>
      </c>
      <c r="D1026">
        <v>2112.0500000000002</v>
      </c>
      <c r="E1026">
        <v>2151.35</v>
      </c>
      <c r="F1026">
        <v>1347083</v>
      </c>
      <c r="G1026" s="4">
        <f t="shared" si="211"/>
        <v>0</v>
      </c>
      <c r="H1026" s="4">
        <f t="shared" si="212"/>
        <v>43.099999999999909</v>
      </c>
      <c r="I1026" s="6">
        <f t="shared" si="217"/>
        <v>11.171428571428546</v>
      </c>
      <c r="J1026" s="6">
        <f t="shared" si="218"/>
        <v>25.617857142857115</v>
      </c>
      <c r="K1026" s="4">
        <f t="shared" si="219"/>
        <v>0.43607974348250333</v>
      </c>
      <c r="L1026">
        <f t="shared" si="220"/>
        <v>30.365983885059677</v>
      </c>
      <c r="M1026" s="14" t="str">
        <f t="shared" si="213"/>
        <v/>
      </c>
      <c r="N1026" s="7">
        <f t="shared" si="214"/>
        <v>0</v>
      </c>
      <c r="O1026" s="7">
        <f t="shared" si="221"/>
        <v>0</v>
      </c>
      <c r="P1026" s="7">
        <f t="shared" si="222"/>
        <v>-1</v>
      </c>
      <c r="Q1026" s="10" t="e">
        <f t="shared" si="215"/>
        <v>#N/A</v>
      </c>
      <c r="R1026" s="10" t="e">
        <f t="shared" si="216"/>
        <v>#N/A</v>
      </c>
      <c r="S1026" s="7">
        <f t="shared" si="223"/>
        <v>2160.65</v>
      </c>
      <c r="T1026" s="7">
        <f t="shared" si="224"/>
        <v>0</v>
      </c>
    </row>
    <row r="1027" spans="1:20" x14ac:dyDescent="0.25">
      <c r="A1027" s="1">
        <v>42713</v>
      </c>
      <c r="B1027">
        <v>2163.8000000000002</v>
      </c>
      <c r="C1027">
        <v>2200</v>
      </c>
      <c r="D1027">
        <v>2140</v>
      </c>
      <c r="E1027">
        <v>2194.4</v>
      </c>
      <c r="F1027">
        <v>926825</v>
      </c>
      <c r="G1027" s="4">
        <f t="shared" si="211"/>
        <v>43.050000000000182</v>
      </c>
      <c r="H1027" s="4">
        <f t="shared" si="212"/>
        <v>0</v>
      </c>
      <c r="I1027" s="6">
        <f t="shared" si="217"/>
        <v>14.246428571428558</v>
      </c>
      <c r="J1027" s="6">
        <f t="shared" si="218"/>
        <v>25.382142857142849</v>
      </c>
      <c r="K1027" s="4">
        <f t="shared" si="219"/>
        <v>0.56127761362037387</v>
      </c>
      <c r="L1027">
        <f t="shared" si="220"/>
        <v>35.949891852919961</v>
      </c>
      <c r="M1027" s="14" t="str">
        <f t="shared" si="213"/>
        <v/>
      </c>
      <c r="N1027" s="7">
        <f t="shared" si="214"/>
        <v>0</v>
      </c>
      <c r="O1027" s="7">
        <f t="shared" si="221"/>
        <v>0</v>
      </c>
      <c r="P1027" s="7">
        <f t="shared" si="222"/>
        <v>-1</v>
      </c>
      <c r="Q1027" s="10" t="e">
        <f t="shared" si="215"/>
        <v>#N/A</v>
      </c>
      <c r="R1027" s="10" t="e">
        <f t="shared" si="216"/>
        <v>#N/A</v>
      </c>
      <c r="S1027" s="7">
        <f t="shared" si="223"/>
        <v>2160.65</v>
      </c>
      <c r="T1027" s="7">
        <f t="shared" si="224"/>
        <v>0</v>
      </c>
    </row>
    <row r="1028" spans="1:20" x14ac:dyDescent="0.25">
      <c r="A1028" s="1">
        <v>42716</v>
      </c>
      <c r="B1028">
        <v>2180</v>
      </c>
      <c r="C1028">
        <v>2189.9</v>
      </c>
      <c r="D1028">
        <v>2145</v>
      </c>
      <c r="E1028">
        <v>2175.25</v>
      </c>
      <c r="F1028">
        <v>961326</v>
      </c>
      <c r="G1028" s="4">
        <f t="shared" ref="G1028:G1091" si="225">IF(E1028&gt;E1027,E1028-E1027,0)</f>
        <v>0</v>
      </c>
      <c r="H1028" s="4">
        <f t="shared" ref="H1028:H1091" si="226">IF(E1028&lt;E1027,E1027-E1028,0)</f>
        <v>19.150000000000091</v>
      </c>
      <c r="I1028" s="6">
        <f t="shared" si="217"/>
        <v>14.246428571428558</v>
      </c>
      <c r="J1028" s="6">
        <f t="shared" si="218"/>
        <v>16.946428571428573</v>
      </c>
      <c r="K1028" s="4">
        <f t="shared" si="219"/>
        <v>0.84067439409905076</v>
      </c>
      <c r="L1028">
        <f t="shared" si="220"/>
        <v>45.672086100297655</v>
      </c>
      <c r="M1028" s="14" t="str">
        <f t="shared" si="213"/>
        <v/>
      </c>
      <c r="N1028" s="7">
        <f t="shared" si="214"/>
        <v>0</v>
      </c>
      <c r="O1028" s="7">
        <f t="shared" si="221"/>
        <v>0</v>
      </c>
      <c r="P1028" s="7">
        <f t="shared" si="222"/>
        <v>-1</v>
      </c>
      <c r="Q1028" s="10" t="e">
        <f t="shared" si="215"/>
        <v>#N/A</v>
      </c>
      <c r="R1028" s="10" t="e">
        <f t="shared" si="216"/>
        <v>#N/A</v>
      </c>
      <c r="S1028" s="7">
        <f t="shared" si="223"/>
        <v>2160.65</v>
      </c>
      <c r="T1028" s="7">
        <f t="shared" si="224"/>
        <v>0</v>
      </c>
    </row>
    <row r="1029" spans="1:20" x14ac:dyDescent="0.25">
      <c r="A1029" s="1">
        <v>42717</v>
      </c>
      <c r="B1029">
        <v>2190</v>
      </c>
      <c r="C1029">
        <v>2195</v>
      </c>
      <c r="D1029">
        <v>2131</v>
      </c>
      <c r="E1029">
        <v>2144.4</v>
      </c>
      <c r="F1029">
        <v>995456</v>
      </c>
      <c r="G1029" s="4">
        <f t="shared" si="225"/>
        <v>0</v>
      </c>
      <c r="H1029" s="4">
        <f t="shared" si="226"/>
        <v>30.849999999999909</v>
      </c>
      <c r="I1029" s="6">
        <f t="shared" si="217"/>
        <v>5.3071428571428703</v>
      </c>
      <c r="J1029" s="6">
        <f t="shared" si="218"/>
        <v>19.149999999999995</v>
      </c>
      <c r="K1029" s="4">
        <f t="shared" si="219"/>
        <v>0.27713539723983666</v>
      </c>
      <c r="L1029">
        <f t="shared" si="220"/>
        <v>21.699766355140241</v>
      </c>
      <c r="M1029" s="14" t="str">
        <f t="shared" si="213"/>
        <v>OVERSOLD</v>
      </c>
      <c r="N1029" s="7" t="str">
        <f t="shared" si="214"/>
        <v>BUY</v>
      </c>
      <c r="O1029" s="7" t="str">
        <f t="shared" si="221"/>
        <v>BUY</v>
      </c>
      <c r="P1029" s="7">
        <f t="shared" si="222"/>
        <v>1</v>
      </c>
      <c r="Q1029" s="10">
        <f t="shared" si="215"/>
        <v>2144.4</v>
      </c>
      <c r="R1029" s="10" t="e">
        <f t="shared" si="216"/>
        <v>#N/A</v>
      </c>
      <c r="S1029" s="7">
        <f t="shared" si="223"/>
        <v>2144.4</v>
      </c>
      <c r="T1029" s="7">
        <f t="shared" si="224"/>
        <v>7.5208849188901482E-3</v>
      </c>
    </row>
    <row r="1030" spans="1:20" x14ac:dyDescent="0.25">
      <c r="A1030" s="1">
        <v>42718</v>
      </c>
      <c r="B1030">
        <v>2144</v>
      </c>
      <c r="C1030">
        <v>2144</v>
      </c>
      <c r="D1030">
        <v>2085.1</v>
      </c>
      <c r="E1030">
        <v>2093.5500000000002</v>
      </c>
      <c r="F1030">
        <v>2009635</v>
      </c>
      <c r="G1030" s="4">
        <f t="shared" si="225"/>
        <v>0</v>
      </c>
      <c r="H1030" s="4">
        <f t="shared" si="226"/>
        <v>50.849999999999909</v>
      </c>
      <c r="I1030" s="6">
        <f t="shared" si="217"/>
        <v>5.3071428571428703</v>
      </c>
      <c r="J1030" s="6">
        <f t="shared" si="218"/>
        <v>18.646428571428583</v>
      </c>
      <c r="K1030" s="4">
        <f t="shared" si="219"/>
        <v>0.28461980463512793</v>
      </c>
      <c r="L1030">
        <f t="shared" si="220"/>
        <v>22.155956463396492</v>
      </c>
      <c r="M1030" s="14" t="str">
        <f t="shared" si="213"/>
        <v>OVERSOLD</v>
      </c>
      <c r="N1030" s="7" t="str">
        <f t="shared" si="214"/>
        <v>BUY</v>
      </c>
      <c r="O1030" s="7">
        <f t="shared" si="221"/>
        <v>0</v>
      </c>
      <c r="P1030" s="7">
        <f t="shared" si="222"/>
        <v>1</v>
      </c>
      <c r="Q1030" s="10" t="e">
        <f t="shared" si="215"/>
        <v>#N/A</v>
      </c>
      <c r="R1030" s="10" t="e">
        <f t="shared" si="216"/>
        <v>#N/A</v>
      </c>
      <c r="S1030" s="7">
        <f t="shared" si="223"/>
        <v>2144.4</v>
      </c>
      <c r="T1030" s="7">
        <f t="shared" si="224"/>
        <v>0</v>
      </c>
    </row>
    <row r="1031" spans="1:20" x14ac:dyDescent="0.25">
      <c r="A1031" s="1">
        <v>42719</v>
      </c>
      <c r="B1031">
        <v>2100</v>
      </c>
      <c r="C1031">
        <v>2126.5</v>
      </c>
      <c r="D1031">
        <v>2096</v>
      </c>
      <c r="E1031">
        <v>2101.6999999999998</v>
      </c>
      <c r="F1031">
        <v>1784393</v>
      </c>
      <c r="G1031" s="4">
        <f t="shared" si="225"/>
        <v>8.1499999999996362</v>
      </c>
      <c r="H1031" s="4">
        <f t="shared" si="226"/>
        <v>0</v>
      </c>
      <c r="I1031" s="6">
        <f t="shared" si="217"/>
        <v>5.8892857142857009</v>
      </c>
      <c r="J1031" s="6">
        <f t="shared" si="218"/>
        <v>18.200000000000014</v>
      </c>
      <c r="K1031" s="4">
        <f t="shared" si="219"/>
        <v>0.32358712715855475</v>
      </c>
      <c r="L1031">
        <f t="shared" si="220"/>
        <v>24.44773906597473</v>
      </c>
      <c r="M1031" s="14" t="str">
        <f t="shared" si="213"/>
        <v>OVERSOLD</v>
      </c>
      <c r="N1031" s="7" t="str">
        <f t="shared" si="214"/>
        <v>BUY</v>
      </c>
      <c r="O1031" s="7">
        <f t="shared" si="221"/>
        <v>0</v>
      </c>
      <c r="P1031" s="7">
        <f t="shared" si="222"/>
        <v>1</v>
      </c>
      <c r="Q1031" s="10" t="e">
        <f t="shared" si="215"/>
        <v>#N/A</v>
      </c>
      <c r="R1031" s="10" t="e">
        <f t="shared" si="216"/>
        <v>#N/A</v>
      </c>
      <c r="S1031" s="7">
        <f t="shared" si="223"/>
        <v>2144.4</v>
      </c>
      <c r="T1031" s="7">
        <f t="shared" si="224"/>
        <v>0</v>
      </c>
    </row>
    <row r="1032" spans="1:20" x14ac:dyDescent="0.25">
      <c r="A1032" s="1">
        <v>42720</v>
      </c>
      <c r="B1032">
        <v>2118</v>
      </c>
      <c r="C1032">
        <v>2123.6</v>
      </c>
      <c r="D1032">
        <v>2095</v>
      </c>
      <c r="E1032">
        <v>2105.4499999999998</v>
      </c>
      <c r="F1032">
        <v>1537174</v>
      </c>
      <c r="G1032" s="4">
        <f t="shared" si="225"/>
        <v>3.75</v>
      </c>
      <c r="H1032" s="4">
        <f t="shared" si="226"/>
        <v>0</v>
      </c>
      <c r="I1032" s="6">
        <f t="shared" si="217"/>
        <v>6.1571428571428442</v>
      </c>
      <c r="J1032" s="6">
        <f t="shared" si="218"/>
        <v>16.657142857142844</v>
      </c>
      <c r="K1032" s="4">
        <f t="shared" si="219"/>
        <v>0.36963979416809556</v>
      </c>
      <c r="L1032">
        <f t="shared" si="220"/>
        <v>26.988102692548509</v>
      </c>
      <c r="M1032" s="14" t="str">
        <f t="shared" si="213"/>
        <v>OVERSOLD</v>
      </c>
      <c r="N1032" s="7" t="str">
        <f t="shared" si="214"/>
        <v>BUY</v>
      </c>
      <c r="O1032" s="7">
        <f t="shared" si="221"/>
        <v>0</v>
      </c>
      <c r="P1032" s="7">
        <f t="shared" si="222"/>
        <v>1</v>
      </c>
      <c r="Q1032" s="10" t="e">
        <f t="shared" si="215"/>
        <v>#N/A</v>
      </c>
      <c r="R1032" s="10" t="e">
        <f t="shared" si="216"/>
        <v>#N/A</v>
      </c>
      <c r="S1032" s="7">
        <f t="shared" si="223"/>
        <v>2144.4</v>
      </c>
      <c r="T1032" s="7">
        <f t="shared" si="224"/>
        <v>0</v>
      </c>
    </row>
    <row r="1033" spans="1:20" x14ac:dyDescent="0.25">
      <c r="A1033" s="1">
        <v>42723</v>
      </c>
      <c r="B1033">
        <v>2107</v>
      </c>
      <c r="C1033">
        <v>2138.4</v>
      </c>
      <c r="D1033">
        <v>2096.5</v>
      </c>
      <c r="E1033">
        <v>2133.75</v>
      </c>
      <c r="F1033">
        <v>1047175</v>
      </c>
      <c r="G1033" s="4">
        <f t="shared" si="225"/>
        <v>28.300000000000182</v>
      </c>
      <c r="H1033" s="4">
        <f t="shared" si="226"/>
        <v>0</v>
      </c>
      <c r="I1033" s="6">
        <f t="shared" si="217"/>
        <v>8.1785714285714288</v>
      </c>
      <c r="J1033" s="6">
        <f t="shared" si="218"/>
        <v>16.389285714285702</v>
      </c>
      <c r="K1033" s="4">
        <f t="shared" si="219"/>
        <v>0.49901939420353059</v>
      </c>
      <c r="L1033">
        <f t="shared" si="220"/>
        <v>33.289722343363877</v>
      </c>
      <c r="M1033" s="14" t="str">
        <f t="shared" si="213"/>
        <v/>
      </c>
      <c r="N1033" s="7">
        <f t="shared" si="214"/>
        <v>0</v>
      </c>
      <c r="O1033" s="7">
        <f t="shared" si="221"/>
        <v>0</v>
      </c>
      <c r="P1033" s="7">
        <f t="shared" si="222"/>
        <v>1</v>
      </c>
      <c r="Q1033" s="10" t="e">
        <f t="shared" si="215"/>
        <v>#N/A</v>
      </c>
      <c r="R1033" s="10" t="e">
        <f t="shared" si="216"/>
        <v>#N/A</v>
      </c>
      <c r="S1033" s="7">
        <f t="shared" si="223"/>
        <v>2144.4</v>
      </c>
      <c r="T1033" s="7">
        <f t="shared" si="224"/>
        <v>0</v>
      </c>
    </row>
    <row r="1034" spans="1:20" x14ac:dyDescent="0.25">
      <c r="A1034" s="1">
        <v>42724</v>
      </c>
      <c r="B1034">
        <v>2137.9</v>
      </c>
      <c r="C1034">
        <v>2184.75</v>
      </c>
      <c r="D1034">
        <v>2128.1</v>
      </c>
      <c r="E1034">
        <v>2167.9</v>
      </c>
      <c r="F1034">
        <v>955031</v>
      </c>
      <c r="G1034" s="4">
        <f t="shared" si="225"/>
        <v>34.150000000000091</v>
      </c>
      <c r="H1034" s="4">
        <f t="shared" si="226"/>
        <v>0</v>
      </c>
      <c r="I1034" s="6">
        <f t="shared" si="217"/>
        <v>10.617857142857149</v>
      </c>
      <c r="J1034" s="6">
        <f t="shared" si="218"/>
        <v>15.024999999999993</v>
      </c>
      <c r="K1034" s="4">
        <f t="shared" si="219"/>
        <v>0.70667934395055931</v>
      </c>
      <c r="L1034">
        <f t="shared" si="220"/>
        <v>41.40668523676883</v>
      </c>
      <c r="M1034" s="14" t="str">
        <f t="shared" si="213"/>
        <v/>
      </c>
      <c r="N1034" s="7">
        <f t="shared" si="214"/>
        <v>0</v>
      </c>
      <c r="O1034" s="7">
        <f t="shared" si="221"/>
        <v>0</v>
      </c>
      <c r="P1034" s="7">
        <f t="shared" si="222"/>
        <v>1</v>
      </c>
      <c r="Q1034" s="10" t="e">
        <f t="shared" si="215"/>
        <v>#N/A</v>
      </c>
      <c r="R1034" s="10" t="e">
        <f t="shared" si="216"/>
        <v>#N/A</v>
      </c>
      <c r="S1034" s="7">
        <f t="shared" si="223"/>
        <v>2144.4</v>
      </c>
      <c r="T1034" s="7">
        <f t="shared" si="224"/>
        <v>0</v>
      </c>
    </row>
    <row r="1035" spans="1:20" x14ac:dyDescent="0.25">
      <c r="A1035" s="1">
        <v>42725</v>
      </c>
      <c r="B1035">
        <v>2160</v>
      </c>
      <c r="C1035">
        <v>2186</v>
      </c>
      <c r="D1035">
        <v>2147.1999999999998</v>
      </c>
      <c r="E1035">
        <v>2165.4</v>
      </c>
      <c r="F1035">
        <v>835197</v>
      </c>
      <c r="G1035" s="4">
        <f t="shared" si="225"/>
        <v>0</v>
      </c>
      <c r="H1035" s="4">
        <f t="shared" si="226"/>
        <v>2.5</v>
      </c>
      <c r="I1035" s="6">
        <f t="shared" si="217"/>
        <v>10.617857142857149</v>
      </c>
      <c r="J1035" s="6">
        <f t="shared" si="218"/>
        <v>13.971428571428564</v>
      </c>
      <c r="K1035" s="4">
        <f t="shared" si="219"/>
        <v>0.75996932515337501</v>
      </c>
      <c r="L1035">
        <f t="shared" si="220"/>
        <v>43.180827886710262</v>
      </c>
      <c r="M1035" s="14" t="str">
        <f t="shared" si="213"/>
        <v/>
      </c>
      <c r="N1035" s="7">
        <f t="shared" si="214"/>
        <v>0</v>
      </c>
      <c r="O1035" s="7">
        <f t="shared" si="221"/>
        <v>0</v>
      </c>
      <c r="P1035" s="7">
        <f t="shared" si="222"/>
        <v>1</v>
      </c>
      <c r="Q1035" s="10" t="e">
        <f t="shared" si="215"/>
        <v>#N/A</v>
      </c>
      <c r="R1035" s="10" t="e">
        <f t="shared" si="216"/>
        <v>#N/A</v>
      </c>
      <c r="S1035" s="7">
        <f t="shared" si="223"/>
        <v>2144.4</v>
      </c>
      <c r="T1035" s="7">
        <f t="shared" si="224"/>
        <v>0</v>
      </c>
    </row>
    <row r="1036" spans="1:20" x14ac:dyDescent="0.25">
      <c r="A1036" s="1">
        <v>42726</v>
      </c>
      <c r="B1036">
        <v>2165</v>
      </c>
      <c r="C1036">
        <v>2191</v>
      </c>
      <c r="D1036">
        <v>2155.85</v>
      </c>
      <c r="E1036">
        <v>2166</v>
      </c>
      <c r="F1036">
        <v>763458</v>
      </c>
      <c r="G1036" s="4">
        <f t="shared" si="225"/>
        <v>0.59999999999990905</v>
      </c>
      <c r="H1036" s="4">
        <f t="shared" si="226"/>
        <v>0</v>
      </c>
      <c r="I1036" s="6">
        <f t="shared" si="217"/>
        <v>10.660714285714286</v>
      </c>
      <c r="J1036" s="6">
        <f t="shared" si="218"/>
        <v>13.789285714285727</v>
      </c>
      <c r="K1036" s="4">
        <f t="shared" si="219"/>
        <v>0.77311577311577251</v>
      </c>
      <c r="L1036">
        <f t="shared" si="220"/>
        <v>43.60210341805432</v>
      </c>
      <c r="M1036" s="14" t="str">
        <f t="shared" si="213"/>
        <v/>
      </c>
      <c r="N1036" s="7">
        <f t="shared" si="214"/>
        <v>0</v>
      </c>
      <c r="O1036" s="7">
        <f t="shared" si="221"/>
        <v>0</v>
      </c>
      <c r="P1036" s="7">
        <f t="shared" si="222"/>
        <v>1</v>
      </c>
      <c r="Q1036" s="10" t="e">
        <f t="shared" si="215"/>
        <v>#N/A</v>
      </c>
      <c r="R1036" s="10" t="e">
        <f t="shared" si="216"/>
        <v>#N/A</v>
      </c>
      <c r="S1036" s="7">
        <f t="shared" si="223"/>
        <v>2144.4</v>
      </c>
      <c r="T1036" s="7">
        <f t="shared" si="224"/>
        <v>0</v>
      </c>
    </row>
    <row r="1037" spans="1:20" x14ac:dyDescent="0.25">
      <c r="A1037" s="1">
        <v>42727</v>
      </c>
      <c r="B1037">
        <v>2170</v>
      </c>
      <c r="C1037">
        <v>2215</v>
      </c>
      <c r="D1037">
        <v>2162.25</v>
      </c>
      <c r="E1037">
        <v>2197.9499999999998</v>
      </c>
      <c r="F1037">
        <v>536459</v>
      </c>
      <c r="G1037" s="4">
        <f t="shared" si="225"/>
        <v>31.949999999999818</v>
      </c>
      <c r="H1037" s="4">
        <f t="shared" si="226"/>
        <v>0</v>
      </c>
      <c r="I1037" s="6">
        <f t="shared" si="217"/>
        <v>12.385714285714291</v>
      </c>
      <c r="J1037" s="6">
        <f t="shared" si="218"/>
        <v>13.789285714285727</v>
      </c>
      <c r="K1037" s="4">
        <f t="shared" si="219"/>
        <v>0.89821289821289785</v>
      </c>
      <c r="L1037">
        <f t="shared" si="220"/>
        <v>47.318870241506332</v>
      </c>
      <c r="M1037" s="14" t="str">
        <f t="shared" si="213"/>
        <v/>
      </c>
      <c r="N1037" s="7">
        <f t="shared" si="214"/>
        <v>0</v>
      </c>
      <c r="O1037" s="7">
        <f t="shared" si="221"/>
        <v>0</v>
      </c>
      <c r="P1037" s="7">
        <f t="shared" si="222"/>
        <v>1</v>
      </c>
      <c r="Q1037" s="10" t="e">
        <f t="shared" si="215"/>
        <v>#N/A</v>
      </c>
      <c r="R1037" s="10" t="e">
        <f t="shared" si="216"/>
        <v>#N/A</v>
      </c>
      <c r="S1037" s="7">
        <f t="shared" si="223"/>
        <v>2144.4</v>
      </c>
      <c r="T1037" s="7">
        <f t="shared" si="224"/>
        <v>0</v>
      </c>
    </row>
    <row r="1038" spans="1:20" x14ac:dyDescent="0.25">
      <c r="A1038" s="1">
        <v>42730</v>
      </c>
      <c r="B1038">
        <v>2206</v>
      </c>
      <c r="C1038">
        <v>2222</v>
      </c>
      <c r="D1038">
        <v>2182.8000000000002</v>
      </c>
      <c r="E1038">
        <v>2189.35</v>
      </c>
      <c r="F1038">
        <v>793962</v>
      </c>
      <c r="G1038" s="4">
        <f t="shared" si="225"/>
        <v>0</v>
      </c>
      <c r="H1038" s="4">
        <f t="shared" si="226"/>
        <v>8.5999999999999091</v>
      </c>
      <c r="I1038" s="6">
        <f t="shared" si="217"/>
        <v>10.710714285714273</v>
      </c>
      <c r="J1038" s="6">
        <f t="shared" si="218"/>
        <v>14.403571428571436</v>
      </c>
      <c r="K1038" s="4">
        <f t="shared" si="219"/>
        <v>0.74361517480783412</v>
      </c>
      <c r="L1038">
        <f t="shared" si="220"/>
        <v>42.647895335608602</v>
      </c>
      <c r="M1038" s="14" t="str">
        <f t="shared" si="213"/>
        <v/>
      </c>
      <c r="N1038" s="7">
        <f t="shared" si="214"/>
        <v>0</v>
      </c>
      <c r="O1038" s="7">
        <f t="shared" si="221"/>
        <v>0</v>
      </c>
      <c r="P1038" s="7">
        <f t="shared" si="222"/>
        <v>1</v>
      </c>
      <c r="Q1038" s="10" t="e">
        <f t="shared" si="215"/>
        <v>#N/A</v>
      </c>
      <c r="R1038" s="10" t="e">
        <f t="shared" si="216"/>
        <v>#N/A</v>
      </c>
      <c r="S1038" s="7">
        <f t="shared" si="223"/>
        <v>2144.4</v>
      </c>
      <c r="T1038" s="7">
        <f t="shared" si="224"/>
        <v>0</v>
      </c>
    </row>
    <row r="1039" spans="1:20" x14ac:dyDescent="0.25">
      <c r="A1039" s="1">
        <v>42731</v>
      </c>
      <c r="B1039">
        <v>2198</v>
      </c>
      <c r="C1039">
        <v>2213</v>
      </c>
      <c r="D1039">
        <v>2190.75</v>
      </c>
      <c r="E1039">
        <v>2205.6999999999998</v>
      </c>
      <c r="F1039">
        <v>858930</v>
      </c>
      <c r="G1039" s="4">
        <f t="shared" si="225"/>
        <v>16.349999999999909</v>
      </c>
      <c r="H1039" s="4">
        <f t="shared" si="226"/>
        <v>0</v>
      </c>
      <c r="I1039" s="6">
        <f t="shared" si="217"/>
        <v>11.878571428571409</v>
      </c>
      <c r="J1039" s="6">
        <f t="shared" si="218"/>
        <v>11.07499999999998</v>
      </c>
      <c r="K1039" s="4">
        <f t="shared" si="219"/>
        <v>1.0725572396001291</v>
      </c>
      <c r="L1039">
        <f t="shared" si="220"/>
        <v>51.750427882371241</v>
      </c>
      <c r="M1039" s="14" t="str">
        <f t="shared" si="213"/>
        <v/>
      </c>
      <c r="N1039" s="7">
        <f t="shared" si="214"/>
        <v>0</v>
      </c>
      <c r="O1039" s="7">
        <f t="shared" si="221"/>
        <v>0</v>
      </c>
      <c r="P1039" s="7">
        <f t="shared" si="222"/>
        <v>1</v>
      </c>
      <c r="Q1039" s="10" t="e">
        <f t="shared" si="215"/>
        <v>#N/A</v>
      </c>
      <c r="R1039" s="10" t="e">
        <f t="shared" si="216"/>
        <v>#N/A</v>
      </c>
      <c r="S1039" s="7">
        <f t="shared" si="223"/>
        <v>2144.4</v>
      </c>
      <c r="T1039" s="7">
        <f t="shared" si="224"/>
        <v>0</v>
      </c>
    </row>
    <row r="1040" spans="1:20" x14ac:dyDescent="0.25">
      <c r="A1040" s="1">
        <v>42732</v>
      </c>
      <c r="B1040">
        <v>2204</v>
      </c>
      <c r="C1040">
        <v>2205.25</v>
      </c>
      <c r="D1040">
        <v>2170.1</v>
      </c>
      <c r="E1040">
        <v>2177.9</v>
      </c>
      <c r="F1040">
        <v>1225212</v>
      </c>
      <c r="G1040" s="4">
        <f t="shared" si="225"/>
        <v>0</v>
      </c>
      <c r="H1040" s="4">
        <f t="shared" si="226"/>
        <v>27.799999999999727</v>
      </c>
      <c r="I1040" s="6">
        <f t="shared" si="217"/>
        <v>11.878571428571409</v>
      </c>
      <c r="J1040" s="6">
        <f t="shared" si="218"/>
        <v>9.9821428571428239</v>
      </c>
      <c r="K1040" s="4">
        <f t="shared" si="219"/>
        <v>1.1899821109123454</v>
      </c>
      <c r="L1040">
        <f t="shared" si="220"/>
        <v>54.337526547949729</v>
      </c>
      <c r="M1040" s="14" t="str">
        <f t="shared" ref="M1040:M1103" si="227">IF(L1040&gt;RSI_Overbought,"OVERBOUGHT",IF(L1040&lt;RSI_Oversold,"OVERSOLD",""))</f>
        <v/>
      </c>
      <c r="N1040" s="7">
        <f t="shared" ref="N1040:N1103" si="228">IF(L1040&gt;RSI_Overbought,"SELL",IF(L1040&lt;RSI_Oversold,"BUY",0))</f>
        <v>0</v>
      </c>
      <c r="O1040" s="7">
        <f t="shared" si="221"/>
        <v>0</v>
      </c>
      <c r="P1040" s="7">
        <f t="shared" si="222"/>
        <v>1</v>
      </c>
      <c r="Q1040" s="10" t="e">
        <f t="shared" ref="Q1040:Q1103" si="229">IF($O1040="BUY",$E1040,NA())</f>
        <v>#N/A</v>
      </c>
      <c r="R1040" s="10" t="e">
        <f t="shared" ref="R1040:R1103" si="230">IF($O1040="SELL",$E1040,NA())</f>
        <v>#N/A</v>
      </c>
      <c r="S1040" s="7">
        <f t="shared" si="223"/>
        <v>2144.4</v>
      </c>
      <c r="T1040" s="7">
        <f t="shared" si="224"/>
        <v>0</v>
      </c>
    </row>
    <row r="1041" spans="1:20" x14ac:dyDescent="0.25">
      <c r="A1041" s="1">
        <v>42733</v>
      </c>
      <c r="B1041">
        <v>2189</v>
      </c>
      <c r="C1041">
        <v>2199.5</v>
      </c>
      <c r="D1041">
        <v>2180</v>
      </c>
      <c r="E1041">
        <v>2188.9</v>
      </c>
      <c r="F1041">
        <v>1652687</v>
      </c>
      <c r="G1041" s="4">
        <f t="shared" si="225"/>
        <v>11</v>
      </c>
      <c r="H1041" s="4">
        <f t="shared" si="226"/>
        <v>0</v>
      </c>
      <c r="I1041" s="6">
        <f t="shared" ref="I1041:I1104" si="231">AVERAGE(G1028:G1041)</f>
        <v>9.5892857142856815</v>
      </c>
      <c r="J1041" s="6">
        <f t="shared" ref="J1041:J1104" si="232">AVERAGE(H1028:H1041)</f>
        <v>9.9821428571428239</v>
      </c>
      <c r="K1041" s="4">
        <f t="shared" ref="K1041:K1104" si="233">I1041/J1041</f>
        <v>0.96064400715563503</v>
      </c>
      <c r="L1041">
        <f t="shared" ref="L1041:L1104" si="234">100-(100/(K1041+1))</f>
        <v>48.996350364963504</v>
      </c>
      <c r="M1041" s="14" t="str">
        <f t="shared" si="227"/>
        <v/>
      </c>
      <c r="N1041" s="7">
        <f t="shared" si="228"/>
        <v>0</v>
      </c>
      <c r="O1041" s="7">
        <f t="shared" ref="O1041:O1104" si="235">IF(AND(N1041="BUY",P1040&lt;&gt;1),"BUY",IF(AND(N1041="SELL",P1040&lt;&gt;-1),"SELL",0))</f>
        <v>0</v>
      </c>
      <c r="P1041" s="7">
        <f t="shared" ref="P1041:P1104" si="236">IF(O1041="BUY",1,IF(O1041="SELL",-1,P1040))</f>
        <v>1</v>
      </c>
      <c r="Q1041" s="10" t="e">
        <f t="shared" si="229"/>
        <v>#N/A</v>
      </c>
      <c r="R1041" s="10" t="e">
        <f t="shared" si="230"/>
        <v>#N/A</v>
      </c>
      <c r="S1041" s="7">
        <f t="shared" ref="S1041:S1104" si="237">IF(O1041&lt;&gt;0,E1041,S1040)</f>
        <v>2144.4</v>
      </c>
      <c r="T1041" s="7">
        <f t="shared" si="224"/>
        <v>0</v>
      </c>
    </row>
    <row r="1042" spans="1:20" x14ac:dyDescent="0.25">
      <c r="A1042" s="1">
        <v>42734</v>
      </c>
      <c r="B1042">
        <v>2194</v>
      </c>
      <c r="C1042">
        <v>2195</v>
      </c>
      <c r="D1042">
        <v>2177.15</v>
      </c>
      <c r="E1042">
        <v>2182.15</v>
      </c>
      <c r="F1042">
        <v>1929856</v>
      </c>
      <c r="G1042" s="4">
        <f t="shared" si="225"/>
        <v>0</v>
      </c>
      <c r="H1042" s="4">
        <f t="shared" si="226"/>
        <v>6.75</v>
      </c>
      <c r="I1042" s="6">
        <f t="shared" si="231"/>
        <v>9.5892857142856815</v>
      </c>
      <c r="J1042" s="6">
        <f t="shared" si="232"/>
        <v>9.0964285714285325</v>
      </c>
      <c r="K1042" s="4">
        <f t="shared" si="233"/>
        <v>1.0541813898704366</v>
      </c>
      <c r="L1042">
        <f t="shared" si="234"/>
        <v>51.318807339449563</v>
      </c>
      <c r="M1042" s="14" t="str">
        <f t="shared" si="227"/>
        <v/>
      </c>
      <c r="N1042" s="7">
        <f t="shared" si="228"/>
        <v>0</v>
      </c>
      <c r="O1042" s="7">
        <f t="shared" si="235"/>
        <v>0</v>
      </c>
      <c r="P1042" s="7">
        <f t="shared" si="236"/>
        <v>1</v>
      </c>
      <c r="Q1042" s="10" t="e">
        <f t="shared" si="229"/>
        <v>#N/A</v>
      </c>
      <c r="R1042" s="10" t="e">
        <f t="shared" si="230"/>
        <v>#N/A</v>
      </c>
      <c r="S1042" s="7">
        <f t="shared" si="237"/>
        <v>2144.4</v>
      </c>
      <c r="T1042" s="7">
        <f t="shared" si="224"/>
        <v>0</v>
      </c>
    </row>
    <row r="1043" spans="1:20" x14ac:dyDescent="0.25">
      <c r="A1043" s="1">
        <v>42737</v>
      </c>
      <c r="B1043">
        <v>2161</v>
      </c>
      <c r="C1043">
        <v>2280</v>
      </c>
      <c r="D1043">
        <v>2160.15</v>
      </c>
      <c r="E1043">
        <v>2275.75</v>
      </c>
      <c r="F1043">
        <v>1994096</v>
      </c>
      <c r="G1043" s="4">
        <f t="shared" si="225"/>
        <v>93.599999999999909</v>
      </c>
      <c r="H1043" s="4">
        <f t="shared" si="226"/>
        <v>0</v>
      </c>
      <c r="I1043" s="6">
        <f t="shared" si="231"/>
        <v>16.274999999999959</v>
      </c>
      <c r="J1043" s="6">
        <f t="shared" si="232"/>
        <v>6.8928571428571104</v>
      </c>
      <c r="K1043" s="4">
        <f t="shared" si="233"/>
        <v>2.3611398963730621</v>
      </c>
      <c r="L1043">
        <f t="shared" si="234"/>
        <v>70.248188685062473</v>
      </c>
      <c r="M1043" s="14" t="str">
        <f t="shared" si="227"/>
        <v>OVERBOUGHT</v>
      </c>
      <c r="N1043" s="7" t="str">
        <f t="shared" si="228"/>
        <v>SELL</v>
      </c>
      <c r="O1043" s="7" t="str">
        <f t="shared" si="235"/>
        <v>SELL</v>
      </c>
      <c r="P1043" s="7">
        <f t="shared" si="236"/>
        <v>-1</v>
      </c>
      <c r="Q1043" s="10" t="e">
        <f t="shared" si="229"/>
        <v>#N/A</v>
      </c>
      <c r="R1043" s="10">
        <f t="shared" si="230"/>
        <v>2275.75</v>
      </c>
      <c r="S1043" s="7">
        <f t="shared" si="237"/>
        <v>2275.75</v>
      </c>
      <c r="T1043" s="7">
        <f t="shared" si="224"/>
        <v>6.1252564819996226E-2</v>
      </c>
    </row>
    <row r="1044" spans="1:20" x14ac:dyDescent="0.25">
      <c r="A1044" s="1">
        <v>42738</v>
      </c>
      <c r="B1044">
        <v>2271.8000000000002</v>
      </c>
      <c r="C1044">
        <v>2299</v>
      </c>
      <c r="D1044">
        <v>2228</v>
      </c>
      <c r="E1044">
        <v>2240.0500000000002</v>
      </c>
      <c r="F1044">
        <v>803039</v>
      </c>
      <c r="G1044" s="4">
        <f t="shared" si="225"/>
        <v>0</v>
      </c>
      <c r="H1044" s="4">
        <f t="shared" si="226"/>
        <v>35.699999999999818</v>
      </c>
      <c r="I1044" s="6">
        <f t="shared" si="231"/>
        <v>16.274999999999959</v>
      </c>
      <c r="J1044" s="6">
        <f t="shared" si="232"/>
        <v>5.8107142857142469</v>
      </c>
      <c r="K1044" s="4">
        <f t="shared" si="233"/>
        <v>2.8008604794099687</v>
      </c>
      <c r="L1044">
        <f t="shared" si="234"/>
        <v>73.690168175937984</v>
      </c>
      <c r="M1044" s="14" t="str">
        <f t="shared" si="227"/>
        <v>OVERBOUGHT</v>
      </c>
      <c r="N1044" s="7" t="str">
        <f t="shared" si="228"/>
        <v>SELL</v>
      </c>
      <c r="O1044" s="7">
        <f t="shared" si="235"/>
        <v>0</v>
      </c>
      <c r="P1044" s="7">
        <f t="shared" si="236"/>
        <v>-1</v>
      </c>
      <c r="Q1044" s="10" t="e">
        <f t="shared" si="229"/>
        <v>#N/A</v>
      </c>
      <c r="R1044" s="10" t="e">
        <f t="shared" si="230"/>
        <v>#N/A</v>
      </c>
      <c r="S1044" s="7">
        <f t="shared" si="237"/>
        <v>2275.75</v>
      </c>
      <c r="T1044" s="7">
        <f t="shared" si="224"/>
        <v>0</v>
      </c>
    </row>
    <row r="1045" spans="1:20" x14ac:dyDescent="0.25">
      <c r="A1045" s="1">
        <v>42739</v>
      </c>
      <c r="B1045">
        <v>2233.1999999999998</v>
      </c>
      <c r="C1045">
        <v>2254</v>
      </c>
      <c r="D1045">
        <v>2224</v>
      </c>
      <c r="E1045">
        <v>2240.65</v>
      </c>
      <c r="F1045">
        <v>1015166</v>
      </c>
      <c r="G1045" s="4">
        <f t="shared" si="225"/>
        <v>0.59999999999990905</v>
      </c>
      <c r="H1045" s="4">
        <f t="shared" si="226"/>
        <v>0</v>
      </c>
      <c r="I1045" s="6">
        <f t="shared" si="231"/>
        <v>15.735714285714266</v>
      </c>
      <c r="J1045" s="6">
        <f t="shared" si="232"/>
        <v>5.8107142857142469</v>
      </c>
      <c r="K1045" s="4">
        <f t="shared" si="233"/>
        <v>2.7080516287646121</v>
      </c>
      <c r="L1045">
        <f t="shared" si="234"/>
        <v>73.031659207691135</v>
      </c>
      <c r="M1045" s="14" t="str">
        <f t="shared" si="227"/>
        <v>OVERBOUGHT</v>
      </c>
      <c r="N1045" s="7" t="str">
        <f t="shared" si="228"/>
        <v>SELL</v>
      </c>
      <c r="O1045" s="7">
        <f t="shared" si="235"/>
        <v>0</v>
      </c>
      <c r="P1045" s="7">
        <f t="shared" si="236"/>
        <v>-1</v>
      </c>
      <c r="Q1045" s="10" t="e">
        <f t="shared" si="229"/>
        <v>#N/A</v>
      </c>
      <c r="R1045" s="10" t="e">
        <f t="shared" si="230"/>
        <v>#N/A</v>
      </c>
      <c r="S1045" s="7">
        <f t="shared" si="237"/>
        <v>2275.75</v>
      </c>
      <c r="T1045" s="7">
        <f t="shared" si="224"/>
        <v>0</v>
      </c>
    </row>
    <row r="1046" spans="1:20" x14ac:dyDescent="0.25">
      <c r="A1046" s="1">
        <v>42740</v>
      </c>
      <c r="B1046">
        <v>2254.85</v>
      </c>
      <c r="C1046">
        <v>2286.25</v>
      </c>
      <c r="D1046">
        <v>2242.5500000000002</v>
      </c>
      <c r="E1046">
        <v>2251.9</v>
      </c>
      <c r="F1046">
        <v>1151003</v>
      </c>
      <c r="G1046" s="4">
        <f t="shared" si="225"/>
        <v>11.25</v>
      </c>
      <c r="H1046" s="4">
        <f t="shared" si="226"/>
        <v>0</v>
      </c>
      <c r="I1046" s="6">
        <f t="shared" si="231"/>
        <v>16.271428571428551</v>
      </c>
      <c r="J1046" s="6">
        <f t="shared" si="232"/>
        <v>5.8107142857142469</v>
      </c>
      <c r="K1046" s="4">
        <f t="shared" si="233"/>
        <v>2.8002458512600028</v>
      </c>
      <c r="L1046">
        <f t="shared" si="234"/>
        <v>73.685912987223134</v>
      </c>
      <c r="M1046" s="14" t="str">
        <f t="shared" si="227"/>
        <v>OVERBOUGHT</v>
      </c>
      <c r="N1046" s="7" t="str">
        <f t="shared" si="228"/>
        <v>SELL</v>
      </c>
      <c r="O1046" s="7">
        <f t="shared" si="235"/>
        <v>0</v>
      </c>
      <c r="P1046" s="7">
        <f t="shared" si="236"/>
        <v>-1</v>
      </c>
      <c r="Q1046" s="10" t="e">
        <f t="shared" si="229"/>
        <v>#N/A</v>
      </c>
      <c r="R1046" s="10" t="e">
        <f t="shared" si="230"/>
        <v>#N/A</v>
      </c>
      <c r="S1046" s="7">
        <f t="shared" si="237"/>
        <v>2275.75</v>
      </c>
      <c r="T1046" s="7">
        <f t="shared" si="224"/>
        <v>0</v>
      </c>
    </row>
    <row r="1047" spans="1:20" x14ac:dyDescent="0.25">
      <c r="A1047" s="1">
        <v>42741</v>
      </c>
      <c r="B1047">
        <v>2252.85</v>
      </c>
      <c r="C1047">
        <v>2260</v>
      </c>
      <c r="D1047">
        <v>2232.15</v>
      </c>
      <c r="E1047">
        <v>2240.75</v>
      </c>
      <c r="F1047">
        <v>657281</v>
      </c>
      <c r="G1047" s="4">
        <f t="shared" si="225"/>
        <v>0</v>
      </c>
      <c r="H1047" s="4">
        <f t="shared" si="226"/>
        <v>11.150000000000091</v>
      </c>
      <c r="I1047" s="6">
        <f t="shared" si="231"/>
        <v>14.249999999999968</v>
      </c>
      <c r="J1047" s="6">
        <f t="shared" si="232"/>
        <v>6.6071428571428248</v>
      </c>
      <c r="K1047" s="4">
        <f t="shared" si="233"/>
        <v>2.1567567567567623</v>
      </c>
      <c r="L1047">
        <f t="shared" si="234"/>
        <v>68.32191780821924</v>
      </c>
      <c r="M1047" s="14" t="str">
        <f t="shared" si="227"/>
        <v/>
      </c>
      <c r="N1047" s="7">
        <f t="shared" si="228"/>
        <v>0</v>
      </c>
      <c r="O1047" s="7">
        <f t="shared" si="235"/>
        <v>0</v>
      </c>
      <c r="P1047" s="7">
        <f t="shared" si="236"/>
        <v>-1</v>
      </c>
      <c r="Q1047" s="10" t="e">
        <f t="shared" si="229"/>
        <v>#N/A</v>
      </c>
      <c r="R1047" s="10" t="e">
        <f t="shared" si="230"/>
        <v>#N/A</v>
      </c>
      <c r="S1047" s="7">
        <f t="shared" si="237"/>
        <v>2275.75</v>
      </c>
      <c r="T1047" s="7">
        <f t="shared" si="224"/>
        <v>0</v>
      </c>
    </row>
    <row r="1048" spans="1:20" x14ac:dyDescent="0.25">
      <c r="A1048" s="1">
        <v>42744</v>
      </c>
      <c r="B1048">
        <v>2245.5</v>
      </c>
      <c r="C1048">
        <v>2250.0500000000002</v>
      </c>
      <c r="D1048">
        <v>2152.8000000000002</v>
      </c>
      <c r="E1048">
        <v>2228.5</v>
      </c>
      <c r="F1048">
        <v>2349236</v>
      </c>
      <c r="G1048" s="4">
        <f t="shared" si="225"/>
        <v>0</v>
      </c>
      <c r="H1048" s="4">
        <f t="shared" si="226"/>
        <v>12.25</v>
      </c>
      <c r="I1048" s="6">
        <f t="shared" si="231"/>
        <v>11.810714285714246</v>
      </c>
      <c r="J1048" s="6">
        <f t="shared" si="232"/>
        <v>7.4821428571428248</v>
      </c>
      <c r="K1048" s="4">
        <f t="shared" si="233"/>
        <v>1.5785202863961829</v>
      </c>
      <c r="L1048">
        <f t="shared" si="234"/>
        <v>61.218067382450968</v>
      </c>
      <c r="M1048" s="14" t="str">
        <f t="shared" si="227"/>
        <v/>
      </c>
      <c r="N1048" s="7">
        <f t="shared" si="228"/>
        <v>0</v>
      </c>
      <c r="O1048" s="7">
        <f t="shared" si="235"/>
        <v>0</v>
      </c>
      <c r="P1048" s="7">
        <f t="shared" si="236"/>
        <v>-1</v>
      </c>
      <c r="Q1048" s="10" t="e">
        <f t="shared" si="229"/>
        <v>#N/A</v>
      </c>
      <c r="R1048" s="10" t="e">
        <f t="shared" si="230"/>
        <v>#N/A</v>
      </c>
      <c r="S1048" s="7">
        <f t="shared" si="237"/>
        <v>2275.75</v>
      </c>
      <c r="T1048" s="7">
        <f t="shared" si="224"/>
        <v>0</v>
      </c>
    </row>
    <row r="1049" spans="1:20" x14ac:dyDescent="0.25">
      <c r="A1049" s="1">
        <v>42745</v>
      </c>
      <c r="B1049">
        <v>2228.1</v>
      </c>
      <c r="C1049">
        <v>2228.5</v>
      </c>
      <c r="D1049">
        <v>2135</v>
      </c>
      <c r="E1049">
        <v>2142.65</v>
      </c>
      <c r="F1049">
        <v>1914884</v>
      </c>
      <c r="G1049" s="4">
        <f t="shared" si="225"/>
        <v>0</v>
      </c>
      <c r="H1049" s="4">
        <f t="shared" si="226"/>
        <v>85.849999999999909</v>
      </c>
      <c r="I1049" s="6">
        <f t="shared" si="231"/>
        <v>11.810714285714246</v>
      </c>
      <c r="J1049" s="6">
        <f t="shared" si="232"/>
        <v>13.435714285714246</v>
      </c>
      <c r="K1049" s="4">
        <f t="shared" si="233"/>
        <v>0.8790536948431682</v>
      </c>
      <c r="L1049">
        <f t="shared" si="234"/>
        <v>46.781723015985278</v>
      </c>
      <c r="M1049" s="14" t="str">
        <f t="shared" si="227"/>
        <v/>
      </c>
      <c r="N1049" s="7">
        <f t="shared" si="228"/>
        <v>0</v>
      </c>
      <c r="O1049" s="7">
        <f t="shared" si="235"/>
        <v>0</v>
      </c>
      <c r="P1049" s="7">
        <f t="shared" si="236"/>
        <v>-1</v>
      </c>
      <c r="Q1049" s="10" t="e">
        <f t="shared" si="229"/>
        <v>#N/A</v>
      </c>
      <c r="R1049" s="10" t="e">
        <f t="shared" si="230"/>
        <v>#N/A</v>
      </c>
      <c r="S1049" s="7">
        <f t="shared" si="237"/>
        <v>2275.75</v>
      </c>
      <c r="T1049" s="7">
        <f t="shared" si="224"/>
        <v>0</v>
      </c>
    </row>
    <row r="1050" spans="1:20" x14ac:dyDescent="0.25">
      <c r="A1050" s="1">
        <v>42746</v>
      </c>
      <c r="B1050">
        <v>2155</v>
      </c>
      <c r="C1050">
        <v>2177.65</v>
      </c>
      <c r="D1050">
        <v>2122</v>
      </c>
      <c r="E1050">
        <v>2151.65</v>
      </c>
      <c r="F1050">
        <v>1275127</v>
      </c>
      <c r="G1050" s="4">
        <f t="shared" si="225"/>
        <v>9</v>
      </c>
      <c r="H1050" s="4">
        <f t="shared" si="226"/>
        <v>0</v>
      </c>
      <c r="I1050" s="6">
        <f t="shared" si="231"/>
        <v>12.410714285714253</v>
      </c>
      <c r="J1050" s="6">
        <f t="shared" si="232"/>
        <v>13.435714285714246</v>
      </c>
      <c r="K1050" s="4">
        <f t="shared" si="233"/>
        <v>0.92371079213184504</v>
      </c>
      <c r="L1050">
        <f t="shared" si="234"/>
        <v>48.017134171618082</v>
      </c>
      <c r="M1050" s="14" t="str">
        <f t="shared" si="227"/>
        <v/>
      </c>
      <c r="N1050" s="7">
        <f t="shared" si="228"/>
        <v>0</v>
      </c>
      <c r="O1050" s="7">
        <f t="shared" si="235"/>
        <v>0</v>
      </c>
      <c r="P1050" s="7">
        <f t="shared" si="236"/>
        <v>-1</v>
      </c>
      <c r="Q1050" s="10" t="e">
        <f t="shared" si="229"/>
        <v>#N/A</v>
      </c>
      <c r="R1050" s="10" t="e">
        <f t="shared" si="230"/>
        <v>#N/A</v>
      </c>
      <c r="S1050" s="7">
        <f t="shared" si="237"/>
        <v>2275.75</v>
      </c>
      <c r="T1050" s="7">
        <f t="shared" ref="T1050:T1113" si="238">IF(O1050="BUY",(S1049-S1050)/S1049,IF(O1050="SELL",(S1050-S1049)/S1049,0))</f>
        <v>0</v>
      </c>
    </row>
    <row r="1051" spans="1:20" x14ac:dyDescent="0.25">
      <c r="A1051" s="1">
        <v>42747</v>
      </c>
      <c r="B1051">
        <v>2153</v>
      </c>
      <c r="C1051">
        <v>2189.75</v>
      </c>
      <c r="D1051">
        <v>2153</v>
      </c>
      <c r="E1051">
        <v>2179.4499999999998</v>
      </c>
      <c r="F1051">
        <v>834894</v>
      </c>
      <c r="G1051" s="4">
        <f t="shared" si="225"/>
        <v>27.799999999999727</v>
      </c>
      <c r="H1051" s="4">
        <f t="shared" si="226"/>
        <v>0</v>
      </c>
      <c r="I1051" s="6">
        <f t="shared" si="231"/>
        <v>12.114285714285675</v>
      </c>
      <c r="J1051" s="6">
        <f t="shared" si="232"/>
        <v>13.435714285714246</v>
      </c>
      <c r="K1051" s="4">
        <f t="shared" si="233"/>
        <v>0.90164805954279614</v>
      </c>
      <c r="L1051">
        <f t="shared" si="234"/>
        <v>47.414034106793402</v>
      </c>
      <c r="M1051" s="14" t="str">
        <f t="shared" si="227"/>
        <v/>
      </c>
      <c r="N1051" s="7">
        <f t="shared" si="228"/>
        <v>0</v>
      </c>
      <c r="O1051" s="7">
        <f t="shared" si="235"/>
        <v>0</v>
      </c>
      <c r="P1051" s="7">
        <f t="shared" si="236"/>
        <v>-1</v>
      </c>
      <c r="Q1051" s="10" t="e">
        <f t="shared" si="229"/>
        <v>#N/A</v>
      </c>
      <c r="R1051" s="10" t="e">
        <f t="shared" si="230"/>
        <v>#N/A</v>
      </c>
      <c r="S1051" s="7">
        <f t="shared" si="237"/>
        <v>2275.75</v>
      </c>
      <c r="T1051" s="7">
        <f t="shared" si="238"/>
        <v>0</v>
      </c>
    </row>
    <row r="1052" spans="1:20" x14ac:dyDescent="0.25">
      <c r="A1052" s="1">
        <v>42748</v>
      </c>
      <c r="B1052">
        <v>2148.0500000000002</v>
      </c>
      <c r="C1052">
        <v>2202</v>
      </c>
      <c r="D1052">
        <v>2136.85</v>
      </c>
      <c r="E1052">
        <v>2149.5500000000002</v>
      </c>
      <c r="F1052">
        <v>1009942</v>
      </c>
      <c r="G1052" s="4">
        <f t="shared" si="225"/>
        <v>0</v>
      </c>
      <c r="H1052" s="4">
        <f t="shared" si="226"/>
        <v>29.899999999999636</v>
      </c>
      <c r="I1052" s="6">
        <f t="shared" si="231"/>
        <v>12.114285714285675</v>
      </c>
      <c r="J1052" s="6">
        <f t="shared" si="232"/>
        <v>14.957142857142799</v>
      </c>
      <c r="K1052" s="4">
        <f t="shared" si="233"/>
        <v>0.80993314231136637</v>
      </c>
      <c r="L1052">
        <f t="shared" si="234"/>
        <v>44.749340369393153</v>
      </c>
      <c r="M1052" s="14" t="str">
        <f t="shared" si="227"/>
        <v/>
      </c>
      <c r="N1052" s="7">
        <f t="shared" si="228"/>
        <v>0</v>
      </c>
      <c r="O1052" s="7">
        <f t="shared" si="235"/>
        <v>0</v>
      </c>
      <c r="P1052" s="7">
        <f t="shared" si="236"/>
        <v>-1</v>
      </c>
      <c r="Q1052" s="10" t="e">
        <f t="shared" si="229"/>
        <v>#N/A</v>
      </c>
      <c r="R1052" s="10" t="e">
        <f t="shared" si="230"/>
        <v>#N/A</v>
      </c>
      <c r="S1052" s="7">
        <f t="shared" si="237"/>
        <v>2275.75</v>
      </c>
      <c r="T1052" s="7">
        <f t="shared" si="238"/>
        <v>0</v>
      </c>
    </row>
    <row r="1053" spans="1:20" x14ac:dyDescent="0.25">
      <c r="A1053" s="1">
        <v>42751</v>
      </c>
      <c r="B1053">
        <v>2141</v>
      </c>
      <c r="C1053">
        <v>2160.5</v>
      </c>
      <c r="D1053">
        <v>2124.3000000000002</v>
      </c>
      <c r="E1053">
        <v>2139.5500000000002</v>
      </c>
      <c r="F1053">
        <v>1080623</v>
      </c>
      <c r="G1053" s="4">
        <f t="shared" si="225"/>
        <v>0</v>
      </c>
      <c r="H1053" s="4">
        <f t="shared" si="226"/>
        <v>10</v>
      </c>
      <c r="I1053" s="6">
        <f t="shared" si="231"/>
        <v>10.946428571428539</v>
      </c>
      <c r="J1053" s="6">
        <f t="shared" si="232"/>
        <v>15.671428571428512</v>
      </c>
      <c r="K1053" s="4">
        <f t="shared" si="233"/>
        <v>0.69849589790337341</v>
      </c>
      <c r="L1053">
        <f t="shared" si="234"/>
        <v>41.124379444519001</v>
      </c>
      <c r="M1053" s="14" t="str">
        <f t="shared" si="227"/>
        <v/>
      </c>
      <c r="N1053" s="7">
        <f t="shared" si="228"/>
        <v>0</v>
      </c>
      <c r="O1053" s="7">
        <f t="shared" si="235"/>
        <v>0</v>
      </c>
      <c r="P1053" s="7">
        <f t="shared" si="236"/>
        <v>-1</v>
      </c>
      <c r="Q1053" s="10" t="e">
        <f t="shared" si="229"/>
        <v>#N/A</v>
      </c>
      <c r="R1053" s="10" t="e">
        <f t="shared" si="230"/>
        <v>#N/A</v>
      </c>
      <c r="S1053" s="7">
        <f t="shared" si="237"/>
        <v>2275.75</v>
      </c>
      <c r="T1053" s="7">
        <f t="shared" si="238"/>
        <v>0</v>
      </c>
    </row>
    <row r="1054" spans="1:20" x14ac:dyDescent="0.25">
      <c r="A1054" s="1">
        <v>42752</v>
      </c>
      <c r="B1054">
        <v>2135.5</v>
      </c>
      <c r="C1054">
        <v>2151.8000000000002</v>
      </c>
      <c r="D1054">
        <v>2104.25</v>
      </c>
      <c r="E1054">
        <v>2122</v>
      </c>
      <c r="F1054">
        <v>1282921</v>
      </c>
      <c r="G1054" s="4">
        <f t="shared" si="225"/>
        <v>0</v>
      </c>
      <c r="H1054" s="4">
        <f t="shared" si="226"/>
        <v>17.550000000000182</v>
      </c>
      <c r="I1054" s="6">
        <f t="shared" si="231"/>
        <v>10.946428571428539</v>
      </c>
      <c r="J1054" s="6">
        <f t="shared" si="232"/>
        <v>14.939285714285688</v>
      </c>
      <c r="K1054" s="4">
        <f t="shared" si="233"/>
        <v>0.73272770738704196</v>
      </c>
      <c r="L1054">
        <f t="shared" si="234"/>
        <v>42.287527593818957</v>
      </c>
      <c r="M1054" s="14" t="str">
        <f t="shared" si="227"/>
        <v/>
      </c>
      <c r="N1054" s="7">
        <f t="shared" si="228"/>
        <v>0</v>
      </c>
      <c r="O1054" s="7">
        <f t="shared" si="235"/>
        <v>0</v>
      </c>
      <c r="P1054" s="7">
        <f t="shared" si="236"/>
        <v>-1</v>
      </c>
      <c r="Q1054" s="10" t="e">
        <f t="shared" si="229"/>
        <v>#N/A</v>
      </c>
      <c r="R1054" s="10" t="e">
        <f t="shared" si="230"/>
        <v>#N/A</v>
      </c>
      <c r="S1054" s="7">
        <f t="shared" si="237"/>
        <v>2275.75</v>
      </c>
      <c r="T1054" s="7">
        <f t="shared" si="238"/>
        <v>0</v>
      </c>
    </row>
    <row r="1055" spans="1:20" x14ac:dyDescent="0.25">
      <c r="A1055" s="1">
        <v>42753</v>
      </c>
      <c r="B1055">
        <v>2075</v>
      </c>
      <c r="C1055">
        <v>2075</v>
      </c>
      <c r="D1055">
        <v>2013.05</v>
      </c>
      <c r="E1055">
        <v>2039.4</v>
      </c>
      <c r="F1055">
        <v>4326331</v>
      </c>
      <c r="G1055" s="4">
        <f t="shared" si="225"/>
        <v>0</v>
      </c>
      <c r="H1055" s="4">
        <f t="shared" si="226"/>
        <v>82.599999999999909</v>
      </c>
      <c r="I1055" s="6">
        <f t="shared" si="231"/>
        <v>10.160714285714253</v>
      </c>
      <c r="J1055" s="6">
        <f t="shared" si="232"/>
        <v>20.839285714285683</v>
      </c>
      <c r="K1055" s="4">
        <f t="shared" si="233"/>
        <v>0.48757497857754839</v>
      </c>
      <c r="L1055">
        <f t="shared" si="234"/>
        <v>32.776497695852484</v>
      </c>
      <c r="M1055" s="14" t="str">
        <f t="shared" si="227"/>
        <v/>
      </c>
      <c r="N1055" s="7">
        <f t="shared" si="228"/>
        <v>0</v>
      </c>
      <c r="O1055" s="7">
        <f t="shared" si="235"/>
        <v>0</v>
      </c>
      <c r="P1055" s="7">
        <f t="shared" si="236"/>
        <v>-1</v>
      </c>
      <c r="Q1055" s="10" t="e">
        <f t="shared" si="229"/>
        <v>#N/A</v>
      </c>
      <c r="R1055" s="10" t="e">
        <f t="shared" si="230"/>
        <v>#N/A</v>
      </c>
      <c r="S1055" s="7">
        <f t="shared" si="237"/>
        <v>2275.75</v>
      </c>
      <c r="T1055" s="7">
        <f t="shared" si="238"/>
        <v>0</v>
      </c>
    </row>
    <row r="1056" spans="1:20" x14ac:dyDescent="0.25">
      <c r="A1056" s="1">
        <v>42754</v>
      </c>
      <c r="B1056">
        <v>2038</v>
      </c>
      <c r="C1056">
        <v>2122.9</v>
      </c>
      <c r="D1056">
        <v>2011.4</v>
      </c>
      <c r="E1056">
        <v>2108.1999999999998</v>
      </c>
      <c r="F1056">
        <v>2864478</v>
      </c>
      <c r="G1056" s="4">
        <f t="shared" si="225"/>
        <v>68.799999999999727</v>
      </c>
      <c r="H1056" s="4">
        <f t="shared" si="226"/>
        <v>0</v>
      </c>
      <c r="I1056" s="6">
        <f t="shared" si="231"/>
        <v>15.074999999999948</v>
      </c>
      <c r="J1056" s="6">
        <f t="shared" si="232"/>
        <v>20.357142857142826</v>
      </c>
      <c r="K1056" s="4">
        <f t="shared" si="233"/>
        <v>0.74052631578947226</v>
      </c>
      <c r="L1056">
        <f t="shared" si="234"/>
        <v>42.546114302993608</v>
      </c>
      <c r="M1056" s="14" t="str">
        <f t="shared" si="227"/>
        <v/>
      </c>
      <c r="N1056" s="7">
        <f t="shared" si="228"/>
        <v>0</v>
      </c>
      <c r="O1056" s="7">
        <f t="shared" si="235"/>
        <v>0</v>
      </c>
      <c r="P1056" s="7">
        <f t="shared" si="236"/>
        <v>-1</v>
      </c>
      <c r="Q1056" s="10" t="e">
        <f t="shared" si="229"/>
        <v>#N/A</v>
      </c>
      <c r="R1056" s="10" t="e">
        <f t="shared" si="230"/>
        <v>#N/A</v>
      </c>
      <c r="S1056" s="7">
        <f t="shared" si="237"/>
        <v>2275.75</v>
      </c>
      <c r="T1056" s="7">
        <f t="shared" si="238"/>
        <v>0</v>
      </c>
    </row>
    <row r="1057" spans="1:20" x14ac:dyDescent="0.25">
      <c r="A1057" s="1">
        <v>42755</v>
      </c>
      <c r="B1057">
        <v>2125</v>
      </c>
      <c r="C1057">
        <v>2145</v>
      </c>
      <c r="D1057">
        <v>2085</v>
      </c>
      <c r="E1057">
        <v>2127</v>
      </c>
      <c r="F1057">
        <v>2340388</v>
      </c>
      <c r="G1057" s="4">
        <f t="shared" si="225"/>
        <v>18.800000000000182</v>
      </c>
      <c r="H1057" s="4">
        <f t="shared" si="226"/>
        <v>0</v>
      </c>
      <c r="I1057" s="6">
        <f t="shared" si="231"/>
        <v>9.7321428571428239</v>
      </c>
      <c r="J1057" s="6">
        <f t="shared" si="232"/>
        <v>20.357142857142826</v>
      </c>
      <c r="K1057" s="4">
        <f t="shared" si="233"/>
        <v>0.47807017543859559</v>
      </c>
      <c r="L1057">
        <f t="shared" si="234"/>
        <v>32.344213649851596</v>
      </c>
      <c r="M1057" s="14" t="str">
        <f t="shared" si="227"/>
        <v/>
      </c>
      <c r="N1057" s="7">
        <f t="shared" si="228"/>
        <v>0</v>
      </c>
      <c r="O1057" s="7">
        <f t="shared" si="235"/>
        <v>0</v>
      </c>
      <c r="P1057" s="7">
        <f t="shared" si="236"/>
        <v>-1</v>
      </c>
      <c r="Q1057" s="10" t="e">
        <f t="shared" si="229"/>
        <v>#N/A</v>
      </c>
      <c r="R1057" s="10" t="e">
        <f t="shared" si="230"/>
        <v>#N/A</v>
      </c>
      <c r="S1057" s="7">
        <f t="shared" si="237"/>
        <v>2275.75</v>
      </c>
      <c r="T1057" s="7">
        <f t="shared" si="238"/>
        <v>0</v>
      </c>
    </row>
    <row r="1058" spans="1:20" x14ac:dyDescent="0.25">
      <c r="A1058" s="1">
        <v>42758</v>
      </c>
      <c r="B1058">
        <v>2125</v>
      </c>
      <c r="C1058">
        <v>2141.9</v>
      </c>
      <c r="D1058">
        <v>2115.4499999999998</v>
      </c>
      <c r="E1058">
        <v>2128.25</v>
      </c>
      <c r="F1058">
        <v>94751</v>
      </c>
      <c r="G1058" s="4">
        <f t="shared" si="225"/>
        <v>1.25</v>
      </c>
      <c r="H1058" s="4">
        <f t="shared" si="226"/>
        <v>0</v>
      </c>
      <c r="I1058" s="6">
        <f t="shared" si="231"/>
        <v>9.8214285714285392</v>
      </c>
      <c r="J1058" s="6">
        <f t="shared" si="232"/>
        <v>17.807142857142839</v>
      </c>
      <c r="K1058" s="4">
        <f t="shared" si="233"/>
        <v>0.55154432410749976</v>
      </c>
      <c r="L1058">
        <f t="shared" si="234"/>
        <v>35.548086866597671</v>
      </c>
      <c r="M1058" s="14" t="str">
        <f t="shared" si="227"/>
        <v/>
      </c>
      <c r="N1058" s="7">
        <f t="shared" si="228"/>
        <v>0</v>
      </c>
      <c r="O1058" s="7">
        <f t="shared" si="235"/>
        <v>0</v>
      </c>
      <c r="P1058" s="7">
        <f t="shared" si="236"/>
        <v>-1</v>
      </c>
      <c r="Q1058" s="10" t="e">
        <f t="shared" si="229"/>
        <v>#N/A</v>
      </c>
      <c r="R1058" s="10" t="e">
        <f t="shared" si="230"/>
        <v>#N/A</v>
      </c>
      <c r="S1058" s="7">
        <f t="shared" si="237"/>
        <v>2275.75</v>
      </c>
      <c r="T1058" s="7">
        <f t="shared" si="238"/>
        <v>0</v>
      </c>
    </row>
    <row r="1059" spans="1:20" x14ac:dyDescent="0.25">
      <c r="A1059" s="1">
        <v>42759</v>
      </c>
      <c r="B1059">
        <v>2136.9499999999998</v>
      </c>
      <c r="C1059">
        <v>2157.9499999999998</v>
      </c>
      <c r="D1059">
        <v>2126.15</v>
      </c>
      <c r="E1059">
        <v>2152.6</v>
      </c>
      <c r="F1059">
        <v>1091507</v>
      </c>
      <c r="G1059" s="4">
        <f t="shared" si="225"/>
        <v>24.349999999999909</v>
      </c>
      <c r="H1059" s="4">
        <f t="shared" si="226"/>
        <v>0</v>
      </c>
      <c r="I1059" s="6">
        <f t="shared" si="231"/>
        <v>11.51785714285711</v>
      </c>
      <c r="J1059" s="6">
        <f t="shared" si="232"/>
        <v>17.807142857142839</v>
      </c>
      <c r="K1059" s="4">
        <f t="shared" si="233"/>
        <v>0.64681107099879542</v>
      </c>
      <c r="L1059">
        <f t="shared" si="234"/>
        <v>39.276580197296262</v>
      </c>
      <c r="M1059" s="14" t="str">
        <f t="shared" si="227"/>
        <v/>
      </c>
      <c r="N1059" s="7">
        <f t="shared" si="228"/>
        <v>0</v>
      </c>
      <c r="O1059" s="7">
        <f t="shared" si="235"/>
        <v>0</v>
      </c>
      <c r="P1059" s="7">
        <f t="shared" si="236"/>
        <v>-1</v>
      </c>
      <c r="Q1059" s="10" t="e">
        <f t="shared" si="229"/>
        <v>#N/A</v>
      </c>
      <c r="R1059" s="10" t="e">
        <f t="shared" si="230"/>
        <v>#N/A</v>
      </c>
      <c r="S1059" s="7">
        <f t="shared" si="237"/>
        <v>2275.75</v>
      </c>
      <c r="T1059" s="7">
        <f t="shared" si="238"/>
        <v>0</v>
      </c>
    </row>
    <row r="1060" spans="1:20" x14ac:dyDescent="0.25">
      <c r="A1060" s="1">
        <v>42760</v>
      </c>
      <c r="B1060">
        <v>2144</v>
      </c>
      <c r="C1060">
        <v>2172</v>
      </c>
      <c r="D1060">
        <v>2130</v>
      </c>
      <c r="E1060">
        <v>2146.65</v>
      </c>
      <c r="F1060">
        <v>1124984</v>
      </c>
      <c r="G1060" s="4">
        <f t="shared" si="225"/>
        <v>0</v>
      </c>
      <c r="H1060" s="4">
        <f t="shared" si="226"/>
        <v>5.9499999999998181</v>
      </c>
      <c r="I1060" s="6">
        <f t="shared" si="231"/>
        <v>10.714285714285682</v>
      </c>
      <c r="J1060" s="6">
        <f t="shared" si="232"/>
        <v>18.232142857142826</v>
      </c>
      <c r="K1060" s="4">
        <f t="shared" si="233"/>
        <v>0.58765915768853982</v>
      </c>
      <c r="L1060">
        <f t="shared" si="234"/>
        <v>37.014188772362708</v>
      </c>
      <c r="M1060" s="14" t="str">
        <f t="shared" si="227"/>
        <v/>
      </c>
      <c r="N1060" s="7">
        <f t="shared" si="228"/>
        <v>0</v>
      </c>
      <c r="O1060" s="7">
        <f t="shared" si="235"/>
        <v>0</v>
      </c>
      <c r="P1060" s="7">
        <f t="shared" si="236"/>
        <v>-1</v>
      </c>
      <c r="Q1060" s="10" t="e">
        <f t="shared" si="229"/>
        <v>#N/A</v>
      </c>
      <c r="R1060" s="10" t="e">
        <f t="shared" si="230"/>
        <v>#N/A</v>
      </c>
      <c r="S1060" s="7">
        <f t="shared" si="237"/>
        <v>2275.75</v>
      </c>
      <c r="T1060" s="7">
        <f t="shared" si="238"/>
        <v>0</v>
      </c>
    </row>
    <row r="1061" spans="1:20" x14ac:dyDescent="0.25">
      <c r="A1061" s="1">
        <v>42761</v>
      </c>
      <c r="B1061">
        <v>2148.0500000000002</v>
      </c>
      <c r="C1061">
        <v>2158.5</v>
      </c>
      <c r="D1061">
        <v>2087.5500000000002</v>
      </c>
      <c r="E1061">
        <v>2093.5</v>
      </c>
      <c r="F1061">
        <v>1596175</v>
      </c>
      <c r="G1061" s="4">
        <f t="shared" si="225"/>
        <v>0</v>
      </c>
      <c r="H1061" s="4">
        <f t="shared" si="226"/>
        <v>53.150000000000091</v>
      </c>
      <c r="I1061" s="6">
        <f t="shared" si="231"/>
        <v>10.714285714285682</v>
      </c>
      <c r="J1061" s="6">
        <f t="shared" si="232"/>
        <v>21.232142857142826</v>
      </c>
      <c r="K1061" s="4">
        <f t="shared" si="233"/>
        <v>0.50462573591253079</v>
      </c>
      <c r="L1061">
        <f t="shared" si="234"/>
        <v>33.538289547233063</v>
      </c>
      <c r="M1061" s="14" t="str">
        <f t="shared" si="227"/>
        <v/>
      </c>
      <c r="N1061" s="7">
        <f t="shared" si="228"/>
        <v>0</v>
      </c>
      <c r="O1061" s="7">
        <f t="shared" si="235"/>
        <v>0</v>
      </c>
      <c r="P1061" s="7">
        <f t="shared" si="236"/>
        <v>-1</v>
      </c>
      <c r="Q1061" s="10" t="e">
        <f t="shared" si="229"/>
        <v>#N/A</v>
      </c>
      <c r="R1061" s="10" t="e">
        <f t="shared" si="230"/>
        <v>#N/A</v>
      </c>
      <c r="S1061" s="7">
        <f t="shared" si="237"/>
        <v>2275.75</v>
      </c>
      <c r="T1061" s="7">
        <f t="shared" si="238"/>
        <v>0</v>
      </c>
    </row>
    <row r="1062" spans="1:20" x14ac:dyDescent="0.25">
      <c r="A1062" s="1">
        <v>42762</v>
      </c>
      <c r="B1062">
        <v>2100.9499999999998</v>
      </c>
      <c r="C1062">
        <v>2115</v>
      </c>
      <c r="D1062">
        <v>2065.0500000000002</v>
      </c>
      <c r="E1062">
        <v>2094.25</v>
      </c>
      <c r="F1062">
        <v>2506238</v>
      </c>
      <c r="G1062" s="4">
        <f t="shared" si="225"/>
        <v>0.75</v>
      </c>
      <c r="H1062" s="4">
        <f t="shared" si="226"/>
        <v>0</v>
      </c>
      <c r="I1062" s="6">
        <f t="shared" si="231"/>
        <v>10.76785714285711</v>
      </c>
      <c r="J1062" s="6">
        <f t="shared" si="232"/>
        <v>20.357142857142826</v>
      </c>
      <c r="K1062" s="4">
        <f t="shared" si="233"/>
        <v>0.52894736842105183</v>
      </c>
      <c r="L1062">
        <f t="shared" si="234"/>
        <v>34.595524956970706</v>
      </c>
      <c r="M1062" s="14" t="str">
        <f t="shared" si="227"/>
        <v/>
      </c>
      <c r="N1062" s="7">
        <f t="shared" si="228"/>
        <v>0</v>
      </c>
      <c r="O1062" s="7">
        <f t="shared" si="235"/>
        <v>0</v>
      </c>
      <c r="P1062" s="7">
        <f t="shared" si="236"/>
        <v>-1</v>
      </c>
      <c r="Q1062" s="10" t="e">
        <f t="shared" si="229"/>
        <v>#N/A</v>
      </c>
      <c r="R1062" s="10" t="e">
        <f t="shared" si="230"/>
        <v>#N/A</v>
      </c>
      <c r="S1062" s="7">
        <f t="shared" si="237"/>
        <v>2275.75</v>
      </c>
      <c r="T1062" s="7">
        <f t="shared" si="238"/>
        <v>0</v>
      </c>
    </row>
    <row r="1063" spans="1:20" x14ac:dyDescent="0.25">
      <c r="A1063" s="1">
        <v>42765</v>
      </c>
      <c r="B1063">
        <v>2097</v>
      </c>
      <c r="C1063">
        <v>2122.85</v>
      </c>
      <c r="D1063">
        <v>2080.0500000000002</v>
      </c>
      <c r="E1063">
        <v>2102.1</v>
      </c>
      <c r="F1063">
        <v>1485581</v>
      </c>
      <c r="G1063" s="4">
        <f t="shared" si="225"/>
        <v>7.8499999999999091</v>
      </c>
      <c r="H1063" s="4">
        <f t="shared" si="226"/>
        <v>0</v>
      </c>
      <c r="I1063" s="6">
        <f t="shared" si="231"/>
        <v>11.32857142857139</v>
      </c>
      <c r="J1063" s="6">
        <f t="shared" si="232"/>
        <v>14.224999999999975</v>
      </c>
      <c r="K1063" s="4">
        <f t="shared" si="233"/>
        <v>0.7963846346974629</v>
      </c>
      <c r="L1063">
        <f t="shared" si="234"/>
        <v>44.332634521313722</v>
      </c>
      <c r="M1063" s="14" t="str">
        <f t="shared" si="227"/>
        <v/>
      </c>
      <c r="N1063" s="7">
        <f t="shared" si="228"/>
        <v>0</v>
      </c>
      <c r="O1063" s="7">
        <f t="shared" si="235"/>
        <v>0</v>
      </c>
      <c r="P1063" s="7">
        <f t="shared" si="236"/>
        <v>-1</v>
      </c>
      <c r="Q1063" s="10" t="e">
        <f t="shared" si="229"/>
        <v>#N/A</v>
      </c>
      <c r="R1063" s="10" t="e">
        <f t="shared" si="230"/>
        <v>#N/A</v>
      </c>
      <c r="S1063" s="7">
        <f t="shared" si="237"/>
        <v>2275.75</v>
      </c>
      <c r="T1063" s="7">
        <f t="shared" si="238"/>
        <v>0</v>
      </c>
    </row>
    <row r="1064" spans="1:20" x14ac:dyDescent="0.25">
      <c r="A1064" s="1">
        <v>42766</v>
      </c>
      <c r="B1064">
        <v>2104</v>
      </c>
      <c r="C1064">
        <v>2144.9499999999998</v>
      </c>
      <c r="D1064">
        <v>2082</v>
      </c>
      <c r="E1064">
        <v>2133.15</v>
      </c>
      <c r="F1064">
        <v>1341634</v>
      </c>
      <c r="G1064" s="4">
        <f t="shared" si="225"/>
        <v>31.050000000000182</v>
      </c>
      <c r="H1064" s="4">
        <f t="shared" si="226"/>
        <v>0</v>
      </c>
      <c r="I1064" s="6">
        <f t="shared" si="231"/>
        <v>12.903571428571402</v>
      </c>
      <c r="J1064" s="6">
        <f t="shared" si="232"/>
        <v>14.224999999999975</v>
      </c>
      <c r="K1064" s="4">
        <f t="shared" si="233"/>
        <v>0.90710519708762216</v>
      </c>
      <c r="L1064">
        <f t="shared" si="234"/>
        <v>47.564507635597678</v>
      </c>
      <c r="M1064" s="14" t="str">
        <f t="shared" si="227"/>
        <v/>
      </c>
      <c r="N1064" s="7">
        <f t="shared" si="228"/>
        <v>0</v>
      </c>
      <c r="O1064" s="7">
        <f t="shared" si="235"/>
        <v>0</v>
      </c>
      <c r="P1064" s="7">
        <f t="shared" si="236"/>
        <v>-1</v>
      </c>
      <c r="Q1064" s="10" t="e">
        <f t="shared" si="229"/>
        <v>#N/A</v>
      </c>
      <c r="R1064" s="10" t="e">
        <f t="shared" si="230"/>
        <v>#N/A</v>
      </c>
      <c r="S1064" s="7">
        <f t="shared" si="237"/>
        <v>2275.75</v>
      </c>
      <c r="T1064" s="7">
        <f t="shared" si="238"/>
        <v>0</v>
      </c>
    </row>
    <row r="1065" spans="1:20" x14ac:dyDescent="0.25">
      <c r="A1065" s="1">
        <v>42767</v>
      </c>
      <c r="B1065">
        <v>2145</v>
      </c>
      <c r="C1065">
        <v>2185</v>
      </c>
      <c r="D1065">
        <v>2144.9</v>
      </c>
      <c r="E1065">
        <v>2176.6999999999998</v>
      </c>
      <c r="F1065">
        <v>1377966</v>
      </c>
      <c r="G1065" s="4">
        <f t="shared" si="225"/>
        <v>43.549999999999727</v>
      </c>
      <c r="H1065" s="4">
        <f t="shared" si="226"/>
        <v>0</v>
      </c>
      <c r="I1065" s="6">
        <f t="shared" si="231"/>
        <v>14.028571428571402</v>
      </c>
      <c r="J1065" s="6">
        <f t="shared" si="232"/>
        <v>14.224999999999975</v>
      </c>
      <c r="K1065" s="4">
        <f t="shared" si="233"/>
        <v>0.98619131308059238</v>
      </c>
      <c r="L1065">
        <f t="shared" si="234"/>
        <v>49.6523827581848</v>
      </c>
      <c r="M1065" s="14" t="str">
        <f t="shared" si="227"/>
        <v/>
      </c>
      <c r="N1065" s="7">
        <f t="shared" si="228"/>
        <v>0</v>
      </c>
      <c r="O1065" s="7">
        <f t="shared" si="235"/>
        <v>0</v>
      </c>
      <c r="P1065" s="7">
        <f t="shared" si="236"/>
        <v>-1</v>
      </c>
      <c r="Q1065" s="10" t="e">
        <f t="shared" si="229"/>
        <v>#N/A</v>
      </c>
      <c r="R1065" s="10" t="e">
        <f t="shared" si="230"/>
        <v>#N/A</v>
      </c>
      <c r="S1065" s="7">
        <f t="shared" si="237"/>
        <v>2275.75</v>
      </c>
      <c r="T1065" s="7">
        <f t="shared" si="238"/>
        <v>0</v>
      </c>
    </row>
    <row r="1066" spans="1:20" x14ac:dyDescent="0.25">
      <c r="A1066" s="1">
        <v>42768</v>
      </c>
      <c r="B1066">
        <v>2190</v>
      </c>
      <c r="C1066">
        <v>2202</v>
      </c>
      <c r="D1066">
        <v>2161.0500000000002</v>
      </c>
      <c r="E1066">
        <v>2172.25</v>
      </c>
      <c r="F1066">
        <v>1881508</v>
      </c>
      <c r="G1066" s="4">
        <f t="shared" si="225"/>
        <v>0</v>
      </c>
      <c r="H1066" s="4">
        <f t="shared" si="226"/>
        <v>4.4499999999998181</v>
      </c>
      <c r="I1066" s="6">
        <f t="shared" si="231"/>
        <v>14.028571428571402</v>
      </c>
      <c r="J1066" s="6">
        <f t="shared" si="232"/>
        <v>12.407142857142844</v>
      </c>
      <c r="K1066" s="4">
        <f t="shared" si="233"/>
        <v>1.130685089234311</v>
      </c>
      <c r="L1066">
        <f t="shared" si="234"/>
        <v>53.066738719265047</v>
      </c>
      <c r="M1066" s="14" t="str">
        <f t="shared" si="227"/>
        <v/>
      </c>
      <c r="N1066" s="7">
        <f t="shared" si="228"/>
        <v>0</v>
      </c>
      <c r="O1066" s="7">
        <f t="shared" si="235"/>
        <v>0</v>
      </c>
      <c r="P1066" s="7">
        <f t="shared" si="236"/>
        <v>-1</v>
      </c>
      <c r="Q1066" s="10" t="e">
        <f t="shared" si="229"/>
        <v>#N/A</v>
      </c>
      <c r="R1066" s="10" t="e">
        <f t="shared" si="230"/>
        <v>#N/A</v>
      </c>
      <c r="S1066" s="7">
        <f t="shared" si="237"/>
        <v>2275.75</v>
      </c>
      <c r="T1066" s="7">
        <f t="shared" si="238"/>
        <v>0</v>
      </c>
    </row>
    <row r="1067" spans="1:20" x14ac:dyDescent="0.25">
      <c r="A1067" s="1">
        <v>42769</v>
      </c>
      <c r="B1067">
        <v>2172.85</v>
      </c>
      <c r="C1067">
        <v>2182</v>
      </c>
      <c r="D1067">
        <v>2147.6</v>
      </c>
      <c r="E1067">
        <v>2166.5</v>
      </c>
      <c r="F1067">
        <v>790597</v>
      </c>
      <c r="G1067" s="4">
        <f t="shared" si="225"/>
        <v>0</v>
      </c>
      <c r="H1067" s="4">
        <f t="shared" si="226"/>
        <v>5.75</v>
      </c>
      <c r="I1067" s="6">
        <f t="shared" si="231"/>
        <v>14.028571428571402</v>
      </c>
      <c r="J1067" s="6">
        <f t="shared" si="232"/>
        <v>12.103571428571415</v>
      </c>
      <c r="K1067" s="4">
        <f t="shared" si="233"/>
        <v>1.1590439657716132</v>
      </c>
      <c r="L1067">
        <f t="shared" si="234"/>
        <v>53.683203498701637</v>
      </c>
      <c r="M1067" s="14" t="str">
        <f t="shared" si="227"/>
        <v/>
      </c>
      <c r="N1067" s="7">
        <f t="shared" si="228"/>
        <v>0</v>
      </c>
      <c r="O1067" s="7">
        <f t="shared" si="235"/>
        <v>0</v>
      </c>
      <c r="P1067" s="7">
        <f t="shared" si="236"/>
        <v>-1</v>
      </c>
      <c r="Q1067" s="10" t="e">
        <f t="shared" si="229"/>
        <v>#N/A</v>
      </c>
      <c r="R1067" s="10" t="e">
        <f t="shared" si="230"/>
        <v>#N/A</v>
      </c>
      <c r="S1067" s="7">
        <f t="shared" si="237"/>
        <v>2275.75</v>
      </c>
      <c r="T1067" s="7">
        <f t="shared" si="238"/>
        <v>0</v>
      </c>
    </row>
    <row r="1068" spans="1:20" x14ac:dyDescent="0.25">
      <c r="A1068" s="1">
        <v>42772</v>
      </c>
      <c r="B1068">
        <v>2172</v>
      </c>
      <c r="C1068">
        <v>2187</v>
      </c>
      <c r="D1068">
        <v>2130</v>
      </c>
      <c r="E1068">
        <v>2138.85</v>
      </c>
      <c r="F1068">
        <v>847328</v>
      </c>
      <c r="G1068" s="4">
        <f t="shared" si="225"/>
        <v>0</v>
      </c>
      <c r="H1068" s="4">
        <f t="shared" si="226"/>
        <v>27.650000000000091</v>
      </c>
      <c r="I1068" s="6">
        <f t="shared" si="231"/>
        <v>14.028571428571402</v>
      </c>
      <c r="J1068" s="6">
        <f t="shared" si="232"/>
        <v>12.82499999999998</v>
      </c>
      <c r="K1068" s="4">
        <f t="shared" si="233"/>
        <v>1.0938457254246725</v>
      </c>
      <c r="L1068">
        <f t="shared" si="234"/>
        <v>52.240989493283671</v>
      </c>
      <c r="M1068" s="14" t="str">
        <f t="shared" si="227"/>
        <v/>
      </c>
      <c r="N1068" s="7">
        <f t="shared" si="228"/>
        <v>0</v>
      </c>
      <c r="O1068" s="7">
        <f t="shared" si="235"/>
        <v>0</v>
      </c>
      <c r="P1068" s="7">
        <f t="shared" si="236"/>
        <v>-1</v>
      </c>
      <c r="Q1068" s="10" t="e">
        <f t="shared" si="229"/>
        <v>#N/A</v>
      </c>
      <c r="R1068" s="10" t="e">
        <f t="shared" si="230"/>
        <v>#N/A</v>
      </c>
      <c r="S1068" s="7">
        <f t="shared" si="237"/>
        <v>2275.75</v>
      </c>
      <c r="T1068" s="7">
        <f t="shared" si="238"/>
        <v>0</v>
      </c>
    </row>
    <row r="1069" spans="1:20" x14ac:dyDescent="0.25">
      <c r="A1069" s="1">
        <v>42773</v>
      </c>
      <c r="B1069">
        <v>2130.1</v>
      </c>
      <c r="C1069">
        <v>2165.9499999999998</v>
      </c>
      <c r="D1069">
        <v>2120.6999999999998</v>
      </c>
      <c r="E1069">
        <v>2153.8000000000002</v>
      </c>
      <c r="F1069">
        <v>1297493</v>
      </c>
      <c r="G1069" s="4">
        <f t="shared" si="225"/>
        <v>14.950000000000273</v>
      </c>
      <c r="H1069" s="4">
        <f t="shared" si="226"/>
        <v>0</v>
      </c>
      <c r="I1069" s="6">
        <f t="shared" si="231"/>
        <v>15.096428571428564</v>
      </c>
      <c r="J1069" s="6">
        <f t="shared" si="232"/>
        <v>6.9249999999999874</v>
      </c>
      <c r="K1069" s="4">
        <f t="shared" si="233"/>
        <v>2.1799896854048506</v>
      </c>
      <c r="L1069">
        <f t="shared" si="234"/>
        <v>68.553357119688641</v>
      </c>
      <c r="M1069" s="14" t="str">
        <f t="shared" si="227"/>
        <v/>
      </c>
      <c r="N1069" s="7">
        <f t="shared" si="228"/>
        <v>0</v>
      </c>
      <c r="O1069" s="7">
        <f t="shared" si="235"/>
        <v>0</v>
      </c>
      <c r="P1069" s="7">
        <f t="shared" si="236"/>
        <v>-1</v>
      </c>
      <c r="Q1069" s="10" t="e">
        <f t="shared" si="229"/>
        <v>#N/A</v>
      </c>
      <c r="R1069" s="10" t="e">
        <f t="shared" si="230"/>
        <v>#N/A</v>
      </c>
      <c r="S1069" s="7">
        <f t="shared" si="237"/>
        <v>2275.75</v>
      </c>
      <c r="T1069" s="7">
        <f t="shared" si="238"/>
        <v>0</v>
      </c>
    </row>
    <row r="1070" spans="1:20" x14ac:dyDescent="0.25">
      <c r="A1070" s="1">
        <v>42774</v>
      </c>
      <c r="B1070">
        <v>2152</v>
      </c>
      <c r="C1070">
        <v>2162</v>
      </c>
      <c r="D1070">
        <v>2105</v>
      </c>
      <c r="E1070">
        <v>2140.4</v>
      </c>
      <c r="F1070">
        <v>1675250</v>
      </c>
      <c r="G1070" s="4">
        <f t="shared" si="225"/>
        <v>0</v>
      </c>
      <c r="H1070" s="4">
        <f t="shared" si="226"/>
        <v>13.400000000000091</v>
      </c>
      <c r="I1070" s="6">
        <f t="shared" si="231"/>
        <v>10.182142857142869</v>
      </c>
      <c r="J1070" s="6">
        <f t="shared" si="232"/>
        <v>7.8821428571428509</v>
      </c>
      <c r="K1070" s="4">
        <f t="shared" si="233"/>
        <v>1.2917988219302246</v>
      </c>
      <c r="L1070">
        <f t="shared" si="234"/>
        <v>56.366152629497869</v>
      </c>
      <c r="M1070" s="14" t="str">
        <f t="shared" si="227"/>
        <v/>
      </c>
      <c r="N1070" s="7">
        <f t="shared" si="228"/>
        <v>0</v>
      </c>
      <c r="O1070" s="7">
        <f t="shared" si="235"/>
        <v>0</v>
      </c>
      <c r="P1070" s="7">
        <f t="shared" si="236"/>
        <v>-1</v>
      </c>
      <c r="Q1070" s="10" t="e">
        <f t="shared" si="229"/>
        <v>#N/A</v>
      </c>
      <c r="R1070" s="10" t="e">
        <f t="shared" si="230"/>
        <v>#N/A</v>
      </c>
      <c r="S1070" s="7">
        <f t="shared" si="237"/>
        <v>2275.75</v>
      </c>
      <c r="T1070" s="7">
        <f t="shared" si="238"/>
        <v>0</v>
      </c>
    </row>
    <row r="1071" spans="1:20" x14ac:dyDescent="0.25">
      <c r="A1071" s="1">
        <v>42775</v>
      </c>
      <c r="B1071">
        <v>2140.4</v>
      </c>
      <c r="C1071">
        <v>2148.65</v>
      </c>
      <c r="D1071">
        <v>2115.1999999999998</v>
      </c>
      <c r="E1071">
        <v>2126.15</v>
      </c>
      <c r="F1071">
        <v>1076443</v>
      </c>
      <c r="G1071" s="4">
        <f t="shared" si="225"/>
        <v>0</v>
      </c>
      <c r="H1071" s="4">
        <f t="shared" si="226"/>
        <v>14.25</v>
      </c>
      <c r="I1071" s="6">
        <f t="shared" si="231"/>
        <v>8.8392857142857135</v>
      </c>
      <c r="J1071" s="6">
        <f t="shared" si="232"/>
        <v>8.8999999999999932</v>
      </c>
      <c r="K1071" s="4">
        <f t="shared" si="233"/>
        <v>0.99317817014446297</v>
      </c>
      <c r="L1071">
        <f t="shared" si="234"/>
        <v>49.828870545600978</v>
      </c>
      <c r="M1071" s="14" t="str">
        <f t="shared" si="227"/>
        <v/>
      </c>
      <c r="N1071" s="7">
        <f t="shared" si="228"/>
        <v>0</v>
      </c>
      <c r="O1071" s="7">
        <f t="shared" si="235"/>
        <v>0</v>
      </c>
      <c r="P1071" s="7">
        <f t="shared" si="236"/>
        <v>-1</v>
      </c>
      <c r="Q1071" s="10" t="e">
        <f t="shared" si="229"/>
        <v>#N/A</v>
      </c>
      <c r="R1071" s="10" t="e">
        <f t="shared" si="230"/>
        <v>#N/A</v>
      </c>
      <c r="S1071" s="7">
        <f t="shared" si="237"/>
        <v>2275.75</v>
      </c>
      <c r="T1071" s="7">
        <f t="shared" si="238"/>
        <v>0</v>
      </c>
    </row>
    <row r="1072" spans="1:20" x14ac:dyDescent="0.25">
      <c r="A1072" s="1">
        <v>42776</v>
      </c>
      <c r="B1072">
        <v>2118</v>
      </c>
      <c r="C1072">
        <v>2174.9</v>
      </c>
      <c r="D1072">
        <v>2100</v>
      </c>
      <c r="E1072">
        <v>2164.1</v>
      </c>
      <c r="F1072">
        <v>1170371</v>
      </c>
      <c r="G1072" s="4">
        <f t="shared" si="225"/>
        <v>37.949999999999818</v>
      </c>
      <c r="H1072" s="4">
        <f t="shared" si="226"/>
        <v>0</v>
      </c>
      <c r="I1072" s="6">
        <f t="shared" si="231"/>
        <v>11.460714285714273</v>
      </c>
      <c r="J1072" s="6">
        <f t="shared" si="232"/>
        <v>8.8999999999999932</v>
      </c>
      <c r="K1072" s="4">
        <f t="shared" si="233"/>
        <v>1.2877207062600315</v>
      </c>
      <c r="L1072">
        <f t="shared" si="234"/>
        <v>56.288370461322565</v>
      </c>
      <c r="M1072" s="14" t="str">
        <f t="shared" si="227"/>
        <v/>
      </c>
      <c r="N1072" s="7">
        <f t="shared" si="228"/>
        <v>0</v>
      </c>
      <c r="O1072" s="7">
        <f t="shared" si="235"/>
        <v>0</v>
      </c>
      <c r="P1072" s="7">
        <f t="shared" si="236"/>
        <v>-1</v>
      </c>
      <c r="Q1072" s="10" t="e">
        <f t="shared" si="229"/>
        <v>#N/A</v>
      </c>
      <c r="R1072" s="10" t="e">
        <f t="shared" si="230"/>
        <v>#N/A</v>
      </c>
      <c r="S1072" s="7">
        <f t="shared" si="237"/>
        <v>2275.75</v>
      </c>
      <c r="T1072" s="7">
        <f t="shared" si="238"/>
        <v>0</v>
      </c>
    </row>
    <row r="1073" spans="1:20" x14ac:dyDescent="0.25">
      <c r="A1073" s="1">
        <v>42779</v>
      </c>
      <c r="B1073">
        <v>2181</v>
      </c>
      <c r="C1073">
        <v>2258</v>
      </c>
      <c r="D1073">
        <v>2174.0500000000002</v>
      </c>
      <c r="E1073">
        <v>2252.75</v>
      </c>
      <c r="F1073">
        <v>1798622</v>
      </c>
      <c r="G1073" s="4">
        <f t="shared" si="225"/>
        <v>88.650000000000091</v>
      </c>
      <c r="H1073" s="4">
        <f t="shared" si="226"/>
        <v>0</v>
      </c>
      <c r="I1073" s="6">
        <f t="shared" si="231"/>
        <v>16.053571428571427</v>
      </c>
      <c r="J1073" s="6">
        <f t="shared" si="232"/>
        <v>8.8999999999999932</v>
      </c>
      <c r="K1073" s="4">
        <f t="shared" si="233"/>
        <v>1.8037720706260043</v>
      </c>
      <c r="L1073">
        <f t="shared" si="234"/>
        <v>64.333762702161167</v>
      </c>
      <c r="M1073" s="14" t="str">
        <f t="shared" si="227"/>
        <v/>
      </c>
      <c r="N1073" s="7">
        <f t="shared" si="228"/>
        <v>0</v>
      </c>
      <c r="O1073" s="7">
        <f t="shared" si="235"/>
        <v>0</v>
      </c>
      <c r="P1073" s="7">
        <f t="shared" si="236"/>
        <v>-1</v>
      </c>
      <c r="Q1073" s="10" t="e">
        <f t="shared" si="229"/>
        <v>#N/A</v>
      </c>
      <c r="R1073" s="10" t="e">
        <f t="shared" si="230"/>
        <v>#N/A</v>
      </c>
      <c r="S1073" s="7">
        <f t="shared" si="237"/>
        <v>2275.75</v>
      </c>
      <c r="T1073" s="7">
        <f t="shared" si="238"/>
        <v>0</v>
      </c>
    </row>
    <row r="1074" spans="1:20" x14ac:dyDescent="0.25">
      <c r="A1074" s="1">
        <v>42780</v>
      </c>
      <c r="B1074">
        <v>2264</v>
      </c>
      <c r="C1074">
        <v>2264</v>
      </c>
      <c r="D1074">
        <v>2184.1999999999998</v>
      </c>
      <c r="E1074">
        <v>2196.3000000000002</v>
      </c>
      <c r="F1074">
        <v>1737955</v>
      </c>
      <c r="G1074" s="4">
        <f t="shared" si="225"/>
        <v>0</v>
      </c>
      <c r="H1074" s="4">
        <f t="shared" si="226"/>
        <v>56.449999999999818</v>
      </c>
      <c r="I1074" s="6">
        <f t="shared" si="231"/>
        <v>16.053571428571427</v>
      </c>
      <c r="J1074" s="6">
        <f t="shared" si="232"/>
        <v>12.507142857142851</v>
      </c>
      <c r="K1074" s="4">
        <f t="shared" si="233"/>
        <v>1.2835522558537984</v>
      </c>
      <c r="L1074">
        <f t="shared" si="234"/>
        <v>56.20857821683132</v>
      </c>
      <c r="M1074" s="14" t="str">
        <f t="shared" si="227"/>
        <v/>
      </c>
      <c r="N1074" s="7">
        <f t="shared" si="228"/>
        <v>0</v>
      </c>
      <c r="O1074" s="7">
        <f t="shared" si="235"/>
        <v>0</v>
      </c>
      <c r="P1074" s="7">
        <f t="shared" si="236"/>
        <v>-1</v>
      </c>
      <c r="Q1074" s="10" t="e">
        <f t="shared" si="229"/>
        <v>#N/A</v>
      </c>
      <c r="R1074" s="10" t="e">
        <f t="shared" si="230"/>
        <v>#N/A</v>
      </c>
      <c r="S1074" s="7">
        <f t="shared" si="237"/>
        <v>2275.75</v>
      </c>
      <c r="T1074" s="7">
        <f t="shared" si="238"/>
        <v>0</v>
      </c>
    </row>
    <row r="1075" spans="1:20" x14ac:dyDescent="0.25">
      <c r="A1075" s="1">
        <v>42781</v>
      </c>
      <c r="B1075">
        <v>2220</v>
      </c>
      <c r="C1075">
        <v>2227</v>
      </c>
      <c r="D1075">
        <v>2142.6999999999998</v>
      </c>
      <c r="E1075">
        <v>2222.9</v>
      </c>
      <c r="F1075">
        <v>3840719</v>
      </c>
      <c r="G1075" s="4">
        <f t="shared" si="225"/>
        <v>26.599999999999909</v>
      </c>
      <c r="H1075" s="4">
        <f t="shared" si="226"/>
        <v>0</v>
      </c>
      <c r="I1075" s="6">
        <f t="shared" si="231"/>
        <v>17.953571428571422</v>
      </c>
      <c r="J1075" s="6">
        <f t="shared" si="232"/>
        <v>8.710714285714273</v>
      </c>
      <c r="K1075" s="4">
        <f t="shared" si="233"/>
        <v>2.0610906109061111</v>
      </c>
      <c r="L1075">
        <f t="shared" si="234"/>
        <v>67.331904634342379</v>
      </c>
      <c r="M1075" s="14" t="str">
        <f t="shared" si="227"/>
        <v/>
      </c>
      <c r="N1075" s="7">
        <f t="shared" si="228"/>
        <v>0</v>
      </c>
      <c r="O1075" s="7">
        <f t="shared" si="235"/>
        <v>0</v>
      </c>
      <c r="P1075" s="7">
        <f t="shared" si="236"/>
        <v>-1</v>
      </c>
      <c r="Q1075" s="10" t="e">
        <f t="shared" si="229"/>
        <v>#N/A</v>
      </c>
      <c r="R1075" s="10" t="e">
        <f t="shared" si="230"/>
        <v>#N/A</v>
      </c>
      <c r="S1075" s="7">
        <f t="shared" si="237"/>
        <v>2275.75</v>
      </c>
      <c r="T1075" s="7">
        <f t="shared" si="238"/>
        <v>0</v>
      </c>
    </row>
    <row r="1076" spans="1:20" x14ac:dyDescent="0.25">
      <c r="A1076" s="1">
        <v>42782</v>
      </c>
      <c r="B1076">
        <v>2220</v>
      </c>
      <c r="C1076">
        <v>2242.9</v>
      </c>
      <c r="D1076">
        <v>2211.3000000000002</v>
      </c>
      <c r="E1076">
        <v>2221.75</v>
      </c>
      <c r="F1076">
        <v>921297</v>
      </c>
      <c r="G1076" s="4">
        <f t="shared" si="225"/>
        <v>0</v>
      </c>
      <c r="H1076" s="4">
        <f t="shared" si="226"/>
        <v>1.1500000000000909</v>
      </c>
      <c r="I1076" s="6">
        <f t="shared" si="231"/>
        <v>17.899999999999995</v>
      </c>
      <c r="J1076" s="6">
        <f t="shared" si="232"/>
        <v>8.7928571428571356</v>
      </c>
      <c r="K1076" s="4">
        <f t="shared" si="233"/>
        <v>2.0357432981316013</v>
      </c>
      <c r="L1076">
        <f t="shared" si="234"/>
        <v>67.059138346267076</v>
      </c>
      <c r="M1076" s="14" t="str">
        <f t="shared" si="227"/>
        <v/>
      </c>
      <c r="N1076" s="7">
        <f t="shared" si="228"/>
        <v>0</v>
      </c>
      <c r="O1076" s="7">
        <f t="shared" si="235"/>
        <v>0</v>
      </c>
      <c r="P1076" s="7">
        <f t="shared" si="236"/>
        <v>-1</v>
      </c>
      <c r="Q1076" s="10" t="e">
        <f t="shared" si="229"/>
        <v>#N/A</v>
      </c>
      <c r="R1076" s="10" t="e">
        <f t="shared" si="230"/>
        <v>#N/A</v>
      </c>
      <c r="S1076" s="7">
        <f t="shared" si="237"/>
        <v>2275.75</v>
      </c>
      <c r="T1076" s="7">
        <f t="shared" si="238"/>
        <v>0</v>
      </c>
    </row>
    <row r="1077" spans="1:20" x14ac:dyDescent="0.25">
      <c r="A1077" s="1">
        <v>42783</v>
      </c>
      <c r="B1077">
        <v>2233.9499999999998</v>
      </c>
      <c r="C1077">
        <v>2249.9</v>
      </c>
      <c r="D1077">
        <v>2219.9</v>
      </c>
      <c r="E1077">
        <v>2221.0500000000002</v>
      </c>
      <c r="F1077">
        <v>743137</v>
      </c>
      <c r="G1077" s="4">
        <f t="shared" si="225"/>
        <v>0</v>
      </c>
      <c r="H1077" s="4">
        <f t="shared" si="226"/>
        <v>0.6999999999998181</v>
      </c>
      <c r="I1077" s="6">
        <f t="shared" si="231"/>
        <v>17.339285714285715</v>
      </c>
      <c r="J1077" s="6">
        <f t="shared" si="232"/>
        <v>8.8428571428571239</v>
      </c>
      <c r="K1077" s="4">
        <f t="shared" si="233"/>
        <v>1.9608239095315068</v>
      </c>
      <c r="L1077">
        <f t="shared" si="234"/>
        <v>66.225617241849733</v>
      </c>
      <c r="M1077" s="14" t="str">
        <f t="shared" si="227"/>
        <v/>
      </c>
      <c r="N1077" s="7">
        <f t="shared" si="228"/>
        <v>0</v>
      </c>
      <c r="O1077" s="7">
        <f t="shared" si="235"/>
        <v>0</v>
      </c>
      <c r="P1077" s="7">
        <f t="shared" si="236"/>
        <v>-1</v>
      </c>
      <c r="Q1077" s="10" t="e">
        <f t="shared" si="229"/>
        <v>#N/A</v>
      </c>
      <c r="R1077" s="10" t="e">
        <f t="shared" si="230"/>
        <v>#N/A</v>
      </c>
      <c r="S1077" s="7">
        <f t="shared" si="237"/>
        <v>2275.75</v>
      </c>
      <c r="T1077" s="7">
        <f t="shared" si="238"/>
        <v>0</v>
      </c>
    </row>
    <row r="1078" spans="1:20" x14ac:dyDescent="0.25">
      <c r="A1078" s="1">
        <v>42786</v>
      </c>
      <c r="B1078">
        <v>2231.4</v>
      </c>
      <c r="C1078">
        <v>2243.9</v>
      </c>
      <c r="D1078">
        <v>2201.1</v>
      </c>
      <c r="E1078">
        <v>2213.75</v>
      </c>
      <c r="F1078">
        <v>969496</v>
      </c>
      <c r="G1078" s="4">
        <f t="shared" si="225"/>
        <v>0</v>
      </c>
      <c r="H1078" s="4">
        <f t="shared" si="226"/>
        <v>7.3000000000001819</v>
      </c>
      <c r="I1078" s="6">
        <f t="shared" si="231"/>
        <v>15.121428571428558</v>
      </c>
      <c r="J1078" s="6">
        <f t="shared" si="232"/>
        <v>9.3642857142857086</v>
      </c>
      <c r="K1078" s="4">
        <f t="shared" si="233"/>
        <v>1.6147978642257814</v>
      </c>
      <c r="L1078">
        <f t="shared" si="234"/>
        <v>61.756126021003496</v>
      </c>
      <c r="M1078" s="14" t="str">
        <f t="shared" si="227"/>
        <v/>
      </c>
      <c r="N1078" s="7">
        <f t="shared" si="228"/>
        <v>0</v>
      </c>
      <c r="O1078" s="7">
        <f t="shared" si="235"/>
        <v>0</v>
      </c>
      <c r="P1078" s="7">
        <f t="shared" si="236"/>
        <v>-1</v>
      </c>
      <c r="Q1078" s="10" t="e">
        <f t="shared" si="229"/>
        <v>#N/A</v>
      </c>
      <c r="R1078" s="10" t="e">
        <f t="shared" si="230"/>
        <v>#N/A</v>
      </c>
      <c r="S1078" s="7">
        <f t="shared" si="237"/>
        <v>2275.75</v>
      </c>
      <c r="T1078" s="7">
        <f t="shared" si="238"/>
        <v>0</v>
      </c>
    </row>
    <row r="1079" spans="1:20" x14ac:dyDescent="0.25">
      <c r="A1079" s="1">
        <v>42787</v>
      </c>
      <c r="B1079">
        <v>2227</v>
      </c>
      <c r="C1079">
        <v>2235</v>
      </c>
      <c r="D1079">
        <v>2193.1999999999998</v>
      </c>
      <c r="E1079">
        <v>2205.25</v>
      </c>
      <c r="F1079">
        <v>1580224</v>
      </c>
      <c r="G1079" s="4">
        <f t="shared" si="225"/>
        <v>0</v>
      </c>
      <c r="H1079" s="4">
        <f t="shared" si="226"/>
        <v>8.5</v>
      </c>
      <c r="I1079" s="6">
        <f t="shared" si="231"/>
        <v>12.010714285714291</v>
      </c>
      <c r="J1079" s="6">
        <f t="shared" si="232"/>
        <v>9.9714285714285644</v>
      </c>
      <c r="K1079" s="4">
        <f t="shared" si="233"/>
        <v>1.2045128939828094</v>
      </c>
      <c r="L1079">
        <f t="shared" si="234"/>
        <v>54.638505280259977</v>
      </c>
      <c r="M1079" s="14" t="str">
        <f t="shared" si="227"/>
        <v/>
      </c>
      <c r="N1079" s="7">
        <f t="shared" si="228"/>
        <v>0</v>
      </c>
      <c r="O1079" s="7">
        <f t="shared" si="235"/>
        <v>0</v>
      </c>
      <c r="P1079" s="7">
        <f t="shared" si="236"/>
        <v>-1</v>
      </c>
      <c r="Q1079" s="10" t="e">
        <f t="shared" si="229"/>
        <v>#N/A</v>
      </c>
      <c r="R1079" s="10" t="e">
        <f t="shared" si="230"/>
        <v>#N/A</v>
      </c>
      <c r="S1079" s="7">
        <f t="shared" si="237"/>
        <v>2275.75</v>
      </c>
      <c r="T1079" s="7">
        <f t="shared" si="238"/>
        <v>0</v>
      </c>
    </row>
    <row r="1080" spans="1:20" x14ac:dyDescent="0.25">
      <c r="A1080" s="1">
        <v>42788</v>
      </c>
      <c r="B1080">
        <v>2205.25</v>
      </c>
      <c r="C1080">
        <v>2222.6999999999998</v>
      </c>
      <c r="D1080">
        <v>2180.1</v>
      </c>
      <c r="E1080">
        <v>2191.35</v>
      </c>
      <c r="F1080">
        <v>1275383</v>
      </c>
      <c r="G1080" s="4">
        <f t="shared" si="225"/>
        <v>0</v>
      </c>
      <c r="H1080" s="4">
        <f t="shared" si="226"/>
        <v>13.900000000000091</v>
      </c>
      <c r="I1080" s="6">
        <f t="shared" si="231"/>
        <v>12.010714285714291</v>
      </c>
      <c r="J1080" s="6">
        <f t="shared" si="232"/>
        <v>10.646428571428585</v>
      </c>
      <c r="K1080" s="4">
        <f t="shared" si="233"/>
        <v>1.1281449178128136</v>
      </c>
      <c r="L1080">
        <f t="shared" si="234"/>
        <v>53.010718789407292</v>
      </c>
      <c r="M1080" s="14" t="str">
        <f t="shared" si="227"/>
        <v/>
      </c>
      <c r="N1080" s="7">
        <f t="shared" si="228"/>
        <v>0</v>
      </c>
      <c r="O1080" s="7">
        <f t="shared" si="235"/>
        <v>0</v>
      </c>
      <c r="P1080" s="7">
        <f t="shared" si="236"/>
        <v>-1</v>
      </c>
      <c r="Q1080" s="10" t="e">
        <f t="shared" si="229"/>
        <v>#N/A</v>
      </c>
      <c r="R1080" s="10" t="e">
        <f t="shared" si="230"/>
        <v>#N/A</v>
      </c>
      <c r="S1080" s="7">
        <f t="shared" si="237"/>
        <v>2275.75</v>
      </c>
      <c r="T1080" s="7">
        <f t="shared" si="238"/>
        <v>0</v>
      </c>
    </row>
    <row r="1081" spans="1:20" x14ac:dyDescent="0.25">
      <c r="A1081" s="1">
        <v>42789</v>
      </c>
      <c r="B1081">
        <v>2186</v>
      </c>
      <c r="C1081">
        <v>2206.35</v>
      </c>
      <c r="D1081">
        <v>2176.9</v>
      </c>
      <c r="E1081">
        <v>2194.25</v>
      </c>
      <c r="F1081">
        <v>923090</v>
      </c>
      <c r="G1081" s="4">
        <f t="shared" si="225"/>
        <v>2.9000000000000909</v>
      </c>
      <c r="H1081" s="4">
        <f t="shared" si="226"/>
        <v>0</v>
      </c>
      <c r="I1081" s="6">
        <f t="shared" si="231"/>
        <v>12.217857142857156</v>
      </c>
      <c r="J1081" s="6">
        <f t="shared" si="232"/>
        <v>10.235714285714298</v>
      </c>
      <c r="K1081" s="4">
        <f t="shared" si="233"/>
        <v>1.193649685973482</v>
      </c>
      <c r="L1081">
        <f t="shared" si="234"/>
        <v>54.413869890249721</v>
      </c>
      <c r="M1081" s="14" t="str">
        <f t="shared" si="227"/>
        <v/>
      </c>
      <c r="N1081" s="7">
        <f t="shared" si="228"/>
        <v>0</v>
      </c>
      <c r="O1081" s="7">
        <f t="shared" si="235"/>
        <v>0</v>
      </c>
      <c r="P1081" s="7">
        <f t="shared" si="236"/>
        <v>-1</v>
      </c>
      <c r="Q1081" s="10" t="e">
        <f t="shared" si="229"/>
        <v>#N/A</v>
      </c>
      <c r="R1081" s="10" t="e">
        <f t="shared" si="230"/>
        <v>#N/A</v>
      </c>
      <c r="S1081" s="7">
        <f t="shared" si="237"/>
        <v>2275.75</v>
      </c>
      <c r="T1081" s="7">
        <f t="shared" si="238"/>
        <v>0</v>
      </c>
    </row>
    <row r="1082" spans="1:20" x14ac:dyDescent="0.25">
      <c r="A1082" s="1">
        <v>42790</v>
      </c>
      <c r="B1082">
        <v>2185.1</v>
      </c>
      <c r="C1082">
        <v>2205.6</v>
      </c>
      <c r="D1082">
        <v>2181</v>
      </c>
      <c r="E1082">
        <v>2189.1999999999998</v>
      </c>
      <c r="F1082">
        <v>1198689</v>
      </c>
      <c r="G1082" s="4">
        <f t="shared" si="225"/>
        <v>0</v>
      </c>
      <c r="H1082" s="4">
        <f t="shared" si="226"/>
        <v>5.0500000000001819</v>
      </c>
      <c r="I1082" s="6">
        <f t="shared" si="231"/>
        <v>12.217857142857156</v>
      </c>
      <c r="J1082" s="6">
        <f t="shared" si="232"/>
        <v>8.6214285714285914</v>
      </c>
      <c r="K1082" s="4">
        <f t="shared" si="233"/>
        <v>1.4171499585749776</v>
      </c>
      <c r="L1082">
        <f t="shared" si="234"/>
        <v>58.628963153384724</v>
      </c>
      <c r="M1082" s="14" t="str">
        <f t="shared" si="227"/>
        <v/>
      </c>
      <c r="N1082" s="7">
        <f t="shared" si="228"/>
        <v>0</v>
      </c>
      <c r="O1082" s="7">
        <f t="shared" si="235"/>
        <v>0</v>
      </c>
      <c r="P1082" s="7">
        <f t="shared" si="236"/>
        <v>-1</v>
      </c>
      <c r="Q1082" s="10" t="e">
        <f t="shared" si="229"/>
        <v>#N/A</v>
      </c>
      <c r="R1082" s="10" t="e">
        <f t="shared" si="230"/>
        <v>#N/A</v>
      </c>
      <c r="S1082" s="7">
        <f t="shared" si="237"/>
        <v>2275.75</v>
      </c>
      <c r="T1082" s="7">
        <f t="shared" si="238"/>
        <v>0</v>
      </c>
    </row>
    <row r="1083" spans="1:20" x14ac:dyDescent="0.25">
      <c r="A1083" s="1">
        <v>42793</v>
      </c>
      <c r="B1083">
        <v>2181.25</v>
      </c>
      <c r="C1083">
        <v>2219.9</v>
      </c>
      <c r="D1083">
        <v>2181.25</v>
      </c>
      <c r="E1083">
        <v>2208.4499999999998</v>
      </c>
      <c r="F1083">
        <v>958889</v>
      </c>
      <c r="G1083" s="4">
        <f t="shared" si="225"/>
        <v>19.25</v>
      </c>
      <c r="H1083" s="4">
        <f t="shared" si="226"/>
        <v>0</v>
      </c>
      <c r="I1083" s="6">
        <f t="shared" si="231"/>
        <v>12.524999999999993</v>
      </c>
      <c r="J1083" s="6">
        <f t="shared" si="232"/>
        <v>8.6214285714285914</v>
      </c>
      <c r="K1083" s="4">
        <f t="shared" si="233"/>
        <v>1.4527754763877341</v>
      </c>
      <c r="L1083">
        <f t="shared" si="234"/>
        <v>59.229859820976117</v>
      </c>
      <c r="M1083" s="14" t="str">
        <f t="shared" si="227"/>
        <v/>
      </c>
      <c r="N1083" s="7">
        <f t="shared" si="228"/>
        <v>0</v>
      </c>
      <c r="O1083" s="7">
        <f t="shared" si="235"/>
        <v>0</v>
      </c>
      <c r="P1083" s="7">
        <f t="shared" si="236"/>
        <v>-1</v>
      </c>
      <c r="Q1083" s="10" t="e">
        <f t="shared" si="229"/>
        <v>#N/A</v>
      </c>
      <c r="R1083" s="10" t="e">
        <f t="shared" si="230"/>
        <v>#N/A</v>
      </c>
      <c r="S1083" s="7">
        <f t="shared" si="237"/>
        <v>2275.75</v>
      </c>
      <c r="T1083" s="7">
        <f t="shared" si="238"/>
        <v>0</v>
      </c>
    </row>
    <row r="1084" spans="1:20" x14ac:dyDescent="0.25">
      <c r="A1084" s="1">
        <v>42794</v>
      </c>
      <c r="B1084">
        <v>2210.8000000000002</v>
      </c>
      <c r="C1084">
        <v>2229</v>
      </c>
      <c r="D1084">
        <v>2204.15</v>
      </c>
      <c r="E1084">
        <v>2213.6999999999998</v>
      </c>
      <c r="F1084">
        <v>657239</v>
      </c>
      <c r="G1084" s="4">
        <f t="shared" si="225"/>
        <v>5.25</v>
      </c>
      <c r="H1084" s="4">
        <f t="shared" si="226"/>
        <v>0</v>
      </c>
      <c r="I1084" s="6">
        <f t="shared" si="231"/>
        <v>12.899999999999993</v>
      </c>
      <c r="J1084" s="6">
        <f t="shared" si="232"/>
        <v>7.664285714285727</v>
      </c>
      <c r="K1084" s="4">
        <f t="shared" si="233"/>
        <v>1.6831314072693346</v>
      </c>
      <c r="L1084">
        <f t="shared" si="234"/>
        <v>62.730114623132984</v>
      </c>
      <c r="M1084" s="14" t="str">
        <f t="shared" si="227"/>
        <v/>
      </c>
      <c r="N1084" s="7">
        <f t="shared" si="228"/>
        <v>0</v>
      </c>
      <c r="O1084" s="7">
        <f t="shared" si="235"/>
        <v>0</v>
      </c>
      <c r="P1084" s="7">
        <f t="shared" si="236"/>
        <v>-1</v>
      </c>
      <c r="Q1084" s="10" t="e">
        <f t="shared" si="229"/>
        <v>#N/A</v>
      </c>
      <c r="R1084" s="10" t="e">
        <f t="shared" si="230"/>
        <v>#N/A</v>
      </c>
      <c r="S1084" s="7">
        <f t="shared" si="237"/>
        <v>2275.75</v>
      </c>
      <c r="T1084" s="7">
        <f t="shared" si="238"/>
        <v>0</v>
      </c>
    </row>
    <row r="1085" spans="1:20" x14ac:dyDescent="0.25">
      <c r="A1085" s="1">
        <v>42795</v>
      </c>
      <c r="B1085">
        <v>2213.6999999999998</v>
      </c>
      <c r="C1085">
        <v>2221.6</v>
      </c>
      <c r="D1085">
        <v>2190</v>
      </c>
      <c r="E1085">
        <v>2198.9</v>
      </c>
      <c r="F1085">
        <v>480616</v>
      </c>
      <c r="G1085" s="4">
        <f t="shared" si="225"/>
        <v>0</v>
      </c>
      <c r="H1085" s="4">
        <f t="shared" si="226"/>
        <v>14.799999999999727</v>
      </c>
      <c r="I1085" s="6">
        <f t="shared" si="231"/>
        <v>12.899999999999993</v>
      </c>
      <c r="J1085" s="6">
        <f t="shared" si="232"/>
        <v>7.7035714285714221</v>
      </c>
      <c r="K1085" s="4">
        <f t="shared" si="233"/>
        <v>1.6745479833101535</v>
      </c>
      <c r="L1085">
        <f t="shared" si="234"/>
        <v>62.610504420176817</v>
      </c>
      <c r="M1085" s="14" t="str">
        <f t="shared" si="227"/>
        <v/>
      </c>
      <c r="N1085" s="7">
        <f t="shared" si="228"/>
        <v>0</v>
      </c>
      <c r="O1085" s="7">
        <f t="shared" si="235"/>
        <v>0</v>
      </c>
      <c r="P1085" s="7">
        <f t="shared" si="236"/>
        <v>-1</v>
      </c>
      <c r="Q1085" s="10" t="e">
        <f t="shared" si="229"/>
        <v>#N/A</v>
      </c>
      <c r="R1085" s="10" t="e">
        <f t="shared" si="230"/>
        <v>#N/A</v>
      </c>
      <c r="S1085" s="7">
        <f t="shared" si="237"/>
        <v>2275.75</v>
      </c>
      <c r="T1085" s="7">
        <f t="shared" si="238"/>
        <v>0</v>
      </c>
    </row>
    <row r="1086" spans="1:20" x14ac:dyDescent="0.25">
      <c r="A1086" s="1">
        <v>42796</v>
      </c>
      <c r="B1086">
        <v>2191.0500000000002</v>
      </c>
      <c r="C1086">
        <v>2203</v>
      </c>
      <c r="D1086">
        <v>2140.1</v>
      </c>
      <c r="E1086">
        <v>2165.5500000000002</v>
      </c>
      <c r="F1086">
        <v>2358091</v>
      </c>
      <c r="G1086" s="4">
        <f t="shared" si="225"/>
        <v>0</v>
      </c>
      <c r="H1086" s="4">
        <f t="shared" si="226"/>
        <v>33.349999999999909</v>
      </c>
      <c r="I1086" s="6">
        <f t="shared" si="231"/>
        <v>10.18928571428572</v>
      </c>
      <c r="J1086" s="6">
        <f t="shared" si="232"/>
        <v>10.085714285714273</v>
      </c>
      <c r="K1086" s="4">
        <f t="shared" si="233"/>
        <v>1.0102691218130331</v>
      </c>
      <c r="L1086">
        <f t="shared" si="234"/>
        <v>50.255416593271143</v>
      </c>
      <c r="M1086" s="14" t="str">
        <f t="shared" si="227"/>
        <v/>
      </c>
      <c r="N1086" s="7">
        <f t="shared" si="228"/>
        <v>0</v>
      </c>
      <c r="O1086" s="7">
        <f t="shared" si="235"/>
        <v>0</v>
      </c>
      <c r="P1086" s="7">
        <f t="shared" si="236"/>
        <v>-1</v>
      </c>
      <c r="Q1086" s="10" t="e">
        <f t="shared" si="229"/>
        <v>#N/A</v>
      </c>
      <c r="R1086" s="10" t="e">
        <f t="shared" si="230"/>
        <v>#N/A</v>
      </c>
      <c r="S1086" s="7">
        <f t="shared" si="237"/>
        <v>2275.75</v>
      </c>
      <c r="T1086" s="7">
        <f t="shared" si="238"/>
        <v>0</v>
      </c>
    </row>
    <row r="1087" spans="1:20" x14ac:dyDescent="0.25">
      <c r="A1087" s="1">
        <v>42797</v>
      </c>
      <c r="B1087">
        <v>2165.1</v>
      </c>
      <c r="C1087">
        <v>2181.8000000000002</v>
      </c>
      <c r="D1087">
        <v>2147.65</v>
      </c>
      <c r="E1087">
        <v>2162.0500000000002</v>
      </c>
      <c r="F1087">
        <v>1303450</v>
      </c>
      <c r="G1087" s="4">
        <f t="shared" si="225"/>
        <v>0</v>
      </c>
      <c r="H1087" s="4">
        <f t="shared" si="226"/>
        <v>3.5</v>
      </c>
      <c r="I1087" s="6">
        <f t="shared" si="231"/>
        <v>3.8571428571428572</v>
      </c>
      <c r="J1087" s="6">
        <f t="shared" si="232"/>
        <v>10.335714285714273</v>
      </c>
      <c r="K1087" s="4">
        <f t="shared" si="233"/>
        <v>0.37318590186592998</v>
      </c>
      <c r="L1087">
        <f t="shared" si="234"/>
        <v>27.17664821338704</v>
      </c>
      <c r="M1087" s="14" t="str">
        <f t="shared" si="227"/>
        <v>OVERSOLD</v>
      </c>
      <c r="N1087" s="7" t="str">
        <f t="shared" si="228"/>
        <v>BUY</v>
      </c>
      <c r="O1087" s="7" t="str">
        <f t="shared" si="235"/>
        <v>BUY</v>
      </c>
      <c r="P1087" s="7">
        <f t="shared" si="236"/>
        <v>1</v>
      </c>
      <c r="Q1087" s="10">
        <f t="shared" si="229"/>
        <v>2162.0500000000002</v>
      </c>
      <c r="R1087" s="10" t="e">
        <f t="shared" si="230"/>
        <v>#N/A</v>
      </c>
      <c r="S1087" s="7">
        <f t="shared" si="237"/>
        <v>2162.0500000000002</v>
      </c>
      <c r="T1087" s="7">
        <f t="shared" si="238"/>
        <v>4.9961551136987727E-2</v>
      </c>
    </row>
    <row r="1088" spans="1:20" x14ac:dyDescent="0.25">
      <c r="A1088" s="1">
        <v>42800</v>
      </c>
      <c r="B1088">
        <v>2152</v>
      </c>
      <c r="C1088">
        <v>2184.6999999999998</v>
      </c>
      <c r="D1088">
        <v>2152</v>
      </c>
      <c r="E1088">
        <v>2159.9</v>
      </c>
      <c r="F1088">
        <v>899720</v>
      </c>
      <c r="G1088" s="4">
        <f t="shared" si="225"/>
        <v>0</v>
      </c>
      <c r="H1088" s="4">
        <f t="shared" si="226"/>
        <v>2.1500000000000909</v>
      </c>
      <c r="I1088" s="6">
        <f t="shared" si="231"/>
        <v>3.8571428571428572</v>
      </c>
      <c r="J1088" s="6">
        <f t="shared" si="232"/>
        <v>6.4571428571428635</v>
      </c>
      <c r="K1088" s="4">
        <f t="shared" si="233"/>
        <v>0.59734513274336221</v>
      </c>
      <c r="L1088">
        <f t="shared" si="234"/>
        <v>37.396121883656491</v>
      </c>
      <c r="M1088" s="14" t="str">
        <f t="shared" si="227"/>
        <v/>
      </c>
      <c r="N1088" s="7">
        <f t="shared" si="228"/>
        <v>0</v>
      </c>
      <c r="O1088" s="7">
        <f t="shared" si="235"/>
        <v>0</v>
      </c>
      <c r="P1088" s="7">
        <f t="shared" si="236"/>
        <v>1</v>
      </c>
      <c r="Q1088" s="10" t="e">
        <f t="shared" si="229"/>
        <v>#N/A</v>
      </c>
      <c r="R1088" s="10" t="e">
        <f t="shared" si="230"/>
        <v>#N/A</v>
      </c>
      <c r="S1088" s="7">
        <f t="shared" si="237"/>
        <v>2162.0500000000002</v>
      </c>
      <c r="T1088" s="7">
        <f t="shared" si="238"/>
        <v>0</v>
      </c>
    </row>
    <row r="1089" spans="1:20" x14ac:dyDescent="0.25">
      <c r="A1089" s="1">
        <v>42801</v>
      </c>
      <c r="B1089">
        <v>2153</v>
      </c>
      <c r="C1089">
        <v>2166.6999999999998</v>
      </c>
      <c r="D1089">
        <v>2123.15</v>
      </c>
      <c r="E1089">
        <v>2159.35</v>
      </c>
      <c r="F1089">
        <v>1443032</v>
      </c>
      <c r="G1089" s="4">
        <f t="shared" si="225"/>
        <v>0</v>
      </c>
      <c r="H1089" s="4">
        <f t="shared" si="226"/>
        <v>0.5500000000001819</v>
      </c>
      <c r="I1089" s="6">
        <f t="shared" si="231"/>
        <v>1.9571428571428637</v>
      </c>
      <c r="J1089" s="6">
        <f t="shared" si="232"/>
        <v>6.4964285714285905</v>
      </c>
      <c r="K1089" s="4">
        <f t="shared" si="233"/>
        <v>0.30126443100604738</v>
      </c>
      <c r="L1089">
        <f t="shared" si="234"/>
        <v>23.151668779045224</v>
      </c>
      <c r="M1089" s="14" t="str">
        <f t="shared" si="227"/>
        <v>OVERSOLD</v>
      </c>
      <c r="N1089" s="7" t="str">
        <f t="shared" si="228"/>
        <v>BUY</v>
      </c>
      <c r="O1089" s="7">
        <f t="shared" si="235"/>
        <v>0</v>
      </c>
      <c r="P1089" s="7">
        <f t="shared" si="236"/>
        <v>1</v>
      </c>
      <c r="Q1089" s="10" t="e">
        <f t="shared" si="229"/>
        <v>#N/A</v>
      </c>
      <c r="R1089" s="10" t="e">
        <f t="shared" si="230"/>
        <v>#N/A</v>
      </c>
      <c r="S1089" s="7">
        <f t="shared" si="237"/>
        <v>2162.0500000000002</v>
      </c>
      <c r="T1089" s="7">
        <f t="shared" si="238"/>
        <v>0</v>
      </c>
    </row>
    <row r="1090" spans="1:20" x14ac:dyDescent="0.25">
      <c r="A1090" s="1">
        <v>42802</v>
      </c>
      <c r="B1090">
        <v>2165.8000000000002</v>
      </c>
      <c r="C1090">
        <v>2239</v>
      </c>
      <c r="D1090">
        <v>2165.8000000000002</v>
      </c>
      <c r="E1090">
        <v>2210.9499999999998</v>
      </c>
      <c r="F1090">
        <v>1273742</v>
      </c>
      <c r="G1090" s="4">
        <f t="shared" si="225"/>
        <v>51.599999999999909</v>
      </c>
      <c r="H1090" s="4">
        <f t="shared" si="226"/>
        <v>0</v>
      </c>
      <c r="I1090" s="6">
        <f t="shared" si="231"/>
        <v>5.6428571428571432</v>
      </c>
      <c r="J1090" s="6">
        <f t="shared" si="232"/>
        <v>6.414285714285727</v>
      </c>
      <c r="K1090" s="4">
        <f t="shared" si="233"/>
        <v>0.87973273942093377</v>
      </c>
      <c r="L1090">
        <f t="shared" si="234"/>
        <v>46.800947867298532</v>
      </c>
      <c r="M1090" s="14" t="str">
        <f t="shared" si="227"/>
        <v/>
      </c>
      <c r="N1090" s="7">
        <f t="shared" si="228"/>
        <v>0</v>
      </c>
      <c r="O1090" s="7">
        <f t="shared" si="235"/>
        <v>0</v>
      </c>
      <c r="P1090" s="7">
        <f t="shared" si="236"/>
        <v>1</v>
      </c>
      <c r="Q1090" s="10" t="e">
        <f t="shared" si="229"/>
        <v>#N/A</v>
      </c>
      <c r="R1090" s="10" t="e">
        <f t="shared" si="230"/>
        <v>#N/A</v>
      </c>
      <c r="S1090" s="7">
        <f t="shared" si="237"/>
        <v>2162.0500000000002</v>
      </c>
      <c r="T1090" s="7">
        <f t="shared" si="238"/>
        <v>0</v>
      </c>
    </row>
    <row r="1091" spans="1:20" x14ac:dyDescent="0.25">
      <c r="A1091" s="1">
        <v>42803</v>
      </c>
      <c r="B1091">
        <v>2214.4</v>
      </c>
      <c r="C1091">
        <v>2237.6999999999998</v>
      </c>
      <c r="D1091">
        <v>2201.1</v>
      </c>
      <c r="E1091">
        <v>2216.1</v>
      </c>
      <c r="F1091">
        <v>694614</v>
      </c>
      <c r="G1091" s="4">
        <f t="shared" si="225"/>
        <v>5.1500000000000909</v>
      </c>
      <c r="H1091" s="4">
        <f t="shared" si="226"/>
        <v>0</v>
      </c>
      <c r="I1091" s="6">
        <f t="shared" si="231"/>
        <v>6.0107142857142923</v>
      </c>
      <c r="J1091" s="6">
        <f t="shared" si="232"/>
        <v>6.3642857142857405</v>
      </c>
      <c r="K1091" s="4">
        <f t="shared" si="233"/>
        <v>0.94444444444444164</v>
      </c>
      <c r="L1091">
        <f t="shared" si="234"/>
        <v>48.571428571428491</v>
      </c>
      <c r="M1091" s="14" t="str">
        <f t="shared" si="227"/>
        <v/>
      </c>
      <c r="N1091" s="7">
        <f t="shared" si="228"/>
        <v>0</v>
      </c>
      <c r="O1091" s="7">
        <f t="shared" si="235"/>
        <v>0</v>
      </c>
      <c r="P1091" s="7">
        <f t="shared" si="236"/>
        <v>1</v>
      </c>
      <c r="Q1091" s="10" t="e">
        <f t="shared" si="229"/>
        <v>#N/A</v>
      </c>
      <c r="R1091" s="10" t="e">
        <f t="shared" si="230"/>
        <v>#N/A</v>
      </c>
      <c r="S1091" s="7">
        <f t="shared" si="237"/>
        <v>2162.0500000000002</v>
      </c>
      <c r="T1091" s="7">
        <f t="shared" si="238"/>
        <v>0</v>
      </c>
    </row>
    <row r="1092" spans="1:20" x14ac:dyDescent="0.25">
      <c r="A1092" s="1">
        <v>42804</v>
      </c>
      <c r="B1092">
        <v>2216.1</v>
      </c>
      <c r="C1092">
        <v>2225</v>
      </c>
      <c r="D1092">
        <v>2171.15</v>
      </c>
      <c r="E1092">
        <v>2193.15</v>
      </c>
      <c r="F1092">
        <v>1260098</v>
      </c>
      <c r="G1092" s="4">
        <f t="shared" ref="G1092:G1155" si="239">IF(E1092&gt;E1091,E1092-E1091,0)</f>
        <v>0</v>
      </c>
      <c r="H1092" s="4">
        <f t="shared" ref="H1092:H1155" si="240">IF(E1092&lt;E1091,E1091-E1092,0)</f>
        <v>22.949999999999818</v>
      </c>
      <c r="I1092" s="6">
        <f t="shared" si="231"/>
        <v>6.0107142857142923</v>
      </c>
      <c r="J1092" s="6">
        <f t="shared" si="232"/>
        <v>7.4821428571428568</v>
      </c>
      <c r="K1092" s="4">
        <f t="shared" si="233"/>
        <v>0.80334128878281719</v>
      </c>
      <c r="L1092">
        <f t="shared" si="234"/>
        <v>44.547379565907917</v>
      </c>
      <c r="M1092" s="14" t="str">
        <f t="shared" si="227"/>
        <v/>
      </c>
      <c r="N1092" s="7">
        <f t="shared" si="228"/>
        <v>0</v>
      </c>
      <c r="O1092" s="7">
        <f t="shared" si="235"/>
        <v>0</v>
      </c>
      <c r="P1092" s="7">
        <f t="shared" si="236"/>
        <v>1</v>
      </c>
      <c r="Q1092" s="10" t="e">
        <f t="shared" si="229"/>
        <v>#N/A</v>
      </c>
      <c r="R1092" s="10" t="e">
        <f t="shared" si="230"/>
        <v>#N/A</v>
      </c>
      <c r="S1092" s="7">
        <f t="shared" si="237"/>
        <v>2162.0500000000002</v>
      </c>
      <c r="T1092" s="7">
        <f t="shared" si="238"/>
        <v>0</v>
      </c>
    </row>
    <row r="1093" spans="1:20" x14ac:dyDescent="0.25">
      <c r="A1093" s="1">
        <v>42807</v>
      </c>
      <c r="B1093">
        <v>2200.0500000000002</v>
      </c>
      <c r="C1093">
        <v>2253.4</v>
      </c>
      <c r="D1093">
        <v>2100.25</v>
      </c>
      <c r="E1093">
        <v>2160.75</v>
      </c>
      <c r="F1093">
        <v>2620899</v>
      </c>
      <c r="G1093" s="4">
        <f t="shared" si="239"/>
        <v>0</v>
      </c>
      <c r="H1093" s="4">
        <f t="shared" si="240"/>
        <v>32.400000000000091</v>
      </c>
      <c r="I1093" s="6">
        <f t="shared" si="231"/>
        <v>6.0107142857142923</v>
      </c>
      <c r="J1093" s="6">
        <f t="shared" si="232"/>
        <v>9.1892857142857203</v>
      </c>
      <c r="K1093" s="4">
        <f t="shared" si="233"/>
        <v>0.6541002720559661</v>
      </c>
      <c r="L1093">
        <f t="shared" si="234"/>
        <v>39.544172932330838</v>
      </c>
      <c r="M1093" s="14" t="str">
        <f t="shared" si="227"/>
        <v/>
      </c>
      <c r="N1093" s="7">
        <f t="shared" si="228"/>
        <v>0</v>
      </c>
      <c r="O1093" s="7">
        <f t="shared" si="235"/>
        <v>0</v>
      </c>
      <c r="P1093" s="7">
        <f t="shared" si="236"/>
        <v>1</v>
      </c>
      <c r="Q1093" s="10" t="e">
        <f t="shared" si="229"/>
        <v>#N/A</v>
      </c>
      <c r="R1093" s="10" t="e">
        <f t="shared" si="230"/>
        <v>#N/A</v>
      </c>
      <c r="S1093" s="7">
        <f t="shared" si="237"/>
        <v>2162.0500000000002</v>
      </c>
      <c r="T1093" s="7">
        <f t="shared" si="238"/>
        <v>0</v>
      </c>
    </row>
    <row r="1094" spans="1:20" x14ac:dyDescent="0.25">
      <c r="A1094" s="1">
        <v>42808</v>
      </c>
      <c r="B1094">
        <v>2150</v>
      </c>
      <c r="C1094">
        <v>2160</v>
      </c>
      <c r="D1094">
        <v>1999.5</v>
      </c>
      <c r="E1094">
        <v>2036.7</v>
      </c>
      <c r="F1094">
        <v>3258303</v>
      </c>
      <c r="G1094" s="4">
        <f t="shared" si="239"/>
        <v>0</v>
      </c>
      <c r="H1094" s="4">
        <f t="shared" si="240"/>
        <v>124.04999999999995</v>
      </c>
      <c r="I1094" s="6">
        <f t="shared" si="231"/>
        <v>6.0107142857142923</v>
      </c>
      <c r="J1094" s="6">
        <f t="shared" si="232"/>
        <v>17.057142857142853</v>
      </c>
      <c r="K1094" s="4">
        <f t="shared" si="233"/>
        <v>0.35238693467336729</v>
      </c>
      <c r="L1094">
        <f t="shared" si="234"/>
        <v>26.056665118439412</v>
      </c>
      <c r="M1094" s="14" t="str">
        <f t="shared" si="227"/>
        <v>OVERSOLD</v>
      </c>
      <c r="N1094" s="7" t="str">
        <f t="shared" si="228"/>
        <v>BUY</v>
      </c>
      <c r="O1094" s="7">
        <f t="shared" si="235"/>
        <v>0</v>
      </c>
      <c r="P1094" s="7">
        <f t="shared" si="236"/>
        <v>1</v>
      </c>
      <c r="Q1094" s="10" t="e">
        <f t="shared" si="229"/>
        <v>#N/A</v>
      </c>
      <c r="R1094" s="10" t="e">
        <f t="shared" si="230"/>
        <v>#N/A</v>
      </c>
      <c r="S1094" s="7">
        <f t="shared" si="237"/>
        <v>2162.0500000000002</v>
      </c>
      <c r="T1094" s="7">
        <f t="shared" si="238"/>
        <v>0</v>
      </c>
    </row>
    <row r="1095" spans="1:20" x14ac:dyDescent="0.25">
      <c r="A1095" s="1">
        <v>42809</v>
      </c>
      <c r="B1095">
        <v>2028</v>
      </c>
      <c r="C1095">
        <v>2160</v>
      </c>
      <c r="D1095">
        <v>2028</v>
      </c>
      <c r="E1095">
        <v>2068.1999999999998</v>
      </c>
      <c r="F1095">
        <v>2351057</v>
      </c>
      <c r="G1095" s="4">
        <f t="shared" si="239"/>
        <v>31.499999999999773</v>
      </c>
      <c r="H1095" s="4">
        <f t="shared" si="240"/>
        <v>0</v>
      </c>
      <c r="I1095" s="6">
        <f t="shared" si="231"/>
        <v>8.0535714285714128</v>
      </c>
      <c r="J1095" s="6">
        <f t="shared" si="232"/>
        <v>17.057142857142853</v>
      </c>
      <c r="K1095" s="4">
        <f t="shared" si="233"/>
        <v>0.47215242881071945</v>
      </c>
      <c r="L1095">
        <f t="shared" si="234"/>
        <v>32.07225145782958</v>
      </c>
      <c r="M1095" s="14" t="str">
        <f t="shared" si="227"/>
        <v/>
      </c>
      <c r="N1095" s="7">
        <f t="shared" si="228"/>
        <v>0</v>
      </c>
      <c r="O1095" s="7">
        <f t="shared" si="235"/>
        <v>0</v>
      </c>
      <c r="P1095" s="7">
        <f t="shared" si="236"/>
        <v>1</v>
      </c>
      <c r="Q1095" s="10" t="e">
        <f t="shared" si="229"/>
        <v>#N/A</v>
      </c>
      <c r="R1095" s="10" t="e">
        <f t="shared" si="230"/>
        <v>#N/A</v>
      </c>
      <c r="S1095" s="7">
        <f t="shared" si="237"/>
        <v>2162.0500000000002</v>
      </c>
      <c r="T1095" s="7">
        <f t="shared" si="238"/>
        <v>0</v>
      </c>
    </row>
    <row r="1096" spans="1:20" x14ac:dyDescent="0.25">
      <c r="A1096" s="1">
        <v>42810</v>
      </c>
      <c r="B1096">
        <v>2061.1999999999998</v>
      </c>
      <c r="C1096">
        <v>2089</v>
      </c>
      <c r="D1096">
        <v>2055.8000000000002</v>
      </c>
      <c r="E1096">
        <v>2082.85</v>
      </c>
      <c r="F1096">
        <v>2058473</v>
      </c>
      <c r="G1096" s="4">
        <f t="shared" si="239"/>
        <v>14.650000000000091</v>
      </c>
      <c r="H1096" s="4">
        <f t="shared" si="240"/>
        <v>0</v>
      </c>
      <c r="I1096" s="6">
        <f t="shared" si="231"/>
        <v>9.0999999999999908</v>
      </c>
      <c r="J1096" s="6">
        <f t="shared" si="232"/>
        <v>16.696428571428555</v>
      </c>
      <c r="K1096" s="4">
        <f t="shared" si="233"/>
        <v>0.54502673796791445</v>
      </c>
      <c r="L1096">
        <f t="shared" si="234"/>
        <v>35.276201024505056</v>
      </c>
      <c r="M1096" s="14" t="str">
        <f t="shared" si="227"/>
        <v/>
      </c>
      <c r="N1096" s="7">
        <f t="shared" si="228"/>
        <v>0</v>
      </c>
      <c r="O1096" s="7">
        <f t="shared" si="235"/>
        <v>0</v>
      </c>
      <c r="P1096" s="7">
        <f t="shared" si="236"/>
        <v>1</v>
      </c>
      <c r="Q1096" s="10" t="e">
        <f t="shared" si="229"/>
        <v>#N/A</v>
      </c>
      <c r="R1096" s="10" t="e">
        <f t="shared" si="230"/>
        <v>#N/A</v>
      </c>
      <c r="S1096" s="7">
        <f t="shared" si="237"/>
        <v>2162.0500000000002</v>
      </c>
      <c r="T1096" s="7">
        <f t="shared" si="238"/>
        <v>0</v>
      </c>
    </row>
    <row r="1097" spans="1:20" x14ac:dyDescent="0.25">
      <c r="A1097" s="1">
        <v>42811</v>
      </c>
      <c r="B1097">
        <v>2096.75</v>
      </c>
      <c r="C1097">
        <v>2124</v>
      </c>
      <c r="D1097">
        <v>2075.1</v>
      </c>
      <c r="E1097">
        <v>2111.9499999999998</v>
      </c>
      <c r="F1097">
        <v>2108421</v>
      </c>
      <c r="G1097" s="4">
        <f t="shared" si="239"/>
        <v>29.099999999999909</v>
      </c>
      <c r="H1097" s="4">
        <f t="shared" si="240"/>
        <v>0</v>
      </c>
      <c r="I1097" s="6">
        <f t="shared" si="231"/>
        <v>9.8035714285714128</v>
      </c>
      <c r="J1097" s="6">
        <f t="shared" si="232"/>
        <v>16.696428571428555</v>
      </c>
      <c r="K1097" s="4">
        <f t="shared" si="233"/>
        <v>0.58716577540106918</v>
      </c>
      <c r="L1097">
        <f t="shared" si="234"/>
        <v>36.994609164420474</v>
      </c>
      <c r="M1097" s="14" t="str">
        <f t="shared" si="227"/>
        <v/>
      </c>
      <c r="N1097" s="7">
        <f t="shared" si="228"/>
        <v>0</v>
      </c>
      <c r="O1097" s="7">
        <f t="shared" si="235"/>
        <v>0</v>
      </c>
      <c r="P1097" s="7">
        <f t="shared" si="236"/>
        <v>1</v>
      </c>
      <c r="Q1097" s="10" t="e">
        <f t="shared" si="229"/>
        <v>#N/A</v>
      </c>
      <c r="R1097" s="10" t="e">
        <f t="shared" si="230"/>
        <v>#N/A</v>
      </c>
      <c r="S1097" s="7">
        <f t="shared" si="237"/>
        <v>2162.0500000000002</v>
      </c>
      <c r="T1097" s="7">
        <f t="shared" si="238"/>
        <v>0</v>
      </c>
    </row>
    <row r="1098" spans="1:20" x14ac:dyDescent="0.25">
      <c r="A1098" s="1">
        <v>42814</v>
      </c>
      <c r="B1098">
        <v>2119</v>
      </c>
      <c r="C1098">
        <v>2149</v>
      </c>
      <c r="D1098">
        <v>2096</v>
      </c>
      <c r="E1098">
        <v>2127.9</v>
      </c>
      <c r="F1098">
        <v>1547390</v>
      </c>
      <c r="G1098" s="4">
        <f t="shared" si="239"/>
        <v>15.950000000000273</v>
      </c>
      <c r="H1098" s="4">
        <f t="shared" si="240"/>
        <v>0</v>
      </c>
      <c r="I1098" s="6">
        <f t="shared" si="231"/>
        <v>10.567857142857147</v>
      </c>
      <c r="J1098" s="6">
        <f t="shared" si="232"/>
        <v>16.696428571428555</v>
      </c>
      <c r="K1098" s="4">
        <f t="shared" si="233"/>
        <v>0.63294117647058912</v>
      </c>
      <c r="L1098">
        <f t="shared" si="234"/>
        <v>38.760806916426539</v>
      </c>
      <c r="M1098" s="14" t="str">
        <f t="shared" si="227"/>
        <v/>
      </c>
      <c r="N1098" s="7">
        <f t="shared" si="228"/>
        <v>0</v>
      </c>
      <c r="O1098" s="7">
        <f t="shared" si="235"/>
        <v>0</v>
      </c>
      <c r="P1098" s="7">
        <f t="shared" si="236"/>
        <v>1</v>
      </c>
      <c r="Q1098" s="10" t="e">
        <f t="shared" si="229"/>
        <v>#N/A</v>
      </c>
      <c r="R1098" s="10" t="e">
        <f t="shared" si="230"/>
        <v>#N/A</v>
      </c>
      <c r="S1098" s="7">
        <f t="shared" si="237"/>
        <v>2162.0500000000002</v>
      </c>
      <c r="T1098" s="7">
        <f t="shared" si="238"/>
        <v>0</v>
      </c>
    </row>
    <row r="1099" spans="1:20" x14ac:dyDescent="0.25">
      <c r="A1099" s="1">
        <v>42815</v>
      </c>
      <c r="B1099">
        <v>2149</v>
      </c>
      <c r="C1099">
        <v>2169.6</v>
      </c>
      <c r="D1099">
        <v>2133.6</v>
      </c>
      <c r="E1099">
        <v>2154</v>
      </c>
      <c r="F1099">
        <v>1325425</v>
      </c>
      <c r="G1099" s="4">
        <f t="shared" si="239"/>
        <v>26.099999999999909</v>
      </c>
      <c r="H1099" s="4">
        <f t="shared" si="240"/>
        <v>0</v>
      </c>
      <c r="I1099" s="6">
        <f t="shared" si="231"/>
        <v>12.432142857142853</v>
      </c>
      <c r="J1099" s="6">
        <f t="shared" si="232"/>
        <v>15.639285714285718</v>
      </c>
      <c r="K1099" s="4">
        <f t="shared" si="233"/>
        <v>0.79493034939483853</v>
      </c>
      <c r="L1099">
        <f t="shared" si="234"/>
        <v>44.28753180661576</v>
      </c>
      <c r="M1099" s="14" t="str">
        <f t="shared" si="227"/>
        <v/>
      </c>
      <c r="N1099" s="7">
        <f t="shared" si="228"/>
        <v>0</v>
      </c>
      <c r="O1099" s="7">
        <f t="shared" si="235"/>
        <v>0</v>
      </c>
      <c r="P1099" s="7">
        <f t="shared" si="236"/>
        <v>1</v>
      </c>
      <c r="Q1099" s="10" t="e">
        <f t="shared" si="229"/>
        <v>#N/A</v>
      </c>
      <c r="R1099" s="10" t="e">
        <f t="shared" si="230"/>
        <v>#N/A</v>
      </c>
      <c r="S1099" s="7">
        <f t="shared" si="237"/>
        <v>2162.0500000000002</v>
      </c>
      <c r="T1099" s="7">
        <f t="shared" si="238"/>
        <v>0</v>
      </c>
    </row>
    <row r="1100" spans="1:20" x14ac:dyDescent="0.25">
      <c r="A1100" s="1">
        <v>42816</v>
      </c>
      <c r="B1100">
        <v>2160.15</v>
      </c>
      <c r="C1100">
        <v>2184.6</v>
      </c>
      <c r="D1100">
        <v>2118</v>
      </c>
      <c r="E1100">
        <v>2131.4499999999998</v>
      </c>
      <c r="F1100">
        <v>897547</v>
      </c>
      <c r="G1100" s="4">
        <f t="shared" si="239"/>
        <v>0</v>
      </c>
      <c r="H1100" s="4">
        <f t="shared" si="240"/>
        <v>22.550000000000182</v>
      </c>
      <c r="I1100" s="6">
        <f t="shared" si="231"/>
        <v>12.432142857142853</v>
      </c>
      <c r="J1100" s="6">
        <f t="shared" si="232"/>
        <v>14.867857142857165</v>
      </c>
      <c r="K1100" s="4">
        <f t="shared" si="233"/>
        <v>0.83617583473456492</v>
      </c>
      <c r="L1100">
        <f t="shared" si="234"/>
        <v>45.538984824699064</v>
      </c>
      <c r="M1100" s="14" t="str">
        <f t="shared" si="227"/>
        <v/>
      </c>
      <c r="N1100" s="7">
        <f t="shared" si="228"/>
        <v>0</v>
      </c>
      <c r="O1100" s="7">
        <f t="shared" si="235"/>
        <v>0</v>
      </c>
      <c r="P1100" s="7">
        <f t="shared" si="236"/>
        <v>1</v>
      </c>
      <c r="Q1100" s="10" t="e">
        <f t="shared" si="229"/>
        <v>#N/A</v>
      </c>
      <c r="R1100" s="10" t="e">
        <f t="shared" si="230"/>
        <v>#N/A</v>
      </c>
      <c r="S1100" s="7">
        <f t="shared" si="237"/>
        <v>2162.0500000000002</v>
      </c>
      <c r="T1100" s="7">
        <f t="shared" si="238"/>
        <v>0</v>
      </c>
    </row>
    <row r="1101" spans="1:20" x14ac:dyDescent="0.25">
      <c r="A1101" s="1">
        <v>42817</v>
      </c>
      <c r="B1101">
        <v>2140</v>
      </c>
      <c r="C1101">
        <v>2158.75</v>
      </c>
      <c r="D1101">
        <v>2122.4499999999998</v>
      </c>
      <c r="E1101">
        <v>2150.5500000000002</v>
      </c>
      <c r="F1101">
        <v>943744</v>
      </c>
      <c r="G1101" s="4">
        <f t="shared" si="239"/>
        <v>19.100000000000364</v>
      </c>
      <c r="H1101" s="4">
        <f t="shared" si="240"/>
        <v>0</v>
      </c>
      <c r="I1101" s="6">
        <f t="shared" si="231"/>
        <v>13.796428571428594</v>
      </c>
      <c r="J1101" s="6">
        <f t="shared" si="232"/>
        <v>14.617857142857165</v>
      </c>
      <c r="K1101" s="4">
        <f t="shared" si="233"/>
        <v>0.94380649890056201</v>
      </c>
      <c r="L1101">
        <f t="shared" si="234"/>
        <v>48.554550025138262</v>
      </c>
      <c r="M1101" s="14" t="str">
        <f t="shared" si="227"/>
        <v/>
      </c>
      <c r="N1101" s="7">
        <f t="shared" si="228"/>
        <v>0</v>
      </c>
      <c r="O1101" s="7">
        <f t="shared" si="235"/>
        <v>0</v>
      </c>
      <c r="P1101" s="7">
        <f t="shared" si="236"/>
        <v>1</v>
      </c>
      <c r="Q1101" s="10" t="e">
        <f t="shared" si="229"/>
        <v>#N/A</v>
      </c>
      <c r="R1101" s="10" t="e">
        <f t="shared" si="230"/>
        <v>#N/A</v>
      </c>
      <c r="S1101" s="7">
        <f t="shared" si="237"/>
        <v>2162.0500000000002</v>
      </c>
      <c r="T1101" s="7">
        <f t="shared" si="238"/>
        <v>0</v>
      </c>
    </row>
    <row r="1102" spans="1:20" x14ac:dyDescent="0.25">
      <c r="A1102" s="1">
        <v>42818</v>
      </c>
      <c r="B1102">
        <v>2145</v>
      </c>
      <c r="C1102">
        <v>2180</v>
      </c>
      <c r="D1102">
        <v>2135.1999999999998</v>
      </c>
      <c r="E1102">
        <v>2159.9499999999998</v>
      </c>
      <c r="F1102">
        <v>1410355</v>
      </c>
      <c r="G1102" s="4">
        <f t="shared" si="239"/>
        <v>9.3999999999996362</v>
      </c>
      <c r="H1102" s="4">
        <f t="shared" si="240"/>
        <v>0</v>
      </c>
      <c r="I1102" s="6">
        <f t="shared" si="231"/>
        <v>14.46785714285714</v>
      </c>
      <c r="J1102" s="6">
        <f t="shared" si="232"/>
        <v>14.464285714285731</v>
      </c>
      <c r="K1102" s="4">
        <f t="shared" si="233"/>
        <v>1.0002469135802454</v>
      </c>
      <c r="L1102">
        <f t="shared" si="234"/>
        <v>50.006172077521256</v>
      </c>
      <c r="M1102" s="14" t="str">
        <f t="shared" si="227"/>
        <v/>
      </c>
      <c r="N1102" s="7">
        <f t="shared" si="228"/>
        <v>0</v>
      </c>
      <c r="O1102" s="7">
        <f t="shared" si="235"/>
        <v>0</v>
      </c>
      <c r="P1102" s="7">
        <f t="shared" si="236"/>
        <v>1</v>
      </c>
      <c r="Q1102" s="10" t="e">
        <f t="shared" si="229"/>
        <v>#N/A</v>
      </c>
      <c r="R1102" s="10" t="e">
        <f t="shared" si="230"/>
        <v>#N/A</v>
      </c>
      <c r="S1102" s="7">
        <f t="shared" si="237"/>
        <v>2162.0500000000002</v>
      </c>
      <c r="T1102" s="7">
        <f t="shared" si="238"/>
        <v>0</v>
      </c>
    </row>
    <row r="1103" spans="1:20" x14ac:dyDescent="0.25">
      <c r="A1103" s="1">
        <v>42821</v>
      </c>
      <c r="B1103">
        <v>2158.8000000000002</v>
      </c>
      <c r="C1103">
        <v>2167</v>
      </c>
      <c r="D1103">
        <v>2130.15</v>
      </c>
      <c r="E1103">
        <v>2141.35</v>
      </c>
      <c r="F1103">
        <v>1292824</v>
      </c>
      <c r="G1103" s="4">
        <f t="shared" si="239"/>
        <v>0</v>
      </c>
      <c r="H1103" s="4">
        <f t="shared" si="240"/>
        <v>18.599999999999909</v>
      </c>
      <c r="I1103" s="6">
        <f t="shared" si="231"/>
        <v>14.46785714285714</v>
      </c>
      <c r="J1103" s="6">
        <f t="shared" si="232"/>
        <v>15.753571428571425</v>
      </c>
      <c r="K1103" s="4">
        <f t="shared" si="233"/>
        <v>0.91838585354794833</v>
      </c>
      <c r="L1103">
        <f t="shared" si="234"/>
        <v>47.872843299456392</v>
      </c>
      <c r="M1103" s="14" t="str">
        <f t="shared" si="227"/>
        <v/>
      </c>
      <c r="N1103" s="7">
        <f t="shared" si="228"/>
        <v>0</v>
      </c>
      <c r="O1103" s="7">
        <f t="shared" si="235"/>
        <v>0</v>
      </c>
      <c r="P1103" s="7">
        <f t="shared" si="236"/>
        <v>1</v>
      </c>
      <c r="Q1103" s="10" t="e">
        <f t="shared" si="229"/>
        <v>#N/A</v>
      </c>
      <c r="R1103" s="10" t="e">
        <f t="shared" si="230"/>
        <v>#N/A</v>
      </c>
      <c r="S1103" s="7">
        <f t="shared" si="237"/>
        <v>2162.0500000000002</v>
      </c>
      <c r="T1103" s="7">
        <f t="shared" si="238"/>
        <v>0</v>
      </c>
    </row>
    <row r="1104" spans="1:20" x14ac:dyDescent="0.25">
      <c r="A1104" s="1">
        <v>42822</v>
      </c>
      <c r="B1104">
        <v>2144</v>
      </c>
      <c r="C1104">
        <v>2157.75</v>
      </c>
      <c r="D1104">
        <v>2116.0500000000002</v>
      </c>
      <c r="E1104">
        <v>2129.85</v>
      </c>
      <c r="F1104">
        <v>547579</v>
      </c>
      <c r="G1104" s="4">
        <f t="shared" si="239"/>
        <v>0</v>
      </c>
      <c r="H1104" s="4">
        <f t="shared" si="240"/>
        <v>11.5</v>
      </c>
      <c r="I1104" s="6">
        <f t="shared" si="231"/>
        <v>10.78214285714286</v>
      </c>
      <c r="J1104" s="6">
        <f t="shared" si="232"/>
        <v>16.574999999999996</v>
      </c>
      <c r="K1104" s="4">
        <f t="shared" si="233"/>
        <v>0.65050635638870968</v>
      </c>
      <c r="L1104">
        <f t="shared" si="234"/>
        <v>39.412532637075728</v>
      </c>
      <c r="M1104" s="14" t="str">
        <f t="shared" ref="M1104:M1167" si="241">IF(L1104&gt;RSI_Overbought,"OVERBOUGHT",IF(L1104&lt;RSI_Oversold,"OVERSOLD",""))</f>
        <v/>
      </c>
      <c r="N1104" s="7">
        <f t="shared" ref="N1104:N1167" si="242">IF(L1104&gt;RSI_Overbought,"SELL",IF(L1104&lt;RSI_Oversold,"BUY",0))</f>
        <v>0</v>
      </c>
      <c r="O1104" s="7">
        <f t="shared" si="235"/>
        <v>0</v>
      </c>
      <c r="P1104" s="7">
        <f t="shared" si="236"/>
        <v>1</v>
      </c>
      <c r="Q1104" s="10" t="e">
        <f t="shared" ref="Q1104:Q1167" si="243">IF($O1104="BUY",$E1104,NA())</f>
        <v>#N/A</v>
      </c>
      <c r="R1104" s="10" t="e">
        <f t="shared" ref="R1104:R1167" si="244">IF($O1104="SELL",$E1104,NA())</f>
        <v>#N/A</v>
      </c>
      <c r="S1104" s="7">
        <f t="shared" si="237"/>
        <v>2162.0500000000002</v>
      </c>
      <c r="T1104" s="7">
        <f t="shared" si="238"/>
        <v>0</v>
      </c>
    </row>
    <row r="1105" spans="1:20" x14ac:dyDescent="0.25">
      <c r="A1105" s="1">
        <v>42823</v>
      </c>
      <c r="B1105">
        <v>2129.85</v>
      </c>
      <c r="C1105">
        <v>2138</v>
      </c>
      <c r="D1105">
        <v>2105.1999999999998</v>
      </c>
      <c r="E1105">
        <v>2128.6</v>
      </c>
      <c r="F1105">
        <v>1242314</v>
      </c>
      <c r="G1105" s="4">
        <f t="shared" si="239"/>
        <v>0</v>
      </c>
      <c r="H1105" s="4">
        <f t="shared" si="240"/>
        <v>1.25</v>
      </c>
      <c r="I1105" s="6">
        <f t="shared" ref="I1105:I1168" si="245">AVERAGE(G1092:G1105)</f>
        <v>10.414285714285711</v>
      </c>
      <c r="J1105" s="6">
        <f t="shared" ref="J1105:J1168" si="246">AVERAGE(H1092:H1105)</f>
        <v>16.664285714285711</v>
      </c>
      <c r="K1105" s="4">
        <f t="shared" ref="K1105:K1168" si="247">I1105/J1105</f>
        <v>0.62494642091727381</v>
      </c>
      <c r="L1105">
        <f t="shared" ref="L1105:L1168" si="248">100-(100/(K1105+1))</f>
        <v>38.459509364283832</v>
      </c>
      <c r="M1105" s="14" t="str">
        <f t="shared" si="241"/>
        <v/>
      </c>
      <c r="N1105" s="7">
        <f t="shared" si="242"/>
        <v>0</v>
      </c>
      <c r="O1105" s="7">
        <f t="shared" ref="O1105:O1168" si="249">IF(AND(N1105="BUY",P1104&lt;&gt;1),"BUY",IF(AND(N1105="SELL",P1104&lt;&gt;-1),"SELL",0))</f>
        <v>0</v>
      </c>
      <c r="P1105" s="7">
        <f t="shared" ref="P1105:P1168" si="250">IF(O1105="BUY",1,IF(O1105="SELL",-1,P1104))</f>
        <v>1</v>
      </c>
      <c r="Q1105" s="10" t="e">
        <f t="shared" si="243"/>
        <v>#N/A</v>
      </c>
      <c r="R1105" s="10" t="e">
        <f t="shared" si="244"/>
        <v>#N/A</v>
      </c>
      <c r="S1105" s="7">
        <f t="shared" ref="S1105:S1168" si="251">IF(O1105&lt;&gt;0,E1105,S1104)</f>
        <v>2162.0500000000002</v>
      </c>
      <c r="T1105" s="7">
        <f t="shared" si="238"/>
        <v>0</v>
      </c>
    </row>
    <row r="1106" spans="1:20" x14ac:dyDescent="0.25">
      <c r="A1106" s="1">
        <v>42824</v>
      </c>
      <c r="B1106">
        <v>2130</v>
      </c>
      <c r="C1106">
        <v>2134.9</v>
      </c>
      <c r="D1106">
        <v>2077</v>
      </c>
      <c r="E1106">
        <v>2089.25</v>
      </c>
      <c r="F1106">
        <v>1070531</v>
      </c>
      <c r="G1106" s="4">
        <f t="shared" si="239"/>
        <v>0</v>
      </c>
      <c r="H1106" s="4">
        <f t="shared" si="240"/>
        <v>39.349999999999909</v>
      </c>
      <c r="I1106" s="6">
        <f t="shared" si="245"/>
        <v>10.414285714285711</v>
      </c>
      <c r="J1106" s="6">
        <f t="shared" si="246"/>
        <v>17.835714285714289</v>
      </c>
      <c r="K1106" s="4">
        <f t="shared" si="247"/>
        <v>0.5839006808169801</v>
      </c>
      <c r="L1106">
        <f t="shared" si="248"/>
        <v>36.864728192161806</v>
      </c>
      <c r="M1106" s="14" t="str">
        <f t="shared" si="241"/>
        <v/>
      </c>
      <c r="N1106" s="7">
        <f t="shared" si="242"/>
        <v>0</v>
      </c>
      <c r="O1106" s="7">
        <f t="shared" si="249"/>
        <v>0</v>
      </c>
      <c r="P1106" s="7">
        <f t="shared" si="250"/>
        <v>1</v>
      </c>
      <c r="Q1106" s="10" t="e">
        <f t="shared" si="243"/>
        <v>#N/A</v>
      </c>
      <c r="R1106" s="10" t="e">
        <f t="shared" si="244"/>
        <v>#N/A</v>
      </c>
      <c r="S1106" s="7">
        <f t="shared" si="251"/>
        <v>2162.0500000000002</v>
      </c>
      <c r="T1106" s="7">
        <f t="shared" si="238"/>
        <v>0</v>
      </c>
    </row>
    <row r="1107" spans="1:20" x14ac:dyDescent="0.25">
      <c r="A1107" s="1">
        <v>42825</v>
      </c>
      <c r="B1107">
        <v>2083.1</v>
      </c>
      <c r="C1107">
        <v>2116.4</v>
      </c>
      <c r="D1107">
        <v>2068</v>
      </c>
      <c r="E1107">
        <v>2104.15</v>
      </c>
      <c r="F1107">
        <v>2174235</v>
      </c>
      <c r="G1107" s="4">
        <f t="shared" si="239"/>
        <v>14.900000000000091</v>
      </c>
      <c r="H1107" s="4">
        <f t="shared" si="240"/>
        <v>0</v>
      </c>
      <c r="I1107" s="6">
        <f t="shared" si="245"/>
        <v>11.478571428571431</v>
      </c>
      <c r="J1107" s="6">
        <f t="shared" si="246"/>
        <v>15.521428571428569</v>
      </c>
      <c r="K1107" s="4">
        <f t="shared" si="247"/>
        <v>0.7395306028531986</v>
      </c>
      <c r="L1107">
        <f t="shared" si="248"/>
        <v>42.513227513227527</v>
      </c>
      <c r="M1107" s="14" t="str">
        <f t="shared" si="241"/>
        <v/>
      </c>
      <c r="N1107" s="7">
        <f t="shared" si="242"/>
        <v>0</v>
      </c>
      <c r="O1107" s="7">
        <f t="shared" si="249"/>
        <v>0</v>
      </c>
      <c r="P1107" s="7">
        <f t="shared" si="250"/>
        <v>1</v>
      </c>
      <c r="Q1107" s="10" t="e">
        <f t="shared" si="243"/>
        <v>#N/A</v>
      </c>
      <c r="R1107" s="10" t="e">
        <f t="shared" si="244"/>
        <v>#N/A</v>
      </c>
      <c r="S1107" s="7">
        <f t="shared" si="251"/>
        <v>2162.0500000000002</v>
      </c>
      <c r="T1107" s="7">
        <f t="shared" si="238"/>
        <v>0</v>
      </c>
    </row>
    <row r="1108" spans="1:20" x14ac:dyDescent="0.25">
      <c r="A1108" s="1">
        <v>42828</v>
      </c>
      <c r="B1108">
        <v>2100.15</v>
      </c>
      <c r="C1108">
        <v>2107.8000000000002</v>
      </c>
      <c r="D1108">
        <v>2056</v>
      </c>
      <c r="E1108">
        <v>2084.25</v>
      </c>
      <c r="F1108">
        <v>1680793</v>
      </c>
      <c r="G1108" s="4">
        <f t="shared" si="239"/>
        <v>0</v>
      </c>
      <c r="H1108" s="4">
        <f t="shared" si="240"/>
        <v>19.900000000000091</v>
      </c>
      <c r="I1108" s="6">
        <f t="shared" si="245"/>
        <v>11.478571428571431</v>
      </c>
      <c r="J1108" s="6">
        <f t="shared" si="246"/>
        <v>8.0821428571428644</v>
      </c>
      <c r="K1108" s="4">
        <f t="shared" si="247"/>
        <v>1.4202386212991596</v>
      </c>
      <c r="L1108">
        <f t="shared" si="248"/>
        <v>58.681760087639205</v>
      </c>
      <c r="M1108" s="14" t="str">
        <f t="shared" si="241"/>
        <v/>
      </c>
      <c r="N1108" s="7">
        <f t="shared" si="242"/>
        <v>0</v>
      </c>
      <c r="O1108" s="7">
        <f t="shared" si="249"/>
        <v>0</v>
      </c>
      <c r="P1108" s="7">
        <f t="shared" si="250"/>
        <v>1</v>
      </c>
      <c r="Q1108" s="10" t="e">
        <f t="shared" si="243"/>
        <v>#N/A</v>
      </c>
      <c r="R1108" s="10" t="e">
        <f t="shared" si="244"/>
        <v>#N/A</v>
      </c>
      <c r="S1108" s="7">
        <f t="shared" si="251"/>
        <v>2162.0500000000002</v>
      </c>
      <c r="T1108" s="7">
        <f t="shared" si="238"/>
        <v>0</v>
      </c>
    </row>
    <row r="1109" spans="1:20" x14ac:dyDescent="0.25">
      <c r="A1109" s="1">
        <v>42829</v>
      </c>
      <c r="B1109">
        <v>2087</v>
      </c>
      <c r="C1109">
        <v>2118</v>
      </c>
      <c r="D1109">
        <v>2080</v>
      </c>
      <c r="E1109">
        <v>2113.8000000000002</v>
      </c>
      <c r="F1109">
        <v>1333098</v>
      </c>
      <c r="G1109" s="4">
        <f t="shared" si="239"/>
        <v>29.550000000000182</v>
      </c>
      <c r="H1109" s="4">
        <f t="shared" si="240"/>
        <v>0</v>
      </c>
      <c r="I1109" s="6">
        <f t="shared" si="245"/>
        <v>11.339285714285747</v>
      </c>
      <c r="J1109" s="6">
        <f t="shared" si="246"/>
        <v>8.0821428571428644</v>
      </c>
      <c r="K1109" s="4">
        <f t="shared" si="247"/>
        <v>1.4030048608042449</v>
      </c>
      <c r="L1109">
        <f t="shared" si="248"/>
        <v>58.385435821993426</v>
      </c>
      <c r="M1109" s="14" t="str">
        <f t="shared" si="241"/>
        <v/>
      </c>
      <c r="N1109" s="7">
        <f t="shared" si="242"/>
        <v>0</v>
      </c>
      <c r="O1109" s="7">
        <f t="shared" si="249"/>
        <v>0</v>
      </c>
      <c r="P1109" s="7">
        <f t="shared" si="250"/>
        <v>1</v>
      </c>
      <c r="Q1109" s="10" t="e">
        <f t="shared" si="243"/>
        <v>#N/A</v>
      </c>
      <c r="R1109" s="10" t="e">
        <f t="shared" si="244"/>
        <v>#N/A</v>
      </c>
      <c r="S1109" s="7">
        <f t="shared" si="251"/>
        <v>2162.0500000000002</v>
      </c>
      <c r="T1109" s="7">
        <f t="shared" si="238"/>
        <v>0</v>
      </c>
    </row>
    <row r="1110" spans="1:20" x14ac:dyDescent="0.25">
      <c r="A1110" s="1">
        <v>42830</v>
      </c>
      <c r="B1110">
        <v>2115</v>
      </c>
      <c r="C1110">
        <v>2160.9499999999998</v>
      </c>
      <c r="D1110">
        <v>2115</v>
      </c>
      <c r="E1110">
        <v>2158.15</v>
      </c>
      <c r="F1110">
        <v>1314034</v>
      </c>
      <c r="G1110" s="4">
        <f t="shared" si="239"/>
        <v>44.349999999999909</v>
      </c>
      <c r="H1110" s="4">
        <f t="shared" si="240"/>
        <v>0</v>
      </c>
      <c r="I1110" s="6">
        <f t="shared" si="245"/>
        <v>13.460714285714305</v>
      </c>
      <c r="J1110" s="6">
        <f t="shared" si="246"/>
        <v>8.0821428571428644</v>
      </c>
      <c r="K1110" s="4">
        <f t="shared" si="247"/>
        <v>1.6654882898806902</v>
      </c>
      <c r="L1110">
        <f t="shared" si="248"/>
        <v>62.48342175066314</v>
      </c>
      <c r="M1110" s="14" t="str">
        <f t="shared" si="241"/>
        <v/>
      </c>
      <c r="N1110" s="7">
        <f t="shared" si="242"/>
        <v>0</v>
      </c>
      <c r="O1110" s="7">
        <f t="shared" si="249"/>
        <v>0</v>
      </c>
      <c r="P1110" s="7">
        <f t="shared" si="250"/>
        <v>1</v>
      </c>
      <c r="Q1110" s="10" t="e">
        <f t="shared" si="243"/>
        <v>#N/A</v>
      </c>
      <c r="R1110" s="10" t="e">
        <f t="shared" si="244"/>
        <v>#N/A</v>
      </c>
      <c r="S1110" s="7">
        <f t="shared" si="251"/>
        <v>2162.0500000000002</v>
      </c>
      <c r="T1110" s="7">
        <f t="shared" si="238"/>
        <v>0</v>
      </c>
    </row>
    <row r="1111" spans="1:20" x14ac:dyDescent="0.25">
      <c r="A1111" s="1">
        <v>42831</v>
      </c>
      <c r="B1111">
        <v>2165</v>
      </c>
      <c r="C1111">
        <v>2214</v>
      </c>
      <c r="D1111">
        <v>2138.1999999999998</v>
      </c>
      <c r="E1111">
        <v>2206.9499999999998</v>
      </c>
      <c r="F1111">
        <v>1772281</v>
      </c>
      <c r="G1111" s="4">
        <f t="shared" si="239"/>
        <v>48.799999999999727</v>
      </c>
      <c r="H1111" s="4">
        <f t="shared" si="240"/>
        <v>0</v>
      </c>
      <c r="I1111" s="6">
        <f t="shared" si="245"/>
        <v>14.867857142857149</v>
      </c>
      <c r="J1111" s="6">
        <f t="shared" si="246"/>
        <v>8.0821428571428644</v>
      </c>
      <c r="K1111" s="4">
        <f t="shared" si="247"/>
        <v>1.8395934600088371</v>
      </c>
      <c r="L1111">
        <f t="shared" si="248"/>
        <v>64.783691254279489</v>
      </c>
      <c r="M1111" s="14" t="str">
        <f t="shared" si="241"/>
        <v/>
      </c>
      <c r="N1111" s="7">
        <f t="shared" si="242"/>
        <v>0</v>
      </c>
      <c r="O1111" s="7">
        <f t="shared" si="249"/>
        <v>0</v>
      </c>
      <c r="P1111" s="7">
        <f t="shared" si="250"/>
        <v>1</v>
      </c>
      <c r="Q1111" s="10" t="e">
        <f t="shared" si="243"/>
        <v>#N/A</v>
      </c>
      <c r="R1111" s="10" t="e">
        <f t="shared" si="244"/>
        <v>#N/A</v>
      </c>
      <c r="S1111" s="7">
        <f t="shared" si="251"/>
        <v>2162.0500000000002</v>
      </c>
      <c r="T1111" s="7">
        <f t="shared" si="238"/>
        <v>0</v>
      </c>
    </row>
    <row r="1112" spans="1:20" x14ac:dyDescent="0.25">
      <c r="A1112" s="1">
        <v>42832</v>
      </c>
      <c r="B1112">
        <v>2249</v>
      </c>
      <c r="C1112">
        <v>2254</v>
      </c>
      <c r="D1112">
        <v>2183.8000000000002</v>
      </c>
      <c r="E1112">
        <v>2237.35</v>
      </c>
      <c r="F1112">
        <v>1367169</v>
      </c>
      <c r="G1112" s="4">
        <f t="shared" si="239"/>
        <v>30.400000000000091</v>
      </c>
      <c r="H1112" s="4">
        <f t="shared" si="240"/>
        <v>0</v>
      </c>
      <c r="I1112" s="6">
        <f t="shared" si="245"/>
        <v>15.899999999999993</v>
      </c>
      <c r="J1112" s="6">
        <f t="shared" si="246"/>
        <v>8.0821428571428644</v>
      </c>
      <c r="K1112" s="4">
        <f t="shared" si="247"/>
        <v>1.9673000441891269</v>
      </c>
      <c r="L1112">
        <f t="shared" si="248"/>
        <v>66.299329858525653</v>
      </c>
      <c r="M1112" s="14" t="str">
        <f t="shared" si="241"/>
        <v/>
      </c>
      <c r="N1112" s="7">
        <f t="shared" si="242"/>
        <v>0</v>
      </c>
      <c r="O1112" s="7">
        <f t="shared" si="249"/>
        <v>0</v>
      </c>
      <c r="P1112" s="7">
        <f t="shared" si="250"/>
        <v>1</v>
      </c>
      <c r="Q1112" s="10" t="e">
        <f t="shared" si="243"/>
        <v>#N/A</v>
      </c>
      <c r="R1112" s="10" t="e">
        <f t="shared" si="244"/>
        <v>#N/A</v>
      </c>
      <c r="S1112" s="7">
        <f t="shared" si="251"/>
        <v>2162.0500000000002</v>
      </c>
      <c r="T1112" s="7">
        <f t="shared" si="238"/>
        <v>0</v>
      </c>
    </row>
    <row r="1113" spans="1:20" x14ac:dyDescent="0.25">
      <c r="A1113" s="1">
        <v>42835</v>
      </c>
      <c r="B1113">
        <v>2238</v>
      </c>
      <c r="C1113">
        <v>2239</v>
      </c>
      <c r="D1113">
        <v>2185.0500000000002</v>
      </c>
      <c r="E1113">
        <v>2213.5500000000002</v>
      </c>
      <c r="F1113">
        <v>952011</v>
      </c>
      <c r="G1113" s="4">
        <f t="shared" si="239"/>
        <v>0</v>
      </c>
      <c r="H1113" s="4">
        <f t="shared" si="240"/>
        <v>23.799999999999727</v>
      </c>
      <c r="I1113" s="6">
        <f t="shared" si="245"/>
        <v>14.035714285714286</v>
      </c>
      <c r="J1113" s="6">
        <f t="shared" si="246"/>
        <v>9.7821428571428442</v>
      </c>
      <c r="K1113" s="4">
        <f t="shared" si="247"/>
        <v>1.4348302300109548</v>
      </c>
      <c r="L1113">
        <f t="shared" si="248"/>
        <v>58.929374718848436</v>
      </c>
      <c r="M1113" s="14" t="str">
        <f t="shared" si="241"/>
        <v/>
      </c>
      <c r="N1113" s="7">
        <f t="shared" si="242"/>
        <v>0</v>
      </c>
      <c r="O1113" s="7">
        <f t="shared" si="249"/>
        <v>0</v>
      </c>
      <c r="P1113" s="7">
        <f t="shared" si="250"/>
        <v>1</v>
      </c>
      <c r="Q1113" s="10" t="e">
        <f t="shared" si="243"/>
        <v>#N/A</v>
      </c>
      <c r="R1113" s="10" t="e">
        <f t="shared" si="244"/>
        <v>#N/A</v>
      </c>
      <c r="S1113" s="7">
        <f t="shared" si="251"/>
        <v>2162.0500000000002</v>
      </c>
      <c r="T1113" s="7">
        <f t="shared" si="238"/>
        <v>0</v>
      </c>
    </row>
    <row r="1114" spans="1:20" x14ac:dyDescent="0.25">
      <c r="A1114" s="1">
        <v>42836</v>
      </c>
      <c r="B1114">
        <v>2210</v>
      </c>
      <c r="C1114">
        <v>2276.9499999999998</v>
      </c>
      <c r="D1114">
        <v>2210</v>
      </c>
      <c r="E1114">
        <v>2269.75</v>
      </c>
      <c r="F1114">
        <v>1219953</v>
      </c>
      <c r="G1114" s="4">
        <f t="shared" si="239"/>
        <v>56.199999999999818</v>
      </c>
      <c r="H1114" s="4">
        <f t="shared" si="240"/>
        <v>0</v>
      </c>
      <c r="I1114" s="6">
        <f t="shared" si="245"/>
        <v>18.049999999999986</v>
      </c>
      <c r="J1114" s="6">
        <f t="shared" si="246"/>
        <v>8.171428571428546</v>
      </c>
      <c r="K1114" s="4">
        <f t="shared" si="247"/>
        <v>2.2089160839160891</v>
      </c>
      <c r="L1114">
        <f t="shared" si="248"/>
        <v>68.83682920185241</v>
      </c>
      <c r="M1114" s="14" t="str">
        <f t="shared" si="241"/>
        <v/>
      </c>
      <c r="N1114" s="7">
        <f t="shared" si="242"/>
        <v>0</v>
      </c>
      <c r="O1114" s="7">
        <f t="shared" si="249"/>
        <v>0</v>
      </c>
      <c r="P1114" s="7">
        <f t="shared" si="250"/>
        <v>1</v>
      </c>
      <c r="Q1114" s="10" t="e">
        <f t="shared" si="243"/>
        <v>#N/A</v>
      </c>
      <c r="R1114" s="10" t="e">
        <f t="shared" si="244"/>
        <v>#N/A</v>
      </c>
      <c r="S1114" s="7">
        <f t="shared" si="251"/>
        <v>2162.0500000000002</v>
      </c>
      <c r="T1114" s="7">
        <f t="shared" ref="T1114:T1177" si="252">IF(O1114="BUY",(S1113-S1114)/S1113,IF(O1114="SELL",(S1114-S1113)/S1113,0))</f>
        <v>0</v>
      </c>
    </row>
    <row r="1115" spans="1:20" x14ac:dyDescent="0.25">
      <c r="A1115" s="1">
        <v>42837</v>
      </c>
      <c r="B1115">
        <v>2284.9</v>
      </c>
      <c r="C1115">
        <v>2297</v>
      </c>
      <c r="D1115">
        <v>2271</v>
      </c>
      <c r="E1115">
        <v>2279.85</v>
      </c>
      <c r="F1115">
        <v>959072</v>
      </c>
      <c r="G1115" s="4">
        <f t="shared" si="239"/>
        <v>10.099999999999909</v>
      </c>
      <c r="H1115" s="4">
        <f t="shared" si="240"/>
        <v>0</v>
      </c>
      <c r="I1115" s="6">
        <f t="shared" si="245"/>
        <v>17.407142857142812</v>
      </c>
      <c r="J1115" s="6">
        <f t="shared" si="246"/>
        <v>8.171428571428546</v>
      </c>
      <c r="K1115" s="4">
        <f t="shared" si="247"/>
        <v>2.1302447552447563</v>
      </c>
      <c r="L1115">
        <f t="shared" si="248"/>
        <v>68.053616308293783</v>
      </c>
      <c r="M1115" s="14" t="str">
        <f t="shared" si="241"/>
        <v/>
      </c>
      <c r="N1115" s="7">
        <f t="shared" si="242"/>
        <v>0</v>
      </c>
      <c r="O1115" s="7">
        <f t="shared" si="249"/>
        <v>0</v>
      </c>
      <c r="P1115" s="7">
        <f t="shared" si="250"/>
        <v>1</v>
      </c>
      <c r="Q1115" s="10" t="e">
        <f t="shared" si="243"/>
        <v>#N/A</v>
      </c>
      <c r="R1115" s="10" t="e">
        <f t="shared" si="244"/>
        <v>#N/A</v>
      </c>
      <c r="S1115" s="7">
        <f t="shared" si="251"/>
        <v>2162.0500000000002</v>
      </c>
      <c r="T1115" s="7">
        <f t="shared" si="252"/>
        <v>0</v>
      </c>
    </row>
    <row r="1116" spans="1:20" x14ac:dyDescent="0.25">
      <c r="A1116" s="1">
        <v>42838</v>
      </c>
      <c r="B1116">
        <v>2293</v>
      </c>
      <c r="C1116">
        <v>2293</v>
      </c>
      <c r="D1116">
        <v>2221.3000000000002</v>
      </c>
      <c r="E1116">
        <v>2227.0500000000002</v>
      </c>
      <c r="F1116">
        <v>974412</v>
      </c>
      <c r="G1116" s="4">
        <f t="shared" si="239"/>
        <v>0</v>
      </c>
      <c r="H1116" s="4">
        <f t="shared" si="240"/>
        <v>52.799999999999727</v>
      </c>
      <c r="I1116" s="6">
        <f t="shared" si="245"/>
        <v>16.735714285714266</v>
      </c>
      <c r="J1116" s="6">
        <f t="shared" si="246"/>
        <v>11.942857142857097</v>
      </c>
      <c r="K1116" s="4">
        <f t="shared" si="247"/>
        <v>1.4013157894736881</v>
      </c>
      <c r="L1116">
        <f t="shared" si="248"/>
        <v>58.356164383561712</v>
      </c>
      <c r="M1116" s="14" t="str">
        <f t="shared" si="241"/>
        <v/>
      </c>
      <c r="N1116" s="7">
        <f t="shared" si="242"/>
        <v>0</v>
      </c>
      <c r="O1116" s="7">
        <f t="shared" si="249"/>
        <v>0</v>
      </c>
      <c r="P1116" s="7">
        <f t="shared" si="250"/>
        <v>1</v>
      </c>
      <c r="Q1116" s="10" t="e">
        <f t="shared" si="243"/>
        <v>#N/A</v>
      </c>
      <c r="R1116" s="10" t="e">
        <f t="shared" si="244"/>
        <v>#N/A</v>
      </c>
      <c r="S1116" s="7">
        <f t="shared" si="251"/>
        <v>2162.0500000000002</v>
      </c>
      <c r="T1116" s="7">
        <f t="shared" si="252"/>
        <v>0</v>
      </c>
    </row>
    <row r="1117" spans="1:20" x14ac:dyDescent="0.25">
      <c r="A1117" s="1">
        <v>42839</v>
      </c>
      <c r="B1117">
        <v>2230</v>
      </c>
      <c r="C1117">
        <v>2289</v>
      </c>
      <c r="D1117">
        <v>2210.1</v>
      </c>
      <c r="E1117">
        <v>2276.0500000000002</v>
      </c>
      <c r="F1117">
        <v>948177</v>
      </c>
      <c r="G1117" s="4">
        <f t="shared" si="239"/>
        <v>49</v>
      </c>
      <c r="H1117" s="4">
        <f t="shared" si="240"/>
        <v>0</v>
      </c>
      <c r="I1117" s="6">
        <f t="shared" si="245"/>
        <v>20.235714285714266</v>
      </c>
      <c r="J1117" s="6">
        <f t="shared" si="246"/>
        <v>10.614285714285675</v>
      </c>
      <c r="K1117" s="4">
        <f t="shared" si="247"/>
        <v>1.9064602960969097</v>
      </c>
      <c r="L1117">
        <f t="shared" si="248"/>
        <v>65.593887473952364</v>
      </c>
      <c r="M1117" s="14" t="str">
        <f t="shared" si="241"/>
        <v/>
      </c>
      <c r="N1117" s="7">
        <f t="shared" si="242"/>
        <v>0</v>
      </c>
      <c r="O1117" s="7">
        <f t="shared" si="249"/>
        <v>0</v>
      </c>
      <c r="P1117" s="7">
        <f t="shared" si="250"/>
        <v>1</v>
      </c>
      <c r="Q1117" s="10" t="e">
        <f t="shared" si="243"/>
        <v>#N/A</v>
      </c>
      <c r="R1117" s="10" t="e">
        <f t="shared" si="244"/>
        <v>#N/A</v>
      </c>
      <c r="S1117" s="7">
        <f t="shared" si="251"/>
        <v>2162.0500000000002</v>
      </c>
      <c r="T1117" s="7">
        <f t="shared" si="252"/>
        <v>0</v>
      </c>
    </row>
    <row r="1118" spans="1:20" x14ac:dyDescent="0.25">
      <c r="A1118" s="1">
        <v>42842</v>
      </c>
      <c r="B1118">
        <v>2284.9</v>
      </c>
      <c r="C1118">
        <v>2299</v>
      </c>
      <c r="D1118">
        <v>2262</v>
      </c>
      <c r="E1118">
        <v>2292.4</v>
      </c>
      <c r="F1118">
        <v>577837</v>
      </c>
      <c r="G1118" s="4">
        <f t="shared" si="239"/>
        <v>16.349999999999909</v>
      </c>
      <c r="H1118" s="4">
        <f t="shared" si="240"/>
        <v>0</v>
      </c>
      <c r="I1118" s="6">
        <f t="shared" si="245"/>
        <v>21.403571428571404</v>
      </c>
      <c r="J1118" s="6">
        <f t="shared" si="246"/>
        <v>9.7928571428571036</v>
      </c>
      <c r="K1118" s="4">
        <f t="shared" si="247"/>
        <v>2.1856309263311515</v>
      </c>
      <c r="L1118">
        <f t="shared" si="248"/>
        <v>68.60904407555816</v>
      </c>
      <c r="M1118" s="14" t="str">
        <f t="shared" si="241"/>
        <v/>
      </c>
      <c r="N1118" s="7">
        <f t="shared" si="242"/>
        <v>0</v>
      </c>
      <c r="O1118" s="7">
        <f t="shared" si="249"/>
        <v>0</v>
      </c>
      <c r="P1118" s="7">
        <f t="shared" si="250"/>
        <v>1</v>
      </c>
      <c r="Q1118" s="10" t="e">
        <f t="shared" si="243"/>
        <v>#N/A</v>
      </c>
      <c r="R1118" s="10" t="e">
        <f t="shared" si="244"/>
        <v>#N/A</v>
      </c>
      <c r="S1118" s="7">
        <f t="shared" si="251"/>
        <v>2162.0500000000002</v>
      </c>
      <c r="T1118" s="7">
        <f t="shared" si="252"/>
        <v>0</v>
      </c>
    </row>
    <row r="1119" spans="1:20" x14ac:dyDescent="0.25">
      <c r="A1119" s="1">
        <v>42843</v>
      </c>
      <c r="B1119">
        <v>2293</v>
      </c>
      <c r="C1119">
        <v>2299.9</v>
      </c>
      <c r="D1119">
        <v>2254.0500000000002</v>
      </c>
      <c r="E1119">
        <v>2268.85</v>
      </c>
      <c r="F1119">
        <v>631367</v>
      </c>
      <c r="G1119" s="4">
        <f t="shared" si="239"/>
        <v>0</v>
      </c>
      <c r="H1119" s="4">
        <f t="shared" si="240"/>
        <v>23.550000000000182</v>
      </c>
      <c r="I1119" s="6">
        <f t="shared" si="245"/>
        <v>21.403571428571404</v>
      </c>
      <c r="J1119" s="6">
        <f t="shared" si="246"/>
        <v>11.385714285714259</v>
      </c>
      <c r="K1119" s="4">
        <f t="shared" si="247"/>
        <v>1.8798619824341301</v>
      </c>
      <c r="L1119">
        <f t="shared" si="248"/>
        <v>65.276113713103172</v>
      </c>
      <c r="M1119" s="14" t="str">
        <f t="shared" si="241"/>
        <v/>
      </c>
      <c r="N1119" s="7">
        <f t="shared" si="242"/>
        <v>0</v>
      </c>
      <c r="O1119" s="7">
        <f t="shared" si="249"/>
        <v>0</v>
      </c>
      <c r="P1119" s="7">
        <f t="shared" si="250"/>
        <v>1</v>
      </c>
      <c r="Q1119" s="10" t="e">
        <f t="shared" si="243"/>
        <v>#N/A</v>
      </c>
      <c r="R1119" s="10" t="e">
        <f t="shared" si="244"/>
        <v>#N/A</v>
      </c>
      <c r="S1119" s="7">
        <f t="shared" si="251"/>
        <v>2162.0500000000002</v>
      </c>
      <c r="T1119" s="7">
        <f t="shared" si="252"/>
        <v>0</v>
      </c>
    </row>
    <row r="1120" spans="1:20" x14ac:dyDescent="0.25">
      <c r="A1120" s="1">
        <v>42844</v>
      </c>
      <c r="B1120">
        <v>2269</v>
      </c>
      <c r="C1120">
        <v>2319.5</v>
      </c>
      <c r="D1120">
        <v>2255</v>
      </c>
      <c r="E1120">
        <v>2309.0500000000002</v>
      </c>
      <c r="F1120">
        <v>739550</v>
      </c>
      <c r="G1120" s="4">
        <f t="shared" si="239"/>
        <v>40.200000000000273</v>
      </c>
      <c r="H1120" s="4">
        <f t="shared" si="240"/>
        <v>0</v>
      </c>
      <c r="I1120" s="6">
        <f t="shared" si="245"/>
        <v>24.274999999999995</v>
      </c>
      <c r="J1120" s="6">
        <f t="shared" si="246"/>
        <v>8.5749999999999797</v>
      </c>
      <c r="K1120" s="4">
        <f t="shared" si="247"/>
        <v>2.8309037900874698</v>
      </c>
      <c r="L1120">
        <f t="shared" si="248"/>
        <v>73.896499238965035</v>
      </c>
      <c r="M1120" s="14" t="str">
        <f t="shared" si="241"/>
        <v>OVERBOUGHT</v>
      </c>
      <c r="N1120" s="7" t="str">
        <f t="shared" si="242"/>
        <v>SELL</v>
      </c>
      <c r="O1120" s="7" t="str">
        <f t="shared" si="249"/>
        <v>SELL</v>
      </c>
      <c r="P1120" s="7">
        <f t="shared" si="250"/>
        <v>-1</v>
      </c>
      <c r="Q1120" s="10" t="e">
        <f t="shared" si="243"/>
        <v>#N/A</v>
      </c>
      <c r="R1120" s="10">
        <f t="shared" si="244"/>
        <v>2309.0500000000002</v>
      </c>
      <c r="S1120" s="7">
        <f t="shared" si="251"/>
        <v>2309.0500000000002</v>
      </c>
      <c r="T1120" s="7">
        <f t="shared" si="252"/>
        <v>6.7991027034527404E-2</v>
      </c>
    </row>
    <row r="1121" spans="1:20" x14ac:dyDescent="0.25">
      <c r="A1121" s="1">
        <v>42845</v>
      </c>
      <c r="B1121">
        <v>2310</v>
      </c>
      <c r="C1121">
        <v>2320</v>
      </c>
      <c r="D1121">
        <v>2293</v>
      </c>
      <c r="E1121">
        <v>2310.5500000000002</v>
      </c>
      <c r="F1121">
        <v>514211</v>
      </c>
      <c r="G1121" s="4">
        <f t="shared" si="239"/>
        <v>1.5</v>
      </c>
      <c r="H1121" s="4">
        <f t="shared" si="240"/>
        <v>0</v>
      </c>
      <c r="I1121" s="6">
        <f t="shared" si="245"/>
        <v>23.317857142857129</v>
      </c>
      <c r="J1121" s="6">
        <f t="shared" si="246"/>
        <v>8.5749999999999797</v>
      </c>
      <c r="K1121" s="4">
        <f t="shared" si="247"/>
        <v>2.7192836318200797</v>
      </c>
      <c r="L1121">
        <f t="shared" si="248"/>
        <v>73.113101903695451</v>
      </c>
      <c r="M1121" s="14" t="str">
        <f t="shared" si="241"/>
        <v>OVERBOUGHT</v>
      </c>
      <c r="N1121" s="7" t="str">
        <f t="shared" si="242"/>
        <v>SELL</v>
      </c>
      <c r="O1121" s="7">
        <f t="shared" si="249"/>
        <v>0</v>
      </c>
      <c r="P1121" s="7">
        <f t="shared" si="250"/>
        <v>-1</v>
      </c>
      <c r="Q1121" s="10" t="e">
        <f t="shared" si="243"/>
        <v>#N/A</v>
      </c>
      <c r="R1121" s="10" t="e">
        <f t="shared" si="244"/>
        <v>#N/A</v>
      </c>
      <c r="S1121" s="7">
        <f t="shared" si="251"/>
        <v>2309.0500000000002</v>
      </c>
      <c r="T1121" s="7">
        <f t="shared" si="252"/>
        <v>0</v>
      </c>
    </row>
    <row r="1122" spans="1:20" x14ac:dyDescent="0.25">
      <c r="A1122" s="1">
        <v>42846</v>
      </c>
      <c r="B1122">
        <v>2296</v>
      </c>
      <c r="C1122">
        <v>2344.15</v>
      </c>
      <c r="D1122">
        <v>2291.15</v>
      </c>
      <c r="E1122">
        <v>2307.65</v>
      </c>
      <c r="F1122">
        <v>1018091</v>
      </c>
      <c r="G1122" s="4">
        <f t="shared" si="239"/>
        <v>0</v>
      </c>
      <c r="H1122" s="4">
        <f t="shared" si="240"/>
        <v>2.9000000000000909</v>
      </c>
      <c r="I1122" s="6">
        <f t="shared" si="245"/>
        <v>23.317857142857129</v>
      </c>
      <c r="J1122" s="6">
        <f t="shared" si="246"/>
        <v>7.3607142857142662</v>
      </c>
      <c r="K1122" s="4">
        <f t="shared" si="247"/>
        <v>3.1678796700630825</v>
      </c>
      <c r="L1122">
        <f t="shared" si="248"/>
        <v>76.006984866123432</v>
      </c>
      <c r="M1122" s="14" t="str">
        <f t="shared" si="241"/>
        <v>OVERBOUGHT</v>
      </c>
      <c r="N1122" s="7" t="str">
        <f t="shared" si="242"/>
        <v>SELL</v>
      </c>
      <c r="O1122" s="7">
        <f t="shared" si="249"/>
        <v>0</v>
      </c>
      <c r="P1122" s="7">
        <f t="shared" si="250"/>
        <v>-1</v>
      </c>
      <c r="Q1122" s="10" t="e">
        <f t="shared" si="243"/>
        <v>#N/A</v>
      </c>
      <c r="R1122" s="10" t="e">
        <f t="shared" si="244"/>
        <v>#N/A</v>
      </c>
      <c r="S1122" s="7">
        <f t="shared" si="251"/>
        <v>2309.0500000000002</v>
      </c>
      <c r="T1122" s="7">
        <f t="shared" si="252"/>
        <v>0</v>
      </c>
    </row>
    <row r="1123" spans="1:20" x14ac:dyDescent="0.25">
      <c r="A1123" s="1">
        <v>42849</v>
      </c>
      <c r="B1123">
        <v>2317</v>
      </c>
      <c r="C1123">
        <v>2406.9</v>
      </c>
      <c r="D1123">
        <v>2315</v>
      </c>
      <c r="E1123">
        <v>2399.5500000000002</v>
      </c>
      <c r="F1123">
        <v>1529418</v>
      </c>
      <c r="G1123" s="4">
        <f t="shared" si="239"/>
        <v>91.900000000000091</v>
      </c>
      <c r="H1123" s="4">
        <f t="shared" si="240"/>
        <v>0</v>
      </c>
      <c r="I1123" s="6">
        <f t="shared" si="245"/>
        <v>27.771428571428551</v>
      </c>
      <c r="J1123" s="6">
        <f t="shared" si="246"/>
        <v>7.3607142857142662</v>
      </c>
      <c r="K1123" s="4">
        <f t="shared" si="247"/>
        <v>3.7729257641921468</v>
      </c>
      <c r="L1123">
        <f t="shared" si="248"/>
        <v>79.048490393412663</v>
      </c>
      <c r="M1123" s="14" t="str">
        <f t="shared" si="241"/>
        <v>OVERBOUGHT</v>
      </c>
      <c r="N1123" s="7" t="str">
        <f t="shared" si="242"/>
        <v>SELL</v>
      </c>
      <c r="O1123" s="7">
        <f t="shared" si="249"/>
        <v>0</v>
      </c>
      <c r="P1123" s="7">
        <f t="shared" si="250"/>
        <v>-1</v>
      </c>
      <c r="Q1123" s="10" t="e">
        <f t="shared" si="243"/>
        <v>#N/A</v>
      </c>
      <c r="R1123" s="10" t="e">
        <f t="shared" si="244"/>
        <v>#N/A</v>
      </c>
      <c r="S1123" s="7">
        <f t="shared" si="251"/>
        <v>2309.0500000000002</v>
      </c>
      <c r="T1123" s="7">
        <f t="shared" si="252"/>
        <v>0</v>
      </c>
    </row>
    <row r="1124" spans="1:20" x14ac:dyDescent="0.25">
      <c r="A1124" s="1">
        <v>42850</v>
      </c>
      <c r="B1124">
        <v>2400.5500000000002</v>
      </c>
      <c r="C1124">
        <v>2435</v>
      </c>
      <c r="D1124">
        <v>2376.6</v>
      </c>
      <c r="E1124">
        <v>2425.4</v>
      </c>
      <c r="F1124">
        <v>1073235</v>
      </c>
      <c r="G1124" s="4">
        <f t="shared" si="239"/>
        <v>25.849999999999909</v>
      </c>
      <c r="H1124" s="4">
        <f t="shared" si="240"/>
        <v>0</v>
      </c>
      <c r="I1124" s="6">
        <f t="shared" si="245"/>
        <v>26.449999999999982</v>
      </c>
      <c r="J1124" s="6">
        <f t="shared" si="246"/>
        <v>7.3607142857142662</v>
      </c>
      <c r="K1124" s="4">
        <f t="shared" si="247"/>
        <v>3.5934012615235393</v>
      </c>
      <c r="L1124">
        <f t="shared" si="248"/>
        <v>78.229639801415473</v>
      </c>
      <c r="M1124" s="14" t="str">
        <f t="shared" si="241"/>
        <v>OVERBOUGHT</v>
      </c>
      <c r="N1124" s="7" t="str">
        <f t="shared" si="242"/>
        <v>SELL</v>
      </c>
      <c r="O1124" s="7">
        <f t="shared" si="249"/>
        <v>0</v>
      </c>
      <c r="P1124" s="7">
        <f t="shared" si="250"/>
        <v>-1</v>
      </c>
      <c r="Q1124" s="10" t="e">
        <f t="shared" si="243"/>
        <v>#N/A</v>
      </c>
      <c r="R1124" s="10" t="e">
        <f t="shared" si="244"/>
        <v>#N/A</v>
      </c>
      <c r="S1124" s="7">
        <f t="shared" si="251"/>
        <v>2309.0500000000002</v>
      </c>
      <c r="T1124" s="7">
        <f t="shared" si="252"/>
        <v>0</v>
      </c>
    </row>
    <row r="1125" spans="1:20" x14ac:dyDescent="0.25">
      <c r="A1125" s="1">
        <v>42851</v>
      </c>
      <c r="B1125">
        <v>2418.9</v>
      </c>
      <c r="C1125">
        <v>2419</v>
      </c>
      <c r="D1125">
        <v>2382.3000000000002</v>
      </c>
      <c r="E1125">
        <v>2390.75</v>
      </c>
      <c r="F1125">
        <v>546395</v>
      </c>
      <c r="G1125" s="4">
        <f t="shared" si="239"/>
        <v>0</v>
      </c>
      <c r="H1125" s="4">
        <f t="shared" si="240"/>
        <v>34.650000000000091</v>
      </c>
      <c r="I1125" s="6">
        <f t="shared" si="245"/>
        <v>22.964285714285715</v>
      </c>
      <c r="J1125" s="6">
        <f t="shared" si="246"/>
        <v>9.835714285714273</v>
      </c>
      <c r="K1125" s="4">
        <f t="shared" si="247"/>
        <v>2.3347857661583182</v>
      </c>
      <c r="L1125">
        <f t="shared" si="248"/>
        <v>70.013066202090613</v>
      </c>
      <c r="M1125" s="14" t="str">
        <f t="shared" si="241"/>
        <v>OVERBOUGHT</v>
      </c>
      <c r="N1125" s="7" t="str">
        <f t="shared" si="242"/>
        <v>SELL</v>
      </c>
      <c r="O1125" s="7">
        <f t="shared" si="249"/>
        <v>0</v>
      </c>
      <c r="P1125" s="7">
        <f t="shared" si="250"/>
        <v>-1</v>
      </c>
      <c r="Q1125" s="10" t="e">
        <f t="shared" si="243"/>
        <v>#N/A</v>
      </c>
      <c r="R1125" s="10" t="e">
        <f t="shared" si="244"/>
        <v>#N/A</v>
      </c>
      <c r="S1125" s="7">
        <f t="shared" si="251"/>
        <v>2309.0500000000002</v>
      </c>
      <c r="T1125" s="7">
        <f t="shared" si="252"/>
        <v>0</v>
      </c>
    </row>
    <row r="1126" spans="1:20" x14ac:dyDescent="0.25">
      <c r="A1126" s="1">
        <v>42852</v>
      </c>
      <c r="B1126">
        <v>2400</v>
      </c>
      <c r="C1126">
        <v>2411.75</v>
      </c>
      <c r="D1126">
        <v>2383.5</v>
      </c>
      <c r="E1126">
        <v>2401.6</v>
      </c>
      <c r="F1126">
        <v>453870</v>
      </c>
      <c r="G1126" s="4">
        <f t="shared" si="239"/>
        <v>10.849999999999909</v>
      </c>
      <c r="H1126" s="4">
        <f t="shared" si="240"/>
        <v>0</v>
      </c>
      <c r="I1126" s="6">
        <f t="shared" si="245"/>
        <v>21.567857142857129</v>
      </c>
      <c r="J1126" s="6">
        <f t="shared" si="246"/>
        <v>9.835714285714273</v>
      </c>
      <c r="K1126" s="4">
        <f t="shared" si="247"/>
        <v>2.1928104575163414</v>
      </c>
      <c r="L1126">
        <f t="shared" si="248"/>
        <v>68.679631525076786</v>
      </c>
      <c r="M1126" s="14" t="str">
        <f t="shared" si="241"/>
        <v/>
      </c>
      <c r="N1126" s="7">
        <f t="shared" si="242"/>
        <v>0</v>
      </c>
      <c r="O1126" s="7">
        <f t="shared" si="249"/>
        <v>0</v>
      </c>
      <c r="P1126" s="7">
        <f t="shared" si="250"/>
        <v>-1</v>
      </c>
      <c r="Q1126" s="10" t="e">
        <f t="shared" si="243"/>
        <v>#N/A</v>
      </c>
      <c r="R1126" s="10" t="e">
        <f t="shared" si="244"/>
        <v>#N/A</v>
      </c>
      <c r="S1126" s="7">
        <f t="shared" si="251"/>
        <v>2309.0500000000002</v>
      </c>
      <c r="T1126" s="7">
        <f t="shared" si="252"/>
        <v>0</v>
      </c>
    </row>
    <row r="1127" spans="1:20" x14ac:dyDescent="0.25">
      <c r="A1127" s="1">
        <v>42853</v>
      </c>
      <c r="B1127">
        <v>2399</v>
      </c>
      <c r="C1127">
        <v>2445</v>
      </c>
      <c r="D1127">
        <v>2392</v>
      </c>
      <c r="E1127">
        <v>2417.9</v>
      </c>
      <c r="F1127">
        <v>763381</v>
      </c>
      <c r="G1127" s="4">
        <f t="shared" si="239"/>
        <v>16.300000000000182</v>
      </c>
      <c r="H1127" s="4">
        <f t="shared" si="240"/>
        <v>0</v>
      </c>
      <c r="I1127" s="6">
        <f t="shared" si="245"/>
        <v>22.732142857142858</v>
      </c>
      <c r="J1127" s="6">
        <f t="shared" si="246"/>
        <v>8.1357142857142914</v>
      </c>
      <c r="K1127" s="4">
        <f t="shared" si="247"/>
        <v>2.7941176470588216</v>
      </c>
      <c r="L1127">
        <f t="shared" si="248"/>
        <v>73.64341085271316</v>
      </c>
      <c r="M1127" s="14" t="str">
        <f t="shared" si="241"/>
        <v>OVERBOUGHT</v>
      </c>
      <c r="N1127" s="7" t="str">
        <f t="shared" si="242"/>
        <v>SELL</v>
      </c>
      <c r="O1127" s="7">
        <f t="shared" si="249"/>
        <v>0</v>
      </c>
      <c r="P1127" s="7">
        <f t="shared" si="250"/>
        <v>-1</v>
      </c>
      <c r="Q1127" s="10" t="e">
        <f t="shared" si="243"/>
        <v>#N/A</v>
      </c>
      <c r="R1127" s="10" t="e">
        <f t="shared" si="244"/>
        <v>#N/A</v>
      </c>
      <c r="S1127" s="7">
        <f t="shared" si="251"/>
        <v>2309.0500000000002</v>
      </c>
      <c r="T1127" s="7">
        <f t="shared" si="252"/>
        <v>0</v>
      </c>
    </row>
    <row r="1128" spans="1:20" x14ac:dyDescent="0.25">
      <c r="A1128" s="1">
        <v>42856</v>
      </c>
      <c r="B1128">
        <v>2412.4</v>
      </c>
      <c r="C1128">
        <v>2425.5</v>
      </c>
      <c r="D1128">
        <v>2401</v>
      </c>
      <c r="E1128">
        <v>2410.5</v>
      </c>
      <c r="F1128">
        <v>268068</v>
      </c>
      <c r="G1128" s="4">
        <f t="shared" si="239"/>
        <v>0</v>
      </c>
      <c r="H1128" s="4">
        <f t="shared" si="240"/>
        <v>7.4000000000000909</v>
      </c>
      <c r="I1128" s="6">
        <f t="shared" si="245"/>
        <v>18.717857142857156</v>
      </c>
      <c r="J1128" s="6">
        <f t="shared" si="246"/>
        <v>8.664285714285727</v>
      </c>
      <c r="K1128" s="4">
        <f t="shared" si="247"/>
        <v>2.1603462489694953</v>
      </c>
      <c r="L1128">
        <f t="shared" si="248"/>
        <v>68.35789748271813</v>
      </c>
      <c r="M1128" s="14" t="str">
        <f t="shared" si="241"/>
        <v/>
      </c>
      <c r="N1128" s="7">
        <f t="shared" si="242"/>
        <v>0</v>
      </c>
      <c r="O1128" s="7">
        <f t="shared" si="249"/>
        <v>0</v>
      </c>
      <c r="P1128" s="7">
        <f t="shared" si="250"/>
        <v>-1</v>
      </c>
      <c r="Q1128" s="10" t="e">
        <f t="shared" si="243"/>
        <v>#N/A</v>
      </c>
      <c r="R1128" s="10" t="e">
        <f t="shared" si="244"/>
        <v>#N/A</v>
      </c>
      <c r="S1128" s="7">
        <f t="shared" si="251"/>
        <v>2309.0500000000002</v>
      </c>
      <c r="T1128" s="7">
        <f t="shared" si="252"/>
        <v>0</v>
      </c>
    </row>
    <row r="1129" spans="1:20" x14ac:dyDescent="0.25">
      <c r="A1129" s="1">
        <v>42857</v>
      </c>
      <c r="B1129">
        <v>2420.0500000000002</v>
      </c>
      <c r="C1129">
        <v>2498</v>
      </c>
      <c r="D1129">
        <v>2410.4</v>
      </c>
      <c r="E1129">
        <v>2488.5500000000002</v>
      </c>
      <c r="F1129">
        <v>1102451</v>
      </c>
      <c r="G1129" s="4">
        <f t="shared" si="239"/>
        <v>78.050000000000182</v>
      </c>
      <c r="H1129" s="4">
        <f t="shared" si="240"/>
        <v>0</v>
      </c>
      <c r="I1129" s="6">
        <f t="shared" si="245"/>
        <v>23.571428571428605</v>
      </c>
      <c r="J1129" s="6">
        <f t="shared" si="246"/>
        <v>8.664285714285727</v>
      </c>
      <c r="K1129" s="4">
        <f t="shared" si="247"/>
        <v>2.720527617477329</v>
      </c>
      <c r="L1129">
        <f t="shared" si="248"/>
        <v>73.122091734987805</v>
      </c>
      <c r="M1129" s="14" t="str">
        <f t="shared" si="241"/>
        <v>OVERBOUGHT</v>
      </c>
      <c r="N1129" s="7" t="str">
        <f t="shared" si="242"/>
        <v>SELL</v>
      </c>
      <c r="O1129" s="7">
        <f t="shared" si="249"/>
        <v>0</v>
      </c>
      <c r="P1129" s="7">
        <f t="shared" si="250"/>
        <v>-1</v>
      </c>
      <c r="Q1129" s="10" t="e">
        <f t="shared" si="243"/>
        <v>#N/A</v>
      </c>
      <c r="R1129" s="10" t="e">
        <f t="shared" si="244"/>
        <v>#N/A</v>
      </c>
      <c r="S1129" s="7">
        <f t="shared" si="251"/>
        <v>2309.0500000000002</v>
      </c>
      <c r="T1129" s="7">
        <f t="shared" si="252"/>
        <v>0</v>
      </c>
    </row>
    <row r="1130" spans="1:20" x14ac:dyDescent="0.25">
      <c r="A1130" s="1">
        <v>42858</v>
      </c>
      <c r="B1130">
        <v>2484.9499999999998</v>
      </c>
      <c r="C1130">
        <v>2486.15</v>
      </c>
      <c r="D1130">
        <v>2433.25</v>
      </c>
      <c r="E1130">
        <v>2449.4499999999998</v>
      </c>
      <c r="F1130">
        <v>1250294</v>
      </c>
      <c r="G1130" s="4">
        <f t="shared" si="239"/>
        <v>0</v>
      </c>
      <c r="H1130" s="4">
        <f t="shared" si="240"/>
        <v>39.100000000000364</v>
      </c>
      <c r="I1130" s="6">
        <f t="shared" si="245"/>
        <v>23.571428571428605</v>
      </c>
      <c r="J1130" s="6">
        <f t="shared" si="246"/>
        <v>7.6857142857143446</v>
      </c>
      <c r="K1130" s="4">
        <f t="shared" si="247"/>
        <v>3.0669144981412448</v>
      </c>
      <c r="L1130">
        <f t="shared" si="248"/>
        <v>75.411334552102261</v>
      </c>
      <c r="M1130" s="14" t="str">
        <f t="shared" si="241"/>
        <v>OVERBOUGHT</v>
      </c>
      <c r="N1130" s="7" t="str">
        <f t="shared" si="242"/>
        <v>SELL</v>
      </c>
      <c r="O1130" s="7">
        <f t="shared" si="249"/>
        <v>0</v>
      </c>
      <c r="P1130" s="7">
        <f t="shared" si="250"/>
        <v>-1</v>
      </c>
      <c r="Q1130" s="10" t="e">
        <f t="shared" si="243"/>
        <v>#N/A</v>
      </c>
      <c r="R1130" s="10" t="e">
        <f t="shared" si="244"/>
        <v>#N/A</v>
      </c>
      <c r="S1130" s="7">
        <f t="shared" si="251"/>
        <v>2309.0500000000002</v>
      </c>
      <c r="T1130" s="7">
        <f t="shared" si="252"/>
        <v>0</v>
      </c>
    </row>
    <row r="1131" spans="1:20" x14ac:dyDescent="0.25">
      <c r="A1131" s="1">
        <v>42859</v>
      </c>
      <c r="B1131">
        <v>2470</v>
      </c>
      <c r="C1131">
        <v>2472.65</v>
      </c>
      <c r="D1131">
        <v>2381.6</v>
      </c>
      <c r="E1131">
        <v>2398.15</v>
      </c>
      <c r="F1131">
        <v>777121</v>
      </c>
      <c r="G1131" s="4">
        <f t="shared" si="239"/>
        <v>0</v>
      </c>
      <c r="H1131" s="4">
        <f t="shared" si="240"/>
        <v>51.299999999999727</v>
      </c>
      <c r="I1131" s="6">
        <f t="shared" si="245"/>
        <v>20.071428571428605</v>
      </c>
      <c r="J1131" s="6">
        <f t="shared" si="246"/>
        <v>11.350000000000039</v>
      </c>
      <c r="K1131" s="4">
        <f t="shared" si="247"/>
        <v>1.7684078036500914</v>
      </c>
      <c r="L1131">
        <f t="shared" si="248"/>
        <v>63.87815412593767</v>
      </c>
      <c r="M1131" s="14" t="str">
        <f t="shared" si="241"/>
        <v/>
      </c>
      <c r="N1131" s="7">
        <f t="shared" si="242"/>
        <v>0</v>
      </c>
      <c r="O1131" s="7">
        <f t="shared" si="249"/>
        <v>0</v>
      </c>
      <c r="P1131" s="7">
        <f t="shared" si="250"/>
        <v>-1</v>
      </c>
      <c r="Q1131" s="10" t="e">
        <f t="shared" si="243"/>
        <v>#N/A</v>
      </c>
      <c r="R1131" s="10" t="e">
        <f t="shared" si="244"/>
        <v>#N/A</v>
      </c>
      <c r="S1131" s="7">
        <f t="shared" si="251"/>
        <v>2309.0500000000002</v>
      </c>
      <c r="T1131" s="7">
        <f t="shared" si="252"/>
        <v>0</v>
      </c>
    </row>
    <row r="1132" spans="1:20" x14ac:dyDescent="0.25">
      <c r="A1132" s="1">
        <v>42860</v>
      </c>
      <c r="B1132">
        <v>2399.5500000000002</v>
      </c>
      <c r="C1132">
        <v>2419.6</v>
      </c>
      <c r="D1132">
        <v>2335</v>
      </c>
      <c r="E1132">
        <v>2351.8000000000002</v>
      </c>
      <c r="F1132">
        <v>995281</v>
      </c>
      <c r="G1132" s="4">
        <f t="shared" si="239"/>
        <v>0</v>
      </c>
      <c r="H1132" s="4">
        <f t="shared" si="240"/>
        <v>46.349999999999909</v>
      </c>
      <c r="I1132" s="6">
        <f t="shared" si="245"/>
        <v>18.903571428571468</v>
      </c>
      <c r="J1132" s="6">
        <f t="shared" si="246"/>
        <v>14.660714285714318</v>
      </c>
      <c r="K1132" s="4">
        <f t="shared" si="247"/>
        <v>1.2894031668696708</v>
      </c>
      <c r="L1132">
        <f t="shared" si="248"/>
        <v>56.320493722068527</v>
      </c>
      <c r="M1132" s="14" t="str">
        <f t="shared" si="241"/>
        <v/>
      </c>
      <c r="N1132" s="7">
        <f t="shared" si="242"/>
        <v>0</v>
      </c>
      <c r="O1132" s="7">
        <f t="shared" si="249"/>
        <v>0</v>
      </c>
      <c r="P1132" s="7">
        <f t="shared" si="250"/>
        <v>-1</v>
      </c>
      <c r="Q1132" s="10" t="e">
        <f t="shared" si="243"/>
        <v>#N/A</v>
      </c>
      <c r="R1132" s="10" t="e">
        <f t="shared" si="244"/>
        <v>#N/A</v>
      </c>
      <c r="S1132" s="7">
        <f t="shared" si="251"/>
        <v>2309.0500000000002</v>
      </c>
      <c r="T1132" s="7">
        <f t="shared" si="252"/>
        <v>0</v>
      </c>
    </row>
    <row r="1133" spans="1:20" x14ac:dyDescent="0.25">
      <c r="A1133" s="1">
        <v>42863</v>
      </c>
      <c r="B1133">
        <v>2371</v>
      </c>
      <c r="C1133">
        <v>2410</v>
      </c>
      <c r="D1133">
        <v>2361.1</v>
      </c>
      <c r="E1133">
        <v>2394.4499999999998</v>
      </c>
      <c r="F1133">
        <v>664723</v>
      </c>
      <c r="G1133" s="4">
        <f t="shared" si="239"/>
        <v>42.649999999999636</v>
      </c>
      <c r="H1133" s="4">
        <f t="shared" si="240"/>
        <v>0</v>
      </c>
      <c r="I1133" s="6">
        <f t="shared" si="245"/>
        <v>21.950000000000014</v>
      </c>
      <c r="J1133" s="6">
        <f t="shared" si="246"/>
        <v>12.978571428571447</v>
      </c>
      <c r="K1133" s="4">
        <f t="shared" si="247"/>
        <v>1.6912493120528329</v>
      </c>
      <c r="L1133">
        <f t="shared" si="248"/>
        <v>62.84253578732104</v>
      </c>
      <c r="M1133" s="14" t="str">
        <f t="shared" si="241"/>
        <v/>
      </c>
      <c r="N1133" s="7">
        <f t="shared" si="242"/>
        <v>0</v>
      </c>
      <c r="O1133" s="7">
        <f t="shared" si="249"/>
        <v>0</v>
      </c>
      <c r="P1133" s="7">
        <f t="shared" si="250"/>
        <v>-1</v>
      </c>
      <c r="Q1133" s="10" t="e">
        <f t="shared" si="243"/>
        <v>#N/A</v>
      </c>
      <c r="R1133" s="10" t="e">
        <f t="shared" si="244"/>
        <v>#N/A</v>
      </c>
      <c r="S1133" s="7">
        <f t="shared" si="251"/>
        <v>2309.0500000000002</v>
      </c>
      <c r="T1133" s="7">
        <f t="shared" si="252"/>
        <v>0</v>
      </c>
    </row>
    <row r="1134" spans="1:20" x14ac:dyDescent="0.25">
      <c r="A1134" s="1">
        <v>42864</v>
      </c>
      <c r="B1134">
        <v>2418.8000000000002</v>
      </c>
      <c r="C1134">
        <v>2439</v>
      </c>
      <c r="D1134">
        <v>2385.25</v>
      </c>
      <c r="E1134">
        <v>2426.25</v>
      </c>
      <c r="F1134">
        <v>793962</v>
      </c>
      <c r="G1134" s="4">
        <f t="shared" si="239"/>
        <v>31.800000000000182</v>
      </c>
      <c r="H1134" s="4">
        <f t="shared" si="240"/>
        <v>0</v>
      </c>
      <c r="I1134" s="6">
        <f t="shared" si="245"/>
        <v>21.350000000000005</v>
      </c>
      <c r="J1134" s="6">
        <f t="shared" si="246"/>
        <v>12.978571428571447</v>
      </c>
      <c r="K1134" s="4">
        <f t="shared" si="247"/>
        <v>1.6450192625206363</v>
      </c>
      <c r="L1134">
        <f t="shared" si="248"/>
        <v>62.19309196837284</v>
      </c>
      <c r="M1134" s="14" t="str">
        <f t="shared" si="241"/>
        <v/>
      </c>
      <c r="N1134" s="7">
        <f t="shared" si="242"/>
        <v>0</v>
      </c>
      <c r="O1134" s="7">
        <f t="shared" si="249"/>
        <v>0</v>
      </c>
      <c r="P1134" s="7">
        <f t="shared" si="250"/>
        <v>-1</v>
      </c>
      <c r="Q1134" s="10" t="e">
        <f t="shared" si="243"/>
        <v>#N/A</v>
      </c>
      <c r="R1134" s="10" t="e">
        <f t="shared" si="244"/>
        <v>#N/A</v>
      </c>
      <c r="S1134" s="7">
        <f t="shared" si="251"/>
        <v>2309.0500000000002</v>
      </c>
      <c r="T1134" s="7">
        <f t="shared" si="252"/>
        <v>0</v>
      </c>
    </row>
    <row r="1135" spans="1:20" x14ac:dyDescent="0.25">
      <c r="A1135" s="1">
        <v>42865</v>
      </c>
      <c r="B1135">
        <v>2426.1999999999998</v>
      </c>
      <c r="C1135">
        <v>2430</v>
      </c>
      <c r="D1135">
        <v>2393.75</v>
      </c>
      <c r="E1135">
        <v>2399.3000000000002</v>
      </c>
      <c r="F1135">
        <v>694828</v>
      </c>
      <c r="G1135" s="4">
        <f t="shared" si="239"/>
        <v>0</v>
      </c>
      <c r="H1135" s="4">
        <f t="shared" si="240"/>
        <v>26.949999999999818</v>
      </c>
      <c r="I1135" s="6">
        <f t="shared" si="245"/>
        <v>21.242857142857151</v>
      </c>
      <c r="J1135" s="6">
        <f t="shared" si="246"/>
        <v>14.903571428571436</v>
      </c>
      <c r="K1135" s="4">
        <f t="shared" si="247"/>
        <v>1.4253534627366402</v>
      </c>
      <c r="L1135">
        <f t="shared" si="248"/>
        <v>58.768896354115206</v>
      </c>
      <c r="M1135" s="14" t="str">
        <f t="shared" si="241"/>
        <v/>
      </c>
      <c r="N1135" s="7">
        <f t="shared" si="242"/>
        <v>0</v>
      </c>
      <c r="O1135" s="7">
        <f t="shared" si="249"/>
        <v>0</v>
      </c>
      <c r="P1135" s="7">
        <f t="shared" si="250"/>
        <v>-1</v>
      </c>
      <c r="Q1135" s="10" t="e">
        <f t="shared" si="243"/>
        <v>#N/A</v>
      </c>
      <c r="R1135" s="10" t="e">
        <f t="shared" si="244"/>
        <v>#N/A</v>
      </c>
      <c r="S1135" s="7">
        <f t="shared" si="251"/>
        <v>2309.0500000000002</v>
      </c>
      <c r="T1135" s="7">
        <f t="shared" si="252"/>
        <v>0</v>
      </c>
    </row>
    <row r="1136" spans="1:20" x14ac:dyDescent="0.25">
      <c r="A1136" s="1">
        <v>42866</v>
      </c>
      <c r="B1136">
        <v>2409.65</v>
      </c>
      <c r="C1136">
        <v>2424</v>
      </c>
      <c r="D1136">
        <v>2386.85</v>
      </c>
      <c r="E1136">
        <v>2401.85</v>
      </c>
      <c r="F1136">
        <v>703620</v>
      </c>
      <c r="G1136" s="4">
        <f t="shared" si="239"/>
        <v>2.5499999999997272</v>
      </c>
      <c r="H1136" s="4">
        <f t="shared" si="240"/>
        <v>0</v>
      </c>
      <c r="I1136" s="6">
        <f t="shared" si="245"/>
        <v>21.424999999999986</v>
      </c>
      <c r="J1136" s="6">
        <f t="shared" si="246"/>
        <v>14.696428571428571</v>
      </c>
      <c r="K1136" s="4">
        <f t="shared" si="247"/>
        <v>1.4578371810449566</v>
      </c>
      <c r="L1136">
        <f t="shared" si="248"/>
        <v>59.31382242436225</v>
      </c>
      <c r="M1136" s="14" t="str">
        <f t="shared" si="241"/>
        <v/>
      </c>
      <c r="N1136" s="7">
        <f t="shared" si="242"/>
        <v>0</v>
      </c>
      <c r="O1136" s="7">
        <f t="shared" si="249"/>
        <v>0</v>
      </c>
      <c r="P1136" s="7">
        <f t="shared" si="250"/>
        <v>-1</v>
      </c>
      <c r="Q1136" s="10" t="e">
        <f t="shared" si="243"/>
        <v>#N/A</v>
      </c>
      <c r="R1136" s="10" t="e">
        <f t="shared" si="244"/>
        <v>#N/A</v>
      </c>
      <c r="S1136" s="7">
        <f t="shared" si="251"/>
        <v>2309.0500000000002</v>
      </c>
      <c r="T1136" s="7">
        <f t="shared" si="252"/>
        <v>0</v>
      </c>
    </row>
    <row r="1137" spans="1:20" x14ac:dyDescent="0.25">
      <c r="A1137" s="1">
        <v>42867</v>
      </c>
      <c r="B1137">
        <v>2410</v>
      </c>
      <c r="C1137">
        <v>2429.8000000000002</v>
      </c>
      <c r="D1137">
        <v>2375</v>
      </c>
      <c r="E1137">
        <v>2381.9499999999998</v>
      </c>
      <c r="F1137">
        <v>895110</v>
      </c>
      <c r="G1137" s="4">
        <f t="shared" si="239"/>
        <v>0</v>
      </c>
      <c r="H1137" s="4">
        <f t="shared" si="240"/>
        <v>19.900000000000091</v>
      </c>
      <c r="I1137" s="6">
        <f t="shared" si="245"/>
        <v>14.860714285714266</v>
      </c>
      <c r="J1137" s="6">
        <f t="shared" si="246"/>
        <v>16.117857142857151</v>
      </c>
      <c r="K1137" s="4">
        <f t="shared" si="247"/>
        <v>0.92200310214934467</v>
      </c>
      <c r="L1137">
        <f t="shared" si="248"/>
        <v>47.970947659672539</v>
      </c>
      <c r="M1137" s="14" t="str">
        <f t="shared" si="241"/>
        <v/>
      </c>
      <c r="N1137" s="7">
        <f t="shared" si="242"/>
        <v>0</v>
      </c>
      <c r="O1137" s="7">
        <f t="shared" si="249"/>
        <v>0</v>
      </c>
      <c r="P1137" s="7">
        <f t="shared" si="250"/>
        <v>-1</v>
      </c>
      <c r="Q1137" s="10" t="e">
        <f t="shared" si="243"/>
        <v>#N/A</v>
      </c>
      <c r="R1137" s="10" t="e">
        <f t="shared" si="244"/>
        <v>#N/A</v>
      </c>
      <c r="S1137" s="7">
        <f t="shared" si="251"/>
        <v>2309.0500000000002</v>
      </c>
      <c r="T1137" s="7">
        <f t="shared" si="252"/>
        <v>0</v>
      </c>
    </row>
    <row r="1138" spans="1:20" x14ac:dyDescent="0.25">
      <c r="A1138" s="1">
        <v>42870</v>
      </c>
      <c r="B1138">
        <v>2452</v>
      </c>
      <c r="C1138">
        <v>2485</v>
      </c>
      <c r="D1138">
        <v>2435</v>
      </c>
      <c r="E1138">
        <v>2441.1999999999998</v>
      </c>
      <c r="F1138">
        <v>1753744</v>
      </c>
      <c r="G1138" s="4">
        <f t="shared" si="239"/>
        <v>59.25</v>
      </c>
      <c r="H1138" s="4">
        <f t="shared" si="240"/>
        <v>0</v>
      </c>
      <c r="I1138" s="6">
        <f t="shared" si="245"/>
        <v>17.246428571428559</v>
      </c>
      <c r="J1138" s="6">
        <f t="shared" si="246"/>
        <v>16.117857142857151</v>
      </c>
      <c r="K1138" s="4">
        <f t="shared" si="247"/>
        <v>1.0700199423886536</v>
      </c>
      <c r="L1138">
        <f t="shared" si="248"/>
        <v>51.691286662384897</v>
      </c>
      <c r="M1138" s="14" t="str">
        <f t="shared" si="241"/>
        <v/>
      </c>
      <c r="N1138" s="7">
        <f t="shared" si="242"/>
        <v>0</v>
      </c>
      <c r="O1138" s="7">
        <f t="shared" si="249"/>
        <v>0</v>
      </c>
      <c r="P1138" s="7">
        <f t="shared" si="250"/>
        <v>-1</v>
      </c>
      <c r="Q1138" s="10" t="e">
        <f t="shared" si="243"/>
        <v>#N/A</v>
      </c>
      <c r="R1138" s="10" t="e">
        <f t="shared" si="244"/>
        <v>#N/A</v>
      </c>
      <c r="S1138" s="7">
        <f t="shared" si="251"/>
        <v>2309.0500000000002</v>
      </c>
      <c r="T1138" s="7">
        <f t="shared" si="252"/>
        <v>0</v>
      </c>
    </row>
    <row r="1139" spans="1:20" x14ac:dyDescent="0.25">
      <c r="A1139" s="1">
        <v>42871</v>
      </c>
      <c r="B1139">
        <v>2468</v>
      </c>
      <c r="C1139">
        <v>2469.85</v>
      </c>
      <c r="D1139">
        <v>2443.0500000000002</v>
      </c>
      <c r="E1139">
        <v>2463.75</v>
      </c>
      <c r="F1139">
        <v>490536</v>
      </c>
      <c r="G1139" s="4">
        <f t="shared" si="239"/>
        <v>22.550000000000182</v>
      </c>
      <c r="H1139" s="4">
        <f t="shared" si="240"/>
        <v>0</v>
      </c>
      <c r="I1139" s="6">
        <f t="shared" si="245"/>
        <v>18.857142857142858</v>
      </c>
      <c r="J1139" s="6">
        <f t="shared" si="246"/>
        <v>13.642857142857142</v>
      </c>
      <c r="K1139" s="4">
        <f t="shared" si="247"/>
        <v>1.3821989528795813</v>
      </c>
      <c r="L1139">
        <f t="shared" si="248"/>
        <v>58.021978021978022</v>
      </c>
      <c r="M1139" s="14" t="str">
        <f t="shared" si="241"/>
        <v/>
      </c>
      <c r="N1139" s="7">
        <f t="shared" si="242"/>
        <v>0</v>
      </c>
      <c r="O1139" s="7">
        <f t="shared" si="249"/>
        <v>0</v>
      </c>
      <c r="P1139" s="7">
        <f t="shared" si="250"/>
        <v>-1</v>
      </c>
      <c r="Q1139" s="10" t="e">
        <f t="shared" si="243"/>
        <v>#N/A</v>
      </c>
      <c r="R1139" s="10" t="e">
        <f t="shared" si="244"/>
        <v>#N/A</v>
      </c>
      <c r="S1139" s="7">
        <f t="shared" si="251"/>
        <v>2309.0500000000002</v>
      </c>
      <c r="T1139" s="7">
        <f t="shared" si="252"/>
        <v>0</v>
      </c>
    </row>
    <row r="1140" spans="1:20" x14ac:dyDescent="0.25">
      <c r="A1140" s="1">
        <v>42872</v>
      </c>
      <c r="B1140">
        <v>2465</v>
      </c>
      <c r="C1140">
        <v>2540</v>
      </c>
      <c r="D1140">
        <v>2461.9</v>
      </c>
      <c r="E1140">
        <v>2532.4</v>
      </c>
      <c r="F1140">
        <v>1199508</v>
      </c>
      <c r="G1140" s="4">
        <f t="shared" si="239"/>
        <v>68.650000000000091</v>
      </c>
      <c r="H1140" s="4">
        <f t="shared" si="240"/>
        <v>0</v>
      </c>
      <c r="I1140" s="6">
        <f t="shared" si="245"/>
        <v>22.985714285714298</v>
      </c>
      <c r="J1140" s="6">
        <f t="shared" si="246"/>
        <v>13.642857142857142</v>
      </c>
      <c r="K1140" s="4">
        <f t="shared" si="247"/>
        <v>1.6848167539267025</v>
      </c>
      <c r="L1140">
        <f t="shared" si="248"/>
        <v>62.753510140405631</v>
      </c>
      <c r="M1140" s="14" t="str">
        <f t="shared" si="241"/>
        <v/>
      </c>
      <c r="N1140" s="7">
        <f t="shared" si="242"/>
        <v>0</v>
      </c>
      <c r="O1140" s="7">
        <f t="shared" si="249"/>
        <v>0</v>
      </c>
      <c r="P1140" s="7">
        <f t="shared" si="250"/>
        <v>-1</v>
      </c>
      <c r="Q1140" s="10" t="e">
        <f t="shared" si="243"/>
        <v>#N/A</v>
      </c>
      <c r="R1140" s="10" t="e">
        <f t="shared" si="244"/>
        <v>#N/A</v>
      </c>
      <c r="S1140" s="7">
        <f t="shared" si="251"/>
        <v>2309.0500000000002</v>
      </c>
      <c r="T1140" s="7">
        <f t="shared" si="252"/>
        <v>0</v>
      </c>
    </row>
    <row r="1141" spans="1:20" x14ac:dyDescent="0.25">
      <c r="A1141" s="1">
        <v>42873</v>
      </c>
      <c r="B1141">
        <v>2540</v>
      </c>
      <c r="C1141">
        <v>2596.3000000000002</v>
      </c>
      <c r="D1141">
        <v>2532.3000000000002</v>
      </c>
      <c r="E1141">
        <v>2586.15</v>
      </c>
      <c r="F1141">
        <v>1032929</v>
      </c>
      <c r="G1141" s="4">
        <f t="shared" si="239"/>
        <v>53.75</v>
      </c>
      <c r="H1141" s="4">
        <f t="shared" si="240"/>
        <v>0</v>
      </c>
      <c r="I1141" s="6">
        <f t="shared" si="245"/>
        <v>25.660714285714285</v>
      </c>
      <c r="J1141" s="6">
        <f t="shared" si="246"/>
        <v>13.642857142857142</v>
      </c>
      <c r="K1141" s="4">
        <f t="shared" si="247"/>
        <v>1.880890052356021</v>
      </c>
      <c r="L1141">
        <f t="shared" si="248"/>
        <v>65.288505224897762</v>
      </c>
      <c r="M1141" s="14" t="str">
        <f t="shared" si="241"/>
        <v/>
      </c>
      <c r="N1141" s="7">
        <f t="shared" si="242"/>
        <v>0</v>
      </c>
      <c r="O1141" s="7">
        <f t="shared" si="249"/>
        <v>0</v>
      </c>
      <c r="P1141" s="7">
        <f t="shared" si="250"/>
        <v>-1</v>
      </c>
      <c r="Q1141" s="10" t="e">
        <f t="shared" si="243"/>
        <v>#N/A</v>
      </c>
      <c r="R1141" s="10" t="e">
        <f t="shared" si="244"/>
        <v>#N/A</v>
      </c>
      <c r="S1141" s="7">
        <f t="shared" si="251"/>
        <v>2309.0500000000002</v>
      </c>
      <c r="T1141" s="7">
        <f t="shared" si="252"/>
        <v>0</v>
      </c>
    </row>
    <row r="1142" spans="1:20" x14ac:dyDescent="0.25">
      <c r="A1142" s="1">
        <v>42874</v>
      </c>
      <c r="B1142">
        <v>2594.9</v>
      </c>
      <c r="C1142">
        <v>2602</v>
      </c>
      <c r="D1142">
        <v>2567</v>
      </c>
      <c r="E1142">
        <v>2595.1999999999998</v>
      </c>
      <c r="F1142">
        <v>740709</v>
      </c>
      <c r="G1142" s="4">
        <f t="shared" si="239"/>
        <v>9.0499999999997272</v>
      </c>
      <c r="H1142" s="4">
        <f t="shared" si="240"/>
        <v>0</v>
      </c>
      <c r="I1142" s="6">
        <f t="shared" si="245"/>
        <v>26.307142857142839</v>
      </c>
      <c r="J1142" s="6">
        <f t="shared" si="246"/>
        <v>13.114285714285709</v>
      </c>
      <c r="K1142" s="4">
        <f t="shared" si="247"/>
        <v>2.0059912854030495</v>
      </c>
      <c r="L1142">
        <f t="shared" si="248"/>
        <v>66.73310382315637</v>
      </c>
      <c r="M1142" s="14" t="str">
        <f t="shared" si="241"/>
        <v/>
      </c>
      <c r="N1142" s="7">
        <f t="shared" si="242"/>
        <v>0</v>
      </c>
      <c r="O1142" s="7">
        <f t="shared" si="249"/>
        <v>0</v>
      </c>
      <c r="P1142" s="7">
        <f t="shared" si="250"/>
        <v>-1</v>
      </c>
      <c r="Q1142" s="10" t="e">
        <f t="shared" si="243"/>
        <v>#N/A</v>
      </c>
      <c r="R1142" s="10" t="e">
        <f t="shared" si="244"/>
        <v>#N/A</v>
      </c>
      <c r="S1142" s="7">
        <f t="shared" si="251"/>
        <v>2309.0500000000002</v>
      </c>
      <c r="T1142" s="7">
        <f t="shared" si="252"/>
        <v>0</v>
      </c>
    </row>
    <row r="1143" spans="1:20" x14ac:dyDescent="0.25">
      <c r="A1143" s="1">
        <v>42877</v>
      </c>
      <c r="B1143">
        <v>2594</v>
      </c>
      <c r="C1143">
        <v>2614.35</v>
      </c>
      <c r="D1143">
        <v>2567</v>
      </c>
      <c r="E1143">
        <v>2605.75</v>
      </c>
      <c r="F1143">
        <v>903457</v>
      </c>
      <c r="G1143" s="4">
        <f t="shared" si="239"/>
        <v>10.550000000000182</v>
      </c>
      <c r="H1143" s="4">
        <f t="shared" si="240"/>
        <v>0</v>
      </c>
      <c r="I1143" s="6">
        <f t="shared" si="245"/>
        <v>21.485714285714266</v>
      </c>
      <c r="J1143" s="6">
        <f t="shared" si="246"/>
        <v>13.114285714285709</v>
      </c>
      <c r="K1143" s="4">
        <f t="shared" si="247"/>
        <v>1.6383442265795198</v>
      </c>
      <c r="L1143">
        <f t="shared" si="248"/>
        <v>62.097440132122195</v>
      </c>
      <c r="M1143" s="14" t="str">
        <f t="shared" si="241"/>
        <v/>
      </c>
      <c r="N1143" s="7">
        <f t="shared" si="242"/>
        <v>0</v>
      </c>
      <c r="O1143" s="7">
        <f t="shared" si="249"/>
        <v>0</v>
      </c>
      <c r="P1143" s="7">
        <f t="shared" si="250"/>
        <v>-1</v>
      </c>
      <c r="Q1143" s="10" t="e">
        <f t="shared" si="243"/>
        <v>#N/A</v>
      </c>
      <c r="R1143" s="10" t="e">
        <f t="shared" si="244"/>
        <v>#N/A</v>
      </c>
      <c r="S1143" s="7">
        <f t="shared" si="251"/>
        <v>2309.0500000000002</v>
      </c>
      <c r="T1143" s="7">
        <f t="shared" si="252"/>
        <v>0</v>
      </c>
    </row>
    <row r="1144" spans="1:20" x14ac:dyDescent="0.25">
      <c r="A1144" s="1">
        <v>42878</v>
      </c>
      <c r="B1144">
        <v>2577.15</v>
      </c>
      <c r="C1144">
        <v>2599.65</v>
      </c>
      <c r="D1144">
        <v>2555</v>
      </c>
      <c r="E1144">
        <v>2589.3000000000002</v>
      </c>
      <c r="F1144">
        <v>657461</v>
      </c>
      <c r="G1144" s="4">
        <f t="shared" si="239"/>
        <v>0</v>
      </c>
      <c r="H1144" s="4">
        <f t="shared" si="240"/>
        <v>16.449999999999818</v>
      </c>
      <c r="I1144" s="6">
        <f t="shared" si="245"/>
        <v>21.485714285714266</v>
      </c>
      <c r="J1144" s="6">
        <f t="shared" si="246"/>
        <v>11.496428571428526</v>
      </c>
      <c r="K1144" s="4">
        <f t="shared" si="247"/>
        <v>1.8689033861447713</v>
      </c>
      <c r="L1144">
        <f t="shared" si="248"/>
        <v>65.143475906876091</v>
      </c>
      <c r="M1144" s="14" t="str">
        <f t="shared" si="241"/>
        <v/>
      </c>
      <c r="N1144" s="7">
        <f t="shared" si="242"/>
        <v>0</v>
      </c>
      <c r="O1144" s="7">
        <f t="shared" si="249"/>
        <v>0</v>
      </c>
      <c r="P1144" s="7">
        <f t="shared" si="250"/>
        <v>-1</v>
      </c>
      <c r="Q1144" s="10" t="e">
        <f t="shared" si="243"/>
        <v>#N/A</v>
      </c>
      <c r="R1144" s="10" t="e">
        <f t="shared" si="244"/>
        <v>#N/A</v>
      </c>
      <c r="S1144" s="7">
        <f t="shared" si="251"/>
        <v>2309.0500000000002</v>
      </c>
      <c r="T1144" s="7">
        <f t="shared" si="252"/>
        <v>0</v>
      </c>
    </row>
    <row r="1145" spans="1:20" x14ac:dyDescent="0.25">
      <c r="A1145" s="1">
        <v>42879</v>
      </c>
      <c r="B1145">
        <v>2584.8000000000002</v>
      </c>
      <c r="C1145">
        <v>2610</v>
      </c>
      <c r="D1145">
        <v>2572.6</v>
      </c>
      <c r="E1145">
        <v>2595.0500000000002</v>
      </c>
      <c r="F1145">
        <v>949626</v>
      </c>
      <c r="G1145" s="4">
        <f t="shared" si="239"/>
        <v>5.75</v>
      </c>
      <c r="H1145" s="4">
        <f t="shared" si="240"/>
        <v>0</v>
      </c>
      <c r="I1145" s="6">
        <f t="shared" si="245"/>
        <v>21.896428571428551</v>
      </c>
      <c r="J1145" s="6">
        <f t="shared" si="246"/>
        <v>7.8321428571428315</v>
      </c>
      <c r="K1145" s="4">
        <f t="shared" si="247"/>
        <v>2.7957136342909323</v>
      </c>
      <c r="L1145">
        <f t="shared" si="248"/>
        <v>73.654493032196115</v>
      </c>
      <c r="M1145" s="14" t="str">
        <f t="shared" si="241"/>
        <v>OVERBOUGHT</v>
      </c>
      <c r="N1145" s="7" t="str">
        <f t="shared" si="242"/>
        <v>SELL</v>
      </c>
      <c r="O1145" s="7">
        <f t="shared" si="249"/>
        <v>0</v>
      </c>
      <c r="P1145" s="7">
        <f t="shared" si="250"/>
        <v>-1</v>
      </c>
      <c r="Q1145" s="10" t="e">
        <f t="shared" si="243"/>
        <v>#N/A</v>
      </c>
      <c r="R1145" s="10" t="e">
        <f t="shared" si="244"/>
        <v>#N/A</v>
      </c>
      <c r="S1145" s="7">
        <f t="shared" si="251"/>
        <v>2309.0500000000002</v>
      </c>
      <c r="T1145" s="7">
        <f t="shared" si="252"/>
        <v>0</v>
      </c>
    </row>
    <row r="1146" spans="1:20" x14ac:dyDescent="0.25">
      <c r="A1146" s="1">
        <v>42880</v>
      </c>
      <c r="B1146">
        <v>2575.1</v>
      </c>
      <c r="C1146">
        <v>2598</v>
      </c>
      <c r="D1146">
        <v>2569.25</v>
      </c>
      <c r="E1146">
        <v>2580.0500000000002</v>
      </c>
      <c r="F1146">
        <v>1203605</v>
      </c>
      <c r="G1146" s="4">
        <f t="shared" si="239"/>
        <v>0</v>
      </c>
      <c r="H1146" s="4">
        <f t="shared" si="240"/>
        <v>15</v>
      </c>
      <c r="I1146" s="6">
        <f t="shared" si="245"/>
        <v>21.896428571428551</v>
      </c>
      <c r="J1146" s="6">
        <f t="shared" si="246"/>
        <v>5.592857142857123</v>
      </c>
      <c r="K1146" s="4">
        <f t="shared" si="247"/>
        <v>3.9150702426564599</v>
      </c>
      <c r="L1146">
        <f t="shared" si="248"/>
        <v>79.654410809406301</v>
      </c>
      <c r="M1146" s="14" t="str">
        <f t="shared" si="241"/>
        <v>OVERBOUGHT</v>
      </c>
      <c r="N1146" s="7" t="str">
        <f t="shared" si="242"/>
        <v>SELL</v>
      </c>
      <c r="O1146" s="7">
        <f t="shared" si="249"/>
        <v>0</v>
      </c>
      <c r="P1146" s="7">
        <f t="shared" si="250"/>
        <v>-1</v>
      </c>
      <c r="Q1146" s="10" t="e">
        <f t="shared" si="243"/>
        <v>#N/A</v>
      </c>
      <c r="R1146" s="10" t="e">
        <f t="shared" si="244"/>
        <v>#N/A</v>
      </c>
      <c r="S1146" s="7">
        <f t="shared" si="251"/>
        <v>2309.0500000000002</v>
      </c>
      <c r="T1146" s="7">
        <f t="shared" si="252"/>
        <v>0</v>
      </c>
    </row>
    <row r="1147" spans="1:20" x14ac:dyDescent="0.25">
      <c r="A1147" s="1">
        <v>42881</v>
      </c>
      <c r="B1147">
        <v>2575</v>
      </c>
      <c r="C1147">
        <v>2587.9499999999998</v>
      </c>
      <c r="D1147">
        <v>2510</v>
      </c>
      <c r="E1147">
        <v>2516.4</v>
      </c>
      <c r="F1147">
        <v>1190941</v>
      </c>
      <c r="G1147" s="4">
        <f t="shared" si="239"/>
        <v>0</v>
      </c>
      <c r="H1147" s="4">
        <f t="shared" si="240"/>
        <v>63.650000000000091</v>
      </c>
      <c r="I1147" s="6">
        <f t="shared" si="245"/>
        <v>18.850000000000005</v>
      </c>
      <c r="J1147" s="6">
        <f t="shared" si="246"/>
        <v>10.139285714285702</v>
      </c>
      <c r="K1147" s="4">
        <f t="shared" si="247"/>
        <v>1.859105318774219</v>
      </c>
      <c r="L1147">
        <f t="shared" si="248"/>
        <v>65.02402365405942</v>
      </c>
      <c r="M1147" s="14" t="str">
        <f t="shared" si="241"/>
        <v/>
      </c>
      <c r="N1147" s="7">
        <f t="shared" si="242"/>
        <v>0</v>
      </c>
      <c r="O1147" s="7">
        <f t="shared" si="249"/>
        <v>0</v>
      </c>
      <c r="P1147" s="7">
        <f t="shared" si="250"/>
        <v>-1</v>
      </c>
      <c r="Q1147" s="10" t="e">
        <f t="shared" si="243"/>
        <v>#N/A</v>
      </c>
      <c r="R1147" s="10" t="e">
        <f t="shared" si="244"/>
        <v>#N/A</v>
      </c>
      <c r="S1147" s="7">
        <f t="shared" si="251"/>
        <v>2309.0500000000002</v>
      </c>
      <c r="T1147" s="7">
        <f t="shared" si="252"/>
        <v>0</v>
      </c>
    </row>
    <row r="1148" spans="1:20" x14ac:dyDescent="0.25">
      <c r="A1148" s="1">
        <v>42884</v>
      </c>
      <c r="B1148">
        <v>2532</v>
      </c>
      <c r="C1148">
        <v>2541.9</v>
      </c>
      <c r="D1148">
        <v>2488</v>
      </c>
      <c r="E1148">
        <v>2526.0500000000002</v>
      </c>
      <c r="F1148">
        <v>914318</v>
      </c>
      <c r="G1148" s="4">
        <f t="shared" si="239"/>
        <v>9.6500000000000909</v>
      </c>
      <c r="H1148" s="4">
        <f t="shared" si="240"/>
        <v>0</v>
      </c>
      <c r="I1148" s="6">
        <f t="shared" si="245"/>
        <v>17.267857142857142</v>
      </c>
      <c r="J1148" s="6">
        <f t="shared" si="246"/>
        <v>10.139285714285702</v>
      </c>
      <c r="K1148" s="4">
        <f t="shared" si="247"/>
        <v>1.7030644593166628</v>
      </c>
      <c r="L1148">
        <f t="shared" si="248"/>
        <v>63.00495178524892</v>
      </c>
      <c r="M1148" s="14" t="str">
        <f t="shared" si="241"/>
        <v/>
      </c>
      <c r="N1148" s="7">
        <f t="shared" si="242"/>
        <v>0</v>
      </c>
      <c r="O1148" s="7">
        <f t="shared" si="249"/>
        <v>0</v>
      </c>
      <c r="P1148" s="7">
        <f t="shared" si="250"/>
        <v>-1</v>
      </c>
      <c r="Q1148" s="10" t="e">
        <f t="shared" si="243"/>
        <v>#N/A</v>
      </c>
      <c r="R1148" s="10" t="e">
        <f t="shared" si="244"/>
        <v>#N/A</v>
      </c>
      <c r="S1148" s="7">
        <f t="shared" si="251"/>
        <v>2309.0500000000002</v>
      </c>
      <c r="T1148" s="7">
        <f t="shared" si="252"/>
        <v>0</v>
      </c>
    </row>
    <row r="1149" spans="1:20" x14ac:dyDescent="0.25">
      <c r="A1149" s="1">
        <v>42885</v>
      </c>
      <c r="B1149">
        <v>2544.9</v>
      </c>
      <c r="C1149">
        <v>2545</v>
      </c>
      <c r="D1149">
        <v>2490.1</v>
      </c>
      <c r="E1149">
        <v>2523.6999999999998</v>
      </c>
      <c r="F1149">
        <v>702328</v>
      </c>
      <c r="G1149" s="4">
        <f t="shared" si="239"/>
        <v>0</v>
      </c>
      <c r="H1149" s="4">
        <f t="shared" si="240"/>
        <v>2.3500000000003638</v>
      </c>
      <c r="I1149" s="6">
        <f t="shared" si="245"/>
        <v>17.267857142857142</v>
      </c>
      <c r="J1149" s="6">
        <f t="shared" si="246"/>
        <v>8.3821428571428829</v>
      </c>
      <c r="K1149" s="4">
        <f t="shared" si="247"/>
        <v>2.0600766936514634</v>
      </c>
      <c r="L1149">
        <f t="shared" si="248"/>
        <v>67.321080478975148</v>
      </c>
      <c r="M1149" s="14" t="str">
        <f t="shared" si="241"/>
        <v/>
      </c>
      <c r="N1149" s="7">
        <f t="shared" si="242"/>
        <v>0</v>
      </c>
      <c r="O1149" s="7">
        <f t="shared" si="249"/>
        <v>0</v>
      </c>
      <c r="P1149" s="7">
        <f t="shared" si="250"/>
        <v>-1</v>
      </c>
      <c r="Q1149" s="10" t="e">
        <f t="shared" si="243"/>
        <v>#N/A</v>
      </c>
      <c r="R1149" s="10" t="e">
        <f t="shared" si="244"/>
        <v>#N/A</v>
      </c>
      <c r="S1149" s="7">
        <f t="shared" si="251"/>
        <v>2309.0500000000002</v>
      </c>
      <c r="T1149" s="7">
        <f t="shared" si="252"/>
        <v>0</v>
      </c>
    </row>
    <row r="1150" spans="1:20" x14ac:dyDescent="0.25">
      <c r="A1150" s="1">
        <v>42886</v>
      </c>
      <c r="B1150">
        <v>2516.15</v>
      </c>
      <c r="C1150">
        <v>2534.85</v>
      </c>
      <c r="D1150">
        <v>2490.25</v>
      </c>
      <c r="E1150">
        <v>2506.65</v>
      </c>
      <c r="F1150">
        <v>918781</v>
      </c>
      <c r="G1150" s="4">
        <f t="shared" si="239"/>
        <v>0</v>
      </c>
      <c r="H1150" s="4">
        <f t="shared" si="240"/>
        <v>17.049999999999727</v>
      </c>
      <c r="I1150" s="6">
        <f t="shared" si="245"/>
        <v>17.085714285714307</v>
      </c>
      <c r="J1150" s="6">
        <f t="shared" si="246"/>
        <v>9.6000000000000068</v>
      </c>
      <c r="K1150" s="4">
        <f t="shared" si="247"/>
        <v>1.7797619047619058</v>
      </c>
      <c r="L1150">
        <f t="shared" si="248"/>
        <v>64.025695931477529</v>
      </c>
      <c r="M1150" s="14" t="str">
        <f t="shared" si="241"/>
        <v/>
      </c>
      <c r="N1150" s="7">
        <f t="shared" si="242"/>
        <v>0</v>
      </c>
      <c r="O1150" s="7">
        <f t="shared" si="249"/>
        <v>0</v>
      </c>
      <c r="P1150" s="7">
        <f t="shared" si="250"/>
        <v>-1</v>
      </c>
      <c r="Q1150" s="10" t="e">
        <f t="shared" si="243"/>
        <v>#N/A</v>
      </c>
      <c r="R1150" s="10" t="e">
        <f t="shared" si="244"/>
        <v>#N/A</v>
      </c>
      <c r="S1150" s="7">
        <f t="shared" si="251"/>
        <v>2309.0500000000002</v>
      </c>
      <c r="T1150" s="7">
        <f t="shared" si="252"/>
        <v>0</v>
      </c>
    </row>
    <row r="1151" spans="1:20" x14ac:dyDescent="0.25">
      <c r="A1151" s="1">
        <v>42887</v>
      </c>
      <c r="B1151">
        <v>2490</v>
      </c>
      <c r="C1151">
        <v>2495</v>
      </c>
      <c r="D1151">
        <v>2459.0500000000002</v>
      </c>
      <c r="E1151">
        <v>2469.8000000000002</v>
      </c>
      <c r="F1151">
        <v>836328</v>
      </c>
      <c r="G1151" s="4">
        <f t="shared" si="239"/>
        <v>0</v>
      </c>
      <c r="H1151" s="4">
        <f t="shared" si="240"/>
        <v>36.849999999999909</v>
      </c>
      <c r="I1151" s="6">
        <f t="shared" si="245"/>
        <v>17.085714285714307</v>
      </c>
      <c r="J1151" s="6">
        <f t="shared" si="246"/>
        <v>10.81071428571428</v>
      </c>
      <c r="K1151" s="4">
        <f t="shared" si="247"/>
        <v>1.5804426825239539</v>
      </c>
      <c r="L1151">
        <f t="shared" si="248"/>
        <v>61.246959416207957</v>
      </c>
      <c r="M1151" s="14" t="str">
        <f t="shared" si="241"/>
        <v/>
      </c>
      <c r="N1151" s="7">
        <f t="shared" si="242"/>
        <v>0</v>
      </c>
      <c r="O1151" s="7">
        <f t="shared" si="249"/>
        <v>0</v>
      </c>
      <c r="P1151" s="7">
        <f t="shared" si="250"/>
        <v>-1</v>
      </c>
      <c r="Q1151" s="10" t="e">
        <f t="shared" si="243"/>
        <v>#N/A</v>
      </c>
      <c r="R1151" s="10" t="e">
        <f t="shared" si="244"/>
        <v>#N/A</v>
      </c>
      <c r="S1151" s="7">
        <f t="shared" si="251"/>
        <v>2309.0500000000002</v>
      </c>
      <c r="T1151" s="7">
        <f t="shared" si="252"/>
        <v>0</v>
      </c>
    </row>
    <row r="1152" spans="1:20" x14ac:dyDescent="0.25">
      <c r="A1152" s="1">
        <v>42888</v>
      </c>
      <c r="B1152">
        <v>2465</v>
      </c>
      <c r="C1152">
        <v>2507.6999999999998</v>
      </c>
      <c r="D1152">
        <v>2465</v>
      </c>
      <c r="E1152">
        <v>2478.6999999999998</v>
      </c>
      <c r="F1152">
        <v>732395</v>
      </c>
      <c r="G1152" s="4">
        <f t="shared" si="239"/>
        <v>8.8999999999996362</v>
      </c>
      <c r="H1152" s="4">
        <f t="shared" si="240"/>
        <v>0</v>
      </c>
      <c r="I1152" s="6">
        <f t="shared" si="245"/>
        <v>13.489285714285709</v>
      </c>
      <c r="J1152" s="6">
        <f t="shared" si="246"/>
        <v>10.81071428571428</v>
      </c>
      <c r="K1152" s="4">
        <f t="shared" si="247"/>
        <v>1.2477700693756195</v>
      </c>
      <c r="L1152">
        <f t="shared" si="248"/>
        <v>55.511463844797177</v>
      </c>
      <c r="M1152" s="14" t="str">
        <f t="shared" si="241"/>
        <v/>
      </c>
      <c r="N1152" s="7">
        <f t="shared" si="242"/>
        <v>0</v>
      </c>
      <c r="O1152" s="7">
        <f t="shared" si="249"/>
        <v>0</v>
      </c>
      <c r="P1152" s="7">
        <f t="shared" si="250"/>
        <v>-1</v>
      </c>
      <c r="Q1152" s="10" t="e">
        <f t="shared" si="243"/>
        <v>#N/A</v>
      </c>
      <c r="R1152" s="10" t="e">
        <f t="shared" si="244"/>
        <v>#N/A</v>
      </c>
      <c r="S1152" s="7">
        <f t="shared" si="251"/>
        <v>2309.0500000000002</v>
      </c>
      <c r="T1152" s="7">
        <f t="shared" si="252"/>
        <v>0</v>
      </c>
    </row>
    <row r="1153" spans="1:20" x14ac:dyDescent="0.25">
      <c r="A1153" s="1">
        <v>42891</v>
      </c>
      <c r="B1153">
        <v>2490.9</v>
      </c>
      <c r="C1153">
        <v>2495.5500000000002</v>
      </c>
      <c r="D1153">
        <v>2455</v>
      </c>
      <c r="E1153">
        <v>2468.4</v>
      </c>
      <c r="F1153">
        <v>645448</v>
      </c>
      <c r="G1153" s="4">
        <f t="shared" si="239"/>
        <v>0</v>
      </c>
      <c r="H1153" s="4">
        <f t="shared" si="240"/>
        <v>10.299999999999727</v>
      </c>
      <c r="I1153" s="6">
        <f t="shared" si="245"/>
        <v>11.878571428571409</v>
      </c>
      <c r="J1153" s="6">
        <f t="shared" si="246"/>
        <v>11.546428571428546</v>
      </c>
      <c r="K1153" s="4">
        <f t="shared" si="247"/>
        <v>1.0287658521497067</v>
      </c>
      <c r="L1153">
        <f t="shared" si="248"/>
        <v>50.708949534990104</v>
      </c>
      <c r="M1153" s="14" t="str">
        <f t="shared" si="241"/>
        <v/>
      </c>
      <c r="N1153" s="7">
        <f t="shared" si="242"/>
        <v>0</v>
      </c>
      <c r="O1153" s="7">
        <f t="shared" si="249"/>
        <v>0</v>
      </c>
      <c r="P1153" s="7">
        <f t="shared" si="250"/>
        <v>-1</v>
      </c>
      <c r="Q1153" s="10" t="e">
        <f t="shared" si="243"/>
        <v>#N/A</v>
      </c>
      <c r="R1153" s="10" t="e">
        <f t="shared" si="244"/>
        <v>#N/A</v>
      </c>
      <c r="S1153" s="7">
        <f t="shared" si="251"/>
        <v>2309.0500000000002</v>
      </c>
      <c r="T1153" s="7">
        <f t="shared" si="252"/>
        <v>0</v>
      </c>
    </row>
    <row r="1154" spans="1:20" x14ac:dyDescent="0.25">
      <c r="A1154" s="1">
        <v>42892</v>
      </c>
      <c r="B1154">
        <v>2489.9</v>
      </c>
      <c r="C1154">
        <v>2489.9</v>
      </c>
      <c r="D1154">
        <v>2440.1999999999998</v>
      </c>
      <c r="E1154">
        <v>2471.75</v>
      </c>
      <c r="F1154">
        <v>492276</v>
      </c>
      <c r="G1154" s="4">
        <f t="shared" si="239"/>
        <v>3.3499999999999091</v>
      </c>
      <c r="H1154" s="4">
        <f t="shared" si="240"/>
        <v>0</v>
      </c>
      <c r="I1154" s="6">
        <f t="shared" si="245"/>
        <v>7.2142857142856815</v>
      </c>
      <c r="J1154" s="6">
        <f t="shared" si="246"/>
        <v>11.546428571428546</v>
      </c>
      <c r="K1154" s="4">
        <f t="shared" si="247"/>
        <v>0.62480668110114301</v>
      </c>
      <c r="L1154">
        <f t="shared" si="248"/>
        <v>38.454216638111504</v>
      </c>
      <c r="M1154" s="14" t="str">
        <f t="shared" si="241"/>
        <v/>
      </c>
      <c r="N1154" s="7">
        <f t="shared" si="242"/>
        <v>0</v>
      </c>
      <c r="O1154" s="7">
        <f t="shared" si="249"/>
        <v>0</v>
      </c>
      <c r="P1154" s="7">
        <f t="shared" si="250"/>
        <v>-1</v>
      </c>
      <c r="Q1154" s="10" t="e">
        <f t="shared" si="243"/>
        <v>#N/A</v>
      </c>
      <c r="R1154" s="10" t="e">
        <f t="shared" si="244"/>
        <v>#N/A</v>
      </c>
      <c r="S1154" s="7">
        <f t="shared" si="251"/>
        <v>2309.0500000000002</v>
      </c>
      <c r="T1154" s="7">
        <f t="shared" si="252"/>
        <v>0</v>
      </c>
    </row>
    <row r="1155" spans="1:20" x14ac:dyDescent="0.25">
      <c r="A1155" s="1">
        <v>42893</v>
      </c>
      <c r="B1155">
        <v>2470</v>
      </c>
      <c r="C1155">
        <v>2530</v>
      </c>
      <c r="D1155">
        <v>2470</v>
      </c>
      <c r="E1155">
        <v>2500.0500000000002</v>
      </c>
      <c r="F1155">
        <v>1384189</v>
      </c>
      <c r="G1155" s="4">
        <f t="shared" si="239"/>
        <v>28.300000000000182</v>
      </c>
      <c r="H1155" s="4">
        <f t="shared" si="240"/>
        <v>0</v>
      </c>
      <c r="I1155" s="6">
        <f t="shared" si="245"/>
        <v>5.3964285714285518</v>
      </c>
      <c r="J1155" s="6">
        <f t="shared" si="246"/>
        <v>11.546428571428546</v>
      </c>
      <c r="K1155" s="4">
        <f t="shared" si="247"/>
        <v>0.46736776987318213</v>
      </c>
      <c r="L1155">
        <f t="shared" si="248"/>
        <v>31.85075885328834</v>
      </c>
      <c r="M1155" s="14" t="str">
        <f t="shared" si="241"/>
        <v/>
      </c>
      <c r="N1155" s="7">
        <f t="shared" si="242"/>
        <v>0</v>
      </c>
      <c r="O1155" s="7">
        <f t="shared" si="249"/>
        <v>0</v>
      </c>
      <c r="P1155" s="7">
        <f t="shared" si="250"/>
        <v>-1</v>
      </c>
      <c r="Q1155" s="10" t="e">
        <f t="shared" si="243"/>
        <v>#N/A</v>
      </c>
      <c r="R1155" s="10" t="e">
        <f t="shared" si="244"/>
        <v>#N/A</v>
      </c>
      <c r="S1155" s="7">
        <f t="shared" si="251"/>
        <v>2309.0500000000002</v>
      </c>
      <c r="T1155" s="7">
        <f t="shared" si="252"/>
        <v>0</v>
      </c>
    </row>
    <row r="1156" spans="1:20" x14ac:dyDescent="0.25">
      <c r="A1156" s="1">
        <v>42894</v>
      </c>
      <c r="B1156">
        <v>2514</v>
      </c>
      <c r="C1156">
        <v>2532</v>
      </c>
      <c r="D1156">
        <v>2490.0500000000002</v>
      </c>
      <c r="E1156">
        <v>2499.75</v>
      </c>
      <c r="F1156">
        <v>789028</v>
      </c>
      <c r="G1156" s="4">
        <f t="shared" ref="G1156:G1219" si="253">IF(E1156&gt;E1155,E1156-E1155,0)</f>
        <v>0</v>
      </c>
      <c r="H1156" s="4">
        <f t="shared" ref="H1156:H1219" si="254">IF(E1156&lt;E1155,E1155-E1156,0)</f>
        <v>0.3000000000001819</v>
      </c>
      <c r="I1156" s="6">
        <f t="shared" si="245"/>
        <v>4.75</v>
      </c>
      <c r="J1156" s="6">
        <f t="shared" si="246"/>
        <v>11.567857142857131</v>
      </c>
      <c r="K1156" s="4">
        <f t="shared" si="247"/>
        <v>0.410620561901822</v>
      </c>
      <c r="L1156">
        <f t="shared" si="248"/>
        <v>29.109214270080997</v>
      </c>
      <c r="M1156" s="14" t="str">
        <f t="shared" si="241"/>
        <v>OVERSOLD</v>
      </c>
      <c r="N1156" s="7" t="str">
        <f t="shared" si="242"/>
        <v>BUY</v>
      </c>
      <c r="O1156" s="7" t="str">
        <f t="shared" si="249"/>
        <v>BUY</v>
      </c>
      <c r="P1156" s="7">
        <f t="shared" si="250"/>
        <v>1</v>
      </c>
      <c r="Q1156" s="10">
        <f t="shared" si="243"/>
        <v>2499.75</v>
      </c>
      <c r="R1156" s="10" t="e">
        <f t="shared" si="244"/>
        <v>#N/A</v>
      </c>
      <c r="S1156" s="7">
        <f t="shared" si="251"/>
        <v>2499.75</v>
      </c>
      <c r="T1156" s="7">
        <f t="shared" si="252"/>
        <v>-8.2588077347826944E-2</v>
      </c>
    </row>
    <row r="1157" spans="1:20" x14ac:dyDescent="0.25">
      <c r="A1157" s="1">
        <v>42895</v>
      </c>
      <c r="B1157">
        <v>2491.0500000000002</v>
      </c>
      <c r="C1157">
        <v>2505</v>
      </c>
      <c r="D1157">
        <v>2470</v>
      </c>
      <c r="E1157">
        <v>2487.6</v>
      </c>
      <c r="F1157">
        <v>686630</v>
      </c>
      <c r="G1157" s="4">
        <f t="shared" si="253"/>
        <v>0</v>
      </c>
      <c r="H1157" s="4">
        <f t="shared" si="254"/>
        <v>12.150000000000091</v>
      </c>
      <c r="I1157" s="6">
        <f t="shared" si="245"/>
        <v>3.9964285714285586</v>
      </c>
      <c r="J1157" s="6">
        <f t="shared" si="246"/>
        <v>12.43571428571428</v>
      </c>
      <c r="K1157" s="4">
        <f t="shared" si="247"/>
        <v>0.32136703044227366</v>
      </c>
      <c r="L1157">
        <f t="shared" si="248"/>
        <v>24.320799826124698</v>
      </c>
      <c r="M1157" s="14" t="str">
        <f t="shared" si="241"/>
        <v>OVERSOLD</v>
      </c>
      <c r="N1157" s="7" t="str">
        <f t="shared" si="242"/>
        <v>BUY</v>
      </c>
      <c r="O1157" s="7">
        <f t="shared" si="249"/>
        <v>0</v>
      </c>
      <c r="P1157" s="7">
        <f t="shared" si="250"/>
        <v>1</v>
      </c>
      <c r="Q1157" s="10" t="e">
        <f t="shared" si="243"/>
        <v>#N/A</v>
      </c>
      <c r="R1157" s="10" t="e">
        <f t="shared" si="244"/>
        <v>#N/A</v>
      </c>
      <c r="S1157" s="7">
        <f t="shared" si="251"/>
        <v>2499.75</v>
      </c>
      <c r="T1157" s="7">
        <f t="shared" si="252"/>
        <v>0</v>
      </c>
    </row>
    <row r="1158" spans="1:20" x14ac:dyDescent="0.25">
      <c r="A1158" s="1">
        <v>42898</v>
      </c>
      <c r="B1158">
        <v>2500</v>
      </c>
      <c r="C1158">
        <v>2504.9</v>
      </c>
      <c r="D1158">
        <v>2435</v>
      </c>
      <c r="E1158">
        <v>2438.5</v>
      </c>
      <c r="F1158">
        <v>1617078</v>
      </c>
      <c r="G1158" s="4">
        <f t="shared" si="253"/>
        <v>0</v>
      </c>
      <c r="H1158" s="4">
        <f t="shared" si="254"/>
        <v>49.099999999999909</v>
      </c>
      <c r="I1158" s="6">
        <f t="shared" si="245"/>
        <v>3.9964285714285586</v>
      </c>
      <c r="J1158" s="6">
        <f t="shared" si="246"/>
        <v>14.767857142857142</v>
      </c>
      <c r="K1158" s="4">
        <f t="shared" si="247"/>
        <v>0.27061668681982987</v>
      </c>
      <c r="L1158">
        <f t="shared" si="248"/>
        <v>21.29805862200223</v>
      </c>
      <c r="M1158" s="14" t="str">
        <f t="shared" si="241"/>
        <v>OVERSOLD</v>
      </c>
      <c r="N1158" s="7" t="str">
        <f t="shared" si="242"/>
        <v>BUY</v>
      </c>
      <c r="O1158" s="7">
        <f t="shared" si="249"/>
        <v>0</v>
      </c>
      <c r="P1158" s="7">
        <f t="shared" si="250"/>
        <v>1</v>
      </c>
      <c r="Q1158" s="10" t="e">
        <f t="shared" si="243"/>
        <v>#N/A</v>
      </c>
      <c r="R1158" s="10" t="e">
        <f t="shared" si="244"/>
        <v>#N/A</v>
      </c>
      <c r="S1158" s="7">
        <f t="shared" si="251"/>
        <v>2499.75</v>
      </c>
      <c r="T1158" s="7">
        <f t="shared" si="252"/>
        <v>0</v>
      </c>
    </row>
    <row r="1159" spans="1:20" x14ac:dyDescent="0.25">
      <c r="A1159" s="1">
        <v>42899</v>
      </c>
      <c r="B1159">
        <v>2444.5</v>
      </c>
      <c r="C1159">
        <v>2455.0500000000002</v>
      </c>
      <c r="D1159">
        <v>2430.0500000000002</v>
      </c>
      <c r="E1159">
        <v>2436.1999999999998</v>
      </c>
      <c r="F1159">
        <v>1028379</v>
      </c>
      <c r="G1159" s="4">
        <f t="shared" si="253"/>
        <v>0</v>
      </c>
      <c r="H1159" s="4">
        <f t="shared" si="254"/>
        <v>2.3000000000001819</v>
      </c>
      <c r="I1159" s="6">
        <f t="shared" si="245"/>
        <v>3.5857142857142725</v>
      </c>
      <c r="J1159" s="6">
        <f t="shared" si="246"/>
        <v>14.932142857142869</v>
      </c>
      <c r="K1159" s="4">
        <f t="shared" si="247"/>
        <v>0.24013393924898241</v>
      </c>
      <c r="L1159">
        <f t="shared" si="248"/>
        <v>19.363548698167719</v>
      </c>
      <c r="M1159" s="14" t="str">
        <f t="shared" si="241"/>
        <v>OVERSOLD</v>
      </c>
      <c r="N1159" s="7" t="str">
        <f t="shared" si="242"/>
        <v>BUY</v>
      </c>
      <c r="O1159" s="7">
        <f t="shared" si="249"/>
        <v>0</v>
      </c>
      <c r="P1159" s="7">
        <f t="shared" si="250"/>
        <v>1</v>
      </c>
      <c r="Q1159" s="10" t="e">
        <f t="shared" si="243"/>
        <v>#N/A</v>
      </c>
      <c r="R1159" s="10" t="e">
        <f t="shared" si="244"/>
        <v>#N/A</v>
      </c>
      <c r="S1159" s="7">
        <f t="shared" si="251"/>
        <v>2499.75</v>
      </c>
      <c r="T1159" s="7">
        <f t="shared" si="252"/>
        <v>0</v>
      </c>
    </row>
    <row r="1160" spans="1:20" x14ac:dyDescent="0.25">
      <c r="A1160" s="1">
        <v>42900</v>
      </c>
      <c r="B1160">
        <v>2447</v>
      </c>
      <c r="C1160">
        <v>2460</v>
      </c>
      <c r="D1160">
        <v>2430</v>
      </c>
      <c r="E1160">
        <v>2432.4499999999998</v>
      </c>
      <c r="F1160">
        <v>1132725</v>
      </c>
      <c r="G1160" s="4">
        <f t="shared" si="253"/>
        <v>0</v>
      </c>
      <c r="H1160" s="4">
        <f t="shared" si="254"/>
        <v>3.75</v>
      </c>
      <c r="I1160" s="6">
        <f t="shared" si="245"/>
        <v>3.5857142857142725</v>
      </c>
      <c r="J1160" s="6">
        <f t="shared" si="246"/>
        <v>14.128571428571442</v>
      </c>
      <c r="K1160" s="4">
        <f t="shared" si="247"/>
        <v>0.25379170879676322</v>
      </c>
      <c r="L1160">
        <f t="shared" si="248"/>
        <v>20.24193548387089</v>
      </c>
      <c r="M1160" s="14" t="str">
        <f t="shared" si="241"/>
        <v>OVERSOLD</v>
      </c>
      <c r="N1160" s="7" t="str">
        <f t="shared" si="242"/>
        <v>BUY</v>
      </c>
      <c r="O1160" s="7">
        <f t="shared" si="249"/>
        <v>0</v>
      </c>
      <c r="P1160" s="7">
        <f t="shared" si="250"/>
        <v>1</v>
      </c>
      <c r="Q1160" s="10" t="e">
        <f t="shared" si="243"/>
        <v>#N/A</v>
      </c>
      <c r="R1160" s="10" t="e">
        <f t="shared" si="244"/>
        <v>#N/A</v>
      </c>
      <c r="S1160" s="7">
        <f t="shared" si="251"/>
        <v>2499.75</v>
      </c>
      <c r="T1160" s="7">
        <f t="shared" si="252"/>
        <v>0</v>
      </c>
    </row>
    <row r="1161" spans="1:20" x14ac:dyDescent="0.25">
      <c r="A1161" s="1">
        <v>42901</v>
      </c>
      <c r="B1161">
        <v>2444</v>
      </c>
      <c r="C1161">
        <v>2468.1999999999998</v>
      </c>
      <c r="D1161">
        <v>2435.8000000000002</v>
      </c>
      <c r="E1161">
        <v>2464.1999999999998</v>
      </c>
      <c r="F1161">
        <v>1548119</v>
      </c>
      <c r="G1161" s="4">
        <f t="shared" si="253"/>
        <v>31.75</v>
      </c>
      <c r="H1161" s="4">
        <f t="shared" si="254"/>
        <v>0</v>
      </c>
      <c r="I1161" s="6">
        <f t="shared" si="245"/>
        <v>5.8535714285714153</v>
      </c>
      <c r="J1161" s="6">
        <f t="shared" si="246"/>
        <v>9.5821428571428644</v>
      </c>
      <c r="K1161" s="4">
        <f t="shared" si="247"/>
        <v>0.61088333954528329</v>
      </c>
      <c r="L1161">
        <f t="shared" si="248"/>
        <v>37.922258213789839</v>
      </c>
      <c r="M1161" s="14" t="str">
        <f t="shared" si="241"/>
        <v/>
      </c>
      <c r="N1161" s="7">
        <f t="shared" si="242"/>
        <v>0</v>
      </c>
      <c r="O1161" s="7">
        <f t="shared" si="249"/>
        <v>0</v>
      </c>
      <c r="P1161" s="7">
        <f t="shared" si="250"/>
        <v>1</v>
      </c>
      <c r="Q1161" s="10" t="e">
        <f t="shared" si="243"/>
        <v>#N/A</v>
      </c>
      <c r="R1161" s="10" t="e">
        <f t="shared" si="244"/>
        <v>#N/A</v>
      </c>
      <c r="S1161" s="7">
        <f t="shared" si="251"/>
        <v>2499.75</v>
      </c>
      <c r="T1161" s="7">
        <f t="shared" si="252"/>
        <v>0</v>
      </c>
    </row>
    <row r="1162" spans="1:20" x14ac:dyDescent="0.25">
      <c r="A1162" s="1">
        <v>42902</v>
      </c>
      <c r="B1162">
        <v>2470</v>
      </c>
      <c r="C1162">
        <v>2528.5</v>
      </c>
      <c r="D1162">
        <v>2466.9</v>
      </c>
      <c r="E1162">
        <v>2522.0500000000002</v>
      </c>
      <c r="F1162">
        <v>1571756</v>
      </c>
      <c r="G1162" s="4">
        <f t="shared" si="253"/>
        <v>57.850000000000364</v>
      </c>
      <c r="H1162" s="4">
        <f t="shared" si="254"/>
        <v>0</v>
      </c>
      <c r="I1162" s="6">
        <f t="shared" si="245"/>
        <v>9.2964285714285779</v>
      </c>
      <c r="J1162" s="6">
        <f t="shared" si="246"/>
        <v>9.5821428571428644</v>
      </c>
      <c r="K1162" s="4">
        <f t="shared" si="247"/>
        <v>0.97018263138278038</v>
      </c>
      <c r="L1162">
        <f t="shared" si="248"/>
        <v>49.243284146802871</v>
      </c>
      <c r="M1162" s="14" t="str">
        <f t="shared" si="241"/>
        <v/>
      </c>
      <c r="N1162" s="7">
        <f t="shared" si="242"/>
        <v>0</v>
      </c>
      <c r="O1162" s="7">
        <f t="shared" si="249"/>
        <v>0</v>
      </c>
      <c r="P1162" s="7">
        <f t="shared" si="250"/>
        <v>1</v>
      </c>
      <c r="Q1162" s="10" t="e">
        <f t="shared" si="243"/>
        <v>#N/A</v>
      </c>
      <c r="R1162" s="10" t="e">
        <f t="shared" si="244"/>
        <v>#N/A</v>
      </c>
      <c r="S1162" s="7">
        <f t="shared" si="251"/>
        <v>2499.75</v>
      </c>
      <c r="T1162" s="7">
        <f t="shared" si="252"/>
        <v>0</v>
      </c>
    </row>
    <row r="1163" spans="1:20" x14ac:dyDescent="0.25">
      <c r="A1163" s="1">
        <v>42905</v>
      </c>
      <c r="B1163">
        <v>2529</v>
      </c>
      <c r="C1163">
        <v>2550</v>
      </c>
      <c r="D1163">
        <v>2500</v>
      </c>
      <c r="E1163">
        <v>2533.8000000000002</v>
      </c>
      <c r="F1163">
        <v>907745</v>
      </c>
      <c r="G1163" s="4">
        <f t="shared" si="253"/>
        <v>11.75</v>
      </c>
      <c r="H1163" s="4">
        <f t="shared" si="254"/>
        <v>0</v>
      </c>
      <c r="I1163" s="6">
        <f t="shared" si="245"/>
        <v>10.135714285714291</v>
      </c>
      <c r="J1163" s="6">
        <f t="shared" si="246"/>
        <v>9.4142857142856951</v>
      </c>
      <c r="K1163" s="4">
        <f t="shared" si="247"/>
        <v>1.0766312594840697</v>
      </c>
      <c r="L1163">
        <f t="shared" si="248"/>
        <v>51.845085860431197</v>
      </c>
      <c r="M1163" s="14" t="str">
        <f t="shared" si="241"/>
        <v/>
      </c>
      <c r="N1163" s="7">
        <f t="shared" si="242"/>
        <v>0</v>
      </c>
      <c r="O1163" s="7">
        <f t="shared" si="249"/>
        <v>0</v>
      </c>
      <c r="P1163" s="7">
        <f t="shared" si="250"/>
        <v>1</v>
      </c>
      <c r="Q1163" s="10" t="e">
        <f t="shared" si="243"/>
        <v>#N/A</v>
      </c>
      <c r="R1163" s="10" t="e">
        <f t="shared" si="244"/>
        <v>#N/A</v>
      </c>
      <c r="S1163" s="7">
        <f t="shared" si="251"/>
        <v>2499.75</v>
      </c>
      <c r="T1163" s="7">
        <f t="shared" si="252"/>
        <v>0</v>
      </c>
    </row>
    <row r="1164" spans="1:20" x14ac:dyDescent="0.25">
      <c r="A1164" s="1">
        <v>42906</v>
      </c>
      <c r="B1164">
        <v>2534</v>
      </c>
      <c r="C1164">
        <v>2567.4</v>
      </c>
      <c r="D1164">
        <v>2514.0500000000002</v>
      </c>
      <c r="E1164">
        <v>2549.9499999999998</v>
      </c>
      <c r="F1164">
        <v>717730</v>
      </c>
      <c r="G1164" s="4">
        <f t="shared" si="253"/>
        <v>16.149999999999636</v>
      </c>
      <c r="H1164" s="4">
        <f t="shared" si="254"/>
        <v>0</v>
      </c>
      <c r="I1164" s="6">
        <f t="shared" si="245"/>
        <v>11.289285714285695</v>
      </c>
      <c r="J1164" s="6">
        <f t="shared" si="246"/>
        <v>8.1964285714285712</v>
      </c>
      <c r="K1164" s="4">
        <f t="shared" si="247"/>
        <v>1.3773420479302809</v>
      </c>
      <c r="L1164">
        <f t="shared" si="248"/>
        <v>57.936217008797612</v>
      </c>
      <c r="M1164" s="14" t="str">
        <f t="shared" si="241"/>
        <v/>
      </c>
      <c r="N1164" s="7">
        <f t="shared" si="242"/>
        <v>0</v>
      </c>
      <c r="O1164" s="7">
        <f t="shared" si="249"/>
        <v>0</v>
      </c>
      <c r="P1164" s="7">
        <f t="shared" si="250"/>
        <v>1</v>
      </c>
      <c r="Q1164" s="10" t="e">
        <f t="shared" si="243"/>
        <v>#N/A</v>
      </c>
      <c r="R1164" s="10" t="e">
        <f t="shared" si="244"/>
        <v>#N/A</v>
      </c>
      <c r="S1164" s="7">
        <f t="shared" si="251"/>
        <v>2499.75</v>
      </c>
      <c r="T1164" s="7">
        <f t="shared" si="252"/>
        <v>0</v>
      </c>
    </row>
    <row r="1165" spans="1:20" x14ac:dyDescent="0.25">
      <c r="A1165" s="1">
        <v>42907</v>
      </c>
      <c r="B1165">
        <v>2547</v>
      </c>
      <c r="C1165">
        <v>2549.3000000000002</v>
      </c>
      <c r="D1165">
        <v>2513</v>
      </c>
      <c r="E1165">
        <v>2522.35</v>
      </c>
      <c r="F1165">
        <v>883144</v>
      </c>
      <c r="G1165" s="4">
        <f t="shared" si="253"/>
        <v>0</v>
      </c>
      <c r="H1165" s="4">
        <f t="shared" si="254"/>
        <v>27.599999999999909</v>
      </c>
      <c r="I1165" s="6">
        <f t="shared" si="245"/>
        <v>11.289285714285695</v>
      </c>
      <c r="J1165" s="6">
        <f t="shared" si="246"/>
        <v>7.5357142857142856</v>
      </c>
      <c r="K1165" s="4">
        <f t="shared" si="247"/>
        <v>1.4981042654028411</v>
      </c>
      <c r="L1165">
        <f t="shared" si="248"/>
        <v>59.96964522860933</v>
      </c>
      <c r="M1165" s="14" t="str">
        <f t="shared" si="241"/>
        <v/>
      </c>
      <c r="N1165" s="7">
        <f t="shared" si="242"/>
        <v>0</v>
      </c>
      <c r="O1165" s="7">
        <f t="shared" si="249"/>
        <v>0</v>
      </c>
      <c r="P1165" s="7">
        <f t="shared" si="250"/>
        <v>1</v>
      </c>
      <c r="Q1165" s="10" t="e">
        <f t="shared" si="243"/>
        <v>#N/A</v>
      </c>
      <c r="R1165" s="10" t="e">
        <f t="shared" si="244"/>
        <v>#N/A</v>
      </c>
      <c r="S1165" s="7">
        <f t="shared" si="251"/>
        <v>2499.75</v>
      </c>
      <c r="T1165" s="7">
        <f t="shared" si="252"/>
        <v>0</v>
      </c>
    </row>
    <row r="1166" spans="1:20" x14ac:dyDescent="0.25">
      <c r="A1166" s="1">
        <v>42908</v>
      </c>
      <c r="B1166">
        <v>2525.4</v>
      </c>
      <c r="C1166">
        <v>2560</v>
      </c>
      <c r="D1166">
        <v>2523.0500000000002</v>
      </c>
      <c r="E1166">
        <v>2537.15</v>
      </c>
      <c r="F1166">
        <v>405074</v>
      </c>
      <c r="G1166" s="4">
        <f t="shared" si="253"/>
        <v>14.800000000000182</v>
      </c>
      <c r="H1166" s="4">
        <f t="shared" si="254"/>
        <v>0</v>
      </c>
      <c r="I1166" s="6">
        <f t="shared" si="245"/>
        <v>11.710714285714305</v>
      </c>
      <c r="J1166" s="6">
        <f t="shared" si="246"/>
        <v>7.5357142857142856</v>
      </c>
      <c r="K1166" s="4">
        <f t="shared" si="247"/>
        <v>1.55402843601896</v>
      </c>
      <c r="L1166">
        <f t="shared" si="248"/>
        <v>60.84616812024499</v>
      </c>
      <c r="M1166" s="14" t="str">
        <f t="shared" si="241"/>
        <v/>
      </c>
      <c r="N1166" s="7">
        <f t="shared" si="242"/>
        <v>0</v>
      </c>
      <c r="O1166" s="7">
        <f t="shared" si="249"/>
        <v>0</v>
      </c>
      <c r="P1166" s="7">
        <f t="shared" si="250"/>
        <v>1</v>
      </c>
      <c r="Q1166" s="10" t="e">
        <f t="shared" si="243"/>
        <v>#N/A</v>
      </c>
      <c r="R1166" s="10" t="e">
        <f t="shared" si="244"/>
        <v>#N/A</v>
      </c>
      <c r="S1166" s="7">
        <f t="shared" si="251"/>
        <v>2499.75</v>
      </c>
      <c r="T1166" s="7">
        <f t="shared" si="252"/>
        <v>0</v>
      </c>
    </row>
    <row r="1167" spans="1:20" x14ac:dyDescent="0.25">
      <c r="A1167" s="1">
        <v>42909</v>
      </c>
      <c r="B1167">
        <v>2545.8000000000002</v>
      </c>
      <c r="C1167">
        <v>2554.8000000000002</v>
      </c>
      <c r="D1167">
        <v>2514.1</v>
      </c>
      <c r="E1167">
        <v>2537.9</v>
      </c>
      <c r="F1167">
        <v>703970</v>
      </c>
      <c r="G1167" s="4">
        <f t="shared" si="253"/>
        <v>0.75</v>
      </c>
      <c r="H1167" s="4">
        <f t="shared" si="254"/>
        <v>0</v>
      </c>
      <c r="I1167" s="6">
        <f t="shared" si="245"/>
        <v>11.764285714285734</v>
      </c>
      <c r="J1167" s="6">
        <f t="shared" si="246"/>
        <v>6.8000000000000194</v>
      </c>
      <c r="K1167" s="4">
        <f t="shared" si="247"/>
        <v>1.7300420168067205</v>
      </c>
      <c r="L1167">
        <f t="shared" si="248"/>
        <v>63.370527125817596</v>
      </c>
      <c r="M1167" s="14" t="str">
        <f t="shared" si="241"/>
        <v/>
      </c>
      <c r="N1167" s="7">
        <f t="shared" si="242"/>
        <v>0</v>
      </c>
      <c r="O1167" s="7">
        <f t="shared" si="249"/>
        <v>0</v>
      </c>
      <c r="P1167" s="7">
        <f t="shared" si="250"/>
        <v>1</v>
      </c>
      <c r="Q1167" s="10" t="e">
        <f t="shared" si="243"/>
        <v>#N/A</v>
      </c>
      <c r="R1167" s="10" t="e">
        <f t="shared" si="244"/>
        <v>#N/A</v>
      </c>
      <c r="S1167" s="7">
        <f t="shared" si="251"/>
        <v>2499.75</v>
      </c>
      <c r="T1167" s="7">
        <f t="shared" si="252"/>
        <v>0</v>
      </c>
    </row>
    <row r="1168" spans="1:20" x14ac:dyDescent="0.25">
      <c r="A1168" s="1">
        <v>42912</v>
      </c>
      <c r="B1168">
        <v>2539</v>
      </c>
      <c r="C1168">
        <v>2616</v>
      </c>
      <c r="D1168">
        <v>2539</v>
      </c>
      <c r="E1168">
        <v>2606.4</v>
      </c>
      <c r="F1168">
        <v>1530845</v>
      </c>
      <c r="G1168" s="4">
        <f t="shared" si="253"/>
        <v>68.5</v>
      </c>
      <c r="H1168" s="4">
        <f t="shared" si="254"/>
        <v>0</v>
      </c>
      <c r="I1168" s="6">
        <f t="shared" si="245"/>
        <v>16.417857142857169</v>
      </c>
      <c r="J1168" s="6">
        <f t="shared" si="246"/>
        <v>6.8000000000000194</v>
      </c>
      <c r="K1168" s="4">
        <f t="shared" si="247"/>
        <v>2.414390756302518</v>
      </c>
      <c r="L1168">
        <f t="shared" si="248"/>
        <v>70.71219812336561</v>
      </c>
      <c r="M1168" s="14" t="str">
        <f t="shared" ref="M1168:M1231" si="255">IF(L1168&gt;RSI_Overbought,"OVERBOUGHT",IF(L1168&lt;RSI_Oversold,"OVERSOLD",""))</f>
        <v>OVERBOUGHT</v>
      </c>
      <c r="N1168" s="7" t="str">
        <f t="shared" ref="N1168:N1231" si="256">IF(L1168&gt;RSI_Overbought,"SELL",IF(L1168&lt;RSI_Oversold,"BUY",0))</f>
        <v>SELL</v>
      </c>
      <c r="O1168" s="7" t="str">
        <f t="shared" si="249"/>
        <v>SELL</v>
      </c>
      <c r="P1168" s="7">
        <f t="shared" si="250"/>
        <v>-1</v>
      </c>
      <c r="Q1168" s="10" t="e">
        <f t="shared" ref="Q1168:Q1231" si="257">IF($O1168="BUY",$E1168,NA())</f>
        <v>#N/A</v>
      </c>
      <c r="R1168" s="10">
        <f t="shared" ref="R1168:R1231" si="258">IF($O1168="SELL",$E1168,NA())</f>
        <v>2606.4</v>
      </c>
      <c r="S1168" s="7">
        <f t="shared" si="251"/>
        <v>2606.4</v>
      </c>
      <c r="T1168" s="7">
        <f t="shared" si="252"/>
        <v>4.26642664266427E-2</v>
      </c>
    </row>
    <row r="1169" spans="1:20" x14ac:dyDescent="0.25">
      <c r="A1169" s="1">
        <v>42913</v>
      </c>
      <c r="B1169">
        <v>2622</v>
      </c>
      <c r="C1169">
        <v>2627.45</v>
      </c>
      <c r="D1169">
        <v>2577.4499999999998</v>
      </c>
      <c r="E1169">
        <v>2584.75</v>
      </c>
      <c r="F1169">
        <v>850799</v>
      </c>
      <c r="G1169" s="4">
        <f t="shared" si="253"/>
        <v>0</v>
      </c>
      <c r="H1169" s="4">
        <f t="shared" si="254"/>
        <v>21.650000000000091</v>
      </c>
      <c r="I1169" s="6">
        <f t="shared" ref="I1169:I1232" si="259">AVERAGE(G1156:G1169)</f>
        <v>14.396428571428585</v>
      </c>
      <c r="J1169" s="6">
        <f t="shared" ref="J1169:J1232" si="260">AVERAGE(H1156:H1169)</f>
        <v>8.3464285714285982</v>
      </c>
      <c r="K1169" s="4">
        <f t="shared" ref="K1169:K1232" si="261">I1169/J1169</f>
        <v>1.7248609328198505</v>
      </c>
      <c r="L1169">
        <f t="shared" ref="L1169:L1232" si="262">100-(100/(K1169+1))</f>
        <v>63.300879396984868</v>
      </c>
      <c r="M1169" s="14" t="str">
        <f t="shared" si="255"/>
        <v/>
      </c>
      <c r="N1169" s="7">
        <f t="shared" si="256"/>
        <v>0</v>
      </c>
      <c r="O1169" s="7">
        <f t="shared" ref="O1169:O1232" si="263">IF(AND(N1169="BUY",P1168&lt;&gt;1),"BUY",IF(AND(N1169="SELL",P1168&lt;&gt;-1),"SELL",0))</f>
        <v>0</v>
      </c>
      <c r="P1169" s="7">
        <f t="shared" ref="P1169:P1232" si="264">IF(O1169="BUY",1,IF(O1169="SELL",-1,P1168))</f>
        <v>-1</v>
      </c>
      <c r="Q1169" s="10" t="e">
        <f t="shared" si="257"/>
        <v>#N/A</v>
      </c>
      <c r="R1169" s="10" t="e">
        <f t="shared" si="258"/>
        <v>#N/A</v>
      </c>
      <c r="S1169" s="7">
        <f t="shared" ref="S1169:S1232" si="265">IF(O1169&lt;&gt;0,E1169,S1168)</f>
        <v>2606.4</v>
      </c>
      <c r="T1169" s="7">
        <f t="shared" si="252"/>
        <v>0</v>
      </c>
    </row>
    <row r="1170" spans="1:20" x14ac:dyDescent="0.25">
      <c r="A1170" s="1">
        <v>42914</v>
      </c>
      <c r="B1170">
        <v>2599.9</v>
      </c>
      <c r="C1170">
        <v>2621.8</v>
      </c>
      <c r="D1170">
        <v>2583.0500000000002</v>
      </c>
      <c r="E1170">
        <v>2598.6</v>
      </c>
      <c r="F1170">
        <v>733530</v>
      </c>
      <c r="G1170" s="4">
        <f t="shared" si="253"/>
        <v>13.849999999999909</v>
      </c>
      <c r="H1170" s="4">
        <f t="shared" si="254"/>
        <v>0</v>
      </c>
      <c r="I1170" s="6">
        <f t="shared" si="259"/>
        <v>15.385714285714291</v>
      </c>
      <c r="J1170" s="6">
        <f t="shared" si="260"/>
        <v>8.3250000000000135</v>
      </c>
      <c r="K1170" s="4">
        <f t="shared" si="261"/>
        <v>1.8481338481338458</v>
      </c>
      <c r="L1170">
        <f t="shared" si="262"/>
        <v>64.889290555806568</v>
      </c>
      <c r="M1170" s="14" t="str">
        <f t="shared" si="255"/>
        <v/>
      </c>
      <c r="N1170" s="7">
        <f t="shared" si="256"/>
        <v>0</v>
      </c>
      <c r="O1170" s="7">
        <f t="shared" si="263"/>
        <v>0</v>
      </c>
      <c r="P1170" s="7">
        <f t="shared" si="264"/>
        <v>-1</v>
      </c>
      <c r="Q1170" s="10" t="e">
        <f t="shared" si="257"/>
        <v>#N/A</v>
      </c>
      <c r="R1170" s="10" t="e">
        <f t="shared" si="258"/>
        <v>#N/A</v>
      </c>
      <c r="S1170" s="7">
        <f t="shared" si="265"/>
        <v>2606.4</v>
      </c>
      <c r="T1170" s="7">
        <f t="shared" si="252"/>
        <v>0</v>
      </c>
    </row>
    <row r="1171" spans="1:20" x14ac:dyDescent="0.25">
      <c r="A1171" s="1">
        <v>42915</v>
      </c>
      <c r="B1171">
        <v>2612</v>
      </c>
      <c r="C1171">
        <v>2650</v>
      </c>
      <c r="D1171">
        <v>2599.0500000000002</v>
      </c>
      <c r="E1171">
        <v>2642.7</v>
      </c>
      <c r="F1171">
        <v>848671</v>
      </c>
      <c r="G1171" s="4">
        <f t="shared" si="253"/>
        <v>44.099999999999909</v>
      </c>
      <c r="H1171" s="4">
        <f t="shared" si="254"/>
        <v>0</v>
      </c>
      <c r="I1171" s="6">
        <f t="shared" si="259"/>
        <v>18.535714285714285</v>
      </c>
      <c r="J1171" s="6">
        <f t="shared" si="260"/>
        <v>7.4571428571428635</v>
      </c>
      <c r="K1171" s="4">
        <f t="shared" si="261"/>
        <v>2.4856321839080437</v>
      </c>
      <c r="L1171">
        <f t="shared" si="262"/>
        <v>71.310799670239064</v>
      </c>
      <c r="M1171" s="14" t="str">
        <f t="shared" si="255"/>
        <v>OVERBOUGHT</v>
      </c>
      <c r="N1171" s="7" t="str">
        <f t="shared" si="256"/>
        <v>SELL</v>
      </c>
      <c r="O1171" s="7">
        <f t="shared" si="263"/>
        <v>0</v>
      </c>
      <c r="P1171" s="7">
        <f t="shared" si="264"/>
        <v>-1</v>
      </c>
      <c r="Q1171" s="10" t="e">
        <f t="shared" si="257"/>
        <v>#N/A</v>
      </c>
      <c r="R1171" s="10" t="e">
        <f t="shared" si="258"/>
        <v>#N/A</v>
      </c>
      <c r="S1171" s="7">
        <f t="shared" si="265"/>
        <v>2606.4</v>
      </c>
      <c r="T1171" s="7">
        <f t="shared" si="252"/>
        <v>0</v>
      </c>
    </row>
    <row r="1172" spans="1:20" x14ac:dyDescent="0.25">
      <c r="A1172" s="1">
        <v>42916</v>
      </c>
      <c r="B1172">
        <v>2652</v>
      </c>
      <c r="C1172">
        <v>2667</v>
      </c>
      <c r="D1172">
        <v>2625.1</v>
      </c>
      <c r="E1172">
        <v>2631.25</v>
      </c>
      <c r="F1172">
        <v>709049</v>
      </c>
      <c r="G1172" s="4">
        <f t="shared" si="253"/>
        <v>0</v>
      </c>
      <c r="H1172" s="4">
        <f t="shared" si="254"/>
        <v>11.449999999999818</v>
      </c>
      <c r="I1172" s="6">
        <f t="shared" si="259"/>
        <v>18.535714285714285</v>
      </c>
      <c r="J1172" s="6">
        <f t="shared" si="260"/>
        <v>4.7678571428571432</v>
      </c>
      <c r="K1172" s="4">
        <f t="shared" si="261"/>
        <v>3.8876404494382015</v>
      </c>
      <c r="L1172">
        <f t="shared" si="262"/>
        <v>79.540229885057471</v>
      </c>
      <c r="M1172" s="14" t="str">
        <f t="shared" si="255"/>
        <v>OVERBOUGHT</v>
      </c>
      <c r="N1172" s="7" t="str">
        <f t="shared" si="256"/>
        <v>SELL</v>
      </c>
      <c r="O1172" s="7">
        <f t="shared" si="263"/>
        <v>0</v>
      </c>
      <c r="P1172" s="7">
        <f t="shared" si="264"/>
        <v>-1</v>
      </c>
      <c r="Q1172" s="10" t="e">
        <f t="shared" si="257"/>
        <v>#N/A</v>
      </c>
      <c r="R1172" s="10" t="e">
        <f t="shared" si="258"/>
        <v>#N/A</v>
      </c>
      <c r="S1172" s="7">
        <f t="shared" si="265"/>
        <v>2606.4</v>
      </c>
      <c r="T1172" s="7">
        <f t="shared" si="252"/>
        <v>0</v>
      </c>
    </row>
    <row r="1173" spans="1:20" x14ac:dyDescent="0.25">
      <c r="A1173" s="1">
        <v>42919</v>
      </c>
      <c r="B1173">
        <v>2638</v>
      </c>
      <c r="C1173">
        <v>2642.75</v>
      </c>
      <c r="D1173">
        <v>2591.1999999999998</v>
      </c>
      <c r="E1173">
        <v>2600.15</v>
      </c>
      <c r="F1173">
        <v>629384</v>
      </c>
      <c r="G1173" s="4">
        <f t="shared" si="253"/>
        <v>0</v>
      </c>
      <c r="H1173" s="4">
        <f t="shared" si="254"/>
        <v>31.099999999999909</v>
      </c>
      <c r="I1173" s="6">
        <f t="shared" si="259"/>
        <v>18.535714285714285</v>
      </c>
      <c r="J1173" s="6">
        <f t="shared" si="260"/>
        <v>6.8249999999999806</v>
      </c>
      <c r="K1173" s="4">
        <f t="shared" si="261"/>
        <v>2.7158555729984375</v>
      </c>
      <c r="L1173">
        <f t="shared" si="262"/>
        <v>73.088297422898236</v>
      </c>
      <c r="M1173" s="14" t="str">
        <f t="shared" si="255"/>
        <v>OVERBOUGHT</v>
      </c>
      <c r="N1173" s="7" t="str">
        <f t="shared" si="256"/>
        <v>SELL</v>
      </c>
      <c r="O1173" s="7">
        <f t="shared" si="263"/>
        <v>0</v>
      </c>
      <c r="P1173" s="7">
        <f t="shared" si="264"/>
        <v>-1</v>
      </c>
      <c r="Q1173" s="10" t="e">
        <f t="shared" si="257"/>
        <v>#N/A</v>
      </c>
      <c r="R1173" s="10" t="e">
        <f t="shared" si="258"/>
        <v>#N/A</v>
      </c>
      <c r="S1173" s="7">
        <f t="shared" si="265"/>
        <v>2606.4</v>
      </c>
      <c r="T1173" s="7">
        <f t="shared" si="252"/>
        <v>0</v>
      </c>
    </row>
    <row r="1174" spans="1:20" x14ac:dyDescent="0.25">
      <c r="A1174" s="1">
        <v>42920</v>
      </c>
      <c r="B1174">
        <v>2610</v>
      </c>
      <c r="C1174">
        <v>2624.4</v>
      </c>
      <c r="D1174">
        <v>2591.5</v>
      </c>
      <c r="E1174">
        <v>2598.35</v>
      </c>
      <c r="F1174">
        <v>537811</v>
      </c>
      <c r="G1174" s="4">
        <f t="shared" si="253"/>
        <v>0</v>
      </c>
      <c r="H1174" s="4">
        <f t="shared" si="254"/>
        <v>1.8000000000001819</v>
      </c>
      <c r="I1174" s="6">
        <f t="shared" si="259"/>
        <v>18.535714285714285</v>
      </c>
      <c r="J1174" s="6">
        <f t="shared" si="260"/>
        <v>6.6857142857142788</v>
      </c>
      <c r="K1174" s="4">
        <f t="shared" si="261"/>
        <v>2.7724358974359</v>
      </c>
      <c r="L1174">
        <f t="shared" si="262"/>
        <v>73.49192863211556</v>
      </c>
      <c r="M1174" s="14" t="str">
        <f t="shared" si="255"/>
        <v>OVERBOUGHT</v>
      </c>
      <c r="N1174" s="7" t="str">
        <f t="shared" si="256"/>
        <v>SELL</v>
      </c>
      <c r="O1174" s="7">
        <f t="shared" si="263"/>
        <v>0</v>
      </c>
      <c r="P1174" s="7">
        <f t="shared" si="264"/>
        <v>-1</v>
      </c>
      <c r="Q1174" s="10" t="e">
        <f t="shared" si="257"/>
        <v>#N/A</v>
      </c>
      <c r="R1174" s="10" t="e">
        <f t="shared" si="258"/>
        <v>#N/A</v>
      </c>
      <c r="S1174" s="7">
        <f t="shared" si="265"/>
        <v>2606.4</v>
      </c>
      <c r="T1174" s="7">
        <f t="shared" si="252"/>
        <v>0</v>
      </c>
    </row>
    <row r="1175" spans="1:20" x14ac:dyDescent="0.25">
      <c r="A1175" s="1">
        <v>42921</v>
      </c>
      <c r="B1175">
        <v>2610</v>
      </c>
      <c r="C1175">
        <v>2624.35</v>
      </c>
      <c r="D1175">
        <v>2593.1999999999998</v>
      </c>
      <c r="E1175">
        <v>2607.6</v>
      </c>
      <c r="F1175">
        <v>598105</v>
      </c>
      <c r="G1175" s="4">
        <f t="shared" si="253"/>
        <v>9.25</v>
      </c>
      <c r="H1175" s="4">
        <f t="shared" si="254"/>
        <v>0</v>
      </c>
      <c r="I1175" s="6">
        <f t="shared" si="259"/>
        <v>16.928571428571427</v>
      </c>
      <c r="J1175" s="6">
        <f t="shared" si="260"/>
        <v>6.6857142857142788</v>
      </c>
      <c r="K1175" s="4">
        <f t="shared" si="261"/>
        <v>2.5320512820512846</v>
      </c>
      <c r="L1175">
        <f t="shared" si="262"/>
        <v>71.687840290381146</v>
      </c>
      <c r="M1175" s="14" t="str">
        <f t="shared" si="255"/>
        <v>OVERBOUGHT</v>
      </c>
      <c r="N1175" s="7" t="str">
        <f t="shared" si="256"/>
        <v>SELL</v>
      </c>
      <c r="O1175" s="7">
        <f t="shared" si="263"/>
        <v>0</v>
      </c>
      <c r="P1175" s="7">
        <f t="shared" si="264"/>
        <v>-1</v>
      </c>
      <c r="Q1175" s="10" t="e">
        <f t="shared" si="257"/>
        <v>#N/A</v>
      </c>
      <c r="R1175" s="10" t="e">
        <f t="shared" si="258"/>
        <v>#N/A</v>
      </c>
      <c r="S1175" s="7">
        <f t="shared" si="265"/>
        <v>2606.4</v>
      </c>
      <c r="T1175" s="7">
        <f t="shared" si="252"/>
        <v>0</v>
      </c>
    </row>
    <row r="1176" spans="1:20" x14ac:dyDescent="0.25">
      <c r="A1176" s="1">
        <v>42922</v>
      </c>
      <c r="B1176">
        <v>2614</v>
      </c>
      <c r="C1176">
        <v>2618.6</v>
      </c>
      <c r="D1176">
        <v>2554</v>
      </c>
      <c r="E1176">
        <v>2558.3000000000002</v>
      </c>
      <c r="F1176">
        <v>575772</v>
      </c>
      <c r="G1176" s="4">
        <f t="shared" si="253"/>
        <v>0</v>
      </c>
      <c r="H1176" s="4">
        <f t="shared" si="254"/>
        <v>49.299999999999727</v>
      </c>
      <c r="I1176" s="6">
        <f t="shared" si="259"/>
        <v>12.796428571428546</v>
      </c>
      <c r="J1176" s="6">
        <f t="shared" si="260"/>
        <v>10.207142857142831</v>
      </c>
      <c r="K1176" s="4">
        <f t="shared" si="261"/>
        <v>1.2536738978306516</v>
      </c>
      <c r="L1176">
        <f t="shared" si="262"/>
        <v>55.628008073280562</v>
      </c>
      <c r="M1176" s="14" t="str">
        <f t="shared" si="255"/>
        <v/>
      </c>
      <c r="N1176" s="7">
        <f t="shared" si="256"/>
        <v>0</v>
      </c>
      <c r="O1176" s="7">
        <f t="shared" si="263"/>
        <v>0</v>
      </c>
      <c r="P1176" s="7">
        <f t="shared" si="264"/>
        <v>-1</v>
      </c>
      <c r="Q1176" s="10" t="e">
        <f t="shared" si="257"/>
        <v>#N/A</v>
      </c>
      <c r="R1176" s="10" t="e">
        <f t="shared" si="258"/>
        <v>#N/A</v>
      </c>
      <c r="S1176" s="7">
        <f t="shared" si="265"/>
        <v>2606.4</v>
      </c>
      <c r="T1176" s="7">
        <f t="shared" si="252"/>
        <v>0</v>
      </c>
    </row>
    <row r="1177" spans="1:20" x14ac:dyDescent="0.25">
      <c r="A1177" s="1">
        <v>42923</v>
      </c>
      <c r="B1177">
        <v>2566</v>
      </c>
      <c r="C1177">
        <v>2575</v>
      </c>
      <c r="D1177">
        <v>2544</v>
      </c>
      <c r="E1177">
        <v>2550.85</v>
      </c>
      <c r="F1177">
        <v>767804</v>
      </c>
      <c r="G1177" s="4">
        <f t="shared" si="253"/>
        <v>0</v>
      </c>
      <c r="H1177" s="4">
        <f t="shared" si="254"/>
        <v>7.4500000000002728</v>
      </c>
      <c r="I1177" s="6">
        <f t="shared" si="259"/>
        <v>11.957142857142831</v>
      </c>
      <c r="J1177" s="6">
        <f t="shared" si="260"/>
        <v>10.739285714285709</v>
      </c>
      <c r="K1177" s="4">
        <f t="shared" si="261"/>
        <v>1.1134020618556681</v>
      </c>
      <c r="L1177">
        <f t="shared" si="262"/>
        <v>52.682926829268247</v>
      </c>
      <c r="M1177" s="14" t="str">
        <f t="shared" si="255"/>
        <v/>
      </c>
      <c r="N1177" s="7">
        <f t="shared" si="256"/>
        <v>0</v>
      </c>
      <c r="O1177" s="7">
        <f t="shared" si="263"/>
        <v>0</v>
      </c>
      <c r="P1177" s="7">
        <f t="shared" si="264"/>
        <v>-1</v>
      </c>
      <c r="Q1177" s="10" t="e">
        <f t="shared" si="257"/>
        <v>#N/A</v>
      </c>
      <c r="R1177" s="10" t="e">
        <f t="shared" si="258"/>
        <v>#N/A</v>
      </c>
      <c r="S1177" s="7">
        <f t="shared" si="265"/>
        <v>2606.4</v>
      </c>
      <c r="T1177" s="7">
        <f t="shared" si="252"/>
        <v>0</v>
      </c>
    </row>
    <row r="1178" spans="1:20" x14ac:dyDescent="0.25">
      <c r="A1178" s="1">
        <v>42926</v>
      </c>
      <c r="B1178">
        <v>2561</v>
      </c>
      <c r="C1178">
        <v>2604.75</v>
      </c>
      <c r="D1178">
        <v>2561</v>
      </c>
      <c r="E1178">
        <v>2591.1999999999998</v>
      </c>
      <c r="F1178">
        <v>828850</v>
      </c>
      <c r="G1178" s="4">
        <f t="shared" si="253"/>
        <v>40.349999999999909</v>
      </c>
      <c r="H1178" s="4">
        <f t="shared" si="254"/>
        <v>0</v>
      </c>
      <c r="I1178" s="6">
        <f t="shared" si="259"/>
        <v>13.68571428571428</v>
      </c>
      <c r="J1178" s="6">
        <f t="shared" si="260"/>
        <v>10.739285714285709</v>
      </c>
      <c r="K1178" s="4">
        <f t="shared" si="261"/>
        <v>1.2743598270701697</v>
      </c>
      <c r="L1178">
        <f t="shared" si="262"/>
        <v>56.031583564848667</v>
      </c>
      <c r="M1178" s="14" t="str">
        <f t="shared" si="255"/>
        <v/>
      </c>
      <c r="N1178" s="7">
        <f t="shared" si="256"/>
        <v>0</v>
      </c>
      <c r="O1178" s="7">
        <f t="shared" si="263"/>
        <v>0</v>
      </c>
      <c r="P1178" s="7">
        <f t="shared" si="264"/>
        <v>-1</v>
      </c>
      <c r="Q1178" s="10" t="e">
        <f t="shared" si="257"/>
        <v>#N/A</v>
      </c>
      <c r="R1178" s="10" t="e">
        <f t="shared" si="258"/>
        <v>#N/A</v>
      </c>
      <c r="S1178" s="7">
        <f t="shared" si="265"/>
        <v>2606.4</v>
      </c>
      <c r="T1178" s="7">
        <f t="shared" ref="T1178:T1241" si="266">IF(O1178="BUY",(S1177-S1178)/S1177,IF(O1178="SELL",(S1178-S1177)/S1177,0))</f>
        <v>0</v>
      </c>
    </row>
    <row r="1179" spans="1:20" x14ac:dyDescent="0.25">
      <c r="A1179" s="1">
        <v>42927</v>
      </c>
      <c r="B1179">
        <v>2591.6999999999998</v>
      </c>
      <c r="C1179">
        <v>2651.8</v>
      </c>
      <c r="D1179">
        <v>2581</v>
      </c>
      <c r="E1179">
        <v>2642.3</v>
      </c>
      <c r="F1179">
        <v>741539</v>
      </c>
      <c r="G1179" s="4">
        <f t="shared" si="253"/>
        <v>51.100000000000364</v>
      </c>
      <c r="H1179" s="4">
        <f t="shared" si="254"/>
        <v>0</v>
      </c>
      <c r="I1179" s="6">
        <f t="shared" si="259"/>
        <v>17.335714285714307</v>
      </c>
      <c r="J1179" s="6">
        <f t="shared" si="260"/>
        <v>8.7678571428571423</v>
      </c>
      <c r="K1179" s="4">
        <f t="shared" si="261"/>
        <v>1.977189409368638</v>
      </c>
      <c r="L1179">
        <f t="shared" si="262"/>
        <v>66.411273772061861</v>
      </c>
      <c r="M1179" s="14" t="str">
        <f t="shared" si="255"/>
        <v/>
      </c>
      <c r="N1179" s="7">
        <f t="shared" si="256"/>
        <v>0</v>
      </c>
      <c r="O1179" s="7">
        <f t="shared" si="263"/>
        <v>0</v>
      </c>
      <c r="P1179" s="7">
        <f t="shared" si="264"/>
        <v>-1</v>
      </c>
      <c r="Q1179" s="10" t="e">
        <f t="shared" si="257"/>
        <v>#N/A</v>
      </c>
      <c r="R1179" s="10" t="e">
        <f t="shared" si="258"/>
        <v>#N/A</v>
      </c>
      <c r="S1179" s="7">
        <f t="shared" si="265"/>
        <v>2606.4</v>
      </c>
      <c r="T1179" s="7">
        <f t="shared" si="266"/>
        <v>0</v>
      </c>
    </row>
    <row r="1180" spans="1:20" x14ac:dyDescent="0.25">
      <c r="A1180" s="1">
        <v>42928</v>
      </c>
      <c r="B1180">
        <v>2643</v>
      </c>
      <c r="C1180">
        <v>2740</v>
      </c>
      <c r="D1180">
        <v>2642</v>
      </c>
      <c r="E1180">
        <v>2714.2</v>
      </c>
      <c r="F1180">
        <v>1793932</v>
      </c>
      <c r="G1180" s="4">
        <f t="shared" si="253"/>
        <v>71.899999999999636</v>
      </c>
      <c r="H1180" s="4">
        <f t="shared" si="254"/>
        <v>0</v>
      </c>
      <c r="I1180" s="6">
        <f t="shared" si="259"/>
        <v>21.414285714285693</v>
      </c>
      <c r="J1180" s="6">
        <f t="shared" si="260"/>
        <v>8.7678571428571423</v>
      </c>
      <c r="K1180" s="4">
        <f t="shared" si="261"/>
        <v>2.4423625254582464</v>
      </c>
      <c r="L1180">
        <f t="shared" si="262"/>
        <v>70.950183410247291</v>
      </c>
      <c r="M1180" s="14" t="str">
        <f t="shared" si="255"/>
        <v>OVERBOUGHT</v>
      </c>
      <c r="N1180" s="7" t="str">
        <f t="shared" si="256"/>
        <v>SELL</v>
      </c>
      <c r="O1180" s="7">
        <f t="shared" si="263"/>
        <v>0</v>
      </c>
      <c r="P1180" s="7">
        <f t="shared" si="264"/>
        <v>-1</v>
      </c>
      <c r="Q1180" s="10" t="e">
        <f t="shared" si="257"/>
        <v>#N/A</v>
      </c>
      <c r="R1180" s="10" t="e">
        <f t="shared" si="258"/>
        <v>#N/A</v>
      </c>
      <c r="S1180" s="7">
        <f t="shared" si="265"/>
        <v>2606.4</v>
      </c>
      <c r="T1180" s="7">
        <f t="shared" si="266"/>
        <v>0</v>
      </c>
    </row>
    <row r="1181" spans="1:20" x14ac:dyDescent="0.25">
      <c r="A1181" s="1">
        <v>42929</v>
      </c>
      <c r="B1181">
        <v>2714</v>
      </c>
      <c r="C1181">
        <v>2734</v>
      </c>
      <c r="D1181">
        <v>2676.25</v>
      </c>
      <c r="E1181">
        <v>2721.8</v>
      </c>
      <c r="F1181">
        <v>499792</v>
      </c>
      <c r="G1181" s="4">
        <f t="shared" si="253"/>
        <v>7.6000000000003638</v>
      </c>
      <c r="H1181" s="4">
        <f t="shared" si="254"/>
        <v>0</v>
      </c>
      <c r="I1181" s="6">
        <f t="shared" si="259"/>
        <v>21.903571428571436</v>
      </c>
      <c r="J1181" s="6">
        <f t="shared" si="260"/>
        <v>8.7678571428571423</v>
      </c>
      <c r="K1181" s="4">
        <f t="shared" si="261"/>
        <v>2.4981670061099805</v>
      </c>
      <c r="L1181">
        <f t="shared" si="262"/>
        <v>71.413600372612962</v>
      </c>
      <c r="M1181" s="14" t="str">
        <f t="shared" si="255"/>
        <v>OVERBOUGHT</v>
      </c>
      <c r="N1181" s="7" t="str">
        <f t="shared" si="256"/>
        <v>SELL</v>
      </c>
      <c r="O1181" s="7">
        <f t="shared" si="263"/>
        <v>0</v>
      </c>
      <c r="P1181" s="7">
        <f t="shared" si="264"/>
        <v>-1</v>
      </c>
      <c r="Q1181" s="10" t="e">
        <f t="shared" si="257"/>
        <v>#N/A</v>
      </c>
      <c r="R1181" s="10" t="e">
        <f t="shared" si="258"/>
        <v>#N/A</v>
      </c>
      <c r="S1181" s="7">
        <f t="shared" si="265"/>
        <v>2606.4</v>
      </c>
      <c r="T1181" s="7">
        <f t="shared" si="266"/>
        <v>0</v>
      </c>
    </row>
    <row r="1182" spans="1:20" x14ac:dyDescent="0.25">
      <c r="A1182" s="1">
        <v>42930</v>
      </c>
      <c r="B1182">
        <v>2724</v>
      </c>
      <c r="C1182">
        <v>2782.45</v>
      </c>
      <c r="D1182">
        <v>2683.3</v>
      </c>
      <c r="E1182">
        <v>2688.2</v>
      </c>
      <c r="F1182">
        <v>1027995</v>
      </c>
      <c r="G1182" s="4">
        <f t="shared" si="253"/>
        <v>0</v>
      </c>
      <c r="H1182" s="4">
        <f t="shared" si="254"/>
        <v>33.600000000000364</v>
      </c>
      <c r="I1182" s="6">
        <f t="shared" si="259"/>
        <v>17.010714285714293</v>
      </c>
      <c r="J1182" s="6">
        <f t="shared" si="260"/>
        <v>11.167857142857169</v>
      </c>
      <c r="K1182" s="4">
        <f t="shared" si="261"/>
        <v>1.5231851614966392</v>
      </c>
      <c r="L1182">
        <f t="shared" si="262"/>
        <v>60.367553865652674</v>
      </c>
      <c r="M1182" s="14" t="str">
        <f t="shared" si="255"/>
        <v/>
      </c>
      <c r="N1182" s="7">
        <f t="shared" si="256"/>
        <v>0</v>
      </c>
      <c r="O1182" s="7">
        <f t="shared" si="263"/>
        <v>0</v>
      </c>
      <c r="P1182" s="7">
        <f t="shared" si="264"/>
        <v>-1</v>
      </c>
      <c r="Q1182" s="10" t="e">
        <f t="shared" si="257"/>
        <v>#N/A</v>
      </c>
      <c r="R1182" s="10" t="e">
        <f t="shared" si="258"/>
        <v>#N/A</v>
      </c>
      <c r="S1182" s="7">
        <f t="shared" si="265"/>
        <v>2606.4</v>
      </c>
      <c r="T1182" s="7">
        <f t="shared" si="266"/>
        <v>0</v>
      </c>
    </row>
    <row r="1183" spans="1:20" x14ac:dyDescent="0.25">
      <c r="A1183" s="1">
        <v>42933</v>
      </c>
      <c r="B1183">
        <v>2693</v>
      </c>
      <c r="C1183">
        <v>2706.95</v>
      </c>
      <c r="D1183">
        <v>2632.75</v>
      </c>
      <c r="E1183">
        <v>2643</v>
      </c>
      <c r="F1183">
        <v>1221066</v>
      </c>
      <c r="G1183" s="4">
        <f t="shared" si="253"/>
        <v>0</v>
      </c>
      <c r="H1183" s="4">
        <f t="shared" si="254"/>
        <v>45.199999999999818</v>
      </c>
      <c r="I1183" s="6">
        <f t="shared" si="259"/>
        <v>17.010714285714293</v>
      </c>
      <c r="J1183" s="6">
        <f t="shared" si="260"/>
        <v>12.850000000000007</v>
      </c>
      <c r="K1183" s="4">
        <f t="shared" si="261"/>
        <v>1.3237909949972206</v>
      </c>
      <c r="L1183">
        <f t="shared" si="262"/>
        <v>56.966869991627789</v>
      </c>
      <c r="M1183" s="14" t="str">
        <f t="shared" si="255"/>
        <v/>
      </c>
      <c r="N1183" s="7">
        <f t="shared" si="256"/>
        <v>0</v>
      </c>
      <c r="O1183" s="7">
        <f t="shared" si="263"/>
        <v>0</v>
      </c>
      <c r="P1183" s="7">
        <f t="shared" si="264"/>
        <v>-1</v>
      </c>
      <c r="Q1183" s="10" t="e">
        <f t="shared" si="257"/>
        <v>#N/A</v>
      </c>
      <c r="R1183" s="10" t="e">
        <f t="shared" si="258"/>
        <v>#N/A</v>
      </c>
      <c r="S1183" s="7">
        <f t="shared" si="265"/>
        <v>2606.4</v>
      </c>
      <c r="T1183" s="7">
        <f t="shared" si="266"/>
        <v>0</v>
      </c>
    </row>
    <row r="1184" spans="1:20" x14ac:dyDescent="0.25">
      <c r="A1184" s="1">
        <v>42934</v>
      </c>
      <c r="B1184">
        <v>2660.95</v>
      </c>
      <c r="C1184">
        <v>2725</v>
      </c>
      <c r="D1184">
        <v>2660</v>
      </c>
      <c r="E1184">
        <v>2708.6</v>
      </c>
      <c r="F1184">
        <v>1236579</v>
      </c>
      <c r="G1184" s="4">
        <f t="shared" si="253"/>
        <v>65.599999999999909</v>
      </c>
      <c r="H1184" s="4">
        <f t="shared" si="254"/>
        <v>0</v>
      </c>
      <c r="I1184" s="6">
        <f t="shared" si="259"/>
        <v>20.707142857142863</v>
      </c>
      <c r="J1184" s="6">
        <f t="shared" si="260"/>
        <v>12.850000000000007</v>
      </c>
      <c r="K1184" s="4">
        <f t="shared" si="261"/>
        <v>1.6114508060033348</v>
      </c>
      <c r="L1184">
        <f t="shared" si="262"/>
        <v>61.70710940825883</v>
      </c>
      <c r="M1184" s="14" t="str">
        <f t="shared" si="255"/>
        <v/>
      </c>
      <c r="N1184" s="7">
        <f t="shared" si="256"/>
        <v>0</v>
      </c>
      <c r="O1184" s="7">
        <f t="shared" si="263"/>
        <v>0</v>
      </c>
      <c r="P1184" s="7">
        <f t="shared" si="264"/>
        <v>-1</v>
      </c>
      <c r="Q1184" s="10" t="e">
        <f t="shared" si="257"/>
        <v>#N/A</v>
      </c>
      <c r="R1184" s="10" t="e">
        <f t="shared" si="258"/>
        <v>#N/A</v>
      </c>
      <c r="S1184" s="7">
        <f t="shared" si="265"/>
        <v>2606.4</v>
      </c>
      <c r="T1184" s="7">
        <f t="shared" si="266"/>
        <v>0</v>
      </c>
    </row>
    <row r="1185" spans="1:20" x14ac:dyDescent="0.25">
      <c r="A1185" s="1">
        <v>42935</v>
      </c>
      <c r="B1185">
        <v>2710</v>
      </c>
      <c r="C1185">
        <v>2724.9</v>
      </c>
      <c r="D1185">
        <v>2670.1</v>
      </c>
      <c r="E1185">
        <v>2684</v>
      </c>
      <c r="F1185">
        <v>806356</v>
      </c>
      <c r="G1185" s="4">
        <f t="shared" si="253"/>
        <v>0</v>
      </c>
      <c r="H1185" s="4">
        <f t="shared" si="254"/>
        <v>24.599999999999909</v>
      </c>
      <c r="I1185" s="6">
        <f t="shared" si="259"/>
        <v>17.557142857142871</v>
      </c>
      <c r="J1185" s="6">
        <f t="shared" si="260"/>
        <v>14.607142857142858</v>
      </c>
      <c r="K1185" s="4">
        <f t="shared" si="261"/>
        <v>1.2019559902200498</v>
      </c>
      <c r="L1185">
        <f t="shared" si="262"/>
        <v>54.585831667777057</v>
      </c>
      <c r="M1185" s="14" t="str">
        <f t="shared" si="255"/>
        <v/>
      </c>
      <c r="N1185" s="7">
        <f t="shared" si="256"/>
        <v>0</v>
      </c>
      <c r="O1185" s="7">
        <f t="shared" si="263"/>
        <v>0</v>
      </c>
      <c r="P1185" s="7">
        <f t="shared" si="264"/>
        <v>-1</v>
      </c>
      <c r="Q1185" s="10" t="e">
        <f t="shared" si="257"/>
        <v>#N/A</v>
      </c>
      <c r="R1185" s="10" t="e">
        <f t="shared" si="258"/>
        <v>#N/A</v>
      </c>
      <c r="S1185" s="7">
        <f t="shared" si="265"/>
        <v>2606.4</v>
      </c>
      <c r="T1185" s="7">
        <f t="shared" si="266"/>
        <v>0</v>
      </c>
    </row>
    <row r="1186" spans="1:20" x14ac:dyDescent="0.25">
      <c r="A1186" s="1">
        <v>42936</v>
      </c>
      <c r="B1186">
        <v>2695.4</v>
      </c>
      <c r="C1186">
        <v>2775.45</v>
      </c>
      <c r="D1186">
        <v>2675.3</v>
      </c>
      <c r="E1186">
        <v>2767.95</v>
      </c>
      <c r="F1186">
        <v>1044767</v>
      </c>
      <c r="G1186" s="4">
        <f t="shared" si="253"/>
        <v>83.949999999999818</v>
      </c>
      <c r="H1186" s="4">
        <f t="shared" si="254"/>
        <v>0</v>
      </c>
      <c r="I1186" s="6">
        <f t="shared" si="259"/>
        <v>23.553571428571427</v>
      </c>
      <c r="J1186" s="6">
        <f t="shared" si="260"/>
        <v>13.789285714285727</v>
      </c>
      <c r="K1186" s="4">
        <f t="shared" si="261"/>
        <v>1.7081067081067065</v>
      </c>
      <c r="L1186">
        <f t="shared" si="262"/>
        <v>63.073833205814822</v>
      </c>
      <c r="M1186" s="14" t="str">
        <f t="shared" si="255"/>
        <v/>
      </c>
      <c r="N1186" s="7">
        <f t="shared" si="256"/>
        <v>0</v>
      </c>
      <c r="O1186" s="7">
        <f t="shared" si="263"/>
        <v>0</v>
      </c>
      <c r="P1186" s="7">
        <f t="shared" si="264"/>
        <v>-1</v>
      </c>
      <c r="Q1186" s="10" t="e">
        <f t="shared" si="257"/>
        <v>#N/A</v>
      </c>
      <c r="R1186" s="10" t="e">
        <f t="shared" si="258"/>
        <v>#N/A</v>
      </c>
      <c r="S1186" s="7">
        <f t="shared" si="265"/>
        <v>2606.4</v>
      </c>
      <c r="T1186" s="7">
        <f t="shared" si="266"/>
        <v>0</v>
      </c>
    </row>
    <row r="1187" spans="1:20" x14ac:dyDescent="0.25">
      <c r="A1187" s="1">
        <v>42937</v>
      </c>
      <c r="B1187">
        <v>2772.95</v>
      </c>
      <c r="C1187">
        <v>2776.65</v>
      </c>
      <c r="D1187">
        <v>2708.15</v>
      </c>
      <c r="E1187">
        <v>2736.6</v>
      </c>
      <c r="F1187">
        <v>1394477</v>
      </c>
      <c r="G1187" s="4">
        <f t="shared" si="253"/>
        <v>0</v>
      </c>
      <c r="H1187" s="4">
        <f t="shared" si="254"/>
        <v>31.349999999999909</v>
      </c>
      <c r="I1187" s="6">
        <f t="shared" si="259"/>
        <v>23.553571428571427</v>
      </c>
      <c r="J1187" s="6">
        <f t="shared" si="260"/>
        <v>13.807142857142869</v>
      </c>
      <c r="K1187" s="4">
        <f t="shared" si="261"/>
        <v>1.7058975685462994</v>
      </c>
      <c r="L1187">
        <f t="shared" si="262"/>
        <v>63.043686072077215</v>
      </c>
      <c r="M1187" s="14" t="str">
        <f t="shared" si="255"/>
        <v/>
      </c>
      <c r="N1187" s="7">
        <f t="shared" si="256"/>
        <v>0</v>
      </c>
      <c r="O1187" s="7">
        <f t="shared" si="263"/>
        <v>0</v>
      </c>
      <c r="P1187" s="7">
        <f t="shared" si="264"/>
        <v>-1</v>
      </c>
      <c r="Q1187" s="10" t="e">
        <f t="shared" si="257"/>
        <v>#N/A</v>
      </c>
      <c r="R1187" s="10" t="e">
        <f t="shared" si="258"/>
        <v>#N/A</v>
      </c>
      <c r="S1187" s="7">
        <f t="shared" si="265"/>
        <v>2606.4</v>
      </c>
      <c r="T1187" s="7">
        <f t="shared" si="266"/>
        <v>0</v>
      </c>
    </row>
    <row r="1188" spans="1:20" x14ac:dyDescent="0.25">
      <c r="A1188" s="1">
        <v>42940</v>
      </c>
      <c r="B1188">
        <v>2752</v>
      </c>
      <c r="C1188">
        <v>2802</v>
      </c>
      <c r="D1188">
        <v>2737</v>
      </c>
      <c r="E1188">
        <v>2775.6</v>
      </c>
      <c r="F1188">
        <v>1071011</v>
      </c>
      <c r="G1188" s="4">
        <f t="shared" si="253"/>
        <v>39</v>
      </c>
      <c r="H1188" s="4">
        <f t="shared" si="254"/>
        <v>0</v>
      </c>
      <c r="I1188" s="6">
        <f t="shared" si="259"/>
        <v>26.339285714285715</v>
      </c>
      <c r="J1188" s="6">
        <f t="shared" si="260"/>
        <v>13.678571428571429</v>
      </c>
      <c r="K1188" s="4">
        <f t="shared" si="261"/>
        <v>1.9255874673629243</v>
      </c>
      <c r="L1188">
        <f t="shared" si="262"/>
        <v>65.818830879071839</v>
      </c>
      <c r="M1188" s="14" t="str">
        <f t="shared" si="255"/>
        <v/>
      </c>
      <c r="N1188" s="7">
        <f t="shared" si="256"/>
        <v>0</v>
      </c>
      <c r="O1188" s="7">
        <f t="shared" si="263"/>
        <v>0</v>
      </c>
      <c r="P1188" s="7">
        <f t="shared" si="264"/>
        <v>-1</v>
      </c>
      <c r="Q1188" s="10" t="e">
        <f t="shared" si="257"/>
        <v>#N/A</v>
      </c>
      <c r="R1188" s="10" t="e">
        <f t="shared" si="258"/>
        <v>#N/A</v>
      </c>
      <c r="S1188" s="7">
        <f t="shared" si="265"/>
        <v>2606.4</v>
      </c>
      <c r="T1188" s="7">
        <f t="shared" si="266"/>
        <v>0</v>
      </c>
    </row>
    <row r="1189" spans="1:20" x14ac:dyDescent="0.25">
      <c r="A1189" s="1">
        <v>42941</v>
      </c>
      <c r="B1189">
        <v>2739.6</v>
      </c>
      <c r="C1189">
        <v>2839.7</v>
      </c>
      <c r="D1189">
        <v>2725.6</v>
      </c>
      <c r="E1189">
        <v>2731.35</v>
      </c>
      <c r="F1189">
        <v>1728837</v>
      </c>
      <c r="G1189" s="4">
        <f t="shared" si="253"/>
        <v>0</v>
      </c>
      <c r="H1189" s="4">
        <f t="shared" si="254"/>
        <v>44.25</v>
      </c>
      <c r="I1189" s="6">
        <f t="shared" si="259"/>
        <v>25.678571428571427</v>
      </c>
      <c r="J1189" s="6">
        <f t="shared" si="260"/>
        <v>16.839285714285715</v>
      </c>
      <c r="K1189" s="4">
        <f t="shared" si="261"/>
        <v>1.5249204665959701</v>
      </c>
      <c r="L1189">
        <f t="shared" si="262"/>
        <v>60.394792104157915</v>
      </c>
      <c r="M1189" s="14" t="str">
        <f t="shared" si="255"/>
        <v/>
      </c>
      <c r="N1189" s="7">
        <f t="shared" si="256"/>
        <v>0</v>
      </c>
      <c r="O1189" s="7">
        <f t="shared" si="263"/>
        <v>0</v>
      </c>
      <c r="P1189" s="7">
        <f t="shared" si="264"/>
        <v>-1</v>
      </c>
      <c r="Q1189" s="10" t="e">
        <f t="shared" si="257"/>
        <v>#N/A</v>
      </c>
      <c r="R1189" s="10" t="e">
        <f t="shared" si="258"/>
        <v>#N/A</v>
      </c>
      <c r="S1189" s="7">
        <f t="shared" si="265"/>
        <v>2606.4</v>
      </c>
      <c r="T1189" s="7">
        <f t="shared" si="266"/>
        <v>0</v>
      </c>
    </row>
    <row r="1190" spans="1:20" x14ac:dyDescent="0.25">
      <c r="A1190" s="1">
        <v>42942</v>
      </c>
      <c r="B1190">
        <v>2738</v>
      </c>
      <c r="C1190">
        <v>2739.95</v>
      </c>
      <c r="D1190">
        <v>2649.25</v>
      </c>
      <c r="E1190">
        <v>2683.2</v>
      </c>
      <c r="F1190">
        <v>981221</v>
      </c>
      <c r="G1190" s="4">
        <f t="shared" si="253"/>
        <v>0</v>
      </c>
      <c r="H1190" s="4">
        <f t="shared" si="254"/>
        <v>48.150000000000091</v>
      </c>
      <c r="I1190" s="6">
        <f t="shared" si="259"/>
        <v>25.678571428571427</v>
      </c>
      <c r="J1190" s="6">
        <f t="shared" si="260"/>
        <v>16.757142857142885</v>
      </c>
      <c r="K1190" s="4">
        <f t="shared" si="261"/>
        <v>1.5323955669224185</v>
      </c>
      <c r="L1190">
        <f t="shared" si="262"/>
        <v>60.511698367278193</v>
      </c>
      <c r="M1190" s="14" t="str">
        <f t="shared" si="255"/>
        <v/>
      </c>
      <c r="N1190" s="7">
        <f t="shared" si="256"/>
        <v>0</v>
      </c>
      <c r="O1190" s="7">
        <f t="shared" si="263"/>
        <v>0</v>
      </c>
      <c r="P1190" s="7">
        <f t="shared" si="264"/>
        <v>-1</v>
      </c>
      <c r="Q1190" s="10" t="e">
        <f t="shared" si="257"/>
        <v>#N/A</v>
      </c>
      <c r="R1190" s="10" t="e">
        <f t="shared" si="258"/>
        <v>#N/A</v>
      </c>
      <c r="S1190" s="7">
        <f t="shared" si="265"/>
        <v>2606.4</v>
      </c>
      <c r="T1190" s="7">
        <f t="shared" si="266"/>
        <v>0</v>
      </c>
    </row>
    <row r="1191" spans="1:20" x14ac:dyDescent="0.25">
      <c r="A1191" s="1">
        <v>42943</v>
      </c>
      <c r="B1191">
        <v>2708</v>
      </c>
      <c r="C1191">
        <v>2723.3</v>
      </c>
      <c r="D1191">
        <v>2686.5</v>
      </c>
      <c r="E1191">
        <v>2706.05</v>
      </c>
      <c r="F1191">
        <v>842588</v>
      </c>
      <c r="G1191" s="4">
        <f t="shared" si="253"/>
        <v>22.850000000000364</v>
      </c>
      <c r="H1191" s="4">
        <f t="shared" si="254"/>
        <v>0</v>
      </c>
      <c r="I1191" s="6">
        <f t="shared" si="259"/>
        <v>27.310714285714312</v>
      </c>
      <c r="J1191" s="6">
        <f t="shared" si="260"/>
        <v>16.225000000000005</v>
      </c>
      <c r="K1191" s="4">
        <f t="shared" si="261"/>
        <v>1.6832489544353961</v>
      </c>
      <c r="L1191">
        <f t="shared" si="262"/>
        <v>62.73174733388025</v>
      </c>
      <c r="M1191" s="14" t="str">
        <f t="shared" si="255"/>
        <v/>
      </c>
      <c r="N1191" s="7">
        <f t="shared" si="256"/>
        <v>0</v>
      </c>
      <c r="O1191" s="7">
        <f t="shared" si="263"/>
        <v>0</v>
      </c>
      <c r="P1191" s="7">
        <f t="shared" si="264"/>
        <v>-1</v>
      </c>
      <c r="Q1191" s="10" t="e">
        <f t="shared" si="257"/>
        <v>#N/A</v>
      </c>
      <c r="R1191" s="10" t="e">
        <f t="shared" si="258"/>
        <v>#N/A</v>
      </c>
      <c r="S1191" s="7">
        <f t="shared" si="265"/>
        <v>2606.4</v>
      </c>
      <c r="T1191" s="7">
        <f t="shared" si="266"/>
        <v>0</v>
      </c>
    </row>
    <row r="1192" spans="1:20" x14ac:dyDescent="0.25">
      <c r="A1192" s="1">
        <v>42944</v>
      </c>
      <c r="B1192">
        <v>2706</v>
      </c>
      <c r="C1192">
        <v>2727.45</v>
      </c>
      <c r="D1192">
        <v>2668.5</v>
      </c>
      <c r="E1192">
        <v>2678.5</v>
      </c>
      <c r="F1192">
        <v>1172181</v>
      </c>
      <c r="G1192" s="4">
        <f t="shared" si="253"/>
        <v>0</v>
      </c>
      <c r="H1192" s="4">
        <f t="shared" si="254"/>
        <v>27.550000000000182</v>
      </c>
      <c r="I1192" s="6">
        <f t="shared" si="259"/>
        <v>24.428571428571463</v>
      </c>
      <c r="J1192" s="6">
        <f t="shared" si="260"/>
        <v>18.192857142857161</v>
      </c>
      <c r="K1192" s="4">
        <f t="shared" si="261"/>
        <v>1.3427561837455835</v>
      </c>
      <c r="L1192">
        <f t="shared" si="262"/>
        <v>57.315233785822031</v>
      </c>
      <c r="M1192" s="14" t="str">
        <f t="shared" si="255"/>
        <v/>
      </c>
      <c r="N1192" s="7">
        <f t="shared" si="256"/>
        <v>0</v>
      </c>
      <c r="O1192" s="7">
        <f t="shared" si="263"/>
        <v>0</v>
      </c>
      <c r="P1192" s="7">
        <f t="shared" si="264"/>
        <v>-1</v>
      </c>
      <c r="Q1192" s="10" t="e">
        <f t="shared" si="257"/>
        <v>#N/A</v>
      </c>
      <c r="R1192" s="10" t="e">
        <f t="shared" si="258"/>
        <v>#N/A</v>
      </c>
      <c r="S1192" s="7">
        <f t="shared" si="265"/>
        <v>2606.4</v>
      </c>
      <c r="T1192" s="7">
        <f t="shared" si="266"/>
        <v>0</v>
      </c>
    </row>
    <row r="1193" spans="1:20" x14ac:dyDescent="0.25">
      <c r="A1193" s="1">
        <v>42947</v>
      </c>
      <c r="B1193">
        <v>2680</v>
      </c>
      <c r="C1193">
        <v>2724.8</v>
      </c>
      <c r="D1193">
        <v>2670</v>
      </c>
      <c r="E1193">
        <v>2716.55</v>
      </c>
      <c r="F1193">
        <v>1104766</v>
      </c>
      <c r="G1193" s="4">
        <f t="shared" si="253"/>
        <v>38.050000000000182</v>
      </c>
      <c r="H1193" s="4">
        <f t="shared" si="254"/>
        <v>0</v>
      </c>
      <c r="I1193" s="6">
        <f t="shared" si="259"/>
        <v>23.496428571428591</v>
      </c>
      <c r="J1193" s="6">
        <f t="shared" si="260"/>
        <v>18.192857142857161</v>
      </c>
      <c r="K1193" s="4">
        <f t="shared" si="261"/>
        <v>1.2915194346289751</v>
      </c>
      <c r="L1193">
        <f t="shared" si="262"/>
        <v>56.360832690824978</v>
      </c>
      <c r="M1193" s="14" t="str">
        <f t="shared" si="255"/>
        <v/>
      </c>
      <c r="N1193" s="7">
        <f t="shared" si="256"/>
        <v>0</v>
      </c>
      <c r="O1193" s="7">
        <f t="shared" si="263"/>
        <v>0</v>
      </c>
      <c r="P1193" s="7">
        <f t="shared" si="264"/>
        <v>-1</v>
      </c>
      <c r="Q1193" s="10" t="e">
        <f t="shared" si="257"/>
        <v>#N/A</v>
      </c>
      <c r="R1193" s="10" t="e">
        <f t="shared" si="258"/>
        <v>#N/A</v>
      </c>
      <c r="S1193" s="7">
        <f t="shared" si="265"/>
        <v>2606.4</v>
      </c>
      <c r="T1193" s="7">
        <f t="shared" si="266"/>
        <v>0</v>
      </c>
    </row>
    <row r="1194" spans="1:20" x14ac:dyDescent="0.25">
      <c r="A1194" s="1">
        <v>42948</v>
      </c>
      <c r="B1194">
        <v>2730</v>
      </c>
      <c r="C1194">
        <v>2735.7</v>
      </c>
      <c r="D1194">
        <v>2678.8</v>
      </c>
      <c r="E1194">
        <v>2699.2</v>
      </c>
      <c r="F1194">
        <v>1184703</v>
      </c>
      <c r="G1194" s="4">
        <f t="shared" si="253"/>
        <v>0</v>
      </c>
      <c r="H1194" s="4">
        <f t="shared" si="254"/>
        <v>17.350000000000364</v>
      </c>
      <c r="I1194" s="6">
        <f t="shared" si="259"/>
        <v>18.36071428571433</v>
      </c>
      <c r="J1194" s="6">
        <f t="shared" si="260"/>
        <v>19.432142857142903</v>
      </c>
      <c r="K1194" s="4">
        <f t="shared" si="261"/>
        <v>0.94486307664032354</v>
      </c>
      <c r="L1194">
        <f t="shared" si="262"/>
        <v>48.582498582498587</v>
      </c>
      <c r="M1194" s="14" t="str">
        <f t="shared" si="255"/>
        <v/>
      </c>
      <c r="N1194" s="7">
        <f t="shared" si="256"/>
        <v>0</v>
      </c>
      <c r="O1194" s="7">
        <f t="shared" si="263"/>
        <v>0</v>
      </c>
      <c r="P1194" s="7">
        <f t="shared" si="264"/>
        <v>-1</v>
      </c>
      <c r="Q1194" s="10" t="e">
        <f t="shared" si="257"/>
        <v>#N/A</v>
      </c>
      <c r="R1194" s="10" t="e">
        <f t="shared" si="258"/>
        <v>#N/A</v>
      </c>
      <c r="S1194" s="7">
        <f t="shared" si="265"/>
        <v>2606.4</v>
      </c>
      <c r="T1194" s="7">
        <f t="shared" si="266"/>
        <v>0</v>
      </c>
    </row>
    <row r="1195" spans="1:20" x14ac:dyDescent="0.25">
      <c r="A1195" s="1">
        <v>42949</v>
      </c>
      <c r="B1195">
        <v>2730</v>
      </c>
      <c r="C1195">
        <v>2758.6</v>
      </c>
      <c r="D1195">
        <v>2664.25</v>
      </c>
      <c r="E1195">
        <v>2678.1</v>
      </c>
      <c r="F1195">
        <v>1924007</v>
      </c>
      <c r="G1195" s="4">
        <f t="shared" si="253"/>
        <v>0</v>
      </c>
      <c r="H1195" s="4">
        <f t="shared" si="254"/>
        <v>21.099999999999909</v>
      </c>
      <c r="I1195" s="6">
        <f t="shared" si="259"/>
        <v>17.817857142857161</v>
      </c>
      <c r="J1195" s="6">
        <f t="shared" si="260"/>
        <v>20.939285714285752</v>
      </c>
      <c r="K1195" s="4">
        <f t="shared" si="261"/>
        <v>0.85092955824663075</v>
      </c>
      <c r="L1195">
        <f t="shared" si="262"/>
        <v>45.97309251750827</v>
      </c>
      <c r="M1195" s="14" t="str">
        <f t="shared" si="255"/>
        <v/>
      </c>
      <c r="N1195" s="7">
        <f t="shared" si="256"/>
        <v>0</v>
      </c>
      <c r="O1195" s="7">
        <f t="shared" si="263"/>
        <v>0</v>
      </c>
      <c r="P1195" s="7">
        <f t="shared" si="264"/>
        <v>-1</v>
      </c>
      <c r="Q1195" s="10" t="e">
        <f t="shared" si="257"/>
        <v>#N/A</v>
      </c>
      <c r="R1195" s="10" t="e">
        <f t="shared" si="258"/>
        <v>#N/A</v>
      </c>
      <c r="S1195" s="7">
        <f t="shared" si="265"/>
        <v>2606.4</v>
      </c>
      <c r="T1195" s="7">
        <f t="shared" si="266"/>
        <v>0</v>
      </c>
    </row>
    <row r="1196" spans="1:20" x14ac:dyDescent="0.25">
      <c r="A1196" s="1">
        <v>42950</v>
      </c>
      <c r="B1196">
        <v>2475</v>
      </c>
      <c r="C1196">
        <v>2511.35</v>
      </c>
      <c r="D1196">
        <v>2430</v>
      </c>
      <c r="E1196">
        <v>2441.15</v>
      </c>
      <c r="F1196">
        <v>4946406</v>
      </c>
      <c r="G1196" s="4">
        <f t="shared" si="253"/>
        <v>0</v>
      </c>
      <c r="H1196" s="4">
        <f t="shared" si="254"/>
        <v>236.94999999999982</v>
      </c>
      <c r="I1196" s="6">
        <f t="shared" si="259"/>
        <v>17.817857142857161</v>
      </c>
      <c r="J1196" s="6">
        <f t="shared" si="260"/>
        <v>35.464285714285715</v>
      </c>
      <c r="K1196" s="4">
        <f t="shared" si="261"/>
        <v>0.50241691842900349</v>
      </c>
      <c r="L1196">
        <f t="shared" si="262"/>
        <v>33.440579127287378</v>
      </c>
      <c r="M1196" s="14" t="str">
        <f t="shared" si="255"/>
        <v/>
      </c>
      <c r="N1196" s="7">
        <f t="shared" si="256"/>
        <v>0</v>
      </c>
      <c r="O1196" s="7">
        <f t="shared" si="263"/>
        <v>0</v>
      </c>
      <c r="P1196" s="7">
        <f t="shared" si="264"/>
        <v>-1</v>
      </c>
      <c r="Q1196" s="10" t="e">
        <f t="shared" si="257"/>
        <v>#N/A</v>
      </c>
      <c r="R1196" s="10" t="e">
        <f t="shared" si="258"/>
        <v>#N/A</v>
      </c>
      <c r="S1196" s="7">
        <f t="shared" si="265"/>
        <v>2606.4</v>
      </c>
      <c r="T1196" s="7">
        <f t="shared" si="266"/>
        <v>0</v>
      </c>
    </row>
    <row r="1197" spans="1:20" x14ac:dyDescent="0.25">
      <c r="A1197" s="1">
        <v>42951</v>
      </c>
      <c r="B1197">
        <v>2490</v>
      </c>
      <c r="C1197">
        <v>2493.6</v>
      </c>
      <c r="D1197">
        <v>2417.9499999999998</v>
      </c>
      <c r="E1197">
        <v>2423.3000000000002</v>
      </c>
      <c r="F1197">
        <v>1699621</v>
      </c>
      <c r="G1197" s="4">
        <f t="shared" si="253"/>
        <v>0</v>
      </c>
      <c r="H1197" s="4">
        <f t="shared" si="254"/>
        <v>17.849999999999909</v>
      </c>
      <c r="I1197" s="6">
        <f t="shared" si="259"/>
        <v>17.817857142857161</v>
      </c>
      <c r="J1197" s="6">
        <f t="shared" si="260"/>
        <v>33.510714285714293</v>
      </c>
      <c r="K1197" s="4">
        <f t="shared" si="261"/>
        <v>0.53170627731002917</v>
      </c>
      <c r="L1197">
        <f t="shared" si="262"/>
        <v>34.713331477873666</v>
      </c>
      <c r="M1197" s="14" t="str">
        <f t="shared" si="255"/>
        <v/>
      </c>
      <c r="N1197" s="7">
        <f t="shared" si="256"/>
        <v>0</v>
      </c>
      <c r="O1197" s="7">
        <f t="shared" si="263"/>
        <v>0</v>
      </c>
      <c r="P1197" s="7">
        <f t="shared" si="264"/>
        <v>-1</v>
      </c>
      <c r="Q1197" s="10" t="e">
        <f t="shared" si="257"/>
        <v>#N/A</v>
      </c>
      <c r="R1197" s="10" t="e">
        <f t="shared" si="258"/>
        <v>#N/A</v>
      </c>
      <c r="S1197" s="7">
        <f t="shared" si="265"/>
        <v>2606.4</v>
      </c>
      <c r="T1197" s="7">
        <f t="shared" si="266"/>
        <v>0</v>
      </c>
    </row>
    <row r="1198" spans="1:20" x14ac:dyDescent="0.25">
      <c r="A1198" s="1">
        <v>42954</v>
      </c>
      <c r="B1198">
        <v>2425.85</v>
      </c>
      <c r="C1198">
        <v>2443.75</v>
      </c>
      <c r="D1198">
        <v>2415</v>
      </c>
      <c r="E1198">
        <v>2433.4</v>
      </c>
      <c r="F1198">
        <v>975366</v>
      </c>
      <c r="G1198" s="4">
        <f t="shared" si="253"/>
        <v>10.099999999999909</v>
      </c>
      <c r="H1198" s="4">
        <f t="shared" si="254"/>
        <v>0</v>
      </c>
      <c r="I1198" s="6">
        <f t="shared" si="259"/>
        <v>13.853571428571447</v>
      </c>
      <c r="J1198" s="6">
        <f t="shared" si="260"/>
        <v>33.510714285714293</v>
      </c>
      <c r="K1198" s="4">
        <f t="shared" si="261"/>
        <v>0.41340722583395551</v>
      </c>
      <c r="L1198">
        <f t="shared" si="262"/>
        <v>29.248982053988854</v>
      </c>
      <c r="M1198" s="14" t="str">
        <f t="shared" si="255"/>
        <v>OVERSOLD</v>
      </c>
      <c r="N1198" s="7" t="str">
        <f t="shared" si="256"/>
        <v>BUY</v>
      </c>
      <c r="O1198" s="7" t="str">
        <f t="shared" si="263"/>
        <v>BUY</v>
      </c>
      <c r="P1198" s="7">
        <f t="shared" si="264"/>
        <v>1</v>
      </c>
      <c r="Q1198" s="10">
        <f t="shared" si="257"/>
        <v>2433.4</v>
      </c>
      <c r="R1198" s="10" t="e">
        <f t="shared" si="258"/>
        <v>#N/A</v>
      </c>
      <c r="S1198" s="7">
        <f t="shared" si="265"/>
        <v>2433.4</v>
      </c>
      <c r="T1198" s="7">
        <f t="shared" si="266"/>
        <v>6.6375076734192753E-2</v>
      </c>
    </row>
    <row r="1199" spans="1:20" x14ac:dyDescent="0.25">
      <c r="A1199" s="1">
        <v>42955</v>
      </c>
      <c r="B1199">
        <v>2485</v>
      </c>
      <c r="C1199">
        <v>2489</v>
      </c>
      <c r="D1199">
        <v>2445.1</v>
      </c>
      <c r="E1199">
        <v>2451.85</v>
      </c>
      <c r="F1199">
        <v>1033832</v>
      </c>
      <c r="G1199" s="4">
        <f t="shared" si="253"/>
        <v>18.449999999999818</v>
      </c>
      <c r="H1199" s="4">
        <f t="shared" si="254"/>
        <v>0</v>
      </c>
      <c r="I1199" s="6">
        <f t="shared" si="259"/>
        <v>15.171428571428578</v>
      </c>
      <c r="J1199" s="6">
        <f t="shared" si="260"/>
        <v>31.753571428571441</v>
      </c>
      <c r="K1199" s="4">
        <f t="shared" si="261"/>
        <v>0.47778652570014624</v>
      </c>
      <c r="L1199">
        <f t="shared" si="262"/>
        <v>32.3312276428952</v>
      </c>
      <c r="M1199" s="14" t="str">
        <f t="shared" si="255"/>
        <v/>
      </c>
      <c r="N1199" s="7">
        <f t="shared" si="256"/>
        <v>0</v>
      </c>
      <c r="O1199" s="7">
        <f t="shared" si="263"/>
        <v>0</v>
      </c>
      <c r="P1199" s="7">
        <f t="shared" si="264"/>
        <v>1</v>
      </c>
      <c r="Q1199" s="10" t="e">
        <f t="shared" si="257"/>
        <v>#N/A</v>
      </c>
      <c r="R1199" s="10" t="e">
        <f t="shared" si="258"/>
        <v>#N/A</v>
      </c>
      <c r="S1199" s="7">
        <f t="shared" si="265"/>
        <v>2433.4</v>
      </c>
      <c r="T1199" s="7">
        <f t="shared" si="266"/>
        <v>0</v>
      </c>
    </row>
    <row r="1200" spans="1:20" x14ac:dyDescent="0.25">
      <c r="A1200" s="1">
        <v>42956</v>
      </c>
      <c r="B1200">
        <v>2465</v>
      </c>
      <c r="C1200">
        <v>2468</v>
      </c>
      <c r="D1200">
        <v>2455</v>
      </c>
      <c r="E1200">
        <v>2465.35</v>
      </c>
      <c r="F1200">
        <v>156299</v>
      </c>
      <c r="G1200" s="4">
        <f t="shared" si="253"/>
        <v>13.5</v>
      </c>
      <c r="H1200" s="4">
        <f t="shared" si="254"/>
        <v>0</v>
      </c>
      <c r="I1200" s="6">
        <f t="shared" si="259"/>
        <v>10.139285714285734</v>
      </c>
      <c r="J1200" s="6">
        <f t="shared" si="260"/>
        <v>31.753571428571441</v>
      </c>
      <c r="K1200" s="4">
        <f t="shared" si="261"/>
        <v>0.31931166347992401</v>
      </c>
      <c r="L1200">
        <f t="shared" si="262"/>
        <v>24.202898550724669</v>
      </c>
      <c r="M1200" s="14" t="str">
        <f t="shared" si="255"/>
        <v>OVERSOLD</v>
      </c>
      <c r="N1200" s="7" t="str">
        <f t="shared" si="256"/>
        <v>BUY</v>
      </c>
      <c r="O1200" s="7">
        <f t="shared" si="263"/>
        <v>0</v>
      </c>
      <c r="P1200" s="7">
        <f t="shared" si="264"/>
        <v>1</v>
      </c>
      <c r="Q1200" s="10" t="e">
        <f t="shared" si="257"/>
        <v>#N/A</v>
      </c>
      <c r="R1200" s="10" t="e">
        <f t="shared" si="258"/>
        <v>#N/A</v>
      </c>
      <c r="S1200" s="7">
        <f t="shared" si="265"/>
        <v>2433.4</v>
      </c>
      <c r="T1200" s="7">
        <f t="shared" si="266"/>
        <v>0</v>
      </c>
    </row>
    <row r="1201" spans="1:20" x14ac:dyDescent="0.25">
      <c r="A1201" s="1">
        <v>42957</v>
      </c>
      <c r="B1201">
        <v>2519</v>
      </c>
      <c r="C1201">
        <v>2519.6999999999998</v>
      </c>
      <c r="D1201">
        <v>2444.9499999999998</v>
      </c>
      <c r="E1201">
        <v>2457.15</v>
      </c>
      <c r="F1201">
        <v>1398604</v>
      </c>
      <c r="G1201" s="4">
        <f t="shared" si="253"/>
        <v>0</v>
      </c>
      <c r="H1201" s="4">
        <f t="shared" si="254"/>
        <v>8.1999999999998181</v>
      </c>
      <c r="I1201" s="6">
        <f t="shared" si="259"/>
        <v>10.139285714285734</v>
      </c>
      <c r="J1201" s="6">
        <f t="shared" si="260"/>
        <v>30.100000000000005</v>
      </c>
      <c r="K1201" s="4">
        <f t="shared" si="261"/>
        <v>0.33685334598955918</v>
      </c>
      <c r="L1201">
        <f t="shared" si="262"/>
        <v>25.197479364515885</v>
      </c>
      <c r="M1201" s="14" t="str">
        <f t="shared" si="255"/>
        <v>OVERSOLD</v>
      </c>
      <c r="N1201" s="7" t="str">
        <f t="shared" si="256"/>
        <v>BUY</v>
      </c>
      <c r="O1201" s="7">
        <f t="shared" si="263"/>
        <v>0</v>
      </c>
      <c r="P1201" s="7">
        <f t="shared" si="264"/>
        <v>1</v>
      </c>
      <c r="Q1201" s="10" t="e">
        <f t="shared" si="257"/>
        <v>#N/A</v>
      </c>
      <c r="R1201" s="10" t="e">
        <f t="shared" si="258"/>
        <v>#N/A</v>
      </c>
      <c r="S1201" s="7">
        <f t="shared" si="265"/>
        <v>2433.4</v>
      </c>
      <c r="T1201" s="7">
        <f t="shared" si="266"/>
        <v>0</v>
      </c>
    </row>
    <row r="1202" spans="1:20" x14ac:dyDescent="0.25">
      <c r="A1202" s="1">
        <v>42958</v>
      </c>
      <c r="B1202">
        <v>2484.9</v>
      </c>
      <c r="C1202">
        <v>2484.9</v>
      </c>
      <c r="D1202">
        <v>2453.4499999999998</v>
      </c>
      <c r="E1202">
        <v>2478.6</v>
      </c>
      <c r="F1202">
        <v>1144979</v>
      </c>
      <c r="G1202" s="4">
        <f t="shared" si="253"/>
        <v>21.449999999999818</v>
      </c>
      <c r="H1202" s="4">
        <f t="shared" si="254"/>
        <v>0</v>
      </c>
      <c r="I1202" s="6">
        <f t="shared" si="259"/>
        <v>8.8857142857142914</v>
      </c>
      <c r="J1202" s="6">
        <f t="shared" si="260"/>
        <v>30.100000000000005</v>
      </c>
      <c r="K1202" s="4">
        <f t="shared" si="261"/>
        <v>0.29520645467489337</v>
      </c>
      <c r="L1202">
        <f t="shared" si="262"/>
        <v>22.792231586661785</v>
      </c>
      <c r="M1202" s="14" t="str">
        <f t="shared" si="255"/>
        <v>OVERSOLD</v>
      </c>
      <c r="N1202" s="7" t="str">
        <f t="shared" si="256"/>
        <v>BUY</v>
      </c>
      <c r="O1202" s="7">
        <f t="shared" si="263"/>
        <v>0</v>
      </c>
      <c r="P1202" s="7">
        <f t="shared" si="264"/>
        <v>1</v>
      </c>
      <c r="Q1202" s="10" t="e">
        <f t="shared" si="257"/>
        <v>#N/A</v>
      </c>
      <c r="R1202" s="10" t="e">
        <f t="shared" si="258"/>
        <v>#N/A</v>
      </c>
      <c r="S1202" s="7">
        <f t="shared" si="265"/>
        <v>2433.4</v>
      </c>
      <c r="T1202" s="7">
        <f t="shared" si="266"/>
        <v>0</v>
      </c>
    </row>
    <row r="1203" spans="1:20" x14ac:dyDescent="0.25">
      <c r="A1203" s="1">
        <v>42961</v>
      </c>
      <c r="B1203">
        <v>2475</v>
      </c>
      <c r="C1203">
        <v>2514</v>
      </c>
      <c r="D1203">
        <v>2473</v>
      </c>
      <c r="E1203">
        <v>2506.0500000000002</v>
      </c>
      <c r="F1203">
        <v>1212508</v>
      </c>
      <c r="G1203" s="4">
        <f t="shared" si="253"/>
        <v>27.450000000000273</v>
      </c>
      <c r="H1203" s="4">
        <f t="shared" si="254"/>
        <v>0</v>
      </c>
      <c r="I1203" s="6">
        <f t="shared" si="259"/>
        <v>10.846428571428598</v>
      </c>
      <c r="J1203" s="6">
        <f t="shared" si="260"/>
        <v>26.93928571428572</v>
      </c>
      <c r="K1203" s="4">
        <f t="shared" si="261"/>
        <v>0.40262495028503337</v>
      </c>
      <c r="L1203">
        <f t="shared" si="262"/>
        <v>28.705103969754305</v>
      </c>
      <c r="M1203" s="14" t="str">
        <f t="shared" si="255"/>
        <v>OVERSOLD</v>
      </c>
      <c r="N1203" s="7" t="str">
        <f t="shared" si="256"/>
        <v>BUY</v>
      </c>
      <c r="O1203" s="7">
        <f t="shared" si="263"/>
        <v>0</v>
      </c>
      <c r="P1203" s="7">
        <f t="shared" si="264"/>
        <v>1</v>
      </c>
      <c r="Q1203" s="10" t="e">
        <f t="shared" si="257"/>
        <v>#N/A</v>
      </c>
      <c r="R1203" s="10" t="e">
        <f t="shared" si="258"/>
        <v>#N/A</v>
      </c>
      <c r="S1203" s="7">
        <f t="shared" si="265"/>
        <v>2433.4</v>
      </c>
      <c r="T1203" s="7">
        <f t="shared" si="266"/>
        <v>0</v>
      </c>
    </row>
    <row r="1204" spans="1:20" x14ac:dyDescent="0.25">
      <c r="A1204" s="1">
        <v>42962</v>
      </c>
      <c r="B1204">
        <v>2521.8000000000002</v>
      </c>
      <c r="C1204">
        <v>2574.9</v>
      </c>
      <c r="D1204">
        <v>2509</v>
      </c>
      <c r="E1204">
        <v>2558.1999999999998</v>
      </c>
      <c r="F1204">
        <v>2055646</v>
      </c>
      <c r="G1204" s="4">
        <f t="shared" si="253"/>
        <v>52.149999999999636</v>
      </c>
      <c r="H1204" s="4">
        <f t="shared" si="254"/>
        <v>0</v>
      </c>
      <c r="I1204" s="6">
        <f t="shared" si="259"/>
        <v>14.571428571428571</v>
      </c>
      <c r="J1204" s="6">
        <f t="shared" si="260"/>
        <v>23.5</v>
      </c>
      <c r="K1204" s="4">
        <f t="shared" si="261"/>
        <v>0.62006079027355621</v>
      </c>
      <c r="L1204">
        <f t="shared" si="262"/>
        <v>38.273921200750465</v>
      </c>
      <c r="M1204" s="14" t="str">
        <f t="shared" si="255"/>
        <v/>
      </c>
      <c r="N1204" s="7">
        <f t="shared" si="256"/>
        <v>0</v>
      </c>
      <c r="O1204" s="7">
        <f t="shared" si="263"/>
        <v>0</v>
      </c>
      <c r="P1204" s="7">
        <f t="shared" si="264"/>
        <v>1</v>
      </c>
      <c r="Q1204" s="10" t="e">
        <f t="shared" si="257"/>
        <v>#N/A</v>
      </c>
      <c r="R1204" s="10" t="e">
        <f t="shared" si="258"/>
        <v>#N/A</v>
      </c>
      <c r="S1204" s="7">
        <f t="shared" si="265"/>
        <v>2433.4</v>
      </c>
      <c r="T1204" s="7">
        <f t="shared" si="266"/>
        <v>0</v>
      </c>
    </row>
    <row r="1205" spans="1:20" x14ac:dyDescent="0.25">
      <c r="A1205" s="1">
        <v>42963</v>
      </c>
      <c r="B1205">
        <v>2561</v>
      </c>
      <c r="C1205">
        <v>2620</v>
      </c>
      <c r="D1205">
        <v>2561</v>
      </c>
      <c r="E1205">
        <v>2607.85</v>
      </c>
      <c r="F1205">
        <v>1585035</v>
      </c>
      <c r="G1205" s="4">
        <f t="shared" si="253"/>
        <v>49.650000000000091</v>
      </c>
      <c r="H1205" s="4">
        <f t="shared" si="254"/>
        <v>0</v>
      </c>
      <c r="I1205" s="6">
        <f t="shared" si="259"/>
        <v>16.485714285714266</v>
      </c>
      <c r="J1205" s="6">
        <f t="shared" si="260"/>
        <v>23.5</v>
      </c>
      <c r="K1205" s="4">
        <f t="shared" si="261"/>
        <v>0.701519756838905</v>
      </c>
      <c r="L1205">
        <f t="shared" si="262"/>
        <v>41.229010360843134</v>
      </c>
      <c r="M1205" s="14" t="str">
        <f t="shared" si="255"/>
        <v/>
      </c>
      <c r="N1205" s="7">
        <f t="shared" si="256"/>
        <v>0</v>
      </c>
      <c r="O1205" s="7">
        <f t="shared" si="263"/>
        <v>0</v>
      </c>
      <c r="P1205" s="7">
        <f t="shared" si="264"/>
        <v>1</v>
      </c>
      <c r="Q1205" s="10" t="e">
        <f t="shared" si="257"/>
        <v>#N/A</v>
      </c>
      <c r="R1205" s="10" t="e">
        <f t="shared" si="258"/>
        <v>#N/A</v>
      </c>
      <c r="S1205" s="7">
        <f t="shared" si="265"/>
        <v>2433.4</v>
      </c>
      <c r="T1205" s="7">
        <f t="shared" si="266"/>
        <v>0</v>
      </c>
    </row>
    <row r="1206" spans="1:20" x14ac:dyDescent="0.25">
      <c r="A1206" s="1">
        <v>42964</v>
      </c>
      <c r="B1206">
        <v>2649</v>
      </c>
      <c r="C1206">
        <v>2649</v>
      </c>
      <c r="D1206">
        <v>2580.5</v>
      </c>
      <c r="E1206">
        <v>2590.35</v>
      </c>
      <c r="F1206">
        <v>1270816</v>
      </c>
      <c r="G1206" s="4">
        <f t="shared" si="253"/>
        <v>0</v>
      </c>
      <c r="H1206" s="4">
        <f t="shared" si="254"/>
        <v>17.5</v>
      </c>
      <c r="I1206" s="6">
        <f t="shared" si="259"/>
        <v>16.485714285714266</v>
      </c>
      <c r="J1206" s="6">
        <f t="shared" si="260"/>
        <v>22.782142857142844</v>
      </c>
      <c r="K1206" s="4">
        <f t="shared" si="261"/>
        <v>0.72362439253801492</v>
      </c>
      <c r="L1206">
        <f t="shared" si="262"/>
        <v>41.982719417917224</v>
      </c>
      <c r="M1206" s="14" t="str">
        <f t="shared" si="255"/>
        <v/>
      </c>
      <c r="N1206" s="7">
        <f t="shared" si="256"/>
        <v>0</v>
      </c>
      <c r="O1206" s="7">
        <f t="shared" si="263"/>
        <v>0</v>
      </c>
      <c r="P1206" s="7">
        <f t="shared" si="264"/>
        <v>1</v>
      </c>
      <c r="Q1206" s="10" t="e">
        <f t="shared" si="257"/>
        <v>#N/A</v>
      </c>
      <c r="R1206" s="10" t="e">
        <f t="shared" si="258"/>
        <v>#N/A</v>
      </c>
      <c r="S1206" s="7">
        <f t="shared" si="265"/>
        <v>2433.4</v>
      </c>
      <c r="T1206" s="7">
        <f t="shared" si="266"/>
        <v>0</v>
      </c>
    </row>
    <row r="1207" spans="1:20" x14ac:dyDescent="0.25">
      <c r="A1207" s="1">
        <v>42965</v>
      </c>
      <c r="B1207">
        <v>2638</v>
      </c>
      <c r="C1207">
        <v>2638</v>
      </c>
      <c r="D1207">
        <v>2590</v>
      </c>
      <c r="E1207">
        <v>2599.5</v>
      </c>
      <c r="F1207">
        <v>1155321</v>
      </c>
      <c r="G1207" s="4">
        <f t="shared" si="253"/>
        <v>9.1500000000000909</v>
      </c>
      <c r="H1207" s="4">
        <f t="shared" si="254"/>
        <v>0</v>
      </c>
      <c r="I1207" s="6">
        <f t="shared" si="259"/>
        <v>14.421428571428546</v>
      </c>
      <c r="J1207" s="6">
        <f t="shared" si="260"/>
        <v>22.782142857142844</v>
      </c>
      <c r="K1207" s="4">
        <f t="shared" si="261"/>
        <v>0.63301457908763048</v>
      </c>
      <c r="L1207">
        <f t="shared" si="262"/>
        <v>38.763559566093853</v>
      </c>
      <c r="M1207" s="14" t="str">
        <f t="shared" si="255"/>
        <v/>
      </c>
      <c r="N1207" s="7">
        <f t="shared" si="256"/>
        <v>0</v>
      </c>
      <c r="O1207" s="7">
        <f t="shared" si="263"/>
        <v>0</v>
      </c>
      <c r="P1207" s="7">
        <f t="shared" si="264"/>
        <v>1</v>
      </c>
      <c r="Q1207" s="10" t="e">
        <f t="shared" si="257"/>
        <v>#N/A</v>
      </c>
      <c r="R1207" s="10" t="e">
        <f t="shared" si="258"/>
        <v>#N/A</v>
      </c>
      <c r="S1207" s="7">
        <f t="shared" si="265"/>
        <v>2433.4</v>
      </c>
      <c r="T1207" s="7">
        <f t="shared" si="266"/>
        <v>0</v>
      </c>
    </row>
    <row r="1208" spans="1:20" x14ac:dyDescent="0.25">
      <c r="A1208" s="1">
        <v>42968</v>
      </c>
      <c r="B1208">
        <v>2604.8000000000002</v>
      </c>
      <c r="C1208">
        <v>2615.6999999999998</v>
      </c>
      <c r="D1208">
        <v>2557</v>
      </c>
      <c r="E1208">
        <v>2572.85</v>
      </c>
      <c r="F1208">
        <v>1063370</v>
      </c>
      <c r="G1208" s="4">
        <f t="shared" si="253"/>
        <v>0</v>
      </c>
      <c r="H1208" s="4">
        <f t="shared" si="254"/>
        <v>26.650000000000091</v>
      </c>
      <c r="I1208" s="6">
        <f t="shared" si="259"/>
        <v>14.421428571428546</v>
      </c>
      <c r="J1208" s="6">
        <f t="shared" si="260"/>
        <v>23.446428571428537</v>
      </c>
      <c r="K1208" s="4">
        <f t="shared" si="261"/>
        <v>0.61507996953541488</v>
      </c>
      <c r="L1208">
        <f t="shared" si="262"/>
        <v>38.083561256248217</v>
      </c>
      <c r="M1208" s="14" t="str">
        <f t="shared" si="255"/>
        <v/>
      </c>
      <c r="N1208" s="7">
        <f t="shared" si="256"/>
        <v>0</v>
      </c>
      <c r="O1208" s="7">
        <f t="shared" si="263"/>
        <v>0</v>
      </c>
      <c r="P1208" s="7">
        <f t="shared" si="264"/>
        <v>1</v>
      </c>
      <c r="Q1208" s="10" t="e">
        <f t="shared" si="257"/>
        <v>#N/A</v>
      </c>
      <c r="R1208" s="10" t="e">
        <f t="shared" si="258"/>
        <v>#N/A</v>
      </c>
      <c r="S1208" s="7">
        <f t="shared" si="265"/>
        <v>2433.4</v>
      </c>
      <c r="T1208" s="7">
        <f t="shared" si="266"/>
        <v>0</v>
      </c>
    </row>
    <row r="1209" spans="1:20" x14ac:dyDescent="0.25">
      <c r="A1209" s="1">
        <v>42969</v>
      </c>
      <c r="B1209">
        <v>2575.1</v>
      </c>
      <c r="C1209">
        <v>2582</v>
      </c>
      <c r="D1209">
        <v>2551</v>
      </c>
      <c r="E1209">
        <v>2569.65</v>
      </c>
      <c r="F1209">
        <v>770982</v>
      </c>
      <c r="G1209" s="4">
        <f t="shared" si="253"/>
        <v>0</v>
      </c>
      <c r="H1209" s="4">
        <f t="shared" si="254"/>
        <v>3.1999999999998181</v>
      </c>
      <c r="I1209" s="6">
        <f t="shared" si="259"/>
        <v>14.421428571428546</v>
      </c>
      <c r="J1209" s="6">
        <f t="shared" si="260"/>
        <v>22.167857142857105</v>
      </c>
      <c r="K1209" s="4">
        <f t="shared" si="261"/>
        <v>0.65055582406959878</v>
      </c>
      <c r="L1209">
        <f t="shared" si="262"/>
        <v>39.414348462664712</v>
      </c>
      <c r="M1209" s="14" t="str">
        <f t="shared" si="255"/>
        <v/>
      </c>
      <c r="N1209" s="7">
        <f t="shared" si="256"/>
        <v>0</v>
      </c>
      <c r="O1209" s="7">
        <f t="shared" si="263"/>
        <v>0</v>
      </c>
      <c r="P1209" s="7">
        <f t="shared" si="264"/>
        <v>1</v>
      </c>
      <c r="Q1209" s="10" t="e">
        <f t="shared" si="257"/>
        <v>#N/A</v>
      </c>
      <c r="R1209" s="10" t="e">
        <f t="shared" si="258"/>
        <v>#N/A</v>
      </c>
      <c r="S1209" s="7">
        <f t="shared" si="265"/>
        <v>2433.4</v>
      </c>
      <c r="T1209" s="7">
        <f t="shared" si="266"/>
        <v>0</v>
      </c>
    </row>
    <row r="1210" spans="1:20" x14ac:dyDescent="0.25">
      <c r="A1210" s="1">
        <v>42970</v>
      </c>
      <c r="B1210">
        <v>2578</v>
      </c>
      <c r="C1210">
        <v>2594</v>
      </c>
      <c r="D1210">
        <v>2555.4</v>
      </c>
      <c r="E1210">
        <v>2580.6999999999998</v>
      </c>
      <c r="F1210">
        <v>624970</v>
      </c>
      <c r="G1210" s="4">
        <f t="shared" si="253"/>
        <v>11.049999999999727</v>
      </c>
      <c r="H1210" s="4">
        <f t="shared" si="254"/>
        <v>0</v>
      </c>
      <c r="I1210" s="6">
        <f t="shared" si="259"/>
        <v>15.210714285714241</v>
      </c>
      <c r="J1210" s="6">
        <f t="shared" si="260"/>
        <v>5.2428571428571171</v>
      </c>
      <c r="K1210" s="4">
        <f t="shared" si="261"/>
        <v>2.9012261580381526</v>
      </c>
      <c r="L1210">
        <f t="shared" si="262"/>
        <v>74.367033350794514</v>
      </c>
      <c r="M1210" s="14" t="str">
        <f t="shared" si="255"/>
        <v>OVERBOUGHT</v>
      </c>
      <c r="N1210" s="7" t="str">
        <f t="shared" si="256"/>
        <v>SELL</v>
      </c>
      <c r="O1210" s="7" t="str">
        <f t="shared" si="263"/>
        <v>SELL</v>
      </c>
      <c r="P1210" s="7">
        <f t="shared" si="264"/>
        <v>-1</v>
      </c>
      <c r="Q1210" s="10" t="e">
        <f t="shared" si="257"/>
        <v>#N/A</v>
      </c>
      <c r="R1210" s="10">
        <f t="shared" si="258"/>
        <v>2580.6999999999998</v>
      </c>
      <c r="S1210" s="7">
        <f t="shared" si="265"/>
        <v>2580.6999999999998</v>
      </c>
      <c r="T1210" s="7">
        <f t="shared" si="266"/>
        <v>6.0532588148269798E-2</v>
      </c>
    </row>
    <row r="1211" spans="1:20" x14ac:dyDescent="0.25">
      <c r="A1211" s="1">
        <v>42971</v>
      </c>
      <c r="B1211">
        <v>2580</v>
      </c>
      <c r="C1211">
        <v>2611</v>
      </c>
      <c r="D1211">
        <v>2575</v>
      </c>
      <c r="E1211">
        <v>2591.75</v>
      </c>
      <c r="F1211">
        <v>660291</v>
      </c>
      <c r="G1211" s="4">
        <f t="shared" si="253"/>
        <v>11.050000000000182</v>
      </c>
      <c r="H1211" s="4">
        <f t="shared" si="254"/>
        <v>0</v>
      </c>
      <c r="I1211" s="6">
        <f t="shared" si="259"/>
        <v>15.999999999999968</v>
      </c>
      <c r="J1211" s="6">
        <f t="shared" si="260"/>
        <v>3.9678571428571234</v>
      </c>
      <c r="K1211" s="4">
        <f t="shared" si="261"/>
        <v>4.0324032403240437</v>
      </c>
      <c r="L1211">
        <f t="shared" si="262"/>
        <v>80.128778393847298</v>
      </c>
      <c r="M1211" s="14" t="str">
        <f t="shared" si="255"/>
        <v>OVERBOUGHT</v>
      </c>
      <c r="N1211" s="7" t="str">
        <f t="shared" si="256"/>
        <v>SELL</v>
      </c>
      <c r="O1211" s="7">
        <f t="shared" si="263"/>
        <v>0</v>
      </c>
      <c r="P1211" s="7">
        <f t="shared" si="264"/>
        <v>-1</v>
      </c>
      <c r="Q1211" s="10" t="e">
        <f t="shared" si="257"/>
        <v>#N/A</v>
      </c>
      <c r="R1211" s="10" t="e">
        <f t="shared" si="258"/>
        <v>#N/A</v>
      </c>
      <c r="S1211" s="7">
        <f t="shared" si="265"/>
        <v>2580.6999999999998</v>
      </c>
      <c r="T1211" s="7">
        <f t="shared" si="266"/>
        <v>0</v>
      </c>
    </row>
    <row r="1212" spans="1:20" x14ac:dyDescent="0.25">
      <c r="A1212" s="1">
        <v>42972</v>
      </c>
      <c r="B1212">
        <v>2595</v>
      </c>
      <c r="C1212">
        <v>2604.9</v>
      </c>
      <c r="D1212">
        <v>2565.15</v>
      </c>
      <c r="E1212">
        <v>2588.4499999999998</v>
      </c>
      <c r="F1212">
        <v>822770</v>
      </c>
      <c r="G1212" s="4">
        <f t="shared" si="253"/>
        <v>0</v>
      </c>
      <c r="H1212" s="4">
        <f t="shared" si="254"/>
        <v>3.3000000000001819</v>
      </c>
      <c r="I1212" s="6">
        <f t="shared" si="259"/>
        <v>15.278571428571402</v>
      </c>
      <c r="J1212" s="6">
        <f t="shared" si="260"/>
        <v>4.2035714285714221</v>
      </c>
      <c r="K1212" s="4">
        <f t="shared" si="261"/>
        <v>3.6346644010195406</v>
      </c>
      <c r="L1212">
        <f t="shared" si="262"/>
        <v>78.42346471127405</v>
      </c>
      <c r="M1212" s="14" t="str">
        <f t="shared" si="255"/>
        <v>OVERBOUGHT</v>
      </c>
      <c r="N1212" s="7" t="str">
        <f t="shared" si="256"/>
        <v>SELL</v>
      </c>
      <c r="O1212" s="7">
        <f t="shared" si="263"/>
        <v>0</v>
      </c>
      <c r="P1212" s="7">
        <f t="shared" si="264"/>
        <v>-1</v>
      </c>
      <c r="Q1212" s="10" t="e">
        <f t="shared" si="257"/>
        <v>#N/A</v>
      </c>
      <c r="R1212" s="10" t="e">
        <f t="shared" si="258"/>
        <v>#N/A</v>
      </c>
      <c r="S1212" s="7">
        <f t="shared" si="265"/>
        <v>2580.6999999999998</v>
      </c>
      <c r="T1212" s="7">
        <f t="shared" si="266"/>
        <v>0</v>
      </c>
    </row>
    <row r="1213" spans="1:20" x14ac:dyDescent="0.25">
      <c r="A1213" s="1">
        <v>42975</v>
      </c>
      <c r="B1213">
        <v>2585.1999999999998</v>
      </c>
      <c r="C1213">
        <v>2611.15</v>
      </c>
      <c r="D1213">
        <v>2575</v>
      </c>
      <c r="E1213">
        <v>2606.4499999999998</v>
      </c>
      <c r="F1213">
        <v>728587</v>
      </c>
      <c r="G1213" s="4">
        <f t="shared" si="253"/>
        <v>18</v>
      </c>
      <c r="H1213" s="4">
        <f t="shared" si="254"/>
        <v>0</v>
      </c>
      <c r="I1213" s="6">
        <f t="shared" si="259"/>
        <v>15.246428571428558</v>
      </c>
      <c r="J1213" s="6">
        <f t="shared" si="260"/>
        <v>4.2035714285714221</v>
      </c>
      <c r="K1213" s="4">
        <f t="shared" si="261"/>
        <v>3.6270178419711154</v>
      </c>
      <c r="L1213">
        <f t="shared" si="262"/>
        <v>78.387807565185469</v>
      </c>
      <c r="M1213" s="14" t="str">
        <f t="shared" si="255"/>
        <v>OVERBOUGHT</v>
      </c>
      <c r="N1213" s="7" t="str">
        <f t="shared" si="256"/>
        <v>SELL</v>
      </c>
      <c r="O1213" s="7">
        <f t="shared" si="263"/>
        <v>0</v>
      </c>
      <c r="P1213" s="7">
        <f t="shared" si="264"/>
        <v>-1</v>
      </c>
      <c r="Q1213" s="10" t="e">
        <f t="shared" si="257"/>
        <v>#N/A</v>
      </c>
      <c r="R1213" s="10" t="e">
        <f t="shared" si="258"/>
        <v>#N/A</v>
      </c>
      <c r="S1213" s="7">
        <f t="shared" si="265"/>
        <v>2580.6999999999998</v>
      </c>
      <c r="T1213" s="7">
        <f t="shared" si="266"/>
        <v>0</v>
      </c>
    </row>
    <row r="1214" spans="1:20" x14ac:dyDescent="0.25">
      <c r="A1214" s="1">
        <v>42976</v>
      </c>
      <c r="B1214">
        <v>2595.1</v>
      </c>
      <c r="C1214">
        <v>2625</v>
      </c>
      <c r="D1214">
        <v>2592.25</v>
      </c>
      <c r="E1214">
        <v>2618.3000000000002</v>
      </c>
      <c r="F1214">
        <v>785276</v>
      </c>
      <c r="G1214" s="4">
        <f t="shared" si="253"/>
        <v>11.850000000000364</v>
      </c>
      <c r="H1214" s="4">
        <f t="shared" si="254"/>
        <v>0</v>
      </c>
      <c r="I1214" s="6">
        <f t="shared" si="259"/>
        <v>15.128571428571442</v>
      </c>
      <c r="J1214" s="6">
        <f t="shared" si="260"/>
        <v>4.2035714285714221</v>
      </c>
      <c r="K1214" s="4">
        <f t="shared" si="261"/>
        <v>3.5989804587935517</v>
      </c>
      <c r="L1214">
        <f t="shared" si="262"/>
        <v>78.256050249399635</v>
      </c>
      <c r="M1214" s="14" t="str">
        <f t="shared" si="255"/>
        <v>OVERBOUGHT</v>
      </c>
      <c r="N1214" s="7" t="str">
        <f t="shared" si="256"/>
        <v>SELL</v>
      </c>
      <c r="O1214" s="7">
        <f t="shared" si="263"/>
        <v>0</v>
      </c>
      <c r="P1214" s="7">
        <f t="shared" si="264"/>
        <v>-1</v>
      </c>
      <c r="Q1214" s="10" t="e">
        <f t="shared" si="257"/>
        <v>#N/A</v>
      </c>
      <c r="R1214" s="10" t="e">
        <f t="shared" si="258"/>
        <v>#N/A</v>
      </c>
      <c r="S1214" s="7">
        <f t="shared" si="265"/>
        <v>2580.6999999999998</v>
      </c>
      <c r="T1214" s="7">
        <f t="shared" si="266"/>
        <v>0</v>
      </c>
    </row>
    <row r="1215" spans="1:20" x14ac:dyDescent="0.25">
      <c r="A1215" s="1">
        <v>42977</v>
      </c>
      <c r="B1215">
        <v>2620</v>
      </c>
      <c r="C1215">
        <v>2626.65</v>
      </c>
      <c r="D1215">
        <v>2579.75</v>
      </c>
      <c r="E1215">
        <v>2585.85</v>
      </c>
      <c r="F1215">
        <v>733513</v>
      </c>
      <c r="G1215" s="4">
        <f t="shared" si="253"/>
        <v>0</v>
      </c>
      <c r="H1215" s="4">
        <f t="shared" si="254"/>
        <v>32.450000000000273</v>
      </c>
      <c r="I1215" s="6">
        <f t="shared" si="259"/>
        <v>15.128571428571442</v>
      </c>
      <c r="J1215" s="6">
        <f t="shared" si="260"/>
        <v>5.9357142857143117</v>
      </c>
      <c r="K1215" s="4">
        <f t="shared" si="261"/>
        <v>2.5487364620938542</v>
      </c>
      <c r="L1215">
        <f t="shared" si="262"/>
        <v>71.820956256358016</v>
      </c>
      <c r="M1215" s="14" t="str">
        <f t="shared" si="255"/>
        <v>OVERBOUGHT</v>
      </c>
      <c r="N1215" s="7" t="str">
        <f t="shared" si="256"/>
        <v>SELL</v>
      </c>
      <c r="O1215" s="7">
        <f t="shared" si="263"/>
        <v>0</v>
      </c>
      <c r="P1215" s="7">
        <f t="shared" si="264"/>
        <v>-1</v>
      </c>
      <c r="Q1215" s="10" t="e">
        <f t="shared" si="257"/>
        <v>#N/A</v>
      </c>
      <c r="R1215" s="10" t="e">
        <f t="shared" si="258"/>
        <v>#N/A</v>
      </c>
      <c r="S1215" s="7">
        <f t="shared" si="265"/>
        <v>2580.6999999999998</v>
      </c>
      <c r="T1215" s="7">
        <f t="shared" si="266"/>
        <v>0</v>
      </c>
    </row>
    <row r="1216" spans="1:20" x14ac:dyDescent="0.25">
      <c r="A1216" s="1">
        <v>42978</v>
      </c>
      <c r="B1216">
        <v>2598</v>
      </c>
      <c r="C1216">
        <v>2598</v>
      </c>
      <c r="D1216">
        <v>2557.4499999999998</v>
      </c>
      <c r="E1216">
        <v>2573.75</v>
      </c>
      <c r="F1216">
        <v>932873</v>
      </c>
      <c r="G1216" s="4">
        <f t="shared" si="253"/>
        <v>0</v>
      </c>
      <c r="H1216" s="4">
        <f t="shared" si="254"/>
        <v>12.099999999999909</v>
      </c>
      <c r="I1216" s="6">
        <f t="shared" si="259"/>
        <v>13.596428571428598</v>
      </c>
      <c r="J1216" s="6">
        <f t="shared" si="260"/>
        <v>6.8000000000000194</v>
      </c>
      <c r="K1216" s="4">
        <f t="shared" si="261"/>
        <v>1.9994747899159646</v>
      </c>
      <c r="L1216">
        <f t="shared" si="262"/>
        <v>66.660829977236887</v>
      </c>
      <c r="M1216" s="14" t="str">
        <f t="shared" si="255"/>
        <v/>
      </c>
      <c r="N1216" s="7">
        <f t="shared" si="256"/>
        <v>0</v>
      </c>
      <c r="O1216" s="7">
        <f t="shared" si="263"/>
        <v>0</v>
      </c>
      <c r="P1216" s="7">
        <f t="shared" si="264"/>
        <v>-1</v>
      </c>
      <c r="Q1216" s="10" t="e">
        <f t="shared" si="257"/>
        <v>#N/A</v>
      </c>
      <c r="R1216" s="10" t="e">
        <f t="shared" si="258"/>
        <v>#N/A</v>
      </c>
      <c r="S1216" s="7">
        <f t="shared" si="265"/>
        <v>2580.6999999999998</v>
      </c>
      <c r="T1216" s="7">
        <f t="shared" si="266"/>
        <v>0</v>
      </c>
    </row>
    <row r="1217" spans="1:20" x14ac:dyDescent="0.25">
      <c r="A1217" s="1">
        <v>42979</v>
      </c>
      <c r="B1217">
        <v>2588</v>
      </c>
      <c r="C1217">
        <v>2610.25</v>
      </c>
      <c r="D1217">
        <v>2560.5500000000002</v>
      </c>
      <c r="E1217">
        <v>2605.4499999999998</v>
      </c>
      <c r="F1217">
        <v>897693</v>
      </c>
      <c r="G1217" s="4">
        <f t="shared" si="253"/>
        <v>31.699999999999818</v>
      </c>
      <c r="H1217" s="4">
        <f t="shared" si="254"/>
        <v>0</v>
      </c>
      <c r="I1217" s="6">
        <f t="shared" si="259"/>
        <v>13.899999999999993</v>
      </c>
      <c r="J1217" s="6">
        <f t="shared" si="260"/>
        <v>6.8000000000000194</v>
      </c>
      <c r="K1217" s="4">
        <f t="shared" si="261"/>
        <v>2.0441176470588167</v>
      </c>
      <c r="L1217">
        <f t="shared" si="262"/>
        <v>67.149758454106205</v>
      </c>
      <c r="M1217" s="14" t="str">
        <f t="shared" si="255"/>
        <v/>
      </c>
      <c r="N1217" s="7">
        <f t="shared" si="256"/>
        <v>0</v>
      </c>
      <c r="O1217" s="7">
        <f t="shared" si="263"/>
        <v>0</v>
      </c>
      <c r="P1217" s="7">
        <f t="shared" si="264"/>
        <v>-1</v>
      </c>
      <c r="Q1217" s="10" t="e">
        <f t="shared" si="257"/>
        <v>#N/A</v>
      </c>
      <c r="R1217" s="10" t="e">
        <f t="shared" si="258"/>
        <v>#N/A</v>
      </c>
      <c r="S1217" s="7">
        <f t="shared" si="265"/>
        <v>2580.6999999999998</v>
      </c>
      <c r="T1217" s="7">
        <f t="shared" si="266"/>
        <v>0</v>
      </c>
    </row>
    <row r="1218" spans="1:20" x14ac:dyDescent="0.25">
      <c r="A1218" s="1">
        <v>42982</v>
      </c>
      <c r="B1218">
        <v>2608</v>
      </c>
      <c r="C1218">
        <v>2640</v>
      </c>
      <c r="D1218">
        <v>2586.65</v>
      </c>
      <c r="E1218">
        <v>2622.15</v>
      </c>
      <c r="F1218">
        <v>1000797</v>
      </c>
      <c r="G1218" s="4">
        <f t="shared" si="253"/>
        <v>16.700000000000273</v>
      </c>
      <c r="H1218" s="4">
        <f t="shared" si="254"/>
        <v>0</v>
      </c>
      <c r="I1218" s="6">
        <f t="shared" si="259"/>
        <v>11.367857142857181</v>
      </c>
      <c r="J1218" s="6">
        <f t="shared" si="260"/>
        <v>6.8000000000000194</v>
      </c>
      <c r="K1218" s="4">
        <f t="shared" si="261"/>
        <v>1.6717436974789925</v>
      </c>
      <c r="L1218">
        <f t="shared" si="262"/>
        <v>62.571260074700227</v>
      </c>
      <c r="M1218" s="14" t="str">
        <f t="shared" si="255"/>
        <v/>
      </c>
      <c r="N1218" s="7">
        <f t="shared" si="256"/>
        <v>0</v>
      </c>
      <c r="O1218" s="7">
        <f t="shared" si="263"/>
        <v>0</v>
      </c>
      <c r="P1218" s="7">
        <f t="shared" si="264"/>
        <v>-1</v>
      </c>
      <c r="Q1218" s="10" t="e">
        <f t="shared" si="257"/>
        <v>#N/A</v>
      </c>
      <c r="R1218" s="10" t="e">
        <f t="shared" si="258"/>
        <v>#N/A</v>
      </c>
      <c r="S1218" s="7">
        <f t="shared" si="265"/>
        <v>2580.6999999999998</v>
      </c>
      <c r="T1218" s="7">
        <f t="shared" si="266"/>
        <v>0</v>
      </c>
    </row>
    <row r="1219" spans="1:20" x14ac:dyDescent="0.25">
      <c r="A1219" s="1">
        <v>42983</v>
      </c>
      <c r="B1219">
        <v>2622</v>
      </c>
      <c r="C1219">
        <v>2665</v>
      </c>
      <c r="D1219">
        <v>2622</v>
      </c>
      <c r="E1219">
        <v>2657.7</v>
      </c>
      <c r="F1219">
        <v>971383</v>
      </c>
      <c r="G1219" s="4">
        <f t="shared" si="253"/>
        <v>35.549999999999727</v>
      </c>
      <c r="H1219" s="4">
        <f t="shared" si="254"/>
        <v>0</v>
      </c>
      <c r="I1219" s="6">
        <f t="shared" si="259"/>
        <v>10.360714285714298</v>
      </c>
      <c r="J1219" s="6">
        <f t="shared" si="260"/>
        <v>6.8000000000000194</v>
      </c>
      <c r="K1219" s="4">
        <f t="shared" si="261"/>
        <v>1.5236344537815101</v>
      </c>
      <c r="L1219">
        <f t="shared" si="262"/>
        <v>60.374609781477588</v>
      </c>
      <c r="M1219" s="14" t="str">
        <f t="shared" si="255"/>
        <v/>
      </c>
      <c r="N1219" s="7">
        <f t="shared" si="256"/>
        <v>0</v>
      </c>
      <c r="O1219" s="7">
        <f t="shared" si="263"/>
        <v>0</v>
      </c>
      <c r="P1219" s="7">
        <f t="shared" si="264"/>
        <v>-1</v>
      </c>
      <c r="Q1219" s="10" t="e">
        <f t="shared" si="257"/>
        <v>#N/A</v>
      </c>
      <c r="R1219" s="10" t="e">
        <f t="shared" si="258"/>
        <v>#N/A</v>
      </c>
      <c r="S1219" s="7">
        <f t="shared" si="265"/>
        <v>2580.6999999999998</v>
      </c>
      <c r="T1219" s="7">
        <f t="shared" si="266"/>
        <v>0</v>
      </c>
    </row>
    <row r="1220" spans="1:20" x14ac:dyDescent="0.25">
      <c r="A1220" s="1">
        <v>42984</v>
      </c>
      <c r="B1220">
        <v>2660</v>
      </c>
      <c r="C1220">
        <v>2679.4</v>
      </c>
      <c r="D1220">
        <v>2616</v>
      </c>
      <c r="E1220">
        <v>2636</v>
      </c>
      <c r="F1220">
        <v>1185842</v>
      </c>
      <c r="G1220" s="4">
        <f t="shared" ref="G1220:G1283" si="267">IF(E1220&gt;E1219,E1220-E1219,0)</f>
        <v>0</v>
      </c>
      <c r="H1220" s="4">
        <f t="shared" ref="H1220:H1283" si="268">IF(E1220&lt;E1219,E1219-E1220,0)</f>
        <v>21.699999999999818</v>
      </c>
      <c r="I1220" s="6">
        <f t="shared" si="259"/>
        <v>10.360714285714298</v>
      </c>
      <c r="J1220" s="6">
        <f t="shared" si="260"/>
        <v>7.1000000000000068</v>
      </c>
      <c r="K1220" s="4">
        <f t="shared" si="261"/>
        <v>1.4592555331991954</v>
      </c>
      <c r="L1220">
        <f t="shared" si="262"/>
        <v>59.337287788913898</v>
      </c>
      <c r="M1220" s="14" t="str">
        <f t="shared" si="255"/>
        <v/>
      </c>
      <c r="N1220" s="7">
        <f t="shared" si="256"/>
        <v>0</v>
      </c>
      <c r="O1220" s="7">
        <f t="shared" si="263"/>
        <v>0</v>
      </c>
      <c r="P1220" s="7">
        <f t="shared" si="264"/>
        <v>-1</v>
      </c>
      <c r="Q1220" s="10" t="e">
        <f t="shared" si="257"/>
        <v>#N/A</v>
      </c>
      <c r="R1220" s="10" t="e">
        <f t="shared" si="258"/>
        <v>#N/A</v>
      </c>
      <c r="S1220" s="7">
        <f t="shared" si="265"/>
        <v>2580.6999999999998</v>
      </c>
      <c r="T1220" s="7">
        <f t="shared" si="266"/>
        <v>0</v>
      </c>
    </row>
    <row r="1221" spans="1:20" x14ac:dyDescent="0.25">
      <c r="A1221" s="1">
        <v>42985</v>
      </c>
      <c r="B1221">
        <v>2630.05</v>
      </c>
      <c r="C1221">
        <v>2656.35</v>
      </c>
      <c r="D1221">
        <v>2615</v>
      </c>
      <c r="E1221">
        <v>2627.3</v>
      </c>
      <c r="F1221">
        <v>792400</v>
      </c>
      <c r="G1221" s="4">
        <f t="shared" si="267"/>
        <v>0</v>
      </c>
      <c r="H1221" s="4">
        <f t="shared" si="268"/>
        <v>8.6999999999998181</v>
      </c>
      <c r="I1221" s="6">
        <f t="shared" si="259"/>
        <v>9.7071428571428644</v>
      </c>
      <c r="J1221" s="6">
        <f t="shared" si="260"/>
        <v>7.7214285714285653</v>
      </c>
      <c r="K1221" s="4">
        <f t="shared" si="261"/>
        <v>1.2571692876965792</v>
      </c>
      <c r="L1221">
        <f t="shared" si="262"/>
        <v>55.69672131147545</v>
      </c>
      <c r="M1221" s="14" t="str">
        <f t="shared" si="255"/>
        <v/>
      </c>
      <c r="N1221" s="7">
        <f t="shared" si="256"/>
        <v>0</v>
      </c>
      <c r="O1221" s="7">
        <f t="shared" si="263"/>
        <v>0</v>
      </c>
      <c r="P1221" s="7">
        <f t="shared" si="264"/>
        <v>-1</v>
      </c>
      <c r="Q1221" s="10" t="e">
        <f t="shared" si="257"/>
        <v>#N/A</v>
      </c>
      <c r="R1221" s="10" t="e">
        <f t="shared" si="258"/>
        <v>#N/A</v>
      </c>
      <c r="S1221" s="7">
        <f t="shared" si="265"/>
        <v>2580.6999999999998</v>
      </c>
      <c r="T1221" s="7">
        <f t="shared" si="266"/>
        <v>0</v>
      </c>
    </row>
    <row r="1222" spans="1:20" x14ac:dyDescent="0.25">
      <c r="A1222" s="1">
        <v>42986</v>
      </c>
      <c r="B1222">
        <v>2627.3</v>
      </c>
      <c r="C1222">
        <v>2668</v>
      </c>
      <c r="D1222">
        <v>2625.3</v>
      </c>
      <c r="E1222">
        <v>2653.3</v>
      </c>
      <c r="F1222">
        <v>866209</v>
      </c>
      <c r="G1222" s="4">
        <f t="shared" si="267"/>
        <v>26</v>
      </c>
      <c r="H1222" s="4">
        <f t="shared" si="268"/>
        <v>0</v>
      </c>
      <c r="I1222" s="6">
        <f t="shared" si="259"/>
        <v>11.56428571428572</v>
      </c>
      <c r="J1222" s="6">
        <f t="shared" si="260"/>
        <v>5.8178571428571297</v>
      </c>
      <c r="K1222" s="4">
        <f t="shared" si="261"/>
        <v>1.9877225291589988</v>
      </c>
      <c r="L1222">
        <f t="shared" si="262"/>
        <v>66.529689747277644</v>
      </c>
      <c r="M1222" s="14" t="str">
        <f t="shared" si="255"/>
        <v/>
      </c>
      <c r="N1222" s="7">
        <f t="shared" si="256"/>
        <v>0</v>
      </c>
      <c r="O1222" s="7">
        <f t="shared" si="263"/>
        <v>0</v>
      </c>
      <c r="P1222" s="7">
        <f t="shared" si="264"/>
        <v>-1</v>
      </c>
      <c r="Q1222" s="10" t="e">
        <f t="shared" si="257"/>
        <v>#N/A</v>
      </c>
      <c r="R1222" s="10" t="e">
        <f t="shared" si="258"/>
        <v>#N/A</v>
      </c>
      <c r="S1222" s="7">
        <f t="shared" si="265"/>
        <v>2580.6999999999998</v>
      </c>
      <c r="T1222" s="7">
        <f t="shared" si="266"/>
        <v>0</v>
      </c>
    </row>
    <row r="1223" spans="1:20" x14ac:dyDescent="0.25">
      <c r="A1223" s="1">
        <v>42989</v>
      </c>
      <c r="B1223">
        <v>2658.35</v>
      </c>
      <c r="C1223">
        <v>2691.9</v>
      </c>
      <c r="D1223">
        <v>2635.35</v>
      </c>
      <c r="E1223">
        <v>2643</v>
      </c>
      <c r="F1223">
        <v>994884</v>
      </c>
      <c r="G1223" s="4">
        <f t="shared" si="267"/>
        <v>0</v>
      </c>
      <c r="H1223" s="4">
        <f t="shared" si="268"/>
        <v>10.300000000000182</v>
      </c>
      <c r="I1223" s="6">
        <f t="shared" si="259"/>
        <v>11.56428571428572</v>
      </c>
      <c r="J1223" s="6">
        <f t="shared" si="260"/>
        <v>6.3250000000000126</v>
      </c>
      <c r="K1223" s="4">
        <f t="shared" si="261"/>
        <v>1.8283455674759996</v>
      </c>
      <c r="L1223">
        <f t="shared" si="262"/>
        <v>64.643641445398259</v>
      </c>
      <c r="M1223" s="14" t="str">
        <f t="shared" si="255"/>
        <v/>
      </c>
      <c r="N1223" s="7">
        <f t="shared" si="256"/>
        <v>0</v>
      </c>
      <c r="O1223" s="7">
        <f t="shared" si="263"/>
        <v>0</v>
      </c>
      <c r="P1223" s="7">
        <f t="shared" si="264"/>
        <v>-1</v>
      </c>
      <c r="Q1223" s="10" t="e">
        <f t="shared" si="257"/>
        <v>#N/A</v>
      </c>
      <c r="R1223" s="10" t="e">
        <f t="shared" si="258"/>
        <v>#N/A</v>
      </c>
      <c r="S1223" s="7">
        <f t="shared" si="265"/>
        <v>2580.6999999999998</v>
      </c>
      <c r="T1223" s="7">
        <f t="shared" si="266"/>
        <v>0</v>
      </c>
    </row>
    <row r="1224" spans="1:20" x14ac:dyDescent="0.25">
      <c r="A1224" s="1">
        <v>42990</v>
      </c>
      <c r="B1224">
        <v>2650.5</v>
      </c>
      <c r="C1224">
        <v>2700</v>
      </c>
      <c r="D1224">
        <v>2645.25</v>
      </c>
      <c r="E1224">
        <v>2692.95</v>
      </c>
      <c r="F1224">
        <v>948177</v>
      </c>
      <c r="G1224" s="4">
        <f t="shared" si="267"/>
        <v>49.949999999999818</v>
      </c>
      <c r="H1224" s="4">
        <f t="shared" si="268"/>
        <v>0</v>
      </c>
      <c r="I1224" s="6">
        <f t="shared" si="259"/>
        <v>14.342857142857156</v>
      </c>
      <c r="J1224" s="6">
        <f t="shared" si="260"/>
        <v>6.3250000000000126</v>
      </c>
      <c r="K1224" s="4">
        <f t="shared" si="261"/>
        <v>2.2676453980801781</v>
      </c>
      <c r="L1224">
        <f t="shared" si="262"/>
        <v>69.396924140314468</v>
      </c>
      <c r="M1224" s="14" t="str">
        <f t="shared" si="255"/>
        <v/>
      </c>
      <c r="N1224" s="7">
        <f t="shared" si="256"/>
        <v>0</v>
      </c>
      <c r="O1224" s="7">
        <f t="shared" si="263"/>
        <v>0</v>
      </c>
      <c r="P1224" s="7">
        <f t="shared" si="264"/>
        <v>-1</v>
      </c>
      <c r="Q1224" s="10" t="e">
        <f t="shared" si="257"/>
        <v>#N/A</v>
      </c>
      <c r="R1224" s="10" t="e">
        <f t="shared" si="258"/>
        <v>#N/A</v>
      </c>
      <c r="S1224" s="7">
        <f t="shared" si="265"/>
        <v>2580.6999999999998</v>
      </c>
      <c r="T1224" s="7">
        <f t="shared" si="266"/>
        <v>0</v>
      </c>
    </row>
    <row r="1225" spans="1:20" x14ac:dyDescent="0.25">
      <c r="A1225" s="1">
        <v>42991</v>
      </c>
      <c r="B1225">
        <v>2693</v>
      </c>
      <c r="C1225">
        <v>2710.95</v>
      </c>
      <c r="D1225">
        <v>2649.35</v>
      </c>
      <c r="E1225">
        <v>2657.3</v>
      </c>
      <c r="F1225">
        <v>718286</v>
      </c>
      <c r="G1225" s="4">
        <f t="shared" si="267"/>
        <v>0</v>
      </c>
      <c r="H1225" s="4">
        <f t="shared" si="268"/>
        <v>35.649999999999636</v>
      </c>
      <c r="I1225" s="6">
        <f t="shared" si="259"/>
        <v>13.553571428571429</v>
      </c>
      <c r="J1225" s="6">
        <f t="shared" si="260"/>
        <v>8.8714285714285577</v>
      </c>
      <c r="K1225" s="4">
        <f t="shared" si="261"/>
        <v>1.5277777777777801</v>
      </c>
      <c r="L1225">
        <f t="shared" si="262"/>
        <v>60.439560439560481</v>
      </c>
      <c r="M1225" s="14" t="str">
        <f t="shared" si="255"/>
        <v/>
      </c>
      <c r="N1225" s="7">
        <f t="shared" si="256"/>
        <v>0</v>
      </c>
      <c r="O1225" s="7">
        <f t="shared" si="263"/>
        <v>0</v>
      </c>
      <c r="P1225" s="7">
        <f t="shared" si="264"/>
        <v>-1</v>
      </c>
      <c r="Q1225" s="10" t="e">
        <f t="shared" si="257"/>
        <v>#N/A</v>
      </c>
      <c r="R1225" s="10" t="e">
        <f t="shared" si="258"/>
        <v>#N/A</v>
      </c>
      <c r="S1225" s="7">
        <f t="shared" si="265"/>
        <v>2580.6999999999998</v>
      </c>
      <c r="T1225" s="7">
        <f t="shared" si="266"/>
        <v>0</v>
      </c>
    </row>
    <row r="1226" spans="1:20" x14ac:dyDescent="0.25">
      <c r="A1226" s="1">
        <v>42992</v>
      </c>
      <c r="B1226">
        <v>2671.9</v>
      </c>
      <c r="C1226">
        <v>2673.4</v>
      </c>
      <c r="D1226">
        <v>2618.5</v>
      </c>
      <c r="E1226">
        <v>2635.35</v>
      </c>
      <c r="F1226">
        <v>1547335</v>
      </c>
      <c r="G1226" s="4">
        <f t="shared" si="267"/>
        <v>0</v>
      </c>
      <c r="H1226" s="4">
        <f t="shared" si="268"/>
        <v>21.950000000000273</v>
      </c>
      <c r="I1226" s="6">
        <f t="shared" si="259"/>
        <v>13.553571428571429</v>
      </c>
      <c r="J1226" s="6">
        <f t="shared" si="260"/>
        <v>10.203571428571422</v>
      </c>
      <c r="K1226" s="4">
        <f t="shared" si="261"/>
        <v>1.3283164158207919</v>
      </c>
      <c r="L1226">
        <f t="shared" si="262"/>
        <v>57.050511124473864</v>
      </c>
      <c r="M1226" s="14" t="str">
        <f t="shared" si="255"/>
        <v/>
      </c>
      <c r="N1226" s="7">
        <f t="shared" si="256"/>
        <v>0</v>
      </c>
      <c r="O1226" s="7">
        <f t="shared" si="263"/>
        <v>0</v>
      </c>
      <c r="P1226" s="7">
        <f t="shared" si="264"/>
        <v>-1</v>
      </c>
      <c r="Q1226" s="10" t="e">
        <f t="shared" si="257"/>
        <v>#N/A</v>
      </c>
      <c r="R1226" s="10" t="e">
        <f t="shared" si="258"/>
        <v>#N/A</v>
      </c>
      <c r="S1226" s="7">
        <f t="shared" si="265"/>
        <v>2580.6999999999998</v>
      </c>
      <c r="T1226" s="7">
        <f t="shared" si="266"/>
        <v>0</v>
      </c>
    </row>
    <row r="1227" spans="1:20" x14ac:dyDescent="0.25">
      <c r="A1227" s="1">
        <v>42993</v>
      </c>
      <c r="B1227">
        <v>2664</v>
      </c>
      <c r="C1227">
        <v>2667</v>
      </c>
      <c r="D1227">
        <v>2629.9</v>
      </c>
      <c r="E1227">
        <v>2637.95</v>
      </c>
      <c r="F1227">
        <v>642654</v>
      </c>
      <c r="G1227" s="4">
        <f t="shared" si="267"/>
        <v>2.5999999999999091</v>
      </c>
      <c r="H1227" s="4">
        <f t="shared" si="268"/>
        <v>0</v>
      </c>
      <c r="I1227" s="6">
        <f t="shared" si="259"/>
        <v>12.453571428571422</v>
      </c>
      <c r="J1227" s="6">
        <f t="shared" si="260"/>
        <v>10.203571428571422</v>
      </c>
      <c r="K1227" s="4">
        <f t="shared" si="261"/>
        <v>1.2205110255512777</v>
      </c>
      <c r="L1227">
        <f t="shared" si="262"/>
        <v>54.965321563682224</v>
      </c>
      <c r="M1227" s="14" t="str">
        <f t="shared" si="255"/>
        <v/>
      </c>
      <c r="N1227" s="7">
        <f t="shared" si="256"/>
        <v>0</v>
      </c>
      <c r="O1227" s="7">
        <f t="shared" si="263"/>
        <v>0</v>
      </c>
      <c r="P1227" s="7">
        <f t="shared" si="264"/>
        <v>-1</v>
      </c>
      <c r="Q1227" s="10" t="e">
        <f t="shared" si="257"/>
        <v>#N/A</v>
      </c>
      <c r="R1227" s="10" t="e">
        <f t="shared" si="258"/>
        <v>#N/A</v>
      </c>
      <c r="S1227" s="7">
        <f t="shared" si="265"/>
        <v>2580.6999999999998</v>
      </c>
      <c r="T1227" s="7">
        <f t="shared" si="266"/>
        <v>0</v>
      </c>
    </row>
    <row r="1228" spans="1:20" x14ac:dyDescent="0.25">
      <c r="A1228" s="1">
        <v>42996</v>
      </c>
      <c r="B1228">
        <v>2640.9</v>
      </c>
      <c r="C1228">
        <v>2649.8</v>
      </c>
      <c r="D1228">
        <v>2572.15</v>
      </c>
      <c r="E1228">
        <v>2578.9499999999998</v>
      </c>
      <c r="F1228">
        <v>1179838</v>
      </c>
      <c r="G1228" s="4">
        <f t="shared" si="267"/>
        <v>0</v>
      </c>
      <c r="H1228" s="4">
        <f t="shared" si="268"/>
        <v>59</v>
      </c>
      <c r="I1228" s="6">
        <f t="shared" si="259"/>
        <v>11.607142857142824</v>
      </c>
      <c r="J1228" s="6">
        <f t="shared" si="260"/>
        <v>14.417857142857136</v>
      </c>
      <c r="K1228" s="4">
        <f t="shared" si="261"/>
        <v>0.80505325736933175</v>
      </c>
      <c r="L1228">
        <f t="shared" si="262"/>
        <v>44.599972553862983</v>
      </c>
      <c r="M1228" s="14" t="str">
        <f t="shared" si="255"/>
        <v/>
      </c>
      <c r="N1228" s="7">
        <f t="shared" si="256"/>
        <v>0</v>
      </c>
      <c r="O1228" s="7">
        <f t="shared" si="263"/>
        <v>0</v>
      </c>
      <c r="P1228" s="7">
        <f t="shared" si="264"/>
        <v>-1</v>
      </c>
      <c r="Q1228" s="10" t="e">
        <f t="shared" si="257"/>
        <v>#N/A</v>
      </c>
      <c r="R1228" s="10" t="e">
        <f t="shared" si="258"/>
        <v>#N/A</v>
      </c>
      <c r="S1228" s="7">
        <f t="shared" si="265"/>
        <v>2580.6999999999998</v>
      </c>
      <c r="T1228" s="7">
        <f t="shared" si="266"/>
        <v>0</v>
      </c>
    </row>
    <row r="1229" spans="1:20" x14ac:dyDescent="0.25">
      <c r="A1229" s="1">
        <v>42997</v>
      </c>
      <c r="B1229">
        <v>2595</v>
      </c>
      <c r="C1229">
        <v>2595</v>
      </c>
      <c r="D1229">
        <v>2501.65</v>
      </c>
      <c r="E1229">
        <v>2512.8000000000002</v>
      </c>
      <c r="F1229">
        <v>1616287</v>
      </c>
      <c r="G1229" s="4">
        <f t="shared" si="267"/>
        <v>0</v>
      </c>
      <c r="H1229" s="4">
        <f t="shared" si="268"/>
        <v>66.149999999999636</v>
      </c>
      <c r="I1229" s="6">
        <f t="shared" si="259"/>
        <v>11.607142857142824</v>
      </c>
      <c r="J1229" s="6">
        <f t="shared" si="260"/>
        <v>16.82499999999995</v>
      </c>
      <c r="K1229" s="4">
        <f t="shared" si="261"/>
        <v>0.68987476119719815</v>
      </c>
      <c r="L1229">
        <f t="shared" si="262"/>
        <v>40.824017083280999</v>
      </c>
      <c r="M1229" s="14" t="str">
        <f t="shared" si="255"/>
        <v/>
      </c>
      <c r="N1229" s="7">
        <f t="shared" si="256"/>
        <v>0</v>
      </c>
      <c r="O1229" s="7">
        <f t="shared" si="263"/>
        <v>0</v>
      </c>
      <c r="P1229" s="7">
        <f t="shared" si="264"/>
        <v>-1</v>
      </c>
      <c r="Q1229" s="10" t="e">
        <f t="shared" si="257"/>
        <v>#N/A</v>
      </c>
      <c r="R1229" s="10" t="e">
        <f t="shared" si="258"/>
        <v>#N/A</v>
      </c>
      <c r="S1229" s="7">
        <f t="shared" si="265"/>
        <v>2580.6999999999998</v>
      </c>
      <c r="T1229" s="7">
        <f t="shared" si="266"/>
        <v>0</v>
      </c>
    </row>
    <row r="1230" spans="1:20" x14ac:dyDescent="0.25">
      <c r="A1230" s="1">
        <v>42998</v>
      </c>
      <c r="B1230">
        <v>2516</v>
      </c>
      <c r="C1230">
        <v>2559</v>
      </c>
      <c r="D1230">
        <v>2509.1</v>
      </c>
      <c r="E1230">
        <v>2514.85</v>
      </c>
      <c r="F1230">
        <v>1243970</v>
      </c>
      <c r="G1230" s="4">
        <f t="shared" si="267"/>
        <v>2.0499999999997272</v>
      </c>
      <c r="H1230" s="4">
        <f t="shared" si="268"/>
        <v>0</v>
      </c>
      <c r="I1230" s="6">
        <f t="shared" si="259"/>
        <v>11.753571428571377</v>
      </c>
      <c r="J1230" s="6">
        <f t="shared" si="260"/>
        <v>15.960714285714241</v>
      </c>
      <c r="K1230" s="4">
        <f t="shared" si="261"/>
        <v>0.73640635488923578</v>
      </c>
      <c r="L1230">
        <f t="shared" si="262"/>
        <v>42.409793814432952</v>
      </c>
      <c r="M1230" s="14" t="str">
        <f t="shared" si="255"/>
        <v/>
      </c>
      <c r="N1230" s="7">
        <f t="shared" si="256"/>
        <v>0</v>
      </c>
      <c r="O1230" s="7">
        <f t="shared" si="263"/>
        <v>0</v>
      </c>
      <c r="P1230" s="7">
        <f t="shared" si="264"/>
        <v>-1</v>
      </c>
      <c r="Q1230" s="10" t="e">
        <f t="shared" si="257"/>
        <v>#N/A</v>
      </c>
      <c r="R1230" s="10" t="e">
        <f t="shared" si="258"/>
        <v>#N/A</v>
      </c>
      <c r="S1230" s="7">
        <f t="shared" si="265"/>
        <v>2580.6999999999998</v>
      </c>
      <c r="T1230" s="7">
        <f t="shared" si="266"/>
        <v>0</v>
      </c>
    </row>
    <row r="1231" spans="1:20" x14ac:dyDescent="0.25">
      <c r="A1231" s="1">
        <v>42999</v>
      </c>
      <c r="B1231">
        <v>2515</v>
      </c>
      <c r="C1231">
        <v>2531.9</v>
      </c>
      <c r="D1231">
        <v>2496.1999999999998</v>
      </c>
      <c r="E1231">
        <v>2507.9</v>
      </c>
      <c r="F1231">
        <v>1043985</v>
      </c>
      <c r="G1231" s="4">
        <f t="shared" si="267"/>
        <v>0</v>
      </c>
      <c r="H1231" s="4">
        <f t="shared" si="268"/>
        <v>6.9499999999998181</v>
      </c>
      <c r="I1231" s="6">
        <f t="shared" si="259"/>
        <v>9.4892857142856748</v>
      </c>
      <c r="J1231" s="6">
        <f t="shared" si="260"/>
        <v>16.457142857142799</v>
      </c>
      <c r="K1231" s="4">
        <f t="shared" si="261"/>
        <v>0.57660590277777746</v>
      </c>
      <c r="L1231">
        <f t="shared" si="262"/>
        <v>36.572608396421188</v>
      </c>
      <c r="M1231" s="14" t="str">
        <f t="shared" si="255"/>
        <v/>
      </c>
      <c r="N1231" s="7">
        <f t="shared" si="256"/>
        <v>0</v>
      </c>
      <c r="O1231" s="7">
        <f t="shared" si="263"/>
        <v>0</v>
      </c>
      <c r="P1231" s="7">
        <f t="shared" si="264"/>
        <v>-1</v>
      </c>
      <c r="Q1231" s="10" t="e">
        <f t="shared" si="257"/>
        <v>#N/A</v>
      </c>
      <c r="R1231" s="10" t="e">
        <f t="shared" si="258"/>
        <v>#N/A</v>
      </c>
      <c r="S1231" s="7">
        <f t="shared" si="265"/>
        <v>2580.6999999999998</v>
      </c>
      <c r="T1231" s="7">
        <f t="shared" si="266"/>
        <v>0</v>
      </c>
    </row>
    <row r="1232" spans="1:20" x14ac:dyDescent="0.25">
      <c r="A1232" s="1">
        <v>43000</v>
      </c>
      <c r="B1232">
        <v>2500.6</v>
      </c>
      <c r="C1232">
        <v>2522.9</v>
      </c>
      <c r="D1232">
        <v>2487</v>
      </c>
      <c r="E1232">
        <v>2492.15</v>
      </c>
      <c r="F1232">
        <v>969411</v>
      </c>
      <c r="G1232" s="4">
        <f t="shared" si="267"/>
        <v>0</v>
      </c>
      <c r="H1232" s="4">
        <f t="shared" si="268"/>
        <v>15.75</v>
      </c>
      <c r="I1232" s="6">
        <f t="shared" si="259"/>
        <v>8.2964285714285122</v>
      </c>
      <c r="J1232" s="6">
        <f t="shared" si="260"/>
        <v>17.582142857142799</v>
      </c>
      <c r="K1232" s="4">
        <f t="shared" si="261"/>
        <v>0.47186674791793443</v>
      </c>
      <c r="L1232">
        <f t="shared" si="262"/>
        <v>32.059067071487632</v>
      </c>
      <c r="M1232" s="14" t="str">
        <f t="shared" ref="M1232:M1295" si="269">IF(L1232&gt;RSI_Overbought,"OVERBOUGHT",IF(L1232&lt;RSI_Oversold,"OVERSOLD",""))</f>
        <v/>
      </c>
      <c r="N1232" s="7">
        <f t="shared" ref="N1232:N1295" si="270">IF(L1232&gt;RSI_Overbought,"SELL",IF(L1232&lt;RSI_Oversold,"BUY",0))</f>
        <v>0</v>
      </c>
      <c r="O1232" s="7">
        <f t="shared" si="263"/>
        <v>0</v>
      </c>
      <c r="P1232" s="7">
        <f t="shared" si="264"/>
        <v>-1</v>
      </c>
      <c r="Q1232" s="10" t="e">
        <f t="shared" ref="Q1232:Q1295" si="271">IF($O1232="BUY",$E1232,NA())</f>
        <v>#N/A</v>
      </c>
      <c r="R1232" s="10" t="e">
        <f t="shared" ref="R1232:R1295" si="272">IF($O1232="SELL",$E1232,NA())</f>
        <v>#N/A</v>
      </c>
      <c r="S1232" s="7">
        <f t="shared" si="265"/>
        <v>2580.6999999999998</v>
      </c>
      <c r="T1232" s="7">
        <f t="shared" si="266"/>
        <v>0</v>
      </c>
    </row>
    <row r="1233" spans="1:20" x14ac:dyDescent="0.25">
      <c r="A1233" s="1">
        <v>43003</v>
      </c>
      <c r="B1233">
        <v>2500</v>
      </c>
      <c r="C1233">
        <v>2520</v>
      </c>
      <c r="D1233">
        <v>2422.65</v>
      </c>
      <c r="E1233">
        <v>2450.6999999999998</v>
      </c>
      <c r="F1233">
        <v>1190393</v>
      </c>
      <c r="G1233" s="4">
        <f t="shared" si="267"/>
        <v>0</v>
      </c>
      <c r="H1233" s="4">
        <f t="shared" si="268"/>
        <v>41.450000000000273</v>
      </c>
      <c r="I1233" s="6">
        <f t="shared" ref="I1233:I1296" si="273">AVERAGE(G1220:G1233)</f>
        <v>5.757142857142818</v>
      </c>
      <c r="J1233" s="6">
        <f t="shared" ref="J1233:J1296" si="274">AVERAGE(H1220:H1233)</f>
        <v>20.542857142857105</v>
      </c>
      <c r="K1233" s="4">
        <f t="shared" ref="K1233:K1296" si="275">I1233/J1233</f>
        <v>0.28025034770514462</v>
      </c>
      <c r="L1233">
        <f t="shared" ref="L1233:L1296" si="276">100-(100/(K1233+1))</f>
        <v>21.890277023356788</v>
      </c>
      <c r="M1233" s="14" t="str">
        <f t="shared" si="269"/>
        <v>OVERSOLD</v>
      </c>
      <c r="N1233" s="7" t="str">
        <f t="shared" si="270"/>
        <v>BUY</v>
      </c>
      <c r="O1233" s="7" t="str">
        <f t="shared" ref="O1233:O1296" si="277">IF(AND(N1233="BUY",P1232&lt;&gt;1),"BUY",IF(AND(N1233="SELL",P1232&lt;&gt;-1),"SELL",0))</f>
        <v>BUY</v>
      </c>
      <c r="P1233" s="7">
        <f t="shared" ref="P1233:P1296" si="278">IF(O1233="BUY",1,IF(O1233="SELL",-1,P1232))</f>
        <v>1</v>
      </c>
      <c r="Q1233" s="10">
        <f t="shared" si="271"/>
        <v>2450.6999999999998</v>
      </c>
      <c r="R1233" s="10" t="e">
        <f t="shared" si="272"/>
        <v>#N/A</v>
      </c>
      <c r="S1233" s="7">
        <f t="shared" ref="S1233:S1296" si="279">IF(O1233&lt;&gt;0,E1233,S1232)</f>
        <v>2450.6999999999998</v>
      </c>
      <c r="T1233" s="7">
        <f t="shared" si="266"/>
        <v>5.0373929553996978E-2</v>
      </c>
    </row>
    <row r="1234" spans="1:20" x14ac:dyDescent="0.25">
      <c r="A1234" s="1">
        <v>43004</v>
      </c>
      <c r="B1234">
        <v>2384.9</v>
      </c>
      <c r="C1234">
        <v>2385</v>
      </c>
      <c r="D1234">
        <v>2352.25</v>
      </c>
      <c r="E1234">
        <v>2358.65</v>
      </c>
      <c r="F1234">
        <v>1743894</v>
      </c>
      <c r="G1234" s="4">
        <f t="shared" si="267"/>
        <v>0</v>
      </c>
      <c r="H1234" s="4">
        <f t="shared" si="268"/>
        <v>92.049999999999727</v>
      </c>
      <c r="I1234" s="6">
        <f t="shared" si="273"/>
        <v>5.757142857142818</v>
      </c>
      <c r="J1234" s="6">
        <f t="shared" si="274"/>
        <v>25.567857142857097</v>
      </c>
      <c r="K1234" s="4">
        <f t="shared" si="275"/>
        <v>0.2251711132839771</v>
      </c>
      <c r="L1234">
        <f t="shared" si="276"/>
        <v>18.37874814730354</v>
      </c>
      <c r="M1234" s="14" t="str">
        <f t="shared" si="269"/>
        <v>OVERSOLD</v>
      </c>
      <c r="N1234" s="7" t="str">
        <f t="shared" si="270"/>
        <v>BUY</v>
      </c>
      <c r="O1234" s="7">
        <f t="shared" si="277"/>
        <v>0</v>
      </c>
      <c r="P1234" s="7">
        <f t="shared" si="278"/>
        <v>1</v>
      </c>
      <c r="Q1234" s="10" t="e">
        <f t="shared" si="271"/>
        <v>#N/A</v>
      </c>
      <c r="R1234" s="10" t="e">
        <f t="shared" si="272"/>
        <v>#N/A</v>
      </c>
      <c r="S1234" s="7">
        <f t="shared" si="279"/>
        <v>2450.6999999999998</v>
      </c>
      <c r="T1234" s="7">
        <f t="shared" si="266"/>
        <v>0</v>
      </c>
    </row>
    <row r="1235" spans="1:20" x14ac:dyDescent="0.25">
      <c r="A1235" s="1">
        <v>43005</v>
      </c>
      <c r="B1235">
        <v>2350</v>
      </c>
      <c r="C1235">
        <v>2459.25</v>
      </c>
      <c r="D1235">
        <v>2345</v>
      </c>
      <c r="E1235">
        <v>2443.0500000000002</v>
      </c>
      <c r="F1235">
        <v>1669570</v>
      </c>
      <c r="G1235" s="4">
        <f t="shared" si="267"/>
        <v>84.400000000000091</v>
      </c>
      <c r="H1235" s="4">
        <f t="shared" si="268"/>
        <v>0</v>
      </c>
      <c r="I1235" s="6">
        <f t="shared" si="273"/>
        <v>11.785714285714253</v>
      </c>
      <c r="J1235" s="6">
        <f t="shared" si="274"/>
        <v>24.946428571428537</v>
      </c>
      <c r="K1235" s="4">
        <f t="shared" si="275"/>
        <v>0.47244094488188909</v>
      </c>
      <c r="L1235">
        <f t="shared" si="276"/>
        <v>32.085561497326168</v>
      </c>
      <c r="M1235" s="14" t="str">
        <f t="shared" si="269"/>
        <v/>
      </c>
      <c r="N1235" s="7">
        <f t="shared" si="270"/>
        <v>0</v>
      </c>
      <c r="O1235" s="7">
        <f t="shared" si="277"/>
        <v>0</v>
      </c>
      <c r="P1235" s="7">
        <f t="shared" si="278"/>
        <v>1</v>
      </c>
      <c r="Q1235" s="10" t="e">
        <f t="shared" si="271"/>
        <v>#N/A</v>
      </c>
      <c r="R1235" s="10" t="e">
        <f t="shared" si="272"/>
        <v>#N/A</v>
      </c>
      <c r="S1235" s="7">
        <f t="shared" si="279"/>
        <v>2450.6999999999998</v>
      </c>
      <c r="T1235" s="7">
        <f t="shared" si="266"/>
        <v>0</v>
      </c>
    </row>
    <row r="1236" spans="1:20" x14ac:dyDescent="0.25">
      <c r="A1236" s="1">
        <v>43006</v>
      </c>
      <c r="B1236">
        <v>2453.4</v>
      </c>
      <c r="C1236">
        <v>2470</v>
      </c>
      <c r="D1236">
        <v>2405.25</v>
      </c>
      <c r="E1236">
        <v>2444.1</v>
      </c>
      <c r="F1236">
        <v>1143538</v>
      </c>
      <c r="G1236" s="4">
        <f t="shared" si="267"/>
        <v>1.0499999999997272</v>
      </c>
      <c r="H1236" s="4">
        <f t="shared" si="268"/>
        <v>0</v>
      </c>
      <c r="I1236" s="6">
        <f t="shared" si="273"/>
        <v>10.003571428571377</v>
      </c>
      <c r="J1236" s="6">
        <f t="shared" si="274"/>
        <v>24.946428571428537</v>
      </c>
      <c r="K1236" s="4">
        <f t="shared" si="275"/>
        <v>0.40100214745883883</v>
      </c>
      <c r="L1236">
        <f t="shared" si="276"/>
        <v>28.622521970161372</v>
      </c>
      <c r="M1236" s="14" t="str">
        <f t="shared" si="269"/>
        <v>OVERSOLD</v>
      </c>
      <c r="N1236" s="7" t="str">
        <f t="shared" si="270"/>
        <v>BUY</v>
      </c>
      <c r="O1236" s="7">
        <f t="shared" si="277"/>
        <v>0</v>
      </c>
      <c r="P1236" s="7">
        <f t="shared" si="278"/>
        <v>1</v>
      </c>
      <c r="Q1236" s="10" t="e">
        <f t="shared" si="271"/>
        <v>#N/A</v>
      </c>
      <c r="R1236" s="10" t="e">
        <f t="shared" si="272"/>
        <v>#N/A</v>
      </c>
      <c r="S1236" s="7">
        <f t="shared" si="279"/>
        <v>2450.6999999999998</v>
      </c>
      <c r="T1236" s="7">
        <f t="shared" si="266"/>
        <v>0</v>
      </c>
    </row>
    <row r="1237" spans="1:20" x14ac:dyDescent="0.25">
      <c r="A1237" s="1">
        <v>43007</v>
      </c>
      <c r="B1237">
        <v>2455.1</v>
      </c>
      <c r="C1237">
        <v>2468.5</v>
      </c>
      <c r="D1237">
        <v>2434.8000000000002</v>
      </c>
      <c r="E1237">
        <v>2460.6999999999998</v>
      </c>
      <c r="F1237">
        <v>740722</v>
      </c>
      <c r="G1237" s="4">
        <f t="shared" si="267"/>
        <v>16.599999999999909</v>
      </c>
      <c r="H1237" s="4">
        <f t="shared" si="268"/>
        <v>0</v>
      </c>
      <c r="I1237" s="6">
        <f t="shared" si="273"/>
        <v>11.189285714285656</v>
      </c>
      <c r="J1237" s="6">
        <f t="shared" si="274"/>
        <v>24.210714285714239</v>
      </c>
      <c r="K1237" s="4">
        <f t="shared" si="275"/>
        <v>0.46216256084968133</v>
      </c>
      <c r="L1237">
        <f t="shared" si="276"/>
        <v>31.608151735270312</v>
      </c>
      <c r="M1237" s="14" t="str">
        <f t="shared" si="269"/>
        <v/>
      </c>
      <c r="N1237" s="7">
        <f t="shared" si="270"/>
        <v>0</v>
      </c>
      <c r="O1237" s="7">
        <f t="shared" si="277"/>
        <v>0</v>
      </c>
      <c r="P1237" s="7">
        <f t="shared" si="278"/>
        <v>1</v>
      </c>
      <c r="Q1237" s="10" t="e">
        <f t="shared" si="271"/>
        <v>#N/A</v>
      </c>
      <c r="R1237" s="10" t="e">
        <f t="shared" si="272"/>
        <v>#N/A</v>
      </c>
      <c r="S1237" s="7">
        <f t="shared" si="279"/>
        <v>2450.6999999999998</v>
      </c>
      <c r="T1237" s="7">
        <f t="shared" si="266"/>
        <v>0</v>
      </c>
    </row>
    <row r="1238" spans="1:20" x14ac:dyDescent="0.25">
      <c r="A1238" s="1">
        <v>43010</v>
      </c>
      <c r="B1238">
        <v>2471.3000000000002</v>
      </c>
      <c r="C1238">
        <v>2523.75</v>
      </c>
      <c r="D1238">
        <v>2468</v>
      </c>
      <c r="E1238">
        <v>2510.5500000000002</v>
      </c>
      <c r="F1238">
        <v>951565</v>
      </c>
      <c r="G1238" s="4">
        <f t="shared" si="267"/>
        <v>49.850000000000364</v>
      </c>
      <c r="H1238" s="4">
        <f t="shared" si="268"/>
        <v>0</v>
      </c>
      <c r="I1238" s="6">
        <f t="shared" si="273"/>
        <v>11.182142857142837</v>
      </c>
      <c r="J1238" s="6">
        <f t="shared" si="274"/>
        <v>24.210714285714239</v>
      </c>
      <c r="K1238" s="4">
        <f t="shared" si="275"/>
        <v>0.46186753208437831</v>
      </c>
      <c r="L1238">
        <f t="shared" si="276"/>
        <v>31.594349142280535</v>
      </c>
      <c r="M1238" s="14" t="str">
        <f t="shared" si="269"/>
        <v/>
      </c>
      <c r="N1238" s="7">
        <f t="shared" si="270"/>
        <v>0</v>
      </c>
      <c r="O1238" s="7">
        <f t="shared" si="277"/>
        <v>0</v>
      </c>
      <c r="P1238" s="7">
        <f t="shared" si="278"/>
        <v>1</v>
      </c>
      <c r="Q1238" s="10" t="e">
        <f t="shared" si="271"/>
        <v>#N/A</v>
      </c>
      <c r="R1238" s="10" t="e">
        <f t="shared" si="272"/>
        <v>#N/A</v>
      </c>
      <c r="S1238" s="7">
        <f t="shared" si="279"/>
        <v>2450.6999999999998</v>
      </c>
      <c r="T1238" s="7">
        <f t="shared" si="266"/>
        <v>0</v>
      </c>
    </row>
    <row r="1239" spans="1:20" x14ac:dyDescent="0.25">
      <c r="A1239" s="1">
        <v>43011</v>
      </c>
      <c r="B1239">
        <v>2526</v>
      </c>
      <c r="C1239">
        <v>2529</v>
      </c>
      <c r="D1239">
        <v>2474.4</v>
      </c>
      <c r="E1239">
        <v>2513.4</v>
      </c>
      <c r="F1239">
        <v>821977</v>
      </c>
      <c r="G1239" s="4">
        <f t="shared" si="267"/>
        <v>2.8499999999999091</v>
      </c>
      <c r="H1239" s="4">
        <f t="shared" si="268"/>
        <v>0</v>
      </c>
      <c r="I1239" s="6">
        <f t="shared" si="273"/>
        <v>11.385714285714259</v>
      </c>
      <c r="J1239" s="6">
        <f t="shared" si="274"/>
        <v>21.664285714285693</v>
      </c>
      <c r="K1239" s="4">
        <f t="shared" si="275"/>
        <v>0.52555225848994325</v>
      </c>
      <c r="L1239">
        <f t="shared" si="276"/>
        <v>34.449967581586307</v>
      </c>
      <c r="M1239" s="14" t="str">
        <f t="shared" si="269"/>
        <v/>
      </c>
      <c r="N1239" s="7">
        <f t="shared" si="270"/>
        <v>0</v>
      </c>
      <c r="O1239" s="7">
        <f t="shared" si="277"/>
        <v>0</v>
      </c>
      <c r="P1239" s="7">
        <f t="shared" si="278"/>
        <v>1</v>
      </c>
      <c r="Q1239" s="10" t="e">
        <f t="shared" si="271"/>
        <v>#N/A</v>
      </c>
      <c r="R1239" s="10" t="e">
        <f t="shared" si="272"/>
        <v>#N/A</v>
      </c>
      <c r="S1239" s="7">
        <f t="shared" si="279"/>
        <v>2450.6999999999998</v>
      </c>
      <c r="T1239" s="7">
        <f t="shared" si="266"/>
        <v>0</v>
      </c>
    </row>
    <row r="1240" spans="1:20" x14ac:dyDescent="0.25">
      <c r="A1240" s="1">
        <v>43012</v>
      </c>
      <c r="B1240">
        <v>2500</v>
      </c>
      <c r="C1240">
        <v>2536.65</v>
      </c>
      <c r="D1240">
        <v>2494.6</v>
      </c>
      <c r="E1240">
        <v>2516.6999999999998</v>
      </c>
      <c r="F1240">
        <v>633238</v>
      </c>
      <c r="G1240" s="4">
        <f t="shared" si="267"/>
        <v>3.2999999999997272</v>
      </c>
      <c r="H1240" s="4">
        <f t="shared" si="268"/>
        <v>0</v>
      </c>
      <c r="I1240" s="6">
        <f t="shared" si="273"/>
        <v>11.621428571428526</v>
      </c>
      <c r="J1240" s="6">
        <f t="shared" si="274"/>
        <v>20.096428571428532</v>
      </c>
      <c r="K1240" s="4">
        <f t="shared" si="275"/>
        <v>0.57828327705704519</v>
      </c>
      <c r="L1240">
        <f t="shared" si="276"/>
        <v>36.640018015989142</v>
      </c>
      <c r="M1240" s="14" t="str">
        <f t="shared" si="269"/>
        <v/>
      </c>
      <c r="N1240" s="7">
        <f t="shared" si="270"/>
        <v>0</v>
      </c>
      <c r="O1240" s="7">
        <f t="shared" si="277"/>
        <v>0</v>
      </c>
      <c r="P1240" s="7">
        <f t="shared" si="278"/>
        <v>1</v>
      </c>
      <c r="Q1240" s="10" t="e">
        <f t="shared" si="271"/>
        <v>#N/A</v>
      </c>
      <c r="R1240" s="10" t="e">
        <f t="shared" si="272"/>
        <v>#N/A</v>
      </c>
      <c r="S1240" s="7">
        <f t="shared" si="279"/>
        <v>2450.6999999999998</v>
      </c>
      <c r="T1240" s="7">
        <f t="shared" si="266"/>
        <v>0</v>
      </c>
    </row>
    <row r="1241" spans="1:20" x14ac:dyDescent="0.25">
      <c r="A1241" s="1">
        <v>43013</v>
      </c>
      <c r="B1241">
        <v>2515</v>
      </c>
      <c r="C1241">
        <v>2520.85</v>
      </c>
      <c r="D1241">
        <v>2465.65</v>
      </c>
      <c r="E1241">
        <v>2479.9</v>
      </c>
      <c r="F1241">
        <v>1644486</v>
      </c>
      <c r="G1241" s="4">
        <f t="shared" si="267"/>
        <v>0</v>
      </c>
      <c r="H1241" s="4">
        <f t="shared" si="268"/>
        <v>36.799999999999727</v>
      </c>
      <c r="I1241" s="6">
        <f t="shared" si="273"/>
        <v>11.435714285714246</v>
      </c>
      <c r="J1241" s="6">
        <f t="shared" si="274"/>
        <v>22.724999999999941</v>
      </c>
      <c r="K1241" s="4">
        <f t="shared" si="275"/>
        <v>0.50322175074650277</v>
      </c>
      <c r="L1241">
        <f t="shared" si="276"/>
        <v>33.476215368531072</v>
      </c>
      <c r="M1241" s="14" t="str">
        <f t="shared" si="269"/>
        <v/>
      </c>
      <c r="N1241" s="7">
        <f t="shared" si="270"/>
        <v>0</v>
      </c>
      <c r="O1241" s="7">
        <f t="shared" si="277"/>
        <v>0</v>
      </c>
      <c r="P1241" s="7">
        <f t="shared" si="278"/>
        <v>1</v>
      </c>
      <c r="Q1241" s="10" t="e">
        <f t="shared" si="271"/>
        <v>#N/A</v>
      </c>
      <c r="R1241" s="10" t="e">
        <f t="shared" si="272"/>
        <v>#N/A</v>
      </c>
      <c r="S1241" s="7">
        <f t="shared" si="279"/>
        <v>2450.6999999999998</v>
      </c>
      <c r="T1241" s="7">
        <f t="shared" si="266"/>
        <v>0</v>
      </c>
    </row>
    <row r="1242" spans="1:20" x14ac:dyDescent="0.25">
      <c r="A1242" s="1">
        <v>43014</v>
      </c>
      <c r="B1242">
        <v>2486</v>
      </c>
      <c r="C1242">
        <v>2510</v>
      </c>
      <c r="D1242">
        <v>2465</v>
      </c>
      <c r="E1242">
        <v>2505</v>
      </c>
      <c r="F1242">
        <v>313103</v>
      </c>
      <c r="G1242" s="4">
        <f t="shared" si="267"/>
        <v>25.099999999999909</v>
      </c>
      <c r="H1242" s="4">
        <f t="shared" si="268"/>
        <v>0</v>
      </c>
      <c r="I1242" s="6">
        <f t="shared" si="273"/>
        <v>13.228571428571383</v>
      </c>
      <c r="J1242" s="6">
        <f t="shared" si="274"/>
        <v>18.510714285714226</v>
      </c>
      <c r="K1242" s="4">
        <f t="shared" si="275"/>
        <v>0.71464402855489084</v>
      </c>
      <c r="L1242">
        <f t="shared" si="276"/>
        <v>41.678856757060863</v>
      </c>
      <c r="M1242" s="14" t="str">
        <f t="shared" si="269"/>
        <v/>
      </c>
      <c r="N1242" s="7">
        <f t="shared" si="270"/>
        <v>0</v>
      </c>
      <c r="O1242" s="7">
        <f t="shared" si="277"/>
        <v>0</v>
      </c>
      <c r="P1242" s="7">
        <f t="shared" si="278"/>
        <v>1</v>
      </c>
      <c r="Q1242" s="10" t="e">
        <f t="shared" si="271"/>
        <v>#N/A</v>
      </c>
      <c r="R1242" s="10" t="e">
        <f t="shared" si="272"/>
        <v>#N/A</v>
      </c>
      <c r="S1242" s="7">
        <f t="shared" si="279"/>
        <v>2450.6999999999998</v>
      </c>
      <c r="T1242" s="7">
        <f t="shared" ref="T1242:T1305" si="280">IF(O1242="BUY",(S1241-S1242)/S1241,IF(O1242="SELL",(S1242-S1241)/S1241,0))</f>
        <v>0</v>
      </c>
    </row>
    <row r="1243" spans="1:20" x14ac:dyDescent="0.25">
      <c r="A1243" s="1">
        <v>43017</v>
      </c>
      <c r="B1243">
        <v>2508</v>
      </c>
      <c r="C1243">
        <v>2536.9499999999998</v>
      </c>
      <c r="D1243">
        <v>2507</v>
      </c>
      <c r="E1243">
        <v>2522.9</v>
      </c>
      <c r="F1243">
        <v>389460</v>
      </c>
      <c r="G1243" s="4">
        <f t="shared" si="267"/>
        <v>17.900000000000091</v>
      </c>
      <c r="H1243" s="4">
        <f t="shared" si="268"/>
        <v>0</v>
      </c>
      <c r="I1243" s="6">
        <f t="shared" si="273"/>
        <v>14.507142857142819</v>
      </c>
      <c r="J1243" s="6">
        <f t="shared" si="274"/>
        <v>13.785714285714253</v>
      </c>
      <c r="K1243" s="4">
        <f t="shared" si="275"/>
        <v>1.0523316062176162</v>
      </c>
      <c r="L1243">
        <f t="shared" si="276"/>
        <v>51.274930573087595</v>
      </c>
      <c r="M1243" s="14" t="str">
        <f t="shared" si="269"/>
        <v/>
      </c>
      <c r="N1243" s="7">
        <f t="shared" si="270"/>
        <v>0</v>
      </c>
      <c r="O1243" s="7">
        <f t="shared" si="277"/>
        <v>0</v>
      </c>
      <c r="P1243" s="7">
        <f t="shared" si="278"/>
        <v>1</v>
      </c>
      <c r="Q1243" s="10" t="e">
        <f t="shared" si="271"/>
        <v>#N/A</v>
      </c>
      <c r="R1243" s="10" t="e">
        <f t="shared" si="272"/>
        <v>#N/A</v>
      </c>
      <c r="S1243" s="7">
        <f t="shared" si="279"/>
        <v>2450.6999999999998</v>
      </c>
      <c r="T1243" s="7">
        <f t="shared" si="280"/>
        <v>0</v>
      </c>
    </row>
    <row r="1244" spans="1:20" x14ac:dyDescent="0.25">
      <c r="A1244" s="1">
        <v>43018</v>
      </c>
      <c r="B1244">
        <v>2525</v>
      </c>
      <c r="C1244">
        <v>2542.4499999999998</v>
      </c>
      <c r="D1244">
        <v>2516</v>
      </c>
      <c r="E1244">
        <v>2530.0500000000002</v>
      </c>
      <c r="F1244">
        <v>350671</v>
      </c>
      <c r="G1244" s="4">
        <f t="shared" si="267"/>
        <v>7.1500000000000909</v>
      </c>
      <c r="H1244" s="4">
        <f t="shared" si="268"/>
        <v>0</v>
      </c>
      <c r="I1244" s="6">
        <f t="shared" si="273"/>
        <v>14.871428571428558</v>
      </c>
      <c r="J1244" s="6">
        <f t="shared" si="274"/>
        <v>13.785714285714253</v>
      </c>
      <c r="K1244" s="4">
        <f t="shared" si="275"/>
        <v>1.0787564766839395</v>
      </c>
      <c r="L1244">
        <f t="shared" si="276"/>
        <v>51.89431704885348</v>
      </c>
      <c r="M1244" s="14" t="str">
        <f t="shared" si="269"/>
        <v/>
      </c>
      <c r="N1244" s="7">
        <f t="shared" si="270"/>
        <v>0</v>
      </c>
      <c r="O1244" s="7">
        <f t="shared" si="277"/>
        <v>0</v>
      </c>
      <c r="P1244" s="7">
        <f t="shared" si="278"/>
        <v>1</v>
      </c>
      <c r="Q1244" s="10" t="e">
        <f t="shared" si="271"/>
        <v>#N/A</v>
      </c>
      <c r="R1244" s="10" t="e">
        <f t="shared" si="272"/>
        <v>#N/A</v>
      </c>
      <c r="S1244" s="7">
        <f t="shared" si="279"/>
        <v>2450.6999999999998</v>
      </c>
      <c r="T1244" s="7">
        <f t="shared" si="280"/>
        <v>0</v>
      </c>
    </row>
    <row r="1245" spans="1:20" x14ac:dyDescent="0.25">
      <c r="A1245" s="1">
        <v>43019</v>
      </c>
      <c r="B1245">
        <v>2532.6999999999998</v>
      </c>
      <c r="C1245">
        <v>2566.4</v>
      </c>
      <c r="D1245">
        <v>2525</v>
      </c>
      <c r="E1245">
        <v>2558.25</v>
      </c>
      <c r="F1245">
        <v>786896</v>
      </c>
      <c r="G1245" s="4">
        <f t="shared" si="267"/>
        <v>28.199999999999818</v>
      </c>
      <c r="H1245" s="4">
        <f t="shared" si="268"/>
        <v>0</v>
      </c>
      <c r="I1245" s="6">
        <f t="shared" si="273"/>
        <v>16.885714285714261</v>
      </c>
      <c r="J1245" s="6">
        <f t="shared" si="274"/>
        <v>13.289285714285695</v>
      </c>
      <c r="K1245" s="4">
        <f t="shared" si="275"/>
        <v>1.2706261757592046</v>
      </c>
      <c r="L1245">
        <f t="shared" si="276"/>
        <v>55.959285122499708</v>
      </c>
      <c r="M1245" s="14" t="str">
        <f t="shared" si="269"/>
        <v/>
      </c>
      <c r="N1245" s="7">
        <f t="shared" si="270"/>
        <v>0</v>
      </c>
      <c r="O1245" s="7">
        <f t="shared" si="277"/>
        <v>0</v>
      </c>
      <c r="P1245" s="7">
        <f t="shared" si="278"/>
        <v>1</v>
      </c>
      <c r="Q1245" s="10" t="e">
        <f t="shared" si="271"/>
        <v>#N/A</v>
      </c>
      <c r="R1245" s="10" t="e">
        <f t="shared" si="272"/>
        <v>#N/A</v>
      </c>
      <c r="S1245" s="7">
        <f t="shared" si="279"/>
        <v>2450.6999999999998</v>
      </c>
      <c r="T1245" s="7">
        <f t="shared" si="280"/>
        <v>0</v>
      </c>
    </row>
    <row r="1246" spans="1:20" x14ac:dyDescent="0.25">
      <c r="A1246" s="1">
        <v>43020</v>
      </c>
      <c r="B1246">
        <v>2567</v>
      </c>
      <c r="C1246">
        <v>2567</v>
      </c>
      <c r="D1246">
        <v>2541</v>
      </c>
      <c r="E1246">
        <v>2545.5500000000002</v>
      </c>
      <c r="F1246">
        <v>183415</v>
      </c>
      <c r="G1246" s="4">
        <f t="shared" si="267"/>
        <v>0</v>
      </c>
      <c r="H1246" s="4">
        <f t="shared" si="268"/>
        <v>12.699999999999818</v>
      </c>
      <c r="I1246" s="6">
        <f t="shared" si="273"/>
        <v>16.885714285714261</v>
      </c>
      <c r="J1246" s="6">
        <f t="shared" si="274"/>
        <v>13.071428571428539</v>
      </c>
      <c r="K1246" s="4">
        <f t="shared" si="275"/>
        <v>1.2918032786885258</v>
      </c>
      <c r="L1246">
        <f t="shared" si="276"/>
        <v>56.366237482117334</v>
      </c>
      <c r="M1246" s="14" t="str">
        <f t="shared" si="269"/>
        <v/>
      </c>
      <c r="N1246" s="7">
        <f t="shared" si="270"/>
        <v>0</v>
      </c>
      <c r="O1246" s="7">
        <f t="shared" si="277"/>
        <v>0</v>
      </c>
      <c r="P1246" s="7">
        <f t="shared" si="278"/>
        <v>1</v>
      </c>
      <c r="Q1246" s="10" t="e">
        <f t="shared" si="271"/>
        <v>#N/A</v>
      </c>
      <c r="R1246" s="10" t="e">
        <f t="shared" si="272"/>
        <v>#N/A</v>
      </c>
      <c r="S1246" s="7">
        <f t="shared" si="279"/>
        <v>2450.6999999999998</v>
      </c>
      <c r="T1246" s="7">
        <f t="shared" si="280"/>
        <v>0</v>
      </c>
    </row>
    <row r="1247" spans="1:20" x14ac:dyDescent="0.25">
      <c r="A1247" s="1">
        <v>43021</v>
      </c>
      <c r="B1247">
        <v>2551</v>
      </c>
      <c r="C1247">
        <v>2590.9499999999998</v>
      </c>
      <c r="D1247">
        <v>2550.6</v>
      </c>
      <c r="E1247">
        <v>2579.4499999999998</v>
      </c>
      <c r="F1247">
        <v>462870</v>
      </c>
      <c r="G1247" s="4">
        <f t="shared" si="267"/>
        <v>33.899999999999636</v>
      </c>
      <c r="H1247" s="4">
        <f t="shared" si="268"/>
        <v>0</v>
      </c>
      <c r="I1247" s="6">
        <f t="shared" si="273"/>
        <v>19.307142857142804</v>
      </c>
      <c r="J1247" s="6">
        <f t="shared" si="274"/>
        <v>10.110714285714234</v>
      </c>
      <c r="K1247" s="4">
        <f t="shared" si="275"/>
        <v>1.9095725891911031</v>
      </c>
      <c r="L1247">
        <f t="shared" si="276"/>
        <v>65.630690785480198</v>
      </c>
      <c r="M1247" s="14" t="str">
        <f t="shared" si="269"/>
        <v/>
      </c>
      <c r="N1247" s="7">
        <f t="shared" si="270"/>
        <v>0</v>
      </c>
      <c r="O1247" s="7">
        <f t="shared" si="277"/>
        <v>0</v>
      </c>
      <c r="P1247" s="7">
        <f t="shared" si="278"/>
        <v>1</v>
      </c>
      <c r="Q1247" s="10" t="e">
        <f t="shared" si="271"/>
        <v>#N/A</v>
      </c>
      <c r="R1247" s="10" t="e">
        <f t="shared" si="272"/>
        <v>#N/A</v>
      </c>
      <c r="S1247" s="7">
        <f t="shared" si="279"/>
        <v>2450.6999999999998</v>
      </c>
      <c r="T1247" s="7">
        <f t="shared" si="280"/>
        <v>0</v>
      </c>
    </row>
    <row r="1248" spans="1:20" x14ac:dyDescent="0.25">
      <c r="A1248" s="1">
        <v>43024</v>
      </c>
      <c r="B1248">
        <v>2581</v>
      </c>
      <c r="C1248">
        <v>2599.9</v>
      </c>
      <c r="D1248">
        <v>2524.65</v>
      </c>
      <c r="E1248">
        <v>2540.25</v>
      </c>
      <c r="F1248">
        <v>877121</v>
      </c>
      <c r="G1248" s="4">
        <f t="shared" si="267"/>
        <v>0</v>
      </c>
      <c r="H1248" s="4">
        <f t="shared" si="268"/>
        <v>39.199999999999818</v>
      </c>
      <c r="I1248" s="6">
        <f t="shared" si="273"/>
        <v>19.307142857142804</v>
      </c>
      <c r="J1248" s="6">
        <f t="shared" si="274"/>
        <v>6.3357142857142401</v>
      </c>
      <c r="K1248" s="4">
        <f t="shared" si="275"/>
        <v>3.0473506200676574</v>
      </c>
      <c r="L1248">
        <f t="shared" si="276"/>
        <v>75.292479108635177</v>
      </c>
      <c r="M1248" s="14" t="str">
        <f t="shared" si="269"/>
        <v>OVERBOUGHT</v>
      </c>
      <c r="N1248" s="7" t="str">
        <f t="shared" si="270"/>
        <v>SELL</v>
      </c>
      <c r="O1248" s="7" t="str">
        <f t="shared" si="277"/>
        <v>SELL</v>
      </c>
      <c r="P1248" s="7">
        <f t="shared" si="278"/>
        <v>-1</v>
      </c>
      <c r="Q1248" s="10" t="e">
        <f t="shared" si="271"/>
        <v>#N/A</v>
      </c>
      <c r="R1248" s="10">
        <f t="shared" si="272"/>
        <v>2540.25</v>
      </c>
      <c r="S1248" s="7">
        <f t="shared" si="279"/>
        <v>2540.25</v>
      </c>
      <c r="T1248" s="7">
        <f t="shared" si="280"/>
        <v>3.6540580242379807E-2</v>
      </c>
    </row>
    <row r="1249" spans="1:20" x14ac:dyDescent="0.25">
      <c r="A1249" s="1">
        <v>43025</v>
      </c>
      <c r="B1249">
        <v>2529.1</v>
      </c>
      <c r="C1249">
        <v>2529.1</v>
      </c>
      <c r="D1249">
        <v>2440</v>
      </c>
      <c r="E1249">
        <v>2446.6</v>
      </c>
      <c r="F1249">
        <v>1211892</v>
      </c>
      <c r="G1249" s="4">
        <f t="shared" si="267"/>
        <v>0</v>
      </c>
      <c r="H1249" s="4">
        <f t="shared" si="268"/>
        <v>93.650000000000091</v>
      </c>
      <c r="I1249" s="6">
        <f t="shared" si="273"/>
        <v>13.27857142857137</v>
      </c>
      <c r="J1249" s="6">
        <f t="shared" si="274"/>
        <v>13.024999999999961</v>
      </c>
      <c r="K1249" s="4">
        <f t="shared" si="275"/>
        <v>1.0194680559363847</v>
      </c>
      <c r="L1249">
        <f t="shared" si="276"/>
        <v>50.48200950441273</v>
      </c>
      <c r="M1249" s="14" t="str">
        <f t="shared" si="269"/>
        <v/>
      </c>
      <c r="N1249" s="7">
        <f t="shared" si="270"/>
        <v>0</v>
      </c>
      <c r="O1249" s="7">
        <f t="shared" si="277"/>
        <v>0</v>
      </c>
      <c r="P1249" s="7">
        <f t="shared" si="278"/>
        <v>-1</v>
      </c>
      <c r="Q1249" s="10" t="e">
        <f t="shared" si="271"/>
        <v>#N/A</v>
      </c>
      <c r="R1249" s="10" t="e">
        <f t="shared" si="272"/>
        <v>#N/A</v>
      </c>
      <c r="S1249" s="7">
        <f t="shared" si="279"/>
        <v>2540.25</v>
      </c>
      <c r="T1249" s="7">
        <f t="shared" si="280"/>
        <v>0</v>
      </c>
    </row>
    <row r="1250" spans="1:20" x14ac:dyDescent="0.25">
      <c r="A1250" s="1">
        <v>43026</v>
      </c>
      <c r="B1250">
        <v>2470</v>
      </c>
      <c r="C1250">
        <v>2479.15</v>
      </c>
      <c r="D1250">
        <v>2407.4499999999998</v>
      </c>
      <c r="E1250">
        <v>2417.6999999999998</v>
      </c>
      <c r="F1250">
        <v>1318166</v>
      </c>
      <c r="G1250" s="4">
        <f t="shared" si="267"/>
        <v>0</v>
      </c>
      <c r="H1250" s="4">
        <f t="shared" si="268"/>
        <v>28.900000000000091</v>
      </c>
      <c r="I1250" s="6">
        <f t="shared" si="273"/>
        <v>13.20357142857139</v>
      </c>
      <c r="J1250" s="6">
        <f t="shared" si="274"/>
        <v>15.089285714285682</v>
      </c>
      <c r="K1250" s="4">
        <f t="shared" si="275"/>
        <v>0.87502958579881596</v>
      </c>
      <c r="L1250">
        <f t="shared" si="276"/>
        <v>46.667508204998718</v>
      </c>
      <c r="M1250" s="14" t="str">
        <f t="shared" si="269"/>
        <v/>
      </c>
      <c r="N1250" s="7">
        <f t="shared" si="270"/>
        <v>0</v>
      </c>
      <c r="O1250" s="7">
        <f t="shared" si="277"/>
        <v>0</v>
      </c>
      <c r="P1250" s="7">
        <f t="shared" si="278"/>
        <v>-1</v>
      </c>
      <c r="Q1250" s="10" t="e">
        <f t="shared" si="271"/>
        <v>#N/A</v>
      </c>
      <c r="R1250" s="10" t="e">
        <f t="shared" si="272"/>
        <v>#N/A</v>
      </c>
      <c r="S1250" s="7">
        <f t="shared" si="279"/>
        <v>2540.25</v>
      </c>
      <c r="T1250" s="7">
        <f t="shared" si="280"/>
        <v>0</v>
      </c>
    </row>
    <row r="1251" spans="1:20" x14ac:dyDescent="0.25">
      <c r="A1251" s="1">
        <v>43027</v>
      </c>
      <c r="B1251">
        <v>2442.4</v>
      </c>
      <c r="C1251">
        <v>2449</v>
      </c>
      <c r="D1251">
        <v>2420.5500000000002</v>
      </c>
      <c r="E1251">
        <v>2443.8000000000002</v>
      </c>
      <c r="F1251">
        <v>782704</v>
      </c>
      <c r="G1251" s="4">
        <f t="shared" si="267"/>
        <v>26.100000000000364</v>
      </c>
      <c r="H1251" s="4">
        <f t="shared" si="268"/>
        <v>0</v>
      </c>
      <c r="I1251" s="6">
        <f t="shared" si="273"/>
        <v>13.882142857142851</v>
      </c>
      <c r="J1251" s="6">
        <f t="shared" si="274"/>
        <v>15.089285714285682</v>
      </c>
      <c r="K1251" s="4">
        <f t="shared" si="275"/>
        <v>0.92000000000000159</v>
      </c>
      <c r="L1251">
        <f t="shared" si="276"/>
        <v>47.916666666666714</v>
      </c>
      <c r="M1251" s="14" t="str">
        <f t="shared" si="269"/>
        <v/>
      </c>
      <c r="N1251" s="7">
        <f t="shared" si="270"/>
        <v>0</v>
      </c>
      <c r="O1251" s="7">
        <f t="shared" si="277"/>
        <v>0</v>
      </c>
      <c r="P1251" s="7">
        <f t="shared" si="278"/>
        <v>-1</v>
      </c>
      <c r="Q1251" s="10" t="e">
        <f t="shared" si="271"/>
        <v>#N/A</v>
      </c>
      <c r="R1251" s="10" t="e">
        <f t="shared" si="272"/>
        <v>#N/A</v>
      </c>
      <c r="S1251" s="7">
        <f t="shared" si="279"/>
        <v>2540.25</v>
      </c>
      <c r="T1251" s="7">
        <f t="shared" si="280"/>
        <v>0</v>
      </c>
    </row>
    <row r="1252" spans="1:20" x14ac:dyDescent="0.25">
      <c r="A1252" s="1">
        <v>43028</v>
      </c>
      <c r="B1252">
        <v>2455</v>
      </c>
      <c r="C1252">
        <v>2519.9</v>
      </c>
      <c r="D1252">
        <v>2450</v>
      </c>
      <c r="E1252">
        <v>2512.3000000000002</v>
      </c>
      <c r="F1252">
        <v>1598821</v>
      </c>
      <c r="G1252" s="4">
        <f t="shared" si="267"/>
        <v>68.5</v>
      </c>
      <c r="H1252" s="4">
        <f t="shared" si="268"/>
        <v>0</v>
      </c>
      <c r="I1252" s="6">
        <f t="shared" si="273"/>
        <v>15.214285714285682</v>
      </c>
      <c r="J1252" s="6">
        <f t="shared" si="274"/>
        <v>15.089285714285682</v>
      </c>
      <c r="K1252" s="4">
        <f t="shared" si="275"/>
        <v>1.008284023668639</v>
      </c>
      <c r="L1252">
        <f t="shared" si="276"/>
        <v>50.206246317030057</v>
      </c>
      <c r="M1252" s="14" t="str">
        <f t="shared" si="269"/>
        <v/>
      </c>
      <c r="N1252" s="7">
        <f t="shared" si="270"/>
        <v>0</v>
      </c>
      <c r="O1252" s="7">
        <f t="shared" si="277"/>
        <v>0</v>
      </c>
      <c r="P1252" s="7">
        <f t="shared" si="278"/>
        <v>-1</v>
      </c>
      <c r="Q1252" s="10" t="e">
        <f t="shared" si="271"/>
        <v>#N/A</v>
      </c>
      <c r="R1252" s="10" t="e">
        <f t="shared" si="272"/>
        <v>#N/A</v>
      </c>
      <c r="S1252" s="7">
        <f t="shared" si="279"/>
        <v>2540.25</v>
      </c>
      <c r="T1252" s="7">
        <f t="shared" si="280"/>
        <v>0</v>
      </c>
    </row>
    <row r="1253" spans="1:20" x14ac:dyDescent="0.25">
      <c r="A1253" s="1">
        <v>43031</v>
      </c>
      <c r="B1253">
        <v>2517</v>
      </c>
      <c r="C1253">
        <v>2528</v>
      </c>
      <c r="D1253">
        <v>2480.25</v>
      </c>
      <c r="E1253">
        <v>2509.6999999999998</v>
      </c>
      <c r="F1253">
        <v>798003</v>
      </c>
      <c r="G1253" s="4">
        <f t="shared" si="267"/>
        <v>0</v>
      </c>
      <c r="H1253" s="4">
        <f t="shared" si="268"/>
        <v>2.6000000000003638</v>
      </c>
      <c r="I1253" s="6">
        <f t="shared" si="273"/>
        <v>15.010714285714259</v>
      </c>
      <c r="J1253" s="6">
        <f t="shared" si="274"/>
        <v>15.274999999999993</v>
      </c>
      <c r="K1253" s="4">
        <f t="shared" si="275"/>
        <v>0.98269815291091756</v>
      </c>
      <c r="L1253">
        <f t="shared" si="276"/>
        <v>49.563679245282984</v>
      </c>
      <c r="M1253" s="14" t="str">
        <f t="shared" si="269"/>
        <v/>
      </c>
      <c r="N1253" s="7">
        <f t="shared" si="270"/>
        <v>0</v>
      </c>
      <c r="O1253" s="7">
        <f t="shared" si="277"/>
        <v>0</v>
      </c>
      <c r="P1253" s="7">
        <f t="shared" si="278"/>
        <v>-1</v>
      </c>
      <c r="Q1253" s="10" t="e">
        <f t="shared" si="271"/>
        <v>#N/A</v>
      </c>
      <c r="R1253" s="10" t="e">
        <f t="shared" si="272"/>
        <v>#N/A</v>
      </c>
      <c r="S1253" s="7">
        <f t="shared" si="279"/>
        <v>2540.25</v>
      </c>
      <c r="T1253" s="7">
        <f t="shared" si="280"/>
        <v>0</v>
      </c>
    </row>
    <row r="1254" spans="1:20" x14ac:dyDescent="0.25">
      <c r="A1254" s="1">
        <v>43032</v>
      </c>
      <c r="B1254">
        <v>2520</v>
      </c>
      <c r="C1254">
        <v>2530.4</v>
      </c>
      <c r="D1254">
        <v>2480.1</v>
      </c>
      <c r="E1254">
        <v>2497.9</v>
      </c>
      <c r="F1254">
        <v>734216</v>
      </c>
      <c r="G1254" s="4">
        <f t="shared" si="267"/>
        <v>0</v>
      </c>
      <c r="H1254" s="4">
        <f t="shared" si="268"/>
        <v>11.799999999999727</v>
      </c>
      <c r="I1254" s="6">
        <f t="shared" si="273"/>
        <v>14.774999999999993</v>
      </c>
      <c r="J1254" s="6">
        <f t="shared" si="274"/>
        <v>16.117857142857115</v>
      </c>
      <c r="K1254" s="4">
        <f t="shared" si="275"/>
        <v>0.91668513184134837</v>
      </c>
      <c r="L1254">
        <f t="shared" si="276"/>
        <v>47.826589595375751</v>
      </c>
      <c r="M1254" s="14" t="str">
        <f t="shared" si="269"/>
        <v/>
      </c>
      <c r="N1254" s="7">
        <f t="shared" si="270"/>
        <v>0</v>
      </c>
      <c r="O1254" s="7">
        <f t="shared" si="277"/>
        <v>0</v>
      </c>
      <c r="P1254" s="7">
        <f t="shared" si="278"/>
        <v>-1</v>
      </c>
      <c r="Q1254" s="10" t="e">
        <f t="shared" si="271"/>
        <v>#N/A</v>
      </c>
      <c r="R1254" s="10" t="e">
        <f t="shared" si="272"/>
        <v>#N/A</v>
      </c>
      <c r="S1254" s="7">
        <f t="shared" si="279"/>
        <v>2540.25</v>
      </c>
      <c r="T1254" s="7">
        <f t="shared" si="280"/>
        <v>0</v>
      </c>
    </row>
    <row r="1255" spans="1:20" x14ac:dyDescent="0.25">
      <c r="A1255" s="1">
        <v>43033</v>
      </c>
      <c r="B1255">
        <v>2516</v>
      </c>
      <c r="C1255">
        <v>2531.8000000000002</v>
      </c>
      <c r="D1255">
        <v>2500.5</v>
      </c>
      <c r="E1255">
        <v>2521.9499999999998</v>
      </c>
      <c r="F1255">
        <v>893548</v>
      </c>
      <c r="G1255" s="4">
        <f t="shared" si="267"/>
        <v>24.049999999999727</v>
      </c>
      <c r="H1255" s="4">
        <f t="shared" si="268"/>
        <v>0</v>
      </c>
      <c r="I1255" s="6">
        <f t="shared" si="273"/>
        <v>16.492857142857115</v>
      </c>
      <c r="J1255" s="6">
        <f t="shared" si="274"/>
        <v>13.489285714285709</v>
      </c>
      <c r="K1255" s="4">
        <f t="shared" si="275"/>
        <v>1.222663489541963</v>
      </c>
      <c r="L1255">
        <f t="shared" si="276"/>
        <v>55.008933889219747</v>
      </c>
      <c r="M1255" s="14" t="str">
        <f t="shared" si="269"/>
        <v/>
      </c>
      <c r="N1255" s="7">
        <f t="shared" si="270"/>
        <v>0</v>
      </c>
      <c r="O1255" s="7">
        <f t="shared" si="277"/>
        <v>0</v>
      </c>
      <c r="P1255" s="7">
        <f t="shared" si="278"/>
        <v>-1</v>
      </c>
      <c r="Q1255" s="10" t="e">
        <f t="shared" si="271"/>
        <v>#N/A</v>
      </c>
      <c r="R1255" s="10" t="e">
        <f t="shared" si="272"/>
        <v>#N/A</v>
      </c>
      <c r="S1255" s="7">
        <f t="shared" si="279"/>
        <v>2540.25</v>
      </c>
      <c r="T1255" s="7">
        <f t="shared" si="280"/>
        <v>0</v>
      </c>
    </row>
    <row r="1256" spans="1:20" x14ac:dyDescent="0.25">
      <c r="A1256" s="1">
        <v>43034</v>
      </c>
      <c r="B1256">
        <v>2533</v>
      </c>
      <c r="C1256">
        <v>2581.75</v>
      </c>
      <c r="D1256">
        <v>2523.25</v>
      </c>
      <c r="E1256">
        <v>2539.1</v>
      </c>
      <c r="F1256">
        <v>2504960</v>
      </c>
      <c r="G1256" s="4">
        <f t="shared" si="267"/>
        <v>17.150000000000091</v>
      </c>
      <c r="H1256" s="4">
        <f t="shared" si="268"/>
        <v>0</v>
      </c>
      <c r="I1256" s="6">
        <f t="shared" si="273"/>
        <v>15.924999999999986</v>
      </c>
      <c r="J1256" s="6">
        <f t="shared" si="274"/>
        <v>13.489285714285709</v>
      </c>
      <c r="K1256" s="4">
        <f t="shared" si="275"/>
        <v>1.1805665872385487</v>
      </c>
      <c r="L1256">
        <f t="shared" si="276"/>
        <v>54.140359397765899</v>
      </c>
      <c r="M1256" s="14" t="str">
        <f t="shared" si="269"/>
        <v/>
      </c>
      <c r="N1256" s="7">
        <f t="shared" si="270"/>
        <v>0</v>
      </c>
      <c r="O1256" s="7">
        <f t="shared" si="277"/>
        <v>0</v>
      </c>
      <c r="P1256" s="7">
        <f t="shared" si="278"/>
        <v>-1</v>
      </c>
      <c r="Q1256" s="10" t="e">
        <f t="shared" si="271"/>
        <v>#N/A</v>
      </c>
      <c r="R1256" s="10" t="e">
        <f t="shared" si="272"/>
        <v>#N/A</v>
      </c>
      <c r="S1256" s="7">
        <f t="shared" si="279"/>
        <v>2540.25</v>
      </c>
      <c r="T1256" s="7">
        <f t="shared" si="280"/>
        <v>0</v>
      </c>
    </row>
    <row r="1257" spans="1:20" x14ac:dyDescent="0.25">
      <c r="A1257" s="1">
        <v>43035</v>
      </c>
      <c r="B1257">
        <v>2543.6999999999998</v>
      </c>
      <c r="C1257">
        <v>2545</v>
      </c>
      <c r="D1257">
        <v>2484.3000000000002</v>
      </c>
      <c r="E1257">
        <v>2532.15</v>
      </c>
      <c r="F1257">
        <v>2646915</v>
      </c>
      <c r="G1257" s="4">
        <f t="shared" si="267"/>
        <v>0</v>
      </c>
      <c r="H1257" s="4">
        <f t="shared" si="268"/>
        <v>6.9499999999998181</v>
      </c>
      <c r="I1257" s="6">
        <f t="shared" si="273"/>
        <v>14.646428571428553</v>
      </c>
      <c r="J1257" s="6">
        <f t="shared" si="274"/>
        <v>13.985714285714266</v>
      </c>
      <c r="K1257" s="4">
        <f t="shared" si="275"/>
        <v>1.0472420837589378</v>
      </c>
      <c r="L1257">
        <f t="shared" si="276"/>
        <v>51.153798178869906</v>
      </c>
      <c r="M1257" s="14" t="str">
        <f t="shared" si="269"/>
        <v/>
      </c>
      <c r="N1257" s="7">
        <f t="shared" si="270"/>
        <v>0</v>
      </c>
      <c r="O1257" s="7">
        <f t="shared" si="277"/>
        <v>0</v>
      </c>
      <c r="P1257" s="7">
        <f t="shared" si="278"/>
        <v>-1</v>
      </c>
      <c r="Q1257" s="10" t="e">
        <f t="shared" si="271"/>
        <v>#N/A</v>
      </c>
      <c r="R1257" s="10" t="e">
        <f t="shared" si="272"/>
        <v>#N/A</v>
      </c>
      <c r="S1257" s="7">
        <f t="shared" si="279"/>
        <v>2540.25</v>
      </c>
      <c r="T1257" s="7">
        <f t="shared" si="280"/>
        <v>0</v>
      </c>
    </row>
    <row r="1258" spans="1:20" x14ac:dyDescent="0.25">
      <c r="A1258" s="1">
        <v>43038</v>
      </c>
      <c r="B1258">
        <v>2536</v>
      </c>
      <c r="C1258">
        <v>2551</v>
      </c>
      <c r="D1258">
        <v>2503</v>
      </c>
      <c r="E1258">
        <v>2511</v>
      </c>
      <c r="F1258">
        <v>567537</v>
      </c>
      <c r="G1258" s="4">
        <f t="shared" si="267"/>
        <v>0</v>
      </c>
      <c r="H1258" s="4">
        <f t="shared" si="268"/>
        <v>21.150000000000091</v>
      </c>
      <c r="I1258" s="6">
        <f t="shared" si="273"/>
        <v>14.135714285714259</v>
      </c>
      <c r="J1258" s="6">
        <f t="shared" si="274"/>
        <v>15.496428571428558</v>
      </c>
      <c r="K1258" s="4">
        <f t="shared" si="275"/>
        <v>0.91219174925097857</v>
      </c>
      <c r="L1258">
        <f t="shared" si="276"/>
        <v>47.703989393756757</v>
      </c>
      <c r="M1258" s="14" t="str">
        <f t="shared" si="269"/>
        <v/>
      </c>
      <c r="N1258" s="7">
        <f t="shared" si="270"/>
        <v>0</v>
      </c>
      <c r="O1258" s="7">
        <f t="shared" si="277"/>
        <v>0</v>
      </c>
      <c r="P1258" s="7">
        <f t="shared" si="278"/>
        <v>-1</v>
      </c>
      <c r="Q1258" s="10" t="e">
        <f t="shared" si="271"/>
        <v>#N/A</v>
      </c>
      <c r="R1258" s="10" t="e">
        <f t="shared" si="272"/>
        <v>#N/A</v>
      </c>
      <c r="S1258" s="7">
        <f t="shared" si="279"/>
        <v>2540.25</v>
      </c>
      <c r="T1258" s="7">
        <f t="shared" si="280"/>
        <v>0</v>
      </c>
    </row>
    <row r="1259" spans="1:20" x14ac:dyDescent="0.25">
      <c r="A1259" s="1">
        <v>43039</v>
      </c>
      <c r="B1259">
        <v>2520</v>
      </c>
      <c r="C1259">
        <v>2530</v>
      </c>
      <c r="D1259">
        <v>2483.25</v>
      </c>
      <c r="E1259">
        <v>2500.4499999999998</v>
      </c>
      <c r="F1259">
        <v>1029283</v>
      </c>
      <c r="G1259" s="4">
        <f t="shared" si="267"/>
        <v>0</v>
      </c>
      <c r="H1259" s="4">
        <f t="shared" si="268"/>
        <v>10.550000000000182</v>
      </c>
      <c r="I1259" s="6">
        <f t="shared" si="273"/>
        <v>12.121428571428558</v>
      </c>
      <c r="J1259" s="6">
        <f t="shared" si="274"/>
        <v>16.25</v>
      </c>
      <c r="K1259" s="4">
        <f t="shared" si="275"/>
        <v>0.74593406593406508</v>
      </c>
      <c r="L1259">
        <f t="shared" si="276"/>
        <v>42.724068479355459</v>
      </c>
      <c r="M1259" s="14" t="str">
        <f t="shared" si="269"/>
        <v/>
      </c>
      <c r="N1259" s="7">
        <f t="shared" si="270"/>
        <v>0</v>
      </c>
      <c r="O1259" s="7">
        <f t="shared" si="277"/>
        <v>0</v>
      </c>
      <c r="P1259" s="7">
        <f t="shared" si="278"/>
        <v>-1</v>
      </c>
      <c r="Q1259" s="10" t="e">
        <f t="shared" si="271"/>
        <v>#N/A</v>
      </c>
      <c r="R1259" s="10" t="e">
        <f t="shared" si="272"/>
        <v>#N/A</v>
      </c>
      <c r="S1259" s="7">
        <f t="shared" si="279"/>
        <v>2540.25</v>
      </c>
      <c r="T1259" s="7">
        <f t="shared" si="280"/>
        <v>0</v>
      </c>
    </row>
    <row r="1260" spans="1:20" x14ac:dyDescent="0.25">
      <c r="A1260" s="1">
        <v>43040</v>
      </c>
      <c r="B1260">
        <v>2522</v>
      </c>
      <c r="C1260">
        <v>2522</v>
      </c>
      <c r="D1260">
        <v>2488.25</v>
      </c>
      <c r="E1260">
        <v>2513.8000000000002</v>
      </c>
      <c r="F1260">
        <v>1155240</v>
      </c>
      <c r="G1260" s="4">
        <f t="shared" si="267"/>
        <v>13.350000000000364</v>
      </c>
      <c r="H1260" s="4">
        <f t="shared" si="268"/>
        <v>0</v>
      </c>
      <c r="I1260" s="6">
        <f t="shared" si="273"/>
        <v>13.075000000000014</v>
      </c>
      <c r="J1260" s="6">
        <f t="shared" si="274"/>
        <v>15.342857142857156</v>
      </c>
      <c r="K1260" s="4">
        <f t="shared" si="275"/>
        <v>0.85218808193668549</v>
      </c>
      <c r="L1260">
        <f t="shared" si="276"/>
        <v>46.009802689455825</v>
      </c>
      <c r="M1260" s="14" t="str">
        <f t="shared" si="269"/>
        <v/>
      </c>
      <c r="N1260" s="7">
        <f t="shared" si="270"/>
        <v>0</v>
      </c>
      <c r="O1260" s="7">
        <f t="shared" si="277"/>
        <v>0</v>
      </c>
      <c r="P1260" s="7">
        <f t="shared" si="278"/>
        <v>-1</v>
      </c>
      <c r="Q1260" s="10" t="e">
        <f t="shared" si="271"/>
        <v>#N/A</v>
      </c>
      <c r="R1260" s="10" t="e">
        <f t="shared" si="272"/>
        <v>#N/A</v>
      </c>
      <c r="S1260" s="7">
        <f t="shared" si="279"/>
        <v>2540.25</v>
      </c>
      <c r="T1260" s="7">
        <f t="shared" si="280"/>
        <v>0</v>
      </c>
    </row>
    <row r="1261" spans="1:20" x14ac:dyDescent="0.25">
      <c r="A1261" s="1">
        <v>43041</v>
      </c>
      <c r="B1261">
        <v>2516.5</v>
      </c>
      <c r="C1261">
        <v>2521.25</v>
      </c>
      <c r="D1261">
        <v>2495.5</v>
      </c>
      <c r="E1261">
        <v>2513.5500000000002</v>
      </c>
      <c r="F1261">
        <v>1056607</v>
      </c>
      <c r="G1261" s="4">
        <f t="shared" si="267"/>
        <v>0</v>
      </c>
      <c r="H1261" s="4">
        <f t="shared" si="268"/>
        <v>0.25</v>
      </c>
      <c r="I1261" s="6">
        <f t="shared" si="273"/>
        <v>10.653571428571468</v>
      </c>
      <c r="J1261" s="6">
        <f t="shared" si="274"/>
        <v>15.360714285714298</v>
      </c>
      <c r="K1261" s="4">
        <f t="shared" si="275"/>
        <v>0.69355963729365466</v>
      </c>
      <c r="L1261">
        <f t="shared" si="276"/>
        <v>40.952773201537688</v>
      </c>
      <c r="M1261" s="14" t="str">
        <f t="shared" si="269"/>
        <v/>
      </c>
      <c r="N1261" s="7">
        <f t="shared" si="270"/>
        <v>0</v>
      </c>
      <c r="O1261" s="7">
        <f t="shared" si="277"/>
        <v>0</v>
      </c>
      <c r="P1261" s="7">
        <f t="shared" si="278"/>
        <v>-1</v>
      </c>
      <c r="Q1261" s="10" t="e">
        <f t="shared" si="271"/>
        <v>#N/A</v>
      </c>
      <c r="R1261" s="10" t="e">
        <f t="shared" si="272"/>
        <v>#N/A</v>
      </c>
      <c r="S1261" s="7">
        <f t="shared" si="279"/>
        <v>2540.25</v>
      </c>
      <c r="T1261" s="7">
        <f t="shared" si="280"/>
        <v>0</v>
      </c>
    </row>
    <row r="1262" spans="1:20" x14ac:dyDescent="0.25">
      <c r="A1262" s="1">
        <v>43042</v>
      </c>
      <c r="B1262">
        <v>2514</v>
      </c>
      <c r="C1262">
        <v>2532.0500000000002</v>
      </c>
      <c r="D1262">
        <v>2496.1</v>
      </c>
      <c r="E1262">
        <v>2503.6</v>
      </c>
      <c r="F1262">
        <v>1575190</v>
      </c>
      <c r="G1262" s="4">
        <f t="shared" si="267"/>
        <v>0</v>
      </c>
      <c r="H1262" s="4">
        <f t="shared" si="268"/>
        <v>9.9500000000002728</v>
      </c>
      <c r="I1262" s="6">
        <f t="shared" si="273"/>
        <v>10.653571428571468</v>
      </c>
      <c r="J1262" s="6">
        <f t="shared" si="274"/>
        <v>13.271428571428617</v>
      </c>
      <c r="K1262" s="4">
        <f t="shared" si="275"/>
        <v>0.80274488697524238</v>
      </c>
      <c r="L1262">
        <f t="shared" si="276"/>
        <v>44.529034184206601</v>
      </c>
      <c r="M1262" s="14" t="str">
        <f t="shared" si="269"/>
        <v/>
      </c>
      <c r="N1262" s="7">
        <f t="shared" si="270"/>
        <v>0</v>
      </c>
      <c r="O1262" s="7">
        <f t="shared" si="277"/>
        <v>0</v>
      </c>
      <c r="P1262" s="7">
        <f t="shared" si="278"/>
        <v>-1</v>
      </c>
      <c r="Q1262" s="10" t="e">
        <f t="shared" si="271"/>
        <v>#N/A</v>
      </c>
      <c r="R1262" s="10" t="e">
        <f t="shared" si="272"/>
        <v>#N/A</v>
      </c>
      <c r="S1262" s="7">
        <f t="shared" si="279"/>
        <v>2540.25</v>
      </c>
      <c r="T1262" s="7">
        <f t="shared" si="280"/>
        <v>0</v>
      </c>
    </row>
    <row r="1263" spans="1:20" x14ac:dyDescent="0.25">
      <c r="A1263" s="1">
        <v>43045</v>
      </c>
      <c r="B1263">
        <v>2512.35</v>
      </c>
      <c r="C1263">
        <v>2515</v>
      </c>
      <c r="D1263">
        <v>2489.5500000000002</v>
      </c>
      <c r="E1263">
        <v>2502.0500000000002</v>
      </c>
      <c r="F1263">
        <v>1369368</v>
      </c>
      <c r="G1263" s="4">
        <f t="shared" si="267"/>
        <v>0</v>
      </c>
      <c r="H1263" s="4">
        <f t="shared" si="268"/>
        <v>1.5499999999997272</v>
      </c>
      <c r="I1263" s="6">
        <f t="shared" si="273"/>
        <v>10.653571428571468</v>
      </c>
      <c r="J1263" s="6">
        <f t="shared" si="274"/>
        <v>6.6928571428571626</v>
      </c>
      <c r="K1263" s="4">
        <f t="shared" si="275"/>
        <v>1.5917822838847397</v>
      </c>
      <c r="L1263">
        <f t="shared" si="276"/>
        <v>61.416512250360327</v>
      </c>
      <c r="M1263" s="14" t="str">
        <f t="shared" si="269"/>
        <v/>
      </c>
      <c r="N1263" s="7">
        <f t="shared" si="270"/>
        <v>0</v>
      </c>
      <c r="O1263" s="7">
        <f t="shared" si="277"/>
        <v>0</v>
      </c>
      <c r="P1263" s="7">
        <f t="shared" si="278"/>
        <v>-1</v>
      </c>
      <c r="Q1263" s="10" t="e">
        <f t="shared" si="271"/>
        <v>#N/A</v>
      </c>
      <c r="R1263" s="10" t="e">
        <f t="shared" si="272"/>
        <v>#N/A</v>
      </c>
      <c r="S1263" s="7">
        <f t="shared" si="279"/>
        <v>2540.25</v>
      </c>
      <c r="T1263" s="7">
        <f t="shared" si="280"/>
        <v>0</v>
      </c>
    </row>
    <row r="1264" spans="1:20" x14ac:dyDescent="0.25">
      <c r="A1264" s="1">
        <v>43046</v>
      </c>
      <c r="B1264">
        <v>2503</v>
      </c>
      <c r="C1264">
        <v>2544.9</v>
      </c>
      <c r="D1264">
        <v>2502.9</v>
      </c>
      <c r="E1264">
        <v>2539.6</v>
      </c>
      <c r="F1264">
        <v>1560990</v>
      </c>
      <c r="G1264" s="4">
        <f t="shared" si="267"/>
        <v>37.549999999999727</v>
      </c>
      <c r="H1264" s="4">
        <f t="shared" si="268"/>
        <v>0</v>
      </c>
      <c r="I1264" s="6">
        <f t="shared" si="273"/>
        <v>13.335714285714305</v>
      </c>
      <c r="J1264" s="6">
        <f t="shared" si="274"/>
        <v>4.6285714285714414</v>
      </c>
      <c r="K1264" s="4">
        <f t="shared" si="275"/>
        <v>2.8811728395061689</v>
      </c>
      <c r="L1264">
        <f t="shared" si="276"/>
        <v>74.234592445328005</v>
      </c>
      <c r="M1264" s="14" t="str">
        <f t="shared" si="269"/>
        <v>OVERBOUGHT</v>
      </c>
      <c r="N1264" s="7" t="str">
        <f t="shared" si="270"/>
        <v>SELL</v>
      </c>
      <c r="O1264" s="7">
        <f t="shared" si="277"/>
        <v>0</v>
      </c>
      <c r="P1264" s="7">
        <f t="shared" si="278"/>
        <v>-1</v>
      </c>
      <c r="Q1264" s="10" t="e">
        <f t="shared" si="271"/>
        <v>#N/A</v>
      </c>
      <c r="R1264" s="10" t="e">
        <f t="shared" si="272"/>
        <v>#N/A</v>
      </c>
      <c r="S1264" s="7">
        <f t="shared" si="279"/>
        <v>2540.25</v>
      </c>
      <c r="T1264" s="7">
        <f t="shared" si="280"/>
        <v>0</v>
      </c>
    </row>
    <row r="1265" spans="1:20" x14ac:dyDescent="0.25">
      <c r="A1265" s="1">
        <v>43047</v>
      </c>
      <c r="B1265">
        <v>2538</v>
      </c>
      <c r="C1265">
        <v>2568.6999999999998</v>
      </c>
      <c r="D1265">
        <v>2512.9</v>
      </c>
      <c r="E1265">
        <v>2544.65</v>
      </c>
      <c r="F1265">
        <v>1867196</v>
      </c>
      <c r="G1265" s="4">
        <f t="shared" si="267"/>
        <v>5.0500000000001819</v>
      </c>
      <c r="H1265" s="4">
        <f t="shared" si="268"/>
        <v>0</v>
      </c>
      <c r="I1265" s="6">
        <f t="shared" si="273"/>
        <v>11.832142857142864</v>
      </c>
      <c r="J1265" s="6">
        <f t="shared" si="274"/>
        <v>4.6285714285714414</v>
      </c>
      <c r="K1265" s="4">
        <f t="shared" si="275"/>
        <v>2.5563271604938218</v>
      </c>
      <c r="L1265">
        <f t="shared" si="276"/>
        <v>71.881102191364675</v>
      </c>
      <c r="M1265" s="14" t="str">
        <f t="shared" si="269"/>
        <v>OVERBOUGHT</v>
      </c>
      <c r="N1265" s="7" t="str">
        <f t="shared" si="270"/>
        <v>SELL</v>
      </c>
      <c r="O1265" s="7">
        <f t="shared" si="277"/>
        <v>0</v>
      </c>
      <c r="P1265" s="7">
        <f t="shared" si="278"/>
        <v>-1</v>
      </c>
      <c r="Q1265" s="10" t="e">
        <f t="shared" si="271"/>
        <v>#N/A</v>
      </c>
      <c r="R1265" s="10" t="e">
        <f t="shared" si="272"/>
        <v>#N/A</v>
      </c>
      <c r="S1265" s="7">
        <f t="shared" si="279"/>
        <v>2540.25</v>
      </c>
      <c r="T1265" s="7">
        <f t="shared" si="280"/>
        <v>0</v>
      </c>
    </row>
    <row r="1266" spans="1:20" x14ac:dyDescent="0.25">
      <c r="A1266" s="1">
        <v>43048</v>
      </c>
      <c r="B1266">
        <v>2560.6999999999998</v>
      </c>
      <c r="C1266">
        <v>2575</v>
      </c>
      <c r="D1266">
        <v>2470</v>
      </c>
      <c r="E1266">
        <v>2482.0500000000002</v>
      </c>
      <c r="F1266">
        <v>2908701</v>
      </c>
      <c r="G1266" s="4">
        <f t="shared" si="267"/>
        <v>0</v>
      </c>
      <c r="H1266" s="4">
        <f t="shared" si="268"/>
        <v>62.599999999999909</v>
      </c>
      <c r="I1266" s="6">
        <f t="shared" si="273"/>
        <v>6.9392857142857212</v>
      </c>
      <c r="J1266" s="6">
        <f t="shared" si="274"/>
        <v>9.1000000000000068</v>
      </c>
      <c r="K1266" s="4">
        <f t="shared" si="275"/>
        <v>0.76255886970172704</v>
      </c>
      <c r="L1266">
        <f t="shared" si="276"/>
        <v>43.2643063905589</v>
      </c>
      <c r="M1266" s="14" t="str">
        <f t="shared" si="269"/>
        <v/>
      </c>
      <c r="N1266" s="7">
        <f t="shared" si="270"/>
        <v>0</v>
      </c>
      <c r="O1266" s="7">
        <f t="shared" si="277"/>
        <v>0</v>
      </c>
      <c r="P1266" s="7">
        <f t="shared" si="278"/>
        <v>-1</v>
      </c>
      <c r="Q1266" s="10" t="e">
        <f t="shared" si="271"/>
        <v>#N/A</v>
      </c>
      <c r="R1266" s="10" t="e">
        <f t="shared" si="272"/>
        <v>#N/A</v>
      </c>
      <c r="S1266" s="7">
        <f t="shared" si="279"/>
        <v>2540.25</v>
      </c>
      <c r="T1266" s="7">
        <f t="shared" si="280"/>
        <v>0</v>
      </c>
    </row>
    <row r="1267" spans="1:20" x14ac:dyDescent="0.25">
      <c r="A1267" s="1">
        <v>43049</v>
      </c>
      <c r="B1267">
        <v>2482</v>
      </c>
      <c r="C1267">
        <v>2521.4499999999998</v>
      </c>
      <c r="D1267">
        <v>2462.0500000000002</v>
      </c>
      <c r="E1267">
        <v>2514.1999999999998</v>
      </c>
      <c r="F1267">
        <v>1590901</v>
      </c>
      <c r="G1267" s="4">
        <f t="shared" si="267"/>
        <v>32.149999999999636</v>
      </c>
      <c r="H1267" s="4">
        <f t="shared" si="268"/>
        <v>0</v>
      </c>
      <c r="I1267" s="6">
        <f t="shared" si="273"/>
        <v>9.2357142857142662</v>
      </c>
      <c r="J1267" s="6">
        <f t="shared" si="274"/>
        <v>8.9142857142856951</v>
      </c>
      <c r="K1267" s="4">
        <f t="shared" si="275"/>
        <v>1.0360576923076923</v>
      </c>
      <c r="L1267">
        <f t="shared" si="276"/>
        <v>50.885478158205437</v>
      </c>
      <c r="M1267" s="14" t="str">
        <f t="shared" si="269"/>
        <v/>
      </c>
      <c r="N1267" s="7">
        <f t="shared" si="270"/>
        <v>0</v>
      </c>
      <c r="O1267" s="7">
        <f t="shared" si="277"/>
        <v>0</v>
      </c>
      <c r="P1267" s="7">
        <f t="shared" si="278"/>
        <v>-1</v>
      </c>
      <c r="Q1267" s="10" t="e">
        <f t="shared" si="271"/>
        <v>#N/A</v>
      </c>
      <c r="R1267" s="10" t="e">
        <f t="shared" si="272"/>
        <v>#N/A</v>
      </c>
      <c r="S1267" s="7">
        <f t="shared" si="279"/>
        <v>2540.25</v>
      </c>
      <c r="T1267" s="7">
        <f t="shared" si="280"/>
        <v>0</v>
      </c>
    </row>
    <row r="1268" spans="1:20" x14ac:dyDescent="0.25">
      <c r="A1268" s="1">
        <v>43052</v>
      </c>
      <c r="B1268">
        <v>2511.65</v>
      </c>
      <c r="C1268">
        <v>2565</v>
      </c>
      <c r="D1268">
        <v>2507.1</v>
      </c>
      <c r="E1268">
        <v>2558.25</v>
      </c>
      <c r="F1268">
        <v>1172527</v>
      </c>
      <c r="G1268" s="4">
        <f t="shared" si="267"/>
        <v>44.050000000000182</v>
      </c>
      <c r="H1268" s="4">
        <f t="shared" si="268"/>
        <v>0</v>
      </c>
      <c r="I1268" s="6">
        <f t="shared" si="273"/>
        <v>12.382142857142851</v>
      </c>
      <c r="J1268" s="6">
        <f t="shared" si="274"/>
        <v>8.0714285714285712</v>
      </c>
      <c r="K1268" s="4">
        <f t="shared" si="275"/>
        <v>1.5340707964601763</v>
      </c>
      <c r="L1268">
        <f t="shared" si="276"/>
        <v>60.537803387462887</v>
      </c>
      <c r="M1268" s="14" t="str">
        <f t="shared" si="269"/>
        <v/>
      </c>
      <c r="N1268" s="7">
        <f t="shared" si="270"/>
        <v>0</v>
      </c>
      <c r="O1268" s="7">
        <f t="shared" si="277"/>
        <v>0</v>
      </c>
      <c r="P1268" s="7">
        <f t="shared" si="278"/>
        <v>-1</v>
      </c>
      <c r="Q1268" s="10" t="e">
        <f t="shared" si="271"/>
        <v>#N/A</v>
      </c>
      <c r="R1268" s="10" t="e">
        <f t="shared" si="272"/>
        <v>#N/A</v>
      </c>
      <c r="S1268" s="7">
        <f t="shared" si="279"/>
        <v>2540.25</v>
      </c>
      <c r="T1268" s="7">
        <f t="shared" si="280"/>
        <v>0</v>
      </c>
    </row>
    <row r="1269" spans="1:20" x14ac:dyDescent="0.25">
      <c r="A1269" s="1">
        <v>43053</v>
      </c>
      <c r="B1269">
        <v>2568</v>
      </c>
      <c r="C1269">
        <v>2571.6999999999998</v>
      </c>
      <c r="D1269">
        <v>2502.1</v>
      </c>
      <c r="E1269">
        <v>2514.3000000000002</v>
      </c>
      <c r="F1269">
        <v>1122709</v>
      </c>
      <c r="G1269" s="4">
        <f t="shared" si="267"/>
        <v>0</v>
      </c>
      <c r="H1269" s="4">
        <f t="shared" si="268"/>
        <v>43.949999999999818</v>
      </c>
      <c r="I1269" s="6">
        <f t="shared" si="273"/>
        <v>10.664285714285727</v>
      </c>
      <c r="J1269" s="6">
        <f t="shared" si="274"/>
        <v>11.210714285714273</v>
      </c>
      <c r="K1269" s="4">
        <f t="shared" si="275"/>
        <v>0.95125836253584162</v>
      </c>
      <c r="L1269">
        <f t="shared" si="276"/>
        <v>48.75102040816332</v>
      </c>
      <c r="M1269" s="14" t="str">
        <f t="shared" si="269"/>
        <v/>
      </c>
      <c r="N1269" s="7">
        <f t="shared" si="270"/>
        <v>0</v>
      </c>
      <c r="O1269" s="7">
        <f t="shared" si="277"/>
        <v>0</v>
      </c>
      <c r="P1269" s="7">
        <f t="shared" si="278"/>
        <v>-1</v>
      </c>
      <c r="Q1269" s="10" t="e">
        <f t="shared" si="271"/>
        <v>#N/A</v>
      </c>
      <c r="R1269" s="10" t="e">
        <f t="shared" si="272"/>
        <v>#N/A</v>
      </c>
      <c r="S1269" s="7">
        <f t="shared" si="279"/>
        <v>2540.25</v>
      </c>
      <c r="T1269" s="7">
        <f t="shared" si="280"/>
        <v>0</v>
      </c>
    </row>
    <row r="1270" spans="1:20" x14ac:dyDescent="0.25">
      <c r="A1270" s="1">
        <v>43054</v>
      </c>
      <c r="B1270">
        <v>2520</v>
      </c>
      <c r="C1270">
        <v>2591.6999999999998</v>
      </c>
      <c r="D1270">
        <v>2519</v>
      </c>
      <c r="E1270">
        <v>2552.4</v>
      </c>
      <c r="F1270">
        <v>2265084</v>
      </c>
      <c r="G1270" s="4">
        <f t="shared" si="267"/>
        <v>38.099999999999909</v>
      </c>
      <c r="H1270" s="4">
        <f t="shared" si="268"/>
        <v>0</v>
      </c>
      <c r="I1270" s="6">
        <f t="shared" si="273"/>
        <v>12.160714285714286</v>
      </c>
      <c r="J1270" s="6">
        <f t="shared" si="274"/>
        <v>11.210714285714273</v>
      </c>
      <c r="K1270" s="4">
        <f t="shared" si="275"/>
        <v>1.0847403631729864</v>
      </c>
      <c r="L1270">
        <f t="shared" si="276"/>
        <v>52.032396088019588</v>
      </c>
      <c r="M1270" s="14" t="str">
        <f t="shared" si="269"/>
        <v/>
      </c>
      <c r="N1270" s="7">
        <f t="shared" si="270"/>
        <v>0</v>
      </c>
      <c r="O1270" s="7">
        <f t="shared" si="277"/>
        <v>0</v>
      </c>
      <c r="P1270" s="7">
        <f t="shared" si="278"/>
        <v>-1</v>
      </c>
      <c r="Q1270" s="10" t="e">
        <f t="shared" si="271"/>
        <v>#N/A</v>
      </c>
      <c r="R1270" s="10" t="e">
        <f t="shared" si="272"/>
        <v>#N/A</v>
      </c>
      <c r="S1270" s="7">
        <f t="shared" si="279"/>
        <v>2540.25</v>
      </c>
      <c r="T1270" s="7">
        <f t="shared" si="280"/>
        <v>0</v>
      </c>
    </row>
    <row r="1271" spans="1:20" x14ac:dyDescent="0.25">
      <c r="A1271" s="1">
        <v>43055</v>
      </c>
      <c r="B1271">
        <v>2553</v>
      </c>
      <c r="C1271">
        <v>2594.8000000000002</v>
      </c>
      <c r="D1271">
        <v>2550.85</v>
      </c>
      <c r="E1271">
        <v>2575.75</v>
      </c>
      <c r="F1271">
        <v>1068208</v>
      </c>
      <c r="G1271" s="4">
        <f t="shared" si="267"/>
        <v>23.349999999999909</v>
      </c>
      <c r="H1271" s="4">
        <f t="shared" si="268"/>
        <v>0</v>
      </c>
      <c r="I1271" s="6">
        <f t="shared" si="273"/>
        <v>13.828571428571422</v>
      </c>
      <c r="J1271" s="6">
        <f t="shared" si="274"/>
        <v>10.714285714285714</v>
      </c>
      <c r="K1271" s="4">
        <f t="shared" si="275"/>
        <v>1.2906666666666662</v>
      </c>
      <c r="L1271">
        <f t="shared" si="276"/>
        <v>56.344586728754358</v>
      </c>
      <c r="M1271" s="14" t="str">
        <f t="shared" si="269"/>
        <v/>
      </c>
      <c r="N1271" s="7">
        <f t="shared" si="270"/>
        <v>0</v>
      </c>
      <c r="O1271" s="7">
        <f t="shared" si="277"/>
        <v>0</v>
      </c>
      <c r="P1271" s="7">
        <f t="shared" si="278"/>
        <v>-1</v>
      </c>
      <c r="Q1271" s="10" t="e">
        <f t="shared" si="271"/>
        <v>#N/A</v>
      </c>
      <c r="R1271" s="10" t="e">
        <f t="shared" si="272"/>
        <v>#N/A</v>
      </c>
      <c r="S1271" s="7">
        <f t="shared" si="279"/>
        <v>2540.25</v>
      </c>
      <c r="T1271" s="7">
        <f t="shared" si="280"/>
        <v>0</v>
      </c>
    </row>
    <row r="1272" spans="1:20" x14ac:dyDescent="0.25">
      <c r="A1272" s="1">
        <v>43056</v>
      </c>
      <c r="B1272">
        <v>2561.5</v>
      </c>
      <c r="C1272">
        <v>2569.1</v>
      </c>
      <c r="D1272">
        <v>2500</v>
      </c>
      <c r="E1272">
        <v>2512.9</v>
      </c>
      <c r="F1272">
        <v>1038216</v>
      </c>
      <c r="G1272" s="4">
        <f t="shared" si="267"/>
        <v>0</v>
      </c>
      <c r="H1272" s="4">
        <f t="shared" si="268"/>
        <v>62.849999999999909</v>
      </c>
      <c r="I1272" s="6">
        <f t="shared" si="273"/>
        <v>13.828571428571422</v>
      </c>
      <c r="J1272" s="6">
        <f t="shared" si="274"/>
        <v>13.692857142857131</v>
      </c>
      <c r="K1272" s="4">
        <f t="shared" si="275"/>
        <v>1.0099113197704752</v>
      </c>
      <c r="L1272">
        <f t="shared" si="276"/>
        <v>50.246561121204266</v>
      </c>
      <c r="M1272" s="14" t="str">
        <f t="shared" si="269"/>
        <v/>
      </c>
      <c r="N1272" s="7">
        <f t="shared" si="270"/>
        <v>0</v>
      </c>
      <c r="O1272" s="7">
        <f t="shared" si="277"/>
        <v>0</v>
      </c>
      <c r="P1272" s="7">
        <f t="shared" si="278"/>
        <v>-1</v>
      </c>
      <c r="Q1272" s="10" t="e">
        <f t="shared" si="271"/>
        <v>#N/A</v>
      </c>
      <c r="R1272" s="10" t="e">
        <f t="shared" si="272"/>
        <v>#N/A</v>
      </c>
      <c r="S1272" s="7">
        <f t="shared" si="279"/>
        <v>2540.25</v>
      </c>
      <c r="T1272" s="7">
        <f t="shared" si="280"/>
        <v>0</v>
      </c>
    </row>
    <row r="1273" spans="1:20" x14ac:dyDescent="0.25">
      <c r="A1273" s="1">
        <v>43059</v>
      </c>
      <c r="B1273">
        <v>2510</v>
      </c>
      <c r="C1273">
        <v>2526.25</v>
      </c>
      <c r="D1273">
        <v>2433</v>
      </c>
      <c r="E1273">
        <v>2441.15</v>
      </c>
      <c r="F1273">
        <v>1899527</v>
      </c>
      <c r="G1273" s="4">
        <f t="shared" si="267"/>
        <v>0</v>
      </c>
      <c r="H1273" s="4">
        <f t="shared" si="268"/>
        <v>71.75</v>
      </c>
      <c r="I1273" s="6">
        <f t="shared" si="273"/>
        <v>13.828571428571422</v>
      </c>
      <c r="J1273" s="6">
        <f t="shared" si="274"/>
        <v>18.064285714285688</v>
      </c>
      <c r="K1273" s="4">
        <f t="shared" si="275"/>
        <v>0.76551996836694425</v>
      </c>
      <c r="L1273">
        <f t="shared" si="276"/>
        <v>43.359462486002265</v>
      </c>
      <c r="M1273" s="14" t="str">
        <f t="shared" si="269"/>
        <v/>
      </c>
      <c r="N1273" s="7">
        <f t="shared" si="270"/>
        <v>0</v>
      </c>
      <c r="O1273" s="7">
        <f t="shared" si="277"/>
        <v>0</v>
      </c>
      <c r="P1273" s="7">
        <f t="shared" si="278"/>
        <v>-1</v>
      </c>
      <c r="Q1273" s="10" t="e">
        <f t="shared" si="271"/>
        <v>#N/A</v>
      </c>
      <c r="R1273" s="10" t="e">
        <f t="shared" si="272"/>
        <v>#N/A</v>
      </c>
      <c r="S1273" s="7">
        <f t="shared" si="279"/>
        <v>2540.25</v>
      </c>
      <c r="T1273" s="7">
        <f t="shared" si="280"/>
        <v>0</v>
      </c>
    </row>
    <row r="1274" spans="1:20" x14ac:dyDescent="0.25">
      <c r="A1274" s="1">
        <v>43060</v>
      </c>
      <c r="B1274">
        <v>2455.0500000000002</v>
      </c>
      <c r="C1274">
        <v>2487.25</v>
      </c>
      <c r="D1274">
        <v>2447.25</v>
      </c>
      <c r="E1274">
        <v>2459.9</v>
      </c>
      <c r="F1274">
        <v>1468761</v>
      </c>
      <c r="G1274" s="4">
        <f t="shared" si="267"/>
        <v>18.75</v>
      </c>
      <c r="H1274" s="4">
        <f t="shared" si="268"/>
        <v>0</v>
      </c>
      <c r="I1274" s="6">
        <f t="shared" si="273"/>
        <v>14.214285714285682</v>
      </c>
      <c r="J1274" s="6">
        <f t="shared" si="274"/>
        <v>18.064285714285688</v>
      </c>
      <c r="K1274" s="4">
        <f t="shared" si="275"/>
        <v>0.78687228153420252</v>
      </c>
      <c r="L1274">
        <f t="shared" si="276"/>
        <v>44.036291214870523</v>
      </c>
      <c r="M1274" s="14" t="str">
        <f t="shared" si="269"/>
        <v/>
      </c>
      <c r="N1274" s="7">
        <f t="shared" si="270"/>
        <v>0</v>
      </c>
      <c r="O1274" s="7">
        <f t="shared" si="277"/>
        <v>0</v>
      </c>
      <c r="P1274" s="7">
        <f t="shared" si="278"/>
        <v>-1</v>
      </c>
      <c r="Q1274" s="10" t="e">
        <f t="shared" si="271"/>
        <v>#N/A</v>
      </c>
      <c r="R1274" s="10" t="e">
        <f t="shared" si="272"/>
        <v>#N/A</v>
      </c>
      <c r="S1274" s="7">
        <f t="shared" si="279"/>
        <v>2540.25</v>
      </c>
      <c r="T1274" s="7">
        <f t="shared" si="280"/>
        <v>0</v>
      </c>
    </row>
    <row r="1275" spans="1:20" x14ac:dyDescent="0.25">
      <c r="A1275" s="1">
        <v>43061</v>
      </c>
      <c r="B1275">
        <v>2479.8000000000002</v>
      </c>
      <c r="C1275">
        <v>2479.8000000000002</v>
      </c>
      <c r="D1275">
        <v>2447</v>
      </c>
      <c r="E1275">
        <v>2462.15</v>
      </c>
      <c r="F1275">
        <v>1553990</v>
      </c>
      <c r="G1275" s="4">
        <f t="shared" si="267"/>
        <v>2.25</v>
      </c>
      <c r="H1275" s="4">
        <f t="shared" si="268"/>
        <v>0</v>
      </c>
      <c r="I1275" s="6">
        <f t="shared" si="273"/>
        <v>14.374999999999968</v>
      </c>
      <c r="J1275" s="6">
        <f t="shared" si="274"/>
        <v>18.046428571428546</v>
      </c>
      <c r="K1275" s="4">
        <f t="shared" si="275"/>
        <v>0.79655650108846165</v>
      </c>
      <c r="L1275">
        <f t="shared" si="276"/>
        <v>44.337959903062327</v>
      </c>
      <c r="M1275" s="14" t="str">
        <f t="shared" si="269"/>
        <v/>
      </c>
      <c r="N1275" s="7">
        <f t="shared" si="270"/>
        <v>0</v>
      </c>
      <c r="O1275" s="7">
        <f t="shared" si="277"/>
        <v>0</v>
      </c>
      <c r="P1275" s="7">
        <f t="shared" si="278"/>
        <v>-1</v>
      </c>
      <c r="Q1275" s="10" t="e">
        <f t="shared" si="271"/>
        <v>#N/A</v>
      </c>
      <c r="R1275" s="10" t="e">
        <f t="shared" si="272"/>
        <v>#N/A</v>
      </c>
      <c r="S1275" s="7">
        <f t="shared" si="279"/>
        <v>2540.25</v>
      </c>
      <c r="T1275" s="7">
        <f t="shared" si="280"/>
        <v>0</v>
      </c>
    </row>
    <row r="1276" spans="1:20" x14ac:dyDescent="0.25">
      <c r="A1276" s="1">
        <v>43062</v>
      </c>
      <c r="B1276">
        <v>2470</v>
      </c>
      <c r="C1276">
        <v>2547.75</v>
      </c>
      <c r="D1276">
        <v>2460.25</v>
      </c>
      <c r="E1276">
        <v>2538.75</v>
      </c>
      <c r="F1276">
        <v>2079163</v>
      </c>
      <c r="G1276" s="4">
        <f t="shared" si="267"/>
        <v>76.599999999999909</v>
      </c>
      <c r="H1276" s="4">
        <f t="shared" si="268"/>
        <v>0</v>
      </c>
      <c r="I1276" s="6">
        <f t="shared" si="273"/>
        <v>19.846428571428532</v>
      </c>
      <c r="J1276" s="6">
        <f t="shared" si="274"/>
        <v>17.335714285714239</v>
      </c>
      <c r="K1276" s="4">
        <f t="shared" si="275"/>
        <v>1.1448290070045333</v>
      </c>
      <c r="L1276">
        <f t="shared" si="276"/>
        <v>53.376236672750004</v>
      </c>
      <c r="M1276" s="14" t="str">
        <f t="shared" si="269"/>
        <v/>
      </c>
      <c r="N1276" s="7">
        <f t="shared" si="270"/>
        <v>0</v>
      </c>
      <c r="O1276" s="7">
        <f t="shared" si="277"/>
        <v>0</v>
      </c>
      <c r="P1276" s="7">
        <f t="shared" si="278"/>
        <v>-1</v>
      </c>
      <c r="Q1276" s="10" t="e">
        <f t="shared" si="271"/>
        <v>#N/A</v>
      </c>
      <c r="R1276" s="10" t="e">
        <f t="shared" si="272"/>
        <v>#N/A</v>
      </c>
      <c r="S1276" s="7">
        <f t="shared" si="279"/>
        <v>2540.25</v>
      </c>
      <c r="T1276" s="7">
        <f t="shared" si="280"/>
        <v>0</v>
      </c>
    </row>
    <row r="1277" spans="1:20" x14ac:dyDescent="0.25">
      <c r="A1277" s="1">
        <v>43063</v>
      </c>
      <c r="B1277">
        <v>2560</v>
      </c>
      <c r="C1277">
        <v>2595</v>
      </c>
      <c r="D1277">
        <v>2555</v>
      </c>
      <c r="E1277">
        <v>2584.8000000000002</v>
      </c>
      <c r="F1277">
        <v>1182196</v>
      </c>
      <c r="G1277" s="4">
        <f t="shared" si="267"/>
        <v>46.050000000000182</v>
      </c>
      <c r="H1277" s="4">
        <f t="shared" si="268"/>
        <v>0</v>
      </c>
      <c r="I1277" s="6">
        <f t="shared" si="273"/>
        <v>23.135714285714261</v>
      </c>
      <c r="J1277" s="6">
        <f t="shared" si="274"/>
        <v>17.224999999999973</v>
      </c>
      <c r="K1277" s="4">
        <f t="shared" si="275"/>
        <v>1.3431474186191175</v>
      </c>
      <c r="L1277">
        <f t="shared" si="276"/>
        <v>57.322360853021863</v>
      </c>
      <c r="M1277" s="14" t="str">
        <f t="shared" si="269"/>
        <v/>
      </c>
      <c r="N1277" s="7">
        <f t="shared" si="270"/>
        <v>0</v>
      </c>
      <c r="O1277" s="7">
        <f t="shared" si="277"/>
        <v>0</v>
      </c>
      <c r="P1277" s="7">
        <f t="shared" si="278"/>
        <v>-1</v>
      </c>
      <c r="Q1277" s="10" t="e">
        <f t="shared" si="271"/>
        <v>#N/A</v>
      </c>
      <c r="R1277" s="10" t="e">
        <f t="shared" si="272"/>
        <v>#N/A</v>
      </c>
      <c r="S1277" s="7">
        <f t="shared" si="279"/>
        <v>2540.25</v>
      </c>
      <c r="T1277" s="7">
        <f t="shared" si="280"/>
        <v>0</v>
      </c>
    </row>
    <row r="1278" spans="1:20" x14ac:dyDescent="0.25">
      <c r="A1278" s="1">
        <v>43066</v>
      </c>
      <c r="B1278">
        <v>2585.0500000000002</v>
      </c>
      <c r="C1278">
        <v>2643</v>
      </c>
      <c r="D1278">
        <v>2565.25</v>
      </c>
      <c r="E1278">
        <v>2635.65</v>
      </c>
      <c r="F1278">
        <v>1330007</v>
      </c>
      <c r="G1278" s="4">
        <f t="shared" si="267"/>
        <v>50.849999999999909</v>
      </c>
      <c r="H1278" s="4">
        <f t="shared" si="268"/>
        <v>0</v>
      </c>
      <c r="I1278" s="6">
        <f t="shared" si="273"/>
        <v>24.085714285714271</v>
      </c>
      <c r="J1278" s="6">
        <f t="shared" si="274"/>
        <v>17.224999999999973</v>
      </c>
      <c r="K1278" s="4">
        <f t="shared" si="275"/>
        <v>1.3982998133941544</v>
      </c>
      <c r="L1278">
        <f t="shared" si="276"/>
        <v>58.303795279674965</v>
      </c>
      <c r="M1278" s="14" t="str">
        <f t="shared" si="269"/>
        <v/>
      </c>
      <c r="N1278" s="7">
        <f t="shared" si="270"/>
        <v>0</v>
      </c>
      <c r="O1278" s="7">
        <f t="shared" si="277"/>
        <v>0</v>
      </c>
      <c r="P1278" s="7">
        <f t="shared" si="278"/>
        <v>-1</v>
      </c>
      <c r="Q1278" s="10" t="e">
        <f t="shared" si="271"/>
        <v>#N/A</v>
      </c>
      <c r="R1278" s="10" t="e">
        <f t="shared" si="272"/>
        <v>#N/A</v>
      </c>
      <c r="S1278" s="7">
        <f t="shared" si="279"/>
        <v>2540.25</v>
      </c>
      <c r="T1278" s="7">
        <f t="shared" si="280"/>
        <v>0</v>
      </c>
    </row>
    <row r="1279" spans="1:20" x14ac:dyDescent="0.25">
      <c r="A1279" s="1">
        <v>43067</v>
      </c>
      <c r="B1279">
        <v>2636</v>
      </c>
      <c r="C1279">
        <v>2687.3</v>
      </c>
      <c r="D1279">
        <v>2635</v>
      </c>
      <c r="E1279">
        <v>2681.05</v>
      </c>
      <c r="F1279">
        <v>1309001</v>
      </c>
      <c r="G1279" s="4">
        <f t="shared" si="267"/>
        <v>45.400000000000091</v>
      </c>
      <c r="H1279" s="4">
        <f t="shared" si="268"/>
        <v>0</v>
      </c>
      <c r="I1279" s="6">
        <f t="shared" si="273"/>
        <v>26.967857142857124</v>
      </c>
      <c r="J1279" s="6">
        <f t="shared" si="274"/>
        <v>17.224999999999973</v>
      </c>
      <c r="K1279" s="4">
        <f t="shared" si="275"/>
        <v>1.5656230561890954</v>
      </c>
      <c r="L1279">
        <f t="shared" si="276"/>
        <v>61.023112978826596</v>
      </c>
      <c r="M1279" s="14" t="str">
        <f t="shared" si="269"/>
        <v/>
      </c>
      <c r="N1279" s="7">
        <f t="shared" si="270"/>
        <v>0</v>
      </c>
      <c r="O1279" s="7">
        <f t="shared" si="277"/>
        <v>0</v>
      </c>
      <c r="P1279" s="7">
        <f t="shared" si="278"/>
        <v>-1</v>
      </c>
      <c r="Q1279" s="10" t="e">
        <f t="shared" si="271"/>
        <v>#N/A</v>
      </c>
      <c r="R1279" s="10" t="e">
        <f t="shared" si="272"/>
        <v>#N/A</v>
      </c>
      <c r="S1279" s="7">
        <f t="shared" si="279"/>
        <v>2540.25</v>
      </c>
      <c r="T1279" s="7">
        <f t="shared" si="280"/>
        <v>0</v>
      </c>
    </row>
    <row r="1280" spans="1:20" x14ac:dyDescent="0.25">
      <c r="A1280" s="1">
        <v>43068</v>
      </c>
      <c r="B1280">
        <v>2698.8</v>
      </c>
      <c r="C1280">
        <v>2698.8</v>
      </c>
      <c r="D1280">
        <v>2642.25</v>
      </c>
      <c r="E1280">
        <v>2675.55</v>
      </c>
      <c r="F1280">
        <v>900794</v>
      </c>
      <c r="G1280" s="4">
        <f t="shared" si="267"/>
        <v>0</v>
      </c>
      <c r="H1280" s="4">
        <f t="shared" si="268"/>
        <v>5.5</v>
      </c>
      <c r="I1280" s="6">
        <f t="shared" si="273"/>
        <v>26.967857142857124</v>
      </c>
      <c r="J1280" s="6">
        <f t="shared" si="274"/>
        <v>13.146428571428553</v>
      </c>
      <c r="K1280" s="4">
        <f t="shared" si="275"/>
        <v>2.0513447432762852</v>
      </c>
      <c r="L1280">
        <f t="shared" si="276"/>
        <v>67.227564102564116</v>
      </c>
      <c r="M1280" s="14" t="str">
        <f t="shared" si="269"/>
        <v/>
      </c>
      <c r="N1280" s="7">
        <f t="shared" si="270"/>
        <v>0</v>
      </c>
      <c r="O1280" s="7">
        <f t="shared" si="277"/>
        <v>0</v>
      </c>
      <c r="P1280" s="7">
        <f t="shared" si="278"/>
        <v>-1</v>
      </c>
      <c r="Q1280" s="10" t="e">
        <f t="shared" si="271"/>
        <v>#N/A</v>
      </c>
      <c r="R1280" s="10" t="e">
        <f t="shared" si="272"/>
        <v>#N/A</v>
      </c>
      <c r="S1280" s="7">
        <f t="shared" si="279"/>
        <v>2540.25</v>
      </c>
      <c r="T1280" s="7">
        <f t="shared" si="280"/>
        <v>0</v>
      </c>
    </row>
    <row r="1281" spans="1:20" x14ac:dyDescent="0.25">
      <c r="A1281" s="1">
        <v>43069</v>
      </c>
      <c r="B1281">
        <v>2671</v>
      </c>
      <c r="C1281">
        <v>2722</v>
      </c>
      <c r="D1281">
        <v>2671</v>
      </c>
      <c r="E1281">
        <v>2696.65</v>
      </c>
      <c r="F1281">
        <v>807446</v>
      </c>
      <c r="G1281" s="4">
        <f t="shared" si="267"/>
        <v>21.099999999999909</v>
      </c>
      <c r="H1281" s="4">
        <f t="shared" si="268"/>
        <v>0</v>
      </c>
      <c r="I1281" s="6">
        <f t="shared" si="273"/>
        <v>26.178571428571427</v>
      </c>
      <c r="J1281" s="6">
        <f t="shared" si="274"/>
        <v>13.146428571428553</v>
      </c>
      <c r="K1281" s="4">
        <f t="shared" si="275"/>
        <v>1.9913067101331188</v>
      </c>
      <c r="L1281">
        <f t="shared" si="276"/>
        <v>66.569793842521136</v>
      </c>
      <c r="M1281" s="14" t="str">
        <f t="shared" si="269"/>
        <v/>
      </c>
      <c r="N1281" s="7">
        <f t="shared" si="270"/>
        <v>0</v>
      </c>
      <c r="O1281" s="7">
        <f t="shared" si="277"/>
        <v>0</v>
      </c>
      <c r="P1281" s="7">
        <f t="shared" si="278"/>
        <v>-1</v>
      </c>
      <c r="Q1281" s="10" t="e">
        <f t="shared" si="271"/>
        <v>#N/A</v>
      </c>
      <c r="R1281" s="10" t="e">
        <f t="shared" si="272"/>
        <v>#N/A</v>
      </c>
      <c r="S1281" s="7">
        <f t="shared" si="279"/>
        <v>2540.25</v>
      </c>
      <c r="T1281" s="7">
        <f t="shared" si="280"/>
        <v>0</v>
      </c>
    </row>
    <row r="1282" spans="1:20" x14ac:dyDescent="0.25">
      <c r="A1282" s="1">
        <v>43070</v>
      </c>
      <c r="B1282">
        <v>2694</v>
      </c>
      <c r="C1282">
        <v>2730</v>
      </c>
      <c r="D1282">
        <v>2679</v>
      </c>
      <c r="E1282">
        <v>2704.75</v>
      </c>
      <c r="F1282">
        <v>1099961</v>
      </c>
      <c r="G1282" s="4">
        <f t="shared" si="267"/>
        <v>8.0999999999999091</v>
      </c>
      <c r="H1282" s="4">
        <f t="shared" si="268"/>
        <v>0</v>
      </c>
      <c r="I1282" s="6">
        <f t="shared" si="273"/>
        <v>23.610714285714266</v>
      </c>
      <c r="J1282" s="6">
        <f t="shared" si="274"/>
        <v>13.146428571428553</v>
      </c>
      <c r="K1282" s="4">
        <f t="shared" si="275"/>
        <v>1.7959793534365671</v>
      </c>
      <c r="L1282">
        <f t="shared" si="276"/>
        <v>64.234356781966596</v>
      </c>
      <c r="M1282" s="14" t="str">
        <f t="shared" si="269"/>
        <v/>
      </c>
      <c r="N1282" s="7">
        <f t="shared" si="270"/>
        <v>0</v>
      </c>
      <c r="O1282" s="7">
        <f t="shared" si="277"/>
        <v>0</v>
      </c>
      <c r="P1282" s="7">
        <f t="shared" si="278"/>
        <v>-1</v>
      </c>
      <c r="Q1282" s="10" t="e">
        <f t="shared" si="271"/>
        <v>#N/A</v>
      </c>
      <c r="R1282" s="10" t="e">
        <f t="shared" si="272"/>
        <v>#N/A</v>
      </c>
      <c r="S1282" s="7">
        <f t="shared" si="279"/>
        <v>2540.25</v>
      </c>
      <c r="T1282" s="7">
        <f t="shared" si="280"/>
        <v>0</v>
      </c>
    </row>
    <row r="1283" spans="1:20" x14ac:dyDescent="0.25">
      <c r="A1283" s="1">
        <v>43073</v>
      </c>
      <c r="B1283">
        <v>2710</v>
      </c>
      <c r="C1283">
        <v>2722</v>
      </c>
      <c r="D1283">
        <v>2667.85</v>
      </c>
      <c r="E1283">
        <v>2672.2</v>
      </c>
      <c r="F1283">
        <v>883997</v>
      </c>
      <c r="G1283" s="4">
        <f t="shared" si="267"/>
        <v>0</v>
      </c>
      <c r="H1283" s="4">
        <f t="shared" si="268"/>
        <v>32.550000000000182</v>
      </c>
      <c r="I1283" s="6">
        <f t="shared" si="273"/>
        <v>23.610714285714266</v>
      </c>
      <c r="J1283" s="6">
        <f t="shared" si="274"/>
        <v>12.332142857142864</v>
      </c>
      <c r="K1283" s="4">
        <f t="shared" si="275"/>
        <v>1.9145670431508806</v>
      </c>
      <c r="L1283">
        <f t="shared" si="276"/>
        <v>65.689586645468964</v>
      </c>
      <c r="M1283" s="14" t="str">
        <f t="shared" si="269"/>
        <v/>
      </c>
      <c r="N1283" s="7">
        <f t="shared" si="270"/>
        <v>0</v>
      </c>
      <c r="O1283" s="7">
        <f t="shared" si="277"/>
        <v>0</v>
      </c>
      <c r="P1283" s="7">
        <f t="shared" si="278"/>
        <v>-1</v>
      </c>
      <c r="Q1283" s="10" t="e">
        <f t="shared" si="271"/>
        <v>#N/A</v>
      </c>
      <c r="R1283" s="10" t="e">
        <f t="shared" si="272"/>
        <v>#N/A</v>
      </c>
      <c r="S1283" s="7">
        <f t="shared" si="279"/>
        <v>2540.25</v>
      </c>
      <c r="T1283" s="7">
        <f t="shared" si="280"/>
        <v>0</v>
      </c>
    </row>
    <row r="1284" spans="1:20" x14ac:dyDescent="0.25">
      <c r="A1284" s="1">
        <v>43074</v>
      </c>
      <c r="B1284">
        <v>2679</v>
      </c>
      <c r="C1284">
        <v>2692.75</v>
      </c>
      <c r="D1284">
        <v>2625.35</v>
      </c>
      <c r="E1284">
        <v>2656.45</v>
      </c>
      <c r="F1284">
        <v>995997</v>
      </c>
      <c r="G1284" s="4">
        <f t="shared" ref="G1284:G1347" si="281">IF(E1284&gt;E1283,E1284-E1283,0)</f>
        <v>0</v>
      </c>
      <c r="H1284" s="4">
        <f t="shared" ref="H1284:H1347" si="282">IF(E1284&lt;E1283,E1283-E1284,0)</f>
        <v>15.75</v>
      </c>
      <c r="I1284" s="6">
        <f t="shared" si="273"/>
        <v>20.889285714285702</v>
      </c>
      <c r="J1284" s="6">
        <f t="shared" si="274"/>
        <v>13.457142857142864</v>
      </c>
      <c r="K1284" s="4">
        <f t="shared" si="275"/>
        <v>1.5522823779193189</v>
      </c>
      <c r="L1284">
        <f t="shared" si="276"/>
        <v>60.819382343766222</v>
      </c>
      <c r="M1284" s="14" t="str">
        <f t="shared" si="269"/>
        <v/>
      </c>
      <c r="N1284" s="7">
        <f t="shared" si="270"/>
        <v>0</v>
      </c>
      <c r="O1284" s="7">
        <f t="shared" si="277"/>
        <v>0</v>
      </c>
      <c r="P1284" s="7">
        <f t="shared" si="278"/>
        <v>-1</v>
      </c>
      <c r="Q1284" s="10" t="e">
        <f t="shared" si="271"/>
        <v>#N/A</v>
      </c>
      <c r="R1284" s="10" t="e">
        <f t="shared" si="272"/>
        <v>#N/A</v>
      </c>
      <c r="S1284" s="7">
        <f t="shared" si="279"/>
        <v>2540.25</v>
      </c>
      <c r="T1284" s="7">
        <f t="shared" si="280"/>
        <v>0</v>
      </c>
    </row>
    <row r="1285" spans="1:20" x14ac:dyDescent="0.25">
      <c r="A1285" s="1">
        <v>43075</v>
      </c>
      <c r="B1285">
        <v>2659.45</v>
      </c>
      <c r="C1285">
        <v>2675.75</v>
      </c>
      <c r="D1285">
        <v>2616.3000000000002</v>
      </c>
      <c r="E1285">
        <v>2662.35</v>
      </c>
      <c r="F1285">
        <v>1438688</v>
      </c>
      <c r="G1285" s="4">
        <f t="shared" si="281"/>
        <v>5.9000000000000909</v>
      </c>
      <c r="H1285" s="4">
        <f t="shared" si="282"/>
        <v>0</v>
      </c>
      <c r="I1285" s="6">
        <f t="shared" si="273"/>
        <v>19.642857142857142</v>
      </c>
      <c r="J1285" s="6">
        <f t="shared" si="274"/>
        <v>13.457142857142864</v>
      </c>
      <c r="K1285" s="4">
        <f t="shared" si="275"/>
        <v>1.4596602972399142</v>
      </c>
      <c r="L1285">
        <f t="shared" si="276"/>
        <v>59.343979283556301</v>
      </c>
      <c r="M1285" s="14" t="str">
        <f t="shared" si="269"/>
        <v/>
      </c>
      <c r="N1285" s="7">
        <f t="shared" si="270"/>
        <v>0</v>
      </c>
      <c r="O1285" s="7">
        <f t="shared" si="277"/>
        <v>0</v>
      </c>
      <c r="P1285" s="7">
        <f t="shared" si="278"/>
        <v>-1</v>
      </c>
      <c r="Q1285" s="10" t="e">
        <f t="shared" si="271"/>
        <v>#N/A</v>
      </c>
      <c r="R1285" s="10" t="e">
        <f t="shared" si="272"/>
        <v>#N/A</v>
      </c>
      <c r="S1285" s="7">
        <f t="shared" si="279"/>
        <v>2540.25</v>
      </c>
      <c r="T1285" s="7">
        <f t="shared" si="280"/>
        <v>0</v>
      </c>
    </row>
    <row r="1286" spans="1:20" x14ac:dyDescent="0.25">
      <c r="A1286" s="1">
        <v>43076</v>
      </c>
      <c r="B1286">
        <v>2677</v>
      </c>
      <c r="C1286">
        <v>2687.1</v>
      </c>
      <c r="D1286">
        <v>2643</v>
      </c>
      <c r="E1286">
        <v>2675.25</v>
      </c>
      <c r="F1286">
        <v>589498</v>
      </c>
      <c r="G1286" s="4">
        <f t="shared" si="281"/>
        <v>12.900000000000091</v>
      </c>
      <c r="H1286" s="4">
        <f t="shared" si="282"/>
        <v>0</v>
      </c>
      <c r="I1286" s="6">
        <f t="shared" si="273"/>
        <v>20.56428571428572</v>
      </c>
      <c r="J1286" s="6">
        <f t="shared" si="274"/>
        <v>8.9678571428571558</v>
      </c>
      <c r="K1286" s="4">
        <f t="shared" si="275"/>
        <v>2.2931103146156882</v>
      </c>
      <c r="L1286">
        <f t="shared" si="276"/>
        <v>69.633571169427967</v>
      </c>
      <c r="M1286" s="14" t="str">
        <f t="shared" si="269"/>
        <v/>
      </c>
      <c r="N1286" s="7">
        <f t="shared" si="270"/>
        <v>0</v>
      </c>
      <c r="O1286" s="7">
        <f t="shared" si="277"/>
        <v>0</v>
      </c>
      <c r="P1286" s="7">
        <f t="shared" si="278"/>
        <v>-1</v>
      </c>
      <c r="Q1286" s="10" t="e">
        <f t="shared" si="271"/>
        <v>#N/A</v>
      </c>
      <c r="R1286" s="10" t="e">
        <f t="shared" si="272"/>
        <v>#N/A</v>
      </c>
      <c r="S1286" s="7">
        <f t="shared" si="279"/>
        <v>2540.25</v>
      </c>
      <c r="T1286" s="7">
        <f t="shared" si="280"/>
        <v>0</v>
      </c>
    </row>
    <row r="1287" spans="1:20" x14ac:dyDescent="0.25">
      <c r="A1287" s="1">
        <v>43077</v>
      </c>
      <c r="B1287">
        <v>2679.7</v>
      </c>
      <c r="C1287">
        <v>2708.95</v>
      </c>
      <c r="D1287">
        <v>2652.55</v>
      </c>
      <c r="E1287">
        <v>2669.4</v>
      </c>
      <c r="F1287">
        <v>1088019</v>
      </c>
      <c r="G1287" s="4">
        <f t="shared" si="281"/>
        <v>0</v>
      </c>
      <c r="H1287" s="4">
        <f t="shared" si="282"/>
        <v>5.8499999999999091</v>
      </c>
      <c r="I1287" s="6">
        <f t="shared" si="273"/>
        <v>20.56428571428572</v>
      </c>
      <c r="J1287" s="6">
        <f t="shared" si="274"/>
        <v>4.2607142857142923</v>
      </c>
      <c r="K1287" s="4">
        <f t="shared" si="275"/>
        <v>4.8264878457669678</v>
      </c>
      <c r="L1287">
        <f t="shared" si="276"/>
        <v>82.837001870234474</v>
      </c>
      <c r="M1287" s="14" t="str">
        <f t="shared" si="269"/>
        <v>OVERBOUGHT</v>
      </c>
      <c r="N1287" s="7" t="str">
        <f t="shared" si="270"/>
        <v>SELL</v>
      </c>
      <c r="O1287" s="7">
        <f t="shared" si="277"/>
        <v>0</v>
      </c>
      <c r="P1287" s="7">
        <f t="shared" si="278"/>
        <v>-1</v>
      </c>
      <c r="Q1287" s="10" t="e">
        <f t="shared" si="271"/>
        <v>#N/A</v>
      </c>
      <c r="R1287" s="10" t="e">
        <f t="shared" si="272"/>
        <v>#N/A</v>
      </c>
      <c r="S1287" s="7">
        <f t="shared" si="279"/>
        <v>2540.25</v>
      </c>
      <c r="T1287" s="7">
        <f t="shared" si="280"/>
        <v>0</v>
      </c>
    </row>
    <row r="1288" spans="1:20" x14ac:dyDescent="0.25">
      <c r="A1288" s="1">
        <v>43080</v>
      </c>
      <c r="B1288">
        <v>2682</v>
      </c>
      <c r="C1288">
        <v>2790</v>
      </c>
      <c r="D1288">
        <v>2676.15</v>
      </c>
      <c r="E1288">
        <v>2776</v>
      </c>
      <c r="F1288">
        <v>1712154</v>
      </c>
      <c r="G1288" s="4">
        <f t="shared" si="281"/>
        <v>106.59999999999991</v>
      </c>
      <c r="H1288" s="4">
        <f t="shared" si="282"/>
        <v>0</v>
      </c>
      <c r="I1288" s="6">
        <f t="shared" si="273"/>
        <v>26.839285714285715</v>
      </c>
      <c r="J1288" s="6">
        <f t="shared" si="274"/>
        <v>4.2607142857142923</v>
      </c>
      <c r="K1288" s="4">
        <f t="shared" si="275"/>
        <v>6.2992455993294119</v>
      </c>
      <c r="L1288">
        <f t="shared" si="276"/>
        <v>86.299954065227354</v>
      </c>
      <c r="M1288" s="14" t="str">
        <f t="shared" si="269"/>
        <v>OVERBOUGHT</v>
      </c>
      <c r="N1288" s="7" t="str">
        <f t="shared" si="270"/>
        <v>SELL</v>
      </c>
      <c r="O1288" s="7">
        <f t="shared" si="277"/>
        <v>0</v>
      </c>
      <c r="P1288" s="7">
        <f t="shared" si="278"/>
        <v>-1</v>
      </c>
      <c r="Q1288" s="10" t="e">
        <f t="shared" si="271"/>
        <v>#N/A</v>
      </c>
      <c r="R1288" s="10" t="e">
        <f t="shared" si="272"/>
        <v>#N/A</v>
      </c>
      <c r="S1288" s="7">
        <f t="shared" si="279"/>
        <v>2540.25</v>
      </c>
      <c r="T1288" s="7">
        <f t="shared" si="280"/>
        <v>0</v>
      </c>
    </row>
    <row r="1289" spans="1:20" x14ac:dyDescent="0.25">
      <c r="A1289" s="1">
        <v>43081</v>
      </c>
      <c r="B1289">
        <v>2788</v>
      </c>
      <c r="C1289">
        <v>2812.1</v>
      </c>
      <c r="D1289">
        <v>2715.65</v>
      </c>
      <c r="E1289">
        <v>2746</v>
      </c>
      <c r="F1289">
        <v>1931497</v>
      </c>
      <c r="G1289" s="4">
        <f t="shared" si="281"/>
        <v>0</v>
      </c>
      <c r="H1289" s="4">
        <f t="shared" si="282"/>
        <v>30</v>
      </c>
      <c r="I1289" s="6">
        <f t="shared" si="273"/>
        <v>26.678571428571427</v>
      </c>
      <c r="J1289" s="6">
        <f t="shared" si="274"/>
        <v>6.4035714285714347</v>
      </c>
      <c r="K1289" s="4">
        <f t="shared" si="275"/>
        <v>4.1662018962632414</v>
      </c>
      <c r="L1289">
        <f t="shared" si="276"/>
        <v>80.643420058296428</v>
      </c>
      <c r="M1289" s="14" t="str">
        <f t="shared" si="269"/>
        <v>OVERBOUGHT</v>
      </c>
      <c r="N1289" s="7" t="str">
        <f t="shared" si="270"/>
        <v>SELL</v>
      </c>
      <c r="O1289" s="7">
        <f t="shared" si="277"/>
        <v>0</v>
      </c>
      <c r="P1289" s="7">
        <f t="shared" si="278"/>
        <v>-1</v>
      </c>
      <c r="Q1289" s="10" t="e">
        <f t="shared" si="271"/>
        <v>#N/A</v>
      </c>
      <c r="R1289" s="10" t="e">
        <f t="shared" si="272"/>
        <v>#N/A</v>
      </c>
      <c r="S1289" s="7">
        <f t="shared" si="279"/>
        <v>2540.25</v>
      </c>
      <c r="T1289" s="7">
        <f t="shared" si="280"/>
        <v>0</v>
      </c>
    </row>
    <row r="1290" spans="1:20" x14ac:dyDescent="0.25">
      <c r="A1290" s="1">
        <v>43082</v>
      </c>
      <c r="B1290">
        <v>2750</v>
      </c>
      <c r="C1290">
        <v>2770.7</v>
      </c>
      <c r="D1290">
        <v>2681.05</v>
      </c>
      <c r="E1290">
        <v>2696.45</v>
      </c>
      <c r="F1290">
        <v>1086757</v>
      </c>
      <c r="G1290" s="4">
        <f t="shared" si="281"/>
        <v>0</v>
      </c>
      <c r="H1290" s="4">
        <f t="shared" si="282"/>
        <v>49.550000000000182</v>
      </c>
      <c r="I1290" s="6">
        <f t="shared" si="273"/>
        <v>21.207142857142863</v>
      </c>
      <c r="J1290" s="6">
        <f t="shared" si="274"/>
        <v>9.9428571428571626</v>
      </c>
      <c r="K1290" s="4">
        <f t="shared" si="275"/>
        <v>2.132902298850571</v>
      </c>
      <c r="L1290">
        <f t="shared" si="276"/>
        <v>68.080715432240282</v>
      </c>
      <c r="M1290" s="14" t="str">
        <f t="shared" si="269"/>
        <v/>
      </c>
      <c r="N1290" s="7">
        <f t="shared" si="270"/>
        <v>0</v>
      </c>
      <c r="O1290" s="7">
        <f t="shared" si="277"/>
        <v>0</v>
      </c>
      <c r="P1290" s="7">
        <f t="shared" si="278"/>
        <v>-1</v>
      </c>
      <c r="Q1290" s="10" t="e">
        <f t="shared" si="271"/>
        <v>#N/A</v>
      </c>
      <c r="R1290" s="10" t="e">
        <f t="shared" si="272"/>
        <v>#N/A</v>
      </c>
      <c r="S1290" s="7">
        <f t="shared" si="279"/>
        <v>2540.25</v>
      </c>
      <c r="T1290" s="7">
        <f t="shared" si="280"/>
        <v>0</v>
      </c>
    </row>
    <row r="1291" spans="1:20" x14ac:dyDescent="0.25">
      <c r="A1291" s="1">
        <v>43083</v>
      </c>
      <c r="B1291">
        <v>2640</v>
      </c>
      <c r="C1291">
        <v>2679.8</v>
      </c>
      <c r="D1291">
        <v>2610</v>
      </c>
      <c r="E1291">
        <v>2646.8</v>
      </c>
      <c r="F1291">
        <v>1441587</v>
      </c>
      <c r="G1291" s="4">
        <f t="shared" si="281"/>
        <v>0</v>
      </c>
      <c r="H1291" s="4">
        <f t="shared" si="282"/>
        <v>49.649999999999636</v>
      </c>
      <c r="I1291" s="6">
        <f t="shared" si="273"/>
        <v>17.917857142857137</v>
      </c>
      <c r="J1291" s="6">
        <f t="shared" si="274"/>
        <v>13.489285714285709</v>
      </c>
      <c r="K1291" s="4">
        <f t="shared" si="275"/>
        <v>1.3283028858882713</v>
      </c>
      <c r="L1291">
        <f t="shared" si="276"/>
        <v>57.050261541960424</v>
      </c>
      <c r="M1291" s="14" t="str">
        <f t="shared" si="269"/>
        <v/>
      </c>
      <c r="N1291" s="7">
        <f t="shared" si="270"/>
        <v>0</v>
      </c>
      <c r="O1291" s="7">
        <f t="shared" si="277"/>
        <v>0</v>
      </c>
      <c r="P1291" s="7">
        <f t="shared" si="278"/>
        <v>-1</v>
      </c>
      <c r="Q1291" s="10" t="e">
        <f t="shared" si="271"/>
        <v>#N/A</v>
      </c>
      <c r="R1291" s="10" t="e">
        <f t="shared" si="272"/>
        <v>#N/A</v>
      </c>
      <c r="S1291" s="7">
        <f t="shared" si="279"/>
        <v>2540.25</v>
      </c>
      <c r="T1291" s="7">
        <f t="shared" si="280"/>
        <v>0</v>
      </c>
    </row>
    <row r="1292" spans="1:20" x14ac:dyDescent="0.25">
      <c r="A1292" s="1">
        <v>43084</v>
      </c>
      <c r="B1292">
        <v>2648.9</v>
      </c>
      <c r="C1292">
        <v>2678.25</v>
      </c>
      <c r="D1292">
        <v>2595.25</v>
      </c>
      <c r="E1292">
        <v>2642.7</v>
      </c>
      <c r="F1292">
        <v>1518526</v>
      </c>
      <c r="G1292" s="4">
        <f t="shared" si="281"/>
        <v>0</v>
      </c>
      <c r="H1292" s="4">
        <f t="shared" si="282"/>
        <v>4.1000000000003638</v>
      </c>
      <c r="I1292" s="6">
        <f t="shared" si="273"/>
        <v>14.285714285714286</v>
      </c>
      <c r="J1292" s="6">
        <f t="shared" si="274"/>
        <v>13.782142857142876</v>
      </c>
      <c r="K1292" s="4">
        <f t="shared" si="275"/>
        <v>1.036537963202901</v>
      </c>
      <c r="L1292">
        <f t="shared" si="276"/>
        <v>50.897060694744845</v>
      </c>
      <c r="M1292" s="14" t="str">
        <f t="shared" si="269"/>
        <v/>
      </c>
      <c r="N1292" s="7">
        <f t="shared" si="270"/>
        <v>0</v>
      </c>
      <c r="O1292" s="7">
        <f t="shared" si="277"/>
        <v>0</v>
      </c>
      <c r="P1292" s="7">
        <f t="shared" si="278"/>
        <v>-1</v>
      </c>
      <c r="Q1292" s="10" t="e">
        <f t="shared" si="271"/>
        <v>#N/A</v>
      </c>
      <c r="R1292" s="10" t="e">
        <f t="shared" si="272"/>
        <v>#N/A</v>
      </c>
      <c r="S1292" s="7">
        <f t="shared" si="279"/>
        <v>2540.25</v>
      </c>
      <c r="T1292" s="7">
        <f t="shared" si="280"/>
        <v>0</v>
      </c>
    </row>
    <row r="1293" spans="1:20" x14ac:dyDescent="0.25">
      <c r="A1293" s="1">
        <v>43087</v>
      </c>
      <c r="B1293">
        <v>2642</v>
      </c>
      <c r="C1293">
        <v>2659.95</v>
      </c>
      <c r="D1293">
        <v>2597.8000000000002</v>
      </c>
      <c r="E1293">
        <v>2606.5500000000002</v>
      </c>
      <c r="F1293">
        <v>1120100</v>
      </c>
      <c r="G1293" s="4">
        <f t="shared" si="281"/>
        <v>0</v>
      </c>
      <c r="H1293" s="4">
        <f t="shared" si="282"/>
        <v>36.149999999999636</v>
      </c>
      <c r="I1293" s="6">
        <f t="shared" si="273"/>
        <v>11.042857142857136</v>
      </c>
      <c r="J1293" s="6">
        <f t="shared" si="274"/>
        <v>16.364285714285707</v>
      </c>
      <c r="K1293" s="4">
        <f t="shared" si="275"/>
        <v>0.67481449148843287</v>
      </c>
      <c r="L1293">
        <f t="shared" si="276"/>
        <v>40.291894709408389</v>
      </c>
      <c r="M1293" s="14" t="str">
        <f t="shared" si="269"/>
        <v/>
      </c>
      <c r="N1293" s="7">
        <f t="shared" si="270"/>
        <v>0</v>
      </c>
      <c r="O1293" s="7">
        <f t="shared" si="277"/>
        <v>0</v>
      </c>
      <c r="P1293" s="7">
        <f t="shared" si="278"/>
        <v>-1</v>
      </c>
      <c r="Q1293" s="10" t="e">
        <f t="shared" si="271"/>
        <v>#N/A</v>
      </c>
      <c r="R1293" s="10" t="e">
        <f t="shared" si="272"/>
        <v>#N/A</v>
      </c>
      <c r="S1293" s="7">
        <f t="shared" si="279"/>
        <v>2540.25</v>
      </c>
      <c r="T1293" s="7">
        <f t="shared" si="280"/>
        <v>0</v>
      </c>
    </row>
    <row r="1294" spans="1:20" x14ac:dyDescent="0.25">
      <c r="A1294" s="1">
        <v>43088</v>
      </c>
      <c r="B1294">
        <v>2623.9</v>
      </c>
      <c r="C1294">
        <v>2624.9</v>
      </c>
      <c r="D1294">
        <v>2590.1</v>
      </c>
      <c r="E1294">
        <v>2619.0500000000002</v>
      </c>
      <c r="F1294">
        <v>913818</v>
      </c>
      <c r="G1294" s="4">
        <f t="shared" si="281"/>
        <v>12.5</v>
      </c>
      <c r="H1294" s="4">
        <f t="shared" si="282"/>
        <v>0</v>
      </c>
      <c r="I1294" s="6">
        <f t="shared" si="273"/>
        <v>11.93571428571428</v>
      </c>
      <c r="J1294" s="6">
        <f t="shared" si="274"/>
        <v>15.971428571428564</v>
      </c>
      <c r="K1294" s="4">
        <f t="shared" si="275"/>
        <v>0.7473166368515205</v>
      </c>
      <c r="L1294">
        <f t="shared" si="276"/>
        <v>42.76938827745073</v>
      </c>
      <c r="M1294" s="14" t="str">
        <f t="shared" si="269"/>
        <v/>
      </c>
      <c r="N1294" s="7">
        <f t="shared" si="270"/>
        <v>0</v>
      </c>
      <c r="O1294" s="7">
        <f t="shared" si="277"/>
        <v>0</v>
      </c>
      <c r="P1294" s="7">
        <f t="shared" si="278"/>
        <v>-1</v>
      </c>
      <c r="Q1294" s="10" t="e">
        <f t="shared" si="271"/>
        <v>#N/A</v>
      </c>
      <c r="R1294" s="10" t="e">
        <f t="shared" si="272"/>
        <v>#N/A</v>
      </c>
      <c r="S1294" s="7">
        <f t="shared" si="279"/>
        <v>2540.25</v>
      </c>
      <c r="T1294" s="7">
        <f t="shared" si="280"/>
        <v>0</v>
      </c>
    </row>
    <row r="1295" spans="1:20" x14ac:dyDescent="0.25">
      <c r="A1295" s="1">
        <v>43089</v>
      </c>
      <c r="B1295">
        <v>2638</v>
      </c>
      <c r="C1295">
        <v>2639.95</v>
      </c>
      <c r="D1295">
        <v>2575</v>
      </c>
      <c r="E1295">
        <v>2582.35</v>
      </c>
      <c r="F1295">
        <v>793419</v>
      </c>
      <c r="G1295" s="4">
        <f t="shared" si="281"/>
        <v>0</v>
      </c>
      <c r="H1295" s="4">
        <f t="shared" si="282"/>
        <v>36.700000000000273</v>
      </c>
      <c r="I1295" s="6">
        <f t="shared" si="273"/>
        <v>10.428571428571429</v>
      </c>
      <c r="J1295" s="6">
        <f t="shared" si="274"/>
        <v>18.592857142857156</v>
      </c>
      <c r="K1295" s="4">
        <f t="shared" si="275"/>
        <v>0.56089127929312299</v>
      </c>
      <c r="L1295">
        <f t="shared" si="276"/>
        <v>35.934038887521524</v>
      </c>
      <c r="M1295" s="14" t="str">
        <f t="shared" si="269"/>
        <v/>
      </c>
      <c r="N1295" s="7">
        <f t="shared" si="270"/>
        <v>0</v>
      </c>
      <c r="O1295" s="7">
        <f t="shared" si="277"/>
        <v>0</v>
      </c>
      <c r="P1295" s="7">
        <f t="shared" si="278"/>
        <v>-1</v>
      </c>
      <c r="Q1295" s="10" t="e">
        <f t="shared" si="271"/>
        <v>#N/A</v>
      </c>
      <c r="R1295" s="10" t="e">
        <f t="shared" si="272"/>
        <v>#N/A</v>
      </c>
      <c r="S1295" s="7">
        <f t="shared" si="279"/>
        <v>2540.25</v>
      </c>
      <c r="T1295" s="7">
        <f t="shared" si="280"/>
        <v>0</v>
      </c>
    </row>
    <row r="1296" spans="1:20" x14ac:dyDescent="0.25">
      <c r="A1296" s="1">
        <v>43090</v>
      </c>
      <c r="B1296">
        <v>2585.1999999999998</v>
      </c>
      <c r="C1296">
        <v>2610</v>
      </c>
      <c r="D1296">
        <v>2552</v>
      </c>
      <c r="E1296">
        <v>2562.3000000000002</v>
      </c>
      <c r="F1296">
        <v>778148</v>
      </c>
      <c r="G1296" s="4">
        <f t="shared" si="281"/>
        <v>0</v>
      </c>
      <c r="H1296" s="4">
        <f t="shared" si="282"/>
        <v>20.049999999999727</v>
      </c>
      <c r="I1296" s="6">
        <f t="shared" si="273"/>
        <v>9.8500000000000068</v>
      </c>
      <c r="J1296" s="6">
        <f t="shared" si="274"/>
        <v>20.024999999999995</v>
      </c>
      <c r="K1296" s="4">
        <f t="shared" si="275"/>
        <v>0.49188514357053731</v>
      </c>
      <c r="L1296">
        <f t="shared" si="276"/>
        <v>32.970711297071148</v>
      </c>
      <c r="M1296" s="14" t="str">
        <f t="shared" ref="M1296:M1359" si="283">IF(L1296&gt;RSI_Overbought,"OVERBOUGHT",IF(L1296&lt;RSI_Oversold,"OVERSOLD",""))</f>
        <v/>
      </c>
      <c r="N1296" s="7">
        <f t="shared" ref="N1296:N1359" si="284">IF(L1296&gt;RSI_Overbought,"SELL",IF(L1296&lt;RSI_Oversold,"BUY",0))</f>
        <v>0</v>
      </c>
      <c r="O1296" s="7">
        <f t="shared" si="277"/>
        <v>0</v>
      </c>
      <c r="P1296" s="7">
        <f t="shared" si="278"/>
        <v>-1</v>
      </c>
      <c r="Q1296" s="10" t="e">
        <f t="shared" ref="Q1296:Q1359" si="285">IF($O1296="BUY",$E1296,NA())</f>
        <v>#N/A</v>
      </c>
      <c r="R1296" s="10" t="e">
        <f t="shared" ref="R1296:R1359" si="286">IF($O1296="SELL",$E1296,NA())</f>
        <v>#N/A</v>
      </c>
      <c r="S1296" s="7">
        <f t="shared" si="279"/>
        <v>2540.25</v>
      </c>
      <c r="T1296" s="7">
        <f t="shared" si="280"/>
        <v>0</v>
      </c>
    </row>
    <row r="1297" spans="1:20" x14ac:dyDescent="0.25">
      <c r="A1297" s="1">
        <v>43091</v>
      </c>
      <c r="B1297">
        <v>2582.5</v>
      </c>
      <c r="C1297">
        <v>2606.6999999999998</v>
      </c>
      <c r="D1297">
        <v>2557.75</v>
      </c>
      <c r="E1297">
        <v>2583.6999999999998</v>
      </c>
      <c r="F1297">
        <v>633659</v>
      </c>
      <c r="G1297" s="4">
        <f t="shared" si="281"/>
        <v>21.399999999999636</v>
      </c>
      <c r="H1297" s="4">
        <f t="shared" si="282"/>
        <v>0</v>
      </c>
      <c r="I1297" s="6">
        <f t="shared" ref="I1297:I1360" si="287">AVERAGE(G1284:G1297)</f>
        <v>11.378571428571409</v>
      </c>
      <c r="J1297" s="6">
        <f t="shared" ref="J1297:J1360" si="288">AVERAGE(H1284:H1297)</f>
        <v>17.699999999999982</v>
      </c>
      <c r="K1297" s="4">
        <f t="shared" ref="K1297:K1360" si="289">I1297/J1297</f>
        <v>0.64285714285714235</v>
      </c>
      <c r="L1297">
        <f t="shared" ref="L1297:L1360" si="290">100-(100/(K1297+1))</f>
        <v>39.130434782608674</v>
      </c>
      <c r="M1297" s="14" t="str">
        <f t="shared" si="283"/>
        <v/>
      </c>
      <c r="N1297" s="7">
        <f t="shared" si="284"/>
        <v>0</v>
      </c>
      <c r="O1297" s="7">
        <f t="shared" ref="O1297:O1360" si="291">IF(AND(N1297="BUY",P1296&lt;&gt;1),"BUY",IF(AND(N1297="SELL",P1296&lt;&gt;-1),"SELL",0))</f>
        <v>0</v>
      </c>
      <c r="P1297" s="7">
        <f t="shared" ref="P1297:P1360" si="292">IF(O1297="BUY",1,IF(O1297="SELL",-1,P1296))</f>
        <v>-1</v>
      </c>
      <c r="Q1297" s="10" t="e">
        <f t="shared" si="285"/>
        <v>#N/A</v>
      </c>
      <c r="R1297" s="10" t="e">
        <f t="shared" si="286"/>
        <v>#N/A</v>
      </c>
      <c r="S1297" s="7">
        <f t="shared" ref="S1297:S1360" si="293">IF(O1297&lt;&gt;0,E1297,S1296)</f>
        <v>2540.25</v>
      </c>
      <c r="T1297" s="7">
        <f t="shared" si="280"/>
        <v>0</v>
      </c>
    </row>
    <row r="1298" spans="1:20" x14ac:dyDescent="0.25">
      <c r="A1298" s="1">
        <v>43094</v>
      </c>
      <c r="B1298">
        <v>2590.9499999999998</v>
      </c>
      <c r="C1298">
        <v>2599.4499999999998</v>
      </c>
      <c r="D1298">
        <v>2551.6999999999998</v>
      </c>
      <c r="E1298">
        <v>2559.35</v>
      </c>
      <c r="F1298">
        <v>627585</v>
      </c>
      <c r="G1298" s="4">
        <f t="shared" si="281"/>
        <v>0</v>
      </c>
      <c r="H1298" s="4">
        <f t="shared" si="282"/>
        <v>24.349999999999909</v>
      </c>
      <c r="I1298" s="6">
        <f t="shared" si="287"/>
        <v>11.378571428571409</v>
      </c>
      <c r="J1298" s="6">
        <f t="shared" si="288"/>
        <v>18.314285714285688</v>
      </c>
      <c r="K1298" s="4">
        <f t="shared" si="289"/>
        <v>0.62129485179407151</v>
      </c>
      <c r="L1298">
        <f t="shared" si="290"/>
        <v>38.320904498436363</v>
      </c>
      <c r="M1298" s="14" t="str">
        <f t="shared" si="283"/>
        <v/>
      </c>
      <c r="N1298" s="7">
        <f t="shared" si="284"/>
        <v>0</v>
      </c>
      <c r="O1298" s="7">
        <f t="shared" si="291"/>
        <v>0</v>
      </c>
      <c r="P1298" s="7">
        <f t="shared" si="292"/>
        <v>-1</v>
      </c>
      <c r="Q1298" s="10" t="e">
        <f t="shared" si="285"/>
        <v>#N/A</v>
      </c>
      <c r="R1298" s="10" t="e">
        <f t="shared" si="286"/>
        <v>#N/A</v>
      </c>
      <c r="S1298" s="7">
        <f t="shared" si="293"/>
        <v>2540.25</v>
      </c>
      <c r="T1298" s="7">
        <f t="shared" si="280"/>
        <v>0</v>
      </c>
    </row>
    <row r="1299" spans="1:20" x14ac:dyDescent="0.25">
      <c r="A1299" s="1">
        <v>43095</v>
      </c>
      <c r="B1299">
        <v>2576</v>
      </c>
      <c r="C1299">
        <v>2605.85</v>
      </c>
      <c r="D1299">
        <v>2568.1</v>
      </c>
      <c r="E1299">
        <v>2596.25</v>
      </c>
      <c r="F1299">
        <v>1224482</v>
      </c>
      <c r="G1299" s="4">
        <f t="shared" si="281"/>
        <v>36.900000000000091</v>
      </c>
      <c r="H1299" s="4">
        <f t="shared" si="282"/>
        <v>0</v>
      </c>
      <c r="I1299" s="6">
        <f t="shared" si="287"/>
        <v>13.592857142857124</v>
      </c>
      <c r="J1299" s="6">
        <f t="shared" si="288"/>
        <v>18.314285714285688</v>
      </c>
      <c r="K1299" s="4">
        <f t="shared" si="289"/>
        <v>0.74219968798751956</v>
      </c>
      <c r="L1299">
        <f t="shared" si="290"/>
        <v>42.601298410566379</v>
      </c>
      <c r="M1299" s="14" t="str">
        <f t="shared" si="283"/>
        <v/>
      </c>
      <c r="N1299" s="7">
        <f t="shared" si="284"/>
        <v>0</v>
      </c>
      <c r="O1299" s="7">
        <f t="shared" si="291"/>
        <v>0</v>
      </c>
      <c r="P1299" s="7">
        <f t="shared" si="292"/>
        <v>-1</v>
      </c>
      <c r="Q1299" s="10" t="e">
        <f t="shared" si="285"/>
        <v>#N/A</v>
      </c>
      <c r="R1299" s="10" t="e">
        <f t="shared" si="286"/>
        <v>#N/A</v>
      </c>
      <c r="S1299" s="7">
        <f t="shared" si="293"/>
        <v>2540.25</v>
      </c>
      <c r="T1299" s="7">
        <f t="shared" si="280"/>
        <v>0</v>
      </c>
    </row>
    <row r="1300" spans="1:20" x14ac:dyDescent="0.25">
      <c r="A1300" s="1">
        <v>43096</v>
      </c>
      <c r="B1300">
        <v>2596</v>
      </c>
      <c r="C1300">
        <v>2618</v>
      </c>
      <c r="D1300">
        <v>2578.85</v>
      </c>
      <c r="E1300">
        <v>2610.9499999999998</v>
      </c>
      <c r="F1300">
        <v>981954</v>
      </c>
      <c r="G1300" s="4">
        <f t="shared" si="281"/>
        <v>14.699999999999818</v>
      </c>
      <c r="H1300" s="4">
        <f t="shared" si="282"/>
        <v>0</v>
      </c>
      <c r="I1300" s="6">
        <f t="shared" si="287"/>
        <v>13.721428571428532</v>
      </c>
      <c r="J1300" s="6">
        <f t="shared" si="288"/>
        <v>18.314285714285688</v>
      </c>
      <c r="K1300" s="4">
        <f t="shared" si="289"/>
        <v>0.74921996879875086</v>
      </c>
      <c r="L1300">
        <f t="shared" si="290"/>
        <v>42.831661092530624</v>
      </c>
      <c r="M1300" s="14" t="str">
        <f t="shared" si="283"/>
        <v/>
      </c>
      <c r="N1300" s="7">
        <f t="shared" si="284"/>
        <v>0</v>
      </c>
      <c r="O1300" s="7">
        <f t="shared" si="291"/>
        <v>0</v>
      </c>
      <c r="P1300" s="7">
        <f t="shared" si="292"/>
        <v>-1</v>
      </c>
      <c r="Q1300" s="10" t="e">
        <f t="shared" si="285"/>
        <v>#N/A</v>
      </c>
      <c r="R1300" s="10" t="e">
        <f t="shared" si="286"/>
        <v>#N/A</v>
      </c>
      <c r="S1300" s="7">
        <f t="shared" si="293"/>
        <v>2540.25</v>
      </c>
      <c r="T1300" s="7">
        <f t="shared" si="280"/>
        <v>0</v>
      </c>
    </row>
    <row r="1301" spans="1:20" x14ac:dyDescent="0.25">
      <c r="A1301" s="1">
        <v>43097</v>
      </c>
      <c r="B1301">
        <v>2616</v>
      </c>
      <c r="C1301">
        <v>2631</v>
      </c>
      <c r="D1301">
        <v>2606</v>
      </c>
      <c r="E1301">
        <v>2617.15</v>
      </c>
      <c r="F1301">
        <v>783304</v>
      </c>
      <c r="G1301" s="4">
        <f t="shared" si="281"/>
        <v>6.2000000000002728</v>
      </c>
      <c r="H1301" s="4">
        <f t="shared" si="282"/>
        <v>0</v>
      </c>
      <c r="I1301" s="6">
        <f t="shared" si="287"/>
        <v>14.164285714285695</v>
      </c>
      <c r="J1301" s="6">
        <f t="shared" si="288"/>
        <v>17.896428571428551</v>
      </c>
      <c r="K1301" s="4">
        <f t="shared" si="289"/>
        <v>0.79145879066054659</v>
      </c>
      <c r="L1301">
        <f t="shared" si="290"/>
        <v>44.179570012253528</v>
      </c>
      <c r="M1301" s="14" t="str">
        <f t="shared" si="283"/>
        <v/>
      </c>
      <c r="N1301" s="7">
        <f t="shared" si="284"/>
        <v>0</v>
      </c>
      <c r="O1301" s="7">
        <f t="shared" si="291"/>
        <v>0</v>
      </c>
      <c r="P1301" s="7">
        <f t="shared" si="292"/>
        <v>-1</v>
      </c>
      <c r="Q1301" s="10" t="e">
        <f t="shared" si="285"/>
        <v>#N/A</v>
      </c>
      <c r="R1301" s="10" t="e">
        <f t="shared" si="286"/>
        <v>#N/A</v>
      </c>
      <c r="S1301" s="7">
        <f t="shared" si="293"/>
        <v>2540.25</v>
      </c>
      <c r="T1301" s="7">
        <f t="shared" si="280"/>
        <v>0</v>
      </c>
    </row>
    <row r="1302" spans="1:20" x14ac:dyDescent="0.25">
      <c r="A1302" s="1">
        <v>43098</v>
      </c>
      <c r="B1302">
        <v>2630</v>
      </c>
      <c r="C1302">
        <v>2637</v>
      </c>
      <c r="D1302">
        <v>2582.1</v>
      </c>
      <c r="E1302">
        <v>2591.3000000000002</v>
      </c>
      <c r="F1302">
        <v>1197439</v>
      </c>
      <c r="G1302" s="4">
        <f t="shared" si="281"/>
        <v>0</v>
      </c>
      <c r="H1302" s="4">
        <f t="shared" si="282"/>
        <v>25.849999999999909</v>
      </c>
      <c r="I1302" s="6">
        <f t="shared" si="287"/>
        <v>6.5499999999999874</v>
      </c>
      <c r="J1302" s="6">
        <f t="shared" si="288"/>
        <v>19.742857142857115</v>
      </c>
      <c r="K1302" s="4">
        <f t="shared" si="289"/>
        <v>0.33176555716353096</v>
      </c>
      <c r="L1302">
        <f t="shared" si="290"/>
        <v>24.911708774789446</v>
      </c>
      <c r="M1302" s="14" t="str">
        <f t="shared" si="283"/>
        <v>OVERSOLD</v>
      </c>
      <c r="N1302" s="7" t="str">
        <f t="shared" si="284"/>
        <v>BUY</v>
      </c>
      <c r="O1302" s="7" t="str">
        <f t="shared" si="291"/>
        <v>BUY</v>
      </c>
      <c r="P1302" s="7">
        <f t="shared" si="292"/>
        <v>1</v>
      </c>
      <c r="Q1302" s="10">
        <f t="shared" si="285"/>
        <v>2591.3000000000002</v>
      </c>
      <c r="R1302" s="10" t="e">
        <f t="shared" si="286"/>
        <v>#N/A</v>
      </c>
      <c r="S1302" s="7">
        <f t="shared" si="293"/>
        <v>2591.3000000000002</v>
      </c>
      <c r="T1302" s="7">
        <f t="shared" si="280"/>
        <v>-2.0096447200078804E-2</v>
      </c>
    </row>
    <row r="1303" spans="1:20" x14ac:dyDescent="0.25">
      <c r="A1303" s="1">
        <v>43101</v>
      </c>
      <c r="B1303">
        <v>2591.4</v>
      </c>
      <c r="C1303">
        <v>2614</v>
      </c>
      <c r="D1303">
        <v>2545.1999999999998</v>
      </c>
      <c r="E1303">
        <v>2573.75</v>
      </c>
      <c r="F1303">
        <v>1112429</v>
      </c>
      <c r="G1303" s="4">
        <f t="shared" si="281"/>
        <v>0</v>
      </c>
      <c r="H1303" s="4">
        <f t="shared" si="282"/>
        <v>17.550000000000182</v>
      </c>
      <c r="I1303" s="6">
        <f t="shared" si="287"/>
        <v>6.5499999999999874</v>
      </c>
      <c r="J1303" s="6">
        <f t="shared" si="288"/>
        <v>18.853571428571417</v>
      </c>
      <c r="K1303" s="4">
        <f t="shared" si="289"/>
        <v>0.34741428300814503</v>
      </c>
      <c r="L1303">
        <f t="shared" si="290"/>
        <v>25.783776184450986</v>
      </c>
      <c r="M1303" s="14" t="str">
        <f t="shared" si="283"/>
        <v>OVERSOLD</v>
      </c>
      <c r="N1303" s="7" t="str">
        <f t="shared" si="284"/>
        <v>BUY</v>
      </c>
      <c r="O1303" s="7">
        <f t="shared" si="291"/>
        <v>0</v>
      </c>
      <c r="P1303" s="7">
        <f t="shared" si="292"/>
        <v>1</v>
      </c>
      <c r="Q1303" s="10" t="e">
        <f t="shared" si="285"/>
        <v>#N/A</v>
      </c>
      <c r="R1303" s="10" t="e">
        <f t="shared" si="286"/>
        <v>#N/A</v>
      </c>
      <c r="S1303" s="7">
        <f t="shared" si="293"/>
        <v>2591.3000000000002</v>
      </c>
      <c r="T1303" s="7">
        <f t="shared" si="280"/>
        <v>0</v>
      </c>
    </row>
    <row r="1304" spans="1:20" x14ac:dyDescent="0.25">
      <c r="A1304" s="1">
        <v>43102</v>
      </c>
      <c r="B1304">
        <v>2553.3000000000002</v>
      </c>
      <c r="C1304">
        <v>2586.6999999999998</v>
      </c>
      <c r="D1304">
        <v>2501</v>
      </c>
      <c r="E1304">
        <v>2513.1</v>
      </c>
      <c r="F1304">
        <v>1545821</v>
      </c>
      <c r="G1304" s="4">
        <f t="shared" si="281"/>
        <v>0</v>
      </c>
      <c r="H1304" s="4">
        <f t="shared" si="282"/>
        <v>60.650000000000091</v>
      </c>
      <c r="I1304" s="6">
        <f t="shared" si="287"/>
        <v>6.5499999999999874</v>
      </c>
      <c r="J1304" s="6">
        <f t="shared" si="288"/>
        <v>19.646428571428551</v>
      </c>
      <c r="K1304" s="4">
        <f t="shared" si="289"/>
        <v>0.33339392837665849</v>
      </c>
      <c r="L1304">
        <f t="shared" si="290"/>
        <v>25.00340831629174</v>
      </c>
      <c r="M1304" s="14" t="str">
        <f t="shared" si="283"/>
        <v>OVERSOLD</v>
      </c>
      <c r="N1304" s="7" t="str">
        <f t="shared" si="284"/>
        <v>BUY</v>
      </c>
      <c r="O1304" s="7">
        <f t="shared" si="291"/>
        <v>0</v>
      </c>
      <c r="P1304" s="7">
        <f t="shared" si="292"/>
        <v>1</v>
      </c>
      <c r="Q1304" s="10" t="e">
        <f t="shared" si="285"/>
        <v>#N/A</v>
      </c>
      <c r="R1304" s="10" t="e">
        <f t="shared" si="286"/>
        <v>#N/A</v>
      </c>
      <c r="S1304" s="7">
        <f t="shared" si="293"/>
        <v>2591.3000000000002</v>
      </c>
      <c r="T1304" s="7">
        <f t="shared" si="280"/>
        <v>0</v>
      </c>
    </row>
    <row r="1305" spans="1:20" x14ac:dyDescent="0.25">
      <c r="A1305" s="1">
        <v>43103</v>
      </c>
      <c r="B1305">
        <v>2531</v>
      </c>
      <c r="C1305">
        <v>2571.9</v>
      </c>
      <c r="D1305">
        <v>2504.1</v>
      </c>
      <c r="E1305">
        <v>2514.8000000000002</v>
      </c>
      <c r="F1305">
        <v>1375888</v>
      </c>
      <c r="G1305" s="4">
        <f t="shared" si="281"/>
        <v>1.7000000000002728</v>
      </c>
      <c r="H1305" s="4">
        <f t="shared" si="282"/>
        <v>0</v>
      </c>
      <c r="I1305" s="6">
        <f t="shared" si="287"/>
        <v>6.6714285714285779</v>
      </c>
      <c r="J1305" s="6">
        <f t="shared" si="288"/>
        <v>16.100000000000005</v>
      </c>
      <c r="K1305" s="4">
        <f t="shared" si="289"/>
        <v>0.41437444543034635</v>
      </c>
      <c r="L1305">
        <f t="shared" si="290"/>
        <v>29.297365119197011</v>
      </c>
      <c r="M1305" s="14" t="str">
        <f t="shared" si="283"/>
        <v>OVERSOLD</v>
      </c>
      <c r="N1305" s="7" t="str">
        <f t="shared" si="284"/>
        <v>BUY</v>
      </c>
      <c r="O1305" s="7">
        <f t="shared" si="291"/>
        <v>0</v>
      </c>
      <c r="P1305" s="7">
        <f t="shared" si="292"/>
        <v>1</v>
      </c>
      <c r="Q1305" s="10" t="e">
        <f t="shared" si="285"/>
        <v>#N/A</v>
      </c>
      <c r="R1305" s="10" t="e">
        <f t="shared" si="286"/>
        <v>#N/A</v>
      </c>
      <c r="S1305" s="7">
        <f t="shared" si="293"/>
        <v>2591.3000000000002</v>
      </c>
      <c r="T1305" s="7">
        <f t="shared" si="280"/>
        <v>0</v>
      </c>
    </row>
    <row r="1306" spans="1:20" x14ac:dyDescent="0.25">
      <c r="A1306" s="1">
        <v>43104</v>
      </c>
      <c r="B1306">
        <v>2525</v>
      </c>
      <c r="C1306">
        <v>2569.9</v>
      </c>
      <c r="D1306">
        <v>2520</v>
      </c>
      <c r="E1306">
        <v>2564.15</v>
      </c>
      <c r="F1306">
        <v>669503</v>
      </c>
      <c r="G1306" s="4">
        <f t="shared" si="281"/>
        <v>49.349999999999909</v>
      </c>
      <c r="H1306" s="4">
        <f t="shared" si="282"/>
        <v>0</v>
      </c>
      <c r="I1306" s="6">
        <f t="shared" si="287"/>
        <v>10.196428571428571</v>
      </c>
      <c r="J1306" s="6">
        <f t="shared" si="288"/>
        <v>15.807142857142837</v>
      </c>
      <c r="K1306" s="4">
        <f t="shared" si="289"/>
        <v>0.64505196565747935</v>
      </c>
      <c r="L1306">
        <f t="shared" si="290"/>
        <v>39.211646751819835</v>
      </c>
      <c r="M1306" s="14" t="str">
        <f t="shared" si="283"/>
        <v/>
      </c>
      <c r="N1306" s="7">
        <f t="shared" si="284"/>
        <v>0</v>
      </c>
      <c r="O1306" s="7">
        <f t="shared" si="291"/>
        <v>0</v>
      </c>
      <c r="P1306" s="7">
        <f t="shared" si="292"/>
        <v>1</v>
      </c>
      <c r="Q1306" s="10" t="e">
        <f t="shared" si="285"/>
        <v>#N/A</v>
      </c>
      <c r="R1306" s="10" t="e">
        <f t="shared" si="286"/>
        <v>#N/A</v>
      </c>
      <c r="S1306" s="7">
        <f t="shared" si="293"/>
        <v>2591.3000000000002</v>
      </c>
      <c r="T1306" s="7">
        <f t="shared" ref="T1306:T1369" si="294">IF(O1306="BUY",(S1305-S1306)/S1305,IF(O1306="SELL",(S1306-S1305)/S1305,0))</f>
        <v>0</v>
      </c>
    </row>
    <row r="1307" spans="1:20" x14ac:dyDescent="0.25">
      <c r="A1307" s="1">
        <v>43105</v>
      </c>
      <c r="B1307">
        <v>2569.4499999999998</v>
      </c>
      <c r="C1307">
        <v>2569.4499999999998</v>
      </c>
      <c r="D1307">
        <v>2521</v>
      </c>
      <c r="E1307">
        <v>2553.9499999999998</v>
      </c>
      <c r="F1307">
        <v>1213514</v>
      </c>
      <c r="G1307" s="4">
        <f t="shared" si="281"/>
        <v>0</v>
      </c>
      <c r="H1307" s="4">
        <f t="shared" si="282"/>
        <v>10.200000000000273</v>
      </c>
      <c r="I1307" s="6">
        <f t="shared" si="287"/>
        <v>10.196428571428571</v>
      </c>
      <c r="J1307" s="6">
        <f t="shared" si="288"/>
        <v>13.953571428571454</v>
      </c>
      <c r="K1307" s="4">
        <f t="shared" si="289"/>
        <v>0.73073969797798688</v>
      </c>
      <c r="L1307">
        <f t="shared" si="290"/>
        <v>42.221236320615155</v>
      </c>
      <c r="M1307" s="14" t="str">
        <f t="shared" si="283"/>
        <v/>
      </c>
      <c r="N1307" s="7">
        <f t="shared" si="284"/>
        <v>0</v>
      </c>
      <c r="O1307" s="7">
        <f t="shared" si="291"/>
        <v>0</v>
      </c>
      <c r="P1307" s="7">
        <f t="shared" si="292"/>
        <v>1</v>
      </c>
      <c r="Q1307" s="10" t="e">
        <f t="shared" si="285"/>
        <v>#N/A</v>
      </c>
      <c r="R1307" s="10" t="e">
        <f t="shared" si="286"/>
        <v>#N/A</v>
      </c>
      <c r="S1307" s="7">
        <f t="shared" si="293"/>
        <v>2591.3000000000002</v>
      </c>
      <c r="T1307" s="7">
        <f t="shared" si="294"/>
        <v>0</v>
      </c>
    </row>
    <row r="1308" spans="1:20" x14ac:dyDescent="0.25">
      <c r="A1308" s="1">
        <v>43108</v>
      </c>
      <c r="B1308">
        <v>2558</v>
      </c>
      <c r="C1308">
        <v>2563.6</v>
      </c>
      <c r="D1308">
        <v>2522.25</v>
      </c>
      <c r="E1308">
        <v>2542.65</v>
      </c>
      <c r="F1308">
        <v>1037879</v>
      </c>
      <c r="G1308" s="4">
        <f t="shared" si="281"/>
        <v>0</v>
      </c>
      <c r="H1308" s="4">
        <f t="shared" si="282"/>
        <v>11.299999999999727</v>
      </c>
      <c r="I1308" s="6">
        <f t="shared" si="287"/>
        <v>9.3035714285714288</v>
      </c>
      <c r="J1308" s="6">
        <f t="shared" si="288"/>
        <v>14.760714285714291</v>
      </c>
      <c r="K1308" s="4">
        <f t="shared" si="289"/>
        <v>0.63029276554560831</v>
      </c>
      <c r="L1308">
        <f t="shared" si="290"/>
        <v>38.661323834965856</v>
      </c>
      <c r="M1308" s="14" t="str">
        <f t="shared" si="283"/>
        <v/>
      </c>
      <c r="N1308" s="7">
        <f t="shared" si="284"/>
        <v>0</v>
      </c>
      <c r="O1308" s="7">
        <f t="shared" si="291"/>
        <v>0</v>
      </c>
      <c r="P1308" s="7">
        <f t="shared" si="292"/>
        <v>1</v>
      </c>
      <c r="Q1308" s="10" t="e">
        <f t="shared" si="285"/>
        <v>#N/A</v>
      </c>
      <c r="R1308" s="10" t="e">
        <f t="shared" si="286"/>
        <v>#N/A</v>
      </c>
      <c r="S1308" s="7">
        <f t="shared" si="293"/>
        <v>2591.3000000000002</v>
      </c>
      <c r="T1308" s="7">
        <f t="shared" si="294"/>
        <v>0</v>
      </c>
    </row>
    <row r="1309" spans="1:20" x14ac:dyDescent="0.25">
      <c r="A1309" s="1">
        <v>43109</v>
      </c>
      <c r="B1309">
        <v>2558</v>
      </c>
      <c r="C1309">
        <v>2562.9</v>
      </c>
      <c r="D1309">
        <v>2500.1</v>
      </c>
      <c r="E1309">
        <v>2547.3000000000002</v>
      </c>
      <c r="F1309">
        <v>784271</v>
      </c>
      <c r="G1309" s="4">
        <f t="shared" si="281"/>
        <v>4.6500000000000909</v>
      </c>
      <c r="H1309" s="4">
        <f t="shared" si="282"/>
        <v>0</v>
      </c>
      <c r="I1309" s="6">
        <f t="shared" si="287"/>
        <v>9.6357142857142914</v>
      </c>
      <c r="J1309" s="6">
        <f t="shared" si="288"/>
        <v>12.139285714285702</v>
      </c>
      <c r="K1309" s="4">
        <f t="shared" si="289"/>
        <v>0.79376287143277569</v>
      </c>
      <c r="L1309">
        <f t="shared" si="290"/>
        <v>44.251271116942803</v>
      </c>
      <c r="M1309" s="14" t="str">
        <f t="shared" si="283"/>
        <v/>
      </c>
      <c r="N1309" s="7">
        <f t="shared" si="284"/>
        <v>0</v>
      </c>
      <c r="O1309" s="7">
        <f t="shared" si="291"/>
        <v>0</v>
      </c>
      <c r="P1309" s="7">
        <f t="shared" si="292"/>
        <v>1</v>
      </c>
      <c r="Q1309" s="10" t="e">
        <f t="shared" si="285"/>
        <v>#N/A</v>
      </c>
      <c r="R1309" s="10" t="e">
        <f t="shared" si="286"/>
        <v>#N/A</v>
      </c>
      <c r="S1309" s="7">
        <f t="shared" si="293"/>
        <v>2591.3000000000002</v>
      </c>
      <c r="T1309" s="7">
        <f t="shared" si="294"/>
        <v>0</v>
      </c>
    </row>
    <row r="1310" spans="1:20" x14ac:dyDescent="0.25">
      <c r="A1310" s="1">
        <v>43110</v>
      </c>
      <c r="B1310">
        <v>2562.4499999999998</v>
      </c>
      <c r="C1310">
        <v>2599</v>
      </c>
      <c r="D1310">
        <v>2544</v>
      </c>
      <c r="E1310">
        <v>2585</v>
      </c>
      <c r="F1310">
        <v>943461</v>
      </c>
      <c r="G1310" s="4">
        <f t="shared" si="281"/>
        <v>37.699999999999818</v>
      </c>
      <c r="H1310" s="4">
        <f t="shared" si="282"/>
        <v>0</v>
      </c>
      <c r="I1310" s="6">
        <f t="shared" si="287"/>
        <v>12.328571428571422</v>
      </c>
      <c r="J1310" s="6">
        <f t="shared" si="288"/>
        <v>10.707142857142864</v>
      </c>
      <c r="K1310" s="4">
        <f t="shared" si="289"/>
        <v>1.1514342895263494</v>
      </c>
      <c r="L1310">
        <f t="shared" si="290"/>
        <v>53.519379844961215</v>
      </c>
      <c r="M1310" s="14" t="str">
        <f t="shared" si="283"/>
        <v/>
      </c>
      <c r="N1310" s="7">
        <f t="shared" si="284"/>
        <v>0</v>
      </c>
      <c r="O1310" s="7">
        <f t="shared" si="291"/>
        <v>0</v>
      </c>
      <c r="P1310" s="7">
        <f t="shared" si="292"/>
        <v>1</v>
      </c>
      <c r="Q1310" s="10" t="e">
        <f t="shared" si="285"/>
        <v>#N/A</v>
      </c>
      <c r="R1310" s="10" t="e">
        <f t="shared" si="286"/>
        <v>#N/A</v>
      </c>
      <c r="S1310" s="7">
        <f t="shared" si="293"/>
        <v>2591.3000000000002</v>
      </c>
      <c r="T1310" s="7">
        <f t="shared" si="294"/>
        <v>0</v>
      </c>
    </row>
    <row r="1311" spans="1:20" x14ac:dyDescent="0.25">
      <c r="A1311" s="1">
        <v>43111</v>
      </c>
      <c r="B1311">
        <v>2594</v>
      </c>
      <c r="C1311">
        <v>2656.5</v>
      </c>
      <c r="D1311">
        <v>2590.85</v>
      </c>
      <c r="E1311">
        <v>2641.4</v>
      </c>
      <c r="F1311">
        <v>826067</v>
      </c>
      <c r="G1311" s="4">
        <f t="shared" si="281"/>
        <v>56.400000000000091</v>
      </c>
      <c r="H1311" s="4">
        <f t="shared" si="282"/>
        <v>0</v>
      </c>
      <c r="I1311" s="6">
        <f t="shared" si="287"/>
        <v>14.828571428571454</v>
      </c>
      <c r="J1311" s="6">
        <f t="shared" si="288"/>
        <v>10.707142857142864</v>
      </c>
      <c r="K1311" s="4">
        <f t="shared" si="289"/>
        <v>1.3849232821881268</v>
      </c>
      <c r="L1311">
        <f t="shared" si="290"/>
        <v>58.069930069930095</v>
      </c>
      <c r="M1311" s="14" t="str">
        <f t="shared" si="283"/>
        <v/>
      </c>
      <c r="N1311" s="7">
        <f t="shared" si="284"/>
        <v>0</v>
      </c>
      <c r="O1311" s="7">
        <f t="shared" si="291"/>
        <v>0</v>
      </c>
      <c r="P1311" s="7">
        <f t="shared" si="292"/>
        <v>1</v>
      </c>
      <c r="Q1311" s="10" t="e">
        <f t="shared" si="285"/>
        <v>#N/A</v>
      </c>
      <c r="R1311" s="10" t="e">
        <f t="shared" si="286"/>
        <v>#N/A</v>
      </c>
      <c r="S1311" s="7">
        <f t="shared" si="293"/>
        <v>2591.3000000000002</v>
      </c>
      <c r="T1311" s="7">
        <f t="shared" si="294"/>
        <v>0</v>
      </c>
    </row>
    <row r="1312" spans="1:20" x14ac:dyDescent="0.25">
      <c r="A1312" s="1">
        <v>43112</v>
      </c>
      <c r="B1312">
        <v>2659</v>
      </c>
      <c r="C1312">
        <v>2687.45</v>
      </c>
      <c r="D1312">
        <v>2635.15</v>
      </c>
      <c r="E1312">
        <v>2664.55</v>
      </c>
      <c r="F1312">
        <v>1272225</v>
      </c>
      <c r="G1312" s="4">
        <f t="shared" si="281"/>
        <v>23.150000000000091</v>
      </c>
      <c r="H1312" s="4">
        <f t="shared" si="282"/>
        <v>0</v>
      </c>
      <c r="I1312" s="6">
        <f t="shared" si="287"/>
        <v>16.48214285714289</v>
      </c>
      <c r="J1312" s="6">
        <f t="shared" si="288"/>
        <v>8.9678571428571558</v>
      </c>
      <c r="K1312" s="4">
        <f t="shared" si="289"/>
        <v>1.8379131819992045</v>
      </c>
      <c r="L1312">
        <f t="shared" si="290"/>
        <v>64.762840303115368</v>
      </c>
      <c r="M1312" s="14" t="str">
        <f t="shared" si="283"/>
        <v/>
      </c>
      <c r="N1312" s="7">
        <f t="shared" si="284"/>
        <v>0</v>
      </c>
      <c r="O1312" s="7">
        <f t="shared" si="291"/>
        <v>0</v>
      </c>
      <c r="P1312" s="7">
        <f t="shared" si="292"/>
        <v>1</v>
      </c>
      <c r="Q1312" s="10" t="e">
        <f t="shared" si="285"/>
        <v>#N/A</v>
      </c>
      <c r="R1312" s="10" t="e">
        <f t="shared" si="286"/>
        <v>#N/A</v>
      </c>
      <c r="S1312" s="7">
        <f t="shared" si="293"/>
        <v>2591.3000000000002</v>
      </c>
      <c r="T1312" s="7">
        <f t="shared" si="294"/>
        <v>0</v>
      </c>
    </row>
    <row r="1313" spans="1:20" x14ac:dyDescent="0.25">
      <c r="A1313" s="1">
        <v>43115</v>
      </c>
      <c r="B1313">
        <v>2648.5</v>
      </c>
      <c r="C1313">
        <v>2670.8</v>
      </c>
      <c r="D1313">
        <v>2628</v>
      </c>
      <c r="E1313">
        <v>2653.75</v>
      </c>
      <c r="F1313">
        <v>907772</v>
      </c>
      <c r="G1313" s="4">
        <f t="shared" si="281"/>
        <v>0</v>
      </c>
      <c r="H1313" s="4">
        <f t="shared" si="282"/>
        <v>10.800000000000182</v>
      </c>
      <c r="I1313" s="6">
        <f t="shared" si="287"/>
        <v>13.846428571428598</v>
      </c>
      <c r="J1313" s="6">
        <f t="shared" si="288"/>
        <v>9.7392857142857405</v>
      </c>
      <c r="K1313" s="4">
        <f t="shared" si="289"/>
        <v>1.4217088375504205</v>
      </c>
      <c r="L1313">
        <f t="shared" si="290"/>
        <v>58.706844336765577</v>
      </c>
      <c r="M1313" s="14" t="str">
        <f t="shared" si="283"/>
        <v/>
      </c>
      <c r="N1313" s="7">
        <f t="shared" si="284"/>
        <v>0</v>
      </c>
      <c r="O1313" s="7">
        <f t="shared" si="291"/>
        <v>0</v>
      </c>
      <c r="P1313" s="7">
        <f t="shared" si="292"/>
        <v>1</v>
      </c>
      <c r="Q1313" s="10" t="e">
        <f t="shared" si="285"/>
        <v>#N/A</v>
      </c>
      <c r="R1313" s="10" t="e">
        <f t="shared" si="286"/>
        <v>#N/A</v>
      </c>
      <c r="S1313" s="7">
        <f t="shared" si="293"/>
        <v>2591.3000000000002</v>
      </c>
      <c r="T1313" s="7">
        <f t="shared" si="294"/>
        <v>0</v>
      </c>
    </row>
    <row r="1314" spans="1:20" x14ac:dyDescent="0.25">
      <c r="A1314" s="1">
        <v>43116</v>
      </c>
      <c r="B1314">
        <v>2664</v>
      </c>
      <c r="C1314">
        <v>2665</v>
      </c>
      <c r="D1314">
        <v>2628</v>
      </c>
      <c r="E1314">
        <v>2655.5</v>
      </c>
      <c r="F1314">
        <v>654321</v>
      </c>
      <c r="G1314" s="4">
        <f t="shared" si="281"/>
        <v>1.75</v>
      </c>
      <c r="H1314" s="4">
        <f t="shared" si="282"/>
        <v>0</v>
      </c>
      <c r="I1314" s="6">
        <f t="shared" si="287"/>
        <v>12.92142857142861</v>
      </c>
      <c r="J1314" s="6">
        <f t="shared" si="288"/>
        <v>9.7392857142857405</v>
      </c>
      <c r="K1314" s="4">
        <f t="shared" si="289"/>
        <v>1.326732673267327</v>
      </c>
      <c r="L1314">
        <f t="shared" si="290"/>
        <v>57.021276595744688</v>
      </c>
      <c r="M1314" s="14" t="str">
        <f t="shared" si="283"/>
        <v/>
      </c>
      <c r="N1314" s="7">
        <f t="shared" si="284"/>
        <v>0</v>
      </c>
      <c r="O1314" s="7">
        <f t="shared" si="291"/>
        <v>0</v>
      </c>
      <c r="P1314" s="7">
        <f t="shared" si="292"/>
        <v>1</v>
      </c>
      <c r="Q1314" s="10" t="e">
        <f t="shared" si="285"/>
        <v>#N/A</v>
      </c>
      <c r="R1314" s="10" t="e">
        <f t="shared" si="286"/>
        <v>#N/A</v>
      </c>
      <c r="S1314" s="7">
        <f t="shared" si="293"/>
        <v>2591.3000000000002</v>
      </c>
      <c r="T1314" s="7">
        <f t="shared" si="294"/>
        <v>0</v>
      </c>
    </row>
    <row r="1315" spans="1:20" x14ac:dyDescent="0.25">
      <c r="A1315" s="1">
        <v>43117</v>
      </c>
      <c r="B1315">
        <v>2654.7</v>
      </c>
      <c r="C1315">
        <v>2713.9</v>
      </c>
      <c r="D1315">
        <v>2609.4</v>
      </c>
      <c r="E1315">
        <v>2627.75</v>
      </c>
      <c r="F1315">
        <v>1456967</v>
      </c>
      <c r="G1315" s="4">
        <f t="shared" si="281"/>
        <v>0</v>
      </c>
      <c r="H1315" s="4">
        <f t="shared" si="282"/>
        <v>27.75</v>
      </c>
      <c r="I1315" s="6">
        <f t="shared" si="287"/>
        <v>12.478571428571447</v>
      </c>
      <c r="J1315" s="6">
        <f t="shared" si="288"/>
        <v>11.721428571428598</v>
      </c>
      <c r="K1315" s="4">
        <f t="shared" si="289"/>
        <v>1.0645947592931131</v>
      </c>
      <c r="L1315">
        <f t="shared" si="290"/>
        <v>51.564344746162909</v>
      </c>
      <c r="M1315" s="14" t="str">
        <f t="shared" si="283"/>
        <v/>
      </c>
      <c r="N1315" s="7">
        <f t="shared" si="284"/>
        <v>0</v>
      </c>
      <c r="O1315" s="7">
        <f t="shared" si="291"/>
        <v>0</v>
      </c>
      <c r="P1315" s="7">
        <f t="shared" si="292"/>
        <v>1</v>
      </c>
      <c r="Q1315" s="10" t="e">
        <f t="shared" si="285"/>
        <v>#N/A</v>
      </c>
      <c r="R1315" s="10" t="e">
        <f t="shared" si="286"/>
        <v>#N/A</v>
      </c>
      <c r="S1315" s="7">
        <f t="shared" si="293"/>
        <v>2591.3000000000002</v>
      </c>
      <c r="T1315" s="7">
        <f t="shared" si="294"/>
        <v>0</v>
      </c>
    </row>
    <row r="1316" spans="1:20" x14ac:dyDescent="0.25">
      <c r="A1316" s="1">
        <v>43118</v>
      </c>
      <c r="B1316">
        <v>2626.95</v>
      </c>
      <c r="C1316">
        <v>2627</v>
      </c>
      <c r="D1316">
        <v>2571.35</v>
      </c>
      <c r="E1316">
        <v>2582.8000000000002</v>
      </c>
      <c r="F1316">
        <v>1608785</v>
      </c>
      <c r="G1316" s="4">
        <f t="shared" si="281"/>
        <v>0</v>
      </c>
      <c r="H1316" s="4">
        <f t="shared" si="282"/>
        <v>44.949999999999818</v>
      </c>
      <c r="I1316" s="6">
        <f t="shared" si="287"/>
        <v>12.478571428571447</v>
      </c>
      <c r="J1316" s="6">
        <f t="shared" si="288"/>
        <v>13.085714285714305</v>
      </c>
      <c r="K1316" s="4">
        <f t="shared" si="289"/>
        <v>0.95360262008733632</v>
      </c>
      <c r="L1316">
        <f t="shared" si="290"/>
        <v>48.812517462978484</v>
      </c>
      <c r="M1316" s="14" t="str">
        <f t="shared" si="283"/>
        <v/>
      </c>
      <c r="N1316" s="7">
        <f t="shared" si="284"/>
        <v>0</v>
      </c>
      <c r="O1316" s="7">
        <f t="shared" si="291"/>
        <v>0</v>
      </c>
      <c r="P1316" s="7">
        <f t="shared" si="292"/>
        <v>1</v>
      </c>
      <c r="Q1316" s="10" t="e">
        <f t="shared" si="285"/>
        <v>#N/A</v>
      </c>
      <c r="R1316" s="10" t="e">
        <f t="shared" si="286"/>
        <v>#N/A</v>
      </c>
      <c r="S1316" s="7">
        <f t="shared" si="293"/>
        <v>2591.3000000000002</v>
      </c>
      <c r="T1316" s="7">
        <f t="shared" si="294"/>
        <v>0</v>
      </c>
    </row>
    <row r="1317" spans="1:20" x14ac:dyDescent="0.25">
      <c r="A1317" s="1">
        <v>43119</v>
      </c>
      <c r="B1317">
        <v>2557.1</v>
      </c>
      <c r="C1317">
        <v>2560</v>
      </c>
      <c r="D1317">
        <v>2470</v>
      </c>
      <c r="E1317">
        <v>2474.85</v>
      </c>
      <c r="F1317">
        <v>4834371</v>
      </c>
      <c r="G1317" s="4">
        <f t="shared" si="281"/>
        <v>0</v>
      </c>
      <c r="H1317" s="4">
        <f t="shared" si="282"/>
        <v>107.95000000000027</v>
      </c>
      <c r="I1317" s="6">
        <f t="shared" si="287"/>
        <v>12.478571428571447</v>
      </c>
      <c r="J1317" s="6">
        <f t="shared" si="288"/>
        <v>19.542857142857169</v>
      </c>
      <c r="K1317" s="4">
        <f t="shared" si="289"/>
        <v>0.63852339181286555</v>
      </c>
      <c r="L1317">
        <f t="shared" si="290"/>
        <v>38.969440107071158</v>
      </c>
      <c r="M1317" s="14" t="str">
        <f t="shared" si="283"/>
        <v/>
      </c>
      <c r="N1317" s="7">
        <f t="shared" si="284"/>
        <v>0</v>
      </c>
      <c r="O1317" s="7">
        <f t="shared" si="291"/>
        <v>0</v>
      </c>
      <c r="P1317" s="7">
        <f t="shared" si="292"/>
        <v>1</v>
      </c>
      <c r="Q1317" s="10" t="e">
        <f t="shared" si="285"/>
        <v>#N/A</v>
      </c>
      <c r="R1317" s="10" t="e">
        <f t="shared" si="286"/>
        <v>#N/A</v>
      </c>
      <c r="S1317" s="7">
        <f t="shared" si="293"/>
        <v>2591.3000000000002</v>
      </c>
      <c r="T1317" s="7">
        <f t="shared" si="294"/>
        <v>0</v>
      </c>
    </row>
    <row r="1318" spans="1:20" x14ac:dyDescent="0.25">
      <c r="A1318" s="1">
        <v>43122</v>
      </c>
      <c r="B1318">
        <v>2480.0500000000002</v>
      </c>
      <c r="C1318">
        <v>2483.9</v>
      </c>
      <c r="D1318">
        <v>2424.85</v>
      </c>
      <c r="E1318">
        <v>2428.8000000000002</v>
      </c>
      <c r="F1318">
        <v>1445361</v>
      </c>
      <c r="G1318" s="4">
        <f t="shared" si="281"/>
        <v>0</v>
      </c>
      <c r="H1318" s="4">
        <f t="shared" si="282"/>
        <v>46.049999999999727</v>
      </c>
      <c r="I1318" s="6">
        <f t="shared" si="287"/>
        <v>12.478571428571447</v>
      </c>
      <c r="J1318" s="6">
        <f t="shared" si="288"/>
        <v>18.5</v>
      </c>
      <c r="K1318" s="4">
        <f t="shared" si="289"/>
        <v>0.67451737451737548</v>
      </c>
      <c r="L1318">
        <f t="shared" si="290"/>
        <v>40.281300438090888</v>
      </c>
      <c r="M1318" s="14" t="str">
        <f t="shared" si="283"/>
        <v/>
      </c>
      <c r="N1318" s="7">
        <f t="shared" si="284"/>
        <v>0</v>
      </c>
      <c r="O1318" s="7">
        <f t="shared" si="291"/>
        <v>0</v>
      </c>
      <c r="P1318" s="7">
        <f t="shared" si="292"/>
        <v>1</v>
      </c>
      <c r="Q1318" s="10" t="e">
        <f t="shared" si="285"/>
        <v>#N/A</v>
      </c>
      <c r="R1318" s="10" t="e">
        <f t="shared" si="286"/>
        <v>#N/A</v>
      </c>
      <c r="S1318" s="7">
        <f t="shared" si="293"/>
        <v>2591.3000000000002</v>
      </c>
      <c r="T1318" s="7">
        <f t="shared" si="294"/>
        <v>0</v>
      </c>
    </row>
    <row r="1319" spans="1:20" x14ac:dyDescent="0.25">
      <c r="A1319" s="1">
        <v>43123</v>
      </c>
      <c r="B1319">
        <v>2428.8000000000002</v>
      </c>
      <c r="C1319">
        <v>2452</v>
      </c>
      <c r="D1319">
        <v>2401</v>
      </c>
      <c r="E1319">
        <v>2427.0500000000002</v>
      </c>
      <c r="F1319">
        <v>1273016</v>
      </c>
      <c r="G1319" s="4">
        <f t="shared" si="281"/>
        <v>0</v>
      </c>
      <c r="H1319" s="4">
        <f t="shared" si="282"/>
        <v>1.75</v>
      </c>
      <c r="I1319" s="6">
        <f t="shared" si="287"/>
        <v>12.357142857142858</v>
      </c>
      <c r="J1319" s="6">
        <f t="shared" si="288"/>
        <v>18.625</v>
      </c>
      <c r="K1319" s="4">
        <f t="shared" si="289"/>
        <v>0.663470757430489</v>
      </c>
      <c r="L1319">
        <f t="shared" si="290"/>
        <v>39.884726224783861</v>
      </c>
      <c r="M1319" s="14" t="str">
        <f t="shared" si="283"/>
        <v/>
      </c>
      <c r="N1319" s="7">
        <f t="shared" si="284"/>
        <v>0</v>
      </c>
      <c r="O1319" s="7">
        <f t="shared" si="291"/>
        <v>0</v>
      </c>
      <c r="P1319" s="7">
        <f t="shared" si="292"/>
        <v>1</v>
      </c>
      <c r="Q1319" s="10" t="e">
        <f t="shared" si="285"/>
        <v>#N/A</v>
      </c>
      <c r="R1319" s="10" t="e">
        <f t="shared" si="286"/>
        <v>#N/A</v>
      </c>
      <c r="S1319" s="7">
        <f t="shared" si="293"/>
        <v>2591.3000000000002</v>
      </c>
      <c r="T1319" s="7">
        <f t="shared" si="294"/>
        <v>0</v>
      </c>
    </row>
    <row r="1320" spans="1:20" x14ac:dyDescent="0.25">
      <c r="A1320" s="1">
        <v>43124</v>
      </c>
      <c r="B1320">
        <v>2431.5</v>
      </c>
      <c r="C1320">
        <v>2473</v>
      </c>
      <c r="D1320">
        <v>2407.5500000000002</v>
      </c>
      <c r="E1320">
        <v>2445.1</v>
      </c>
      <c r="F1320">
        <v>2093406</v>
      </c>
      <c r="G1320" s="4">
        <f t="shared" si="281"/>
        <v>18.049999999999727</v>
      </c>
      <c r="H1320" s="4">
        <f t="shared" si="282"/>
        <v>0</v>
      </c>
      <c r="I1320" s="6">
        <f t="shared" si="287"/>
        <v>10.121428571428558</v>
      </c>
      <c r="J1320" s="6">
        <f t="shared" si="288"/>
        <v>18.625</v>
      </c>
      <c r="K1320" s="4">
        <f t="shared" si="289"/>
        <v>0.54343240651965408</v>
      </c>
      <c r="L1320">
        <f t="shared" si="290"/>
        <v>35.209342775500033</v>
      </c>
      <c r="M1320" s="14" t="str">
        <f t="shared" si="283"/>
        <v/>
      </c>
      <c r="N1320" s="7">
        <f t="shared" si="284"/>
        <v>0</v>
      </c>
      <c r="O1320" s="7">
        <f t="shared" si="291"/>
        <v>0</v>
      </c>
      <c r="P1320" s="7">
        <f t="shared" si="292"/>
        <v>1</v>
      </c>
      <c r="Q1320" s="10" t="e">
        <f t="shared" si="285"/>
        <v>#N/A</v>
      </c>
      <c r="R1320" s="10" t="e">
        <f t="shared" si="286"/>
        <v>#N/A</v>
      </c>
      <c r="S1320" s="7">
        <f t="shared" si="293"/>
        <v>2591.3000000000002</v>
      </c>
      <c r="T1320" s="7">
        <f t="shared" si="294"/>
        <v>0</v>
      </c>
    </row>
    <row r="1321" spans="1:20" x14ac:dyDescent="0.25">
      <c r="A1321" s="1">
        <v>43125</v>
      </c>
      <c r="B1321">
        <v>2472</v>
      </c>
      <c r="C1321">
        <v>2479.8000000000002</v>
      </c>
      <c r="D1321">
        <v>2431.6999999999998</v>
      </c>
      <c r="E1321">
        <v>2457.25</v>
      </c>
      <c r="F1321">
        <v>2171495</v>
      </c>
      <c r="G1321" s="4">
        <f t="shared" si="281"/>
        <v>12.150000000000091</v>
      </c>
      <c r="H1321" s="4">
        <f t="shared" si="282"/>
        <v>0</v>
      </c>
      <c r="I1321" s="6">
        <f t="shared" si="287"/>
        <v>10.989285714285709</v>
      </c>
      <c r="J1321" s="6">
        <f t="shared" si="288"/>
        <v>17.896428571428551</v>
      </c>
      <c r="K1321" s="4">
        <f t="shared" si="289"/>
        <v>0.6140490919976056</v>
      </c>
      <c r="L1321">
        <f t="shared" si="290"/>
        <v>38.044015825914947</v>
      </c>
      <c r="M1321" s="14" t="str">
        <f t="shared" si="283"/>
        <v/>
      </c>
      <c r="N1321" s="7">
        <f t="shared" si="284"/>
        <v>0</v>
      </c>
      <c r="O1321" s="7">
        <f t="shared" si="291"/>
        <v>0</v>
      </c>
      <c r="P1321" s="7">
        <f t="shared" si="292"/>
        <v>1</v>
      </c>
      <c r="Q1321" s="10" t="e">
        <f t="shared" si="285"/>
        <v>#N/A</v>
      </c>
      <c r="R1321" s="10" t="e">
        <f t="shared" si="286"/>
        <v>#N/A</v>
      </c>
      <c r="S1321" s="7">
        <f t="shared" si="293"/>
        <v>2591.3000000000002</v>
      </c>
      <c r="T1321" s="7">
        <f t="shared" si="294"/>
        <v>0</v>
      </c>
    </row>
    <row r="1322" spans="1:20" x14ac:dyDescent="0.25">
      <c r="A1322" s="1">
        <v>43126</v>
      </c>
      <c r="B1322">
        <v>2455.3000000000002</v>
      </c>
      <c r="C1322">
        <v>2514</v>
      </c>
      <c r="D1322">
        <v>2447.5500000000002</v>
      </c>
      <c r="E1322">
        <v>2493.0500000000002</v>
      </c>
      <c r="F1322">
        <v>1812579</v>
      </c>
      <c r="G1322" s="4">
        <f t="shared" si="281"/>
        <v>35.800000000000182</v>
      </c>
      <c r="H1322" s="4">
        <f t="shared" si="282"/>
        <v>0</v>
      </c>
      <c r="I1322" s="6">
        <f t="shared" si="287"/>
        <v>13.546428571428578</v>
      </c>
      <c r="J1322" s="6">
        <f t="shared" si="288"/>
        <v>17.089285714285715</v>
      </c>
      <c r="K1322" s="4">
        <f t="shared" si="289"/>
        <v>0.79268547544409651</v>
      </c>
      <c r="L1322">
        <f t="shared" si="290"/>
        <v>44.217766379109364</v>
      </c>
      <c r="M1322" s="14" t="str">
        <f t="shared" si="283"/>
        <v/>
      </c>
      <c r="N1322" s="7">
        <f t="shared" si="284"/>
        <v>0</v>
      </c>
      <c r="O1322" s="7">
        <f t="shared" si="291"/>
        <v>0</v>
      </c>
      <c r="P1322" s="7">
        <f t="shared" si="292"/>
        <v>1</v>
      </c>
      <c r="Q1322" s="10" t="e">
        <f t="shared" si="285"/>
        <v>#N/A</v>
      </c>
      <c r="R1322" s="10" t="e">
        <f t="shared" si="286"/>
        <v>#N/A</v>
      </c>
      <c r="S1322" s="7">
        <f t="shared" si="293"/>
        <v>2591.3000000000002</v>
      </c>
      <c r="T1322" s="7">
        <f t="shared" si="294"/>
        <v>0</v>
      </c>
    </row>
    <row r="1323" spans="1:20" x14ac:dyDescent="0.25">
      <c r="A1323" s="1">
        <v>43129</v>
      </c>
      <c r="B1323">
        <v>2499.5</v>
      </c>
      <c r="C1323">
        <v>2520</v>
      </c>
      <c r="D1323">
        <v>2486</v>
      </c>
      <c r="E1323">
        <v>2500.1999999999998</v>
      </c>
      <c r="F1323">
        <v>1366526</v>
      </c>
      <c r="G1323" s="4">
        <f t="shared" si="281"/>
        <v>7.1499999999996362</v>
      </c>
      <c r="H1323" s="4">
        <f t="shared" si="282"/>
        <v>0</v>
      </c>
      <c r="I1323" s="6">
        <f t="shared" si="287"/>
        <v>13.724999999999975</v>
      </c>
      <c r="J1323" s="6">
        <f t="shared" si="288"/>
        <v>17.089285714285715</v>
      </c>
      <c r="K1323" s="4">
        <f t="shared" si="289"/>
        <v>0.80313479623824302</v>
      </c>
      <c r="L1323">
        <f t="shared" si="290"/>
        <v>44.541029207232221</v>
      </c>
      <c r="M1323" s="14" t="str">
        <f t="shared" si="283"/>
        <v/>
      </c>
      <c r="N1323" s="7">
        <f t="shared" si="284"/>
        <v>0</v>
      </c>
      <c r="O1323" s="7">
        <f t="shared" si="291"/>
        <v>0</v>
      </c>
      <c r="P1323" s="7">
        <f t="shared" si="292"/>
        <v>1</v>
      </c>
      <c r="Q1323" s="10" t="e">
        <f t="shared" si="285"/>
        <v>#N/A</v>
      </c>
      <c r="R1323" s="10" t="e">
        <f t="shared" si="286"/>
        <v>#N/A</v>
      </c>
      <c r="S1323" s="7">
        <f t="shared" si="293"/>
        <v>2591.3000000000002</v>
      </c>
      <c r="T1323" s="7">
        <f t="shared" si="294"/>
        <v>0</v>
      </c>
    </row>
    <row r="1324" spans="1:20" x14ac:dyDescent="0.25">
      <c r="A1324" s="1">
        <v>43130</v>
      </c>
      <c r="B1324">
        <v>2510</v>
      </c>
      <c r="C1324">
        <v>2510</v>
      </c>
      <c r="D1324">
        <v>2455.1</v>
      </c>
      <c r="E1324">
        <v>2495</v>
      </c>
      <c r="F1324">
        <v>1544149</v>
      </c>
      <c r="G1324" s="4">
        <f t="shared" si="281"/>
        <v>0</v>
      </c>
      <c r="H1324" s="4">
        <f t="shared" si="282"/>
        <v>5.1999999999998181</v>
      </c>
      <c r="I1324" s="6">
        <f t="shared" si="287"/>
        <v>11.032142857142844</v>
      </c>
      <c r="J1324" s="6">
        <f t="shared" si="288"/>
        <v>17.460714285714271</v>
      </c>
      <c r="K1324" s="4">
        <f t="shared" si="289"/>
        <v>0.63182654939660443</v>
      </c>
      <c r="L1324">
        <f t="shared" si="290"/>
        <v>38.718977187264969</v>
      </c>
      <c r="M1324" s="14" t="str">
        <f t="shared" si="283"/>
        <v/>
      </c>
      <c r="N1324" s="7">
        <f t="shared" si="284"/>
        <v>0</v>
      </c>
      <c r="O1324" s="7">
        <f t="shared" si="291"/>
        <v>0</v>
      </c>
      <c r="P1324" s="7">
        <f t="shared" si="292"/>
        <v>1</v>
      </c>
      <c r="Q1324" s="10" t="e">
        <f t="shared" si="285"/>
        <v>#N/A</v>
      </c>
      <c r="R1324" s="10" t="e">
        <f t="shared" si="286"/>
        <v>#N/A</v>
      </c>
      <c r="S1324" s="7">
        <f t="shared" si="293"/>
        <v>2591.3000000000002</v>
      </c>
      <c r="T1324" s="7">
        <f t="shared" si="294"/>
        <v>0</v>
      </c>
    </row>
    <row r="1325" spans="1:20" x14ac:dyDescent="0.25">
      <c r="A1325" s="1">
        <v>43131</v>
      </c>
      <c r="B1325">
        <v>2484</v>
      </c>
      <c r="C1325">
        <v>2495</v>
      </c>
      <c r="D1325">
        <v>2451.0500000000002</v>
      </c>
      <c r="E1325">
        <v>2487.3000000000002</v>
      </c>
      <c r="F1325">
        <v>1009810</v>
      </c>
      <c r="G1325" s="4">
        <f t="shared" si="281"/>
        <v>0</v>
      </c>
      <c r="H1325" s="4">
        <f t="shared" si="282"/>
        <v>7.6999999999998181</v>
      </c>
      <c r="I1325" s="6">
        <f t="shared" si="287"/>
        <v>7.0035714285714095</v>
      </c>
      <c r="J1325" s="6">
        <f t="shared" si="288"/>
        <v>18.010714285714261</v>
      </c>
      <c r="K1325" s="4">
        <f t="shared" si="289"/>
        <v>0.38885583977790944</v>
      </c>
      <c r="L1325">
        <f t="shared" si="290"/>
        <v>27.998286693318079</v>
      </c>
      <c r="M1325" s="14" t="str">
        <f t="shared" si="283"/>
        <v>OVERSOLD</v>
      </c>
      <c r="N1325" s="7" t="str">
        <f t="shared" si="284"/>
        <v>BUY</v>
      </c>
      <c r="O1325" s="7">
        <f t="shared" si="291"/>
        <v>0</v>
      </c>
      <c r="P1325" s="7">
        <f t="shared" si="292"/>
        <v>1</v>
      </c>
      <c r="Q1325" s="10" t="e">
        <f t="shared" si="285"/>
        <v>#N/A</v>
      </c>
      <c r="R1325" s="10" t="e">
        <f t="shared" si="286"/>
        <v>#N/A</v>
      </c>
      <c r="S1325" s="7">
        <f t="shared" si="293"/>
        <v>2591.3000000000002</v>
      </c>
      <c r="T1325" s="7">
        <f t="shared" si="294"/>
        <v>0</v>
      </c>
    </row>
    <row r="1326" spans="1:20" x14ac:dyDescent="0.25">
      <c r="A1326" s="1">
        <v>43132</v>
      </c>
      <c r="B1326">
        <v>2480</v>
      </c>
      <c r="C1326">
        <v>2490</v>
      </c>
      <c r="D1326">
        <v>2427.1</v>
      </c>
      <c r="E1326">
        <v>2463.6999999999998</v>
      </c>
      <c r="F1326">
        <v>1869027</v>
      </c>
      <c r="G1326" s="4">
        <f t="shared" si="281"/>
        <v>0</v>
      </c>
      <c r="H1326" s="4">
        <f t="shared" si="282"/>
        <v>23.600000000000364</v>
      </c>
      <c r="I1326" s="6">
        <f t="shared" si="287"/>
        <v>5.3499999999999739</v>
      </c>
      <c r="J1326" s="6">
        <f t="shared" si="288"/>
        <v>19.696428571428573</v>
      </c>
      <c r="K1326" s="4">
        <f t="shared" si="289"/>
        <v>0.27162284678150361</v>
      </c>
      <c r="L1326">
        <f t="shared" si="290"/>
        <v>21.360330814202115</v>
      </c>
      <c r="M1326" s="14" t="str">
        <f t="shared" si="283"/>
        <v>OVERSOLD</v>
      </c>
      <c r="N1326" s="7" t="str">
        <f t="shared" si="284"/>
        <v>BUY</v>
      </c>
      <c r="O1326" s="7">
        <f t="shared" si="291"/>
        <v>0</v>
      </c>
      <c r="P1326" s="7">
        <f t="shared" si="292"/>
        <v>1</v>
      </c>
      <c r="Q1326" s="10" t="e">
        <f t="shared" si="285"/>
        <v>#N/A</v>
      </c>
      <c r="R1326" s="10" t="e">
        <f t="shared" si="286"/>
        <v>#N/A</v>
      </c>
      <c r="S1326" s="7">
        <f t="shared" si="293"/>
        <v>2591.3000000000002</v>
      </c>
      <c r="T1326" s="7">
        <f t="shared" si="294"/>
        <v>0</v>
      </c>
    </row>
    <row r="1327" spans="1:20" x14ac:dyDescent="0.25">
      <c r="A1327" s="1">
        <v>43133</v>
      </c>
      <c r="B1327">
        <v>2491</v>
      </c>
      <c r="C1327">
        <v>2504.8000000000002</v>
      </c>
      <c r="D1327">
        <v>2457.1999999999998</v>
      </c>
      <c r="E1327">
        <v>2481.5500000000002</v>
      </c>
      <c r="F1327">
        <v>945315</v>
      </c>
      <c r="G1327" s="4">
        <f t="shared" si="281"/>
        <v>17.850000000000364</v>
      </c>
      <c r="H1327" s="4">
        <f t="shared" si="282"/>
        <v>0</v>
      </c>
      <c r="I1327" s="6">
        <f t="shared" si="287"/>
        <v>6.625</v>
      </c>
      <c r="J1327" s="6">
        <f t="shared" si="288"/>
        <v>18.924999999999986</v>
      </c>
      <c r="K1327" s="4">
        <f t="shared" si="289"/>
        <v>0.35006605019815085</v>
      </c>
      <c r="L1327">
        <f t="shared" si="290"/>
        <v>25.929549902152658</v>
      </c>
      <c r="M1327" s="14" t="str">
        <f t="shared" si="283"/>
        <v>OVERSOLD</v>
      </c>
      <c r="N1327" s="7" t="str">
        <f t="shared" si="284"/>
        <v>BUY</v>
      </c>
      <c r="O1327" s="7">
        <f t="shared" si="291"/>
        <v>0</v>
      </c>
      <c r="P1327" s="7">
        <f t="shared" si="292"/>
        <v>1</v>
      </c>
      <c r="Q1327" s="10" t="e">
        <f t="shared" si="285"/>
        <v>#N/A</v>
      </c>
      <c r="R1327" s="10" t="e">
        <f t="shared" si="286"/>
        <v>#N/A</v>
      </c>
      <c r="S1327" s="7">
        <f t="shared" si="293"/>
        <v>2591.3000000000002</v>
      </c>
      <c r="T1327" s="7">
        <f t="shared" si="294"/>
        <v>0</v>
      </c>
    </row>
    <row r="1328" spans="1:20" x14ac:dyDescent="0.25">
      <c r="A1328" s="1">
        <v>43136</v>
      </c>
      <c r="B1328">
        <v>2501</v>
      </c>
      <c r="C1328">
        <v>2536.4499999999998</v>
      </c>
      <c r="D1328">
        <v>2500</v>
      </c>
      <c r="E1328">
        <v>2517.85</v>
      </c>
      <c r="F1328">
        <v>1627535</v>
      </c>
      <c r="G1328" s="4">
        <f t="shared" si="281"/>
        <v>36.299999999999727</v>
      </c>
      <c r="H1328" s="4">
        <f t="shared" si="282"/>
        <v>0</v>
      </c>
      <c r="I1328" s="6">
        <f t="shared" si="287"/>
        <v>9.0928571428571239</v>
      </c>
      <c r="J1328" s="6">
        <f t="shared" si="288"/>
        <v>18.924999999999986</v>
      </c>
      <c r="K1328" s="4">
        <f t="shared" si="289"/>
        <v>0.48046801283260926</v>
      </c>
      <c r="L1328">
        <f t="shared" si="290"/>
        <v>32.453792224346685</v>
      </c>
      <c r="M1328" s="14" t="str">
        <f t="shared" si="283"/>
        <v/>
      </c>
      <c r="N1328" s="7">
        <f t="shared" si="284"/>
        <v>0</v>
      </c>
      <c r="O1328" s="7">
        <f t="shared" si="291"/>
        <v>0</v>
      </c>
      <c r="P1328" s="7">
        <f t="shared" si="292"/>
        <v>1</v>
      </c>
      <c r="Q1328" s="10" t="e">
        <f t="shared" si="285"/>
        <v>#N/A</v>
      </c>
      <c r="R1328" s="10" t="e">
        <f t="shared" si="286"/>
        <v>#N/A</v>
      </c>
      <c r="S1328" s="7">
        <f t="shared" si="293"/>
        <v>2591.3000000000002</v>
      </c>
      <c r="T1328" s="7">
        <f t="shared" si="294"/>
        <v>0</v>
      </c>
    </row>
    <row r="1329" spans="1:20" x14ac:dyDescent="0.25">
      <c r="A1329" s="1">
        <v>43137</v>
      </c>
      <c r="B1329">
        <v>2515</v>
      </c>
      <c r="C1329">
        <v>2515</v>
      </c>
      <c r="D1329">
        <v>2455.8000000000002</v>
      </c>
      <c r="E1329">
        <v>2463.0500000000002</v>
      </c>
      <c r="F1329">
        <v>1697203</v>
      </c>
      <c r="G1329" s="4">
        <f t="shared" si="281"/>
        <v>0</v>
      </c>
      <c r="H1329" s="4">
        <f t="shared" si="282"/>
        <v>54.799999999999727</v>
      </c>
      <c r="I1329" s="6">
        <f t="shared" si="287"/>
        <v>9.0928571428571239</v>
      </c>
      <c r="J1329" s="6">
        <f t="shared" si="288"/>
        <v>20.857142857142826</v>
      </c>
      <c r="K1329" s="4">
        <f t="shared" si="289"/>
        <v>0.43595890410958876</v>
      </c>
      <c r="L1329">
        <f t="shared" si="290"/>
        <v>30.360124016217497</v>
      </c>
      <c r="M1329" s="14" t="str">
        <f t="shared" si="283"/>
        <v/>
      </c>
      <c r="N1329" s="7">
        <f t="shared" si="284"/>
        <v>0</v>
      </c>
      <c r="O1329" s="7">
        <f t="shared" si="291"/>
        <v>0</v>
      </c>
      <c r="P1329" s="7">
        <f t="shared" si="292"/>
        <v>1</v>
      </c>
      <c r="Q1329" s="10" t="e">
        <f t="shared" si="285"/>
        <v>#N/A</v>
      </c>
      <c r="R1329" s="10" t="e">
        <f t="shared" si="286"/>
        <v>#N/A</v>
      </c>
      <c r="S1329" s="7">
        <f t="shared" si="293"/>
        <v>2591.3000000000002</v>
      </c>
      <c r="T1329" s="7">
        <f t="shared" si="294"/>
        <v>0</v>
      </c>
    </row>
    <row r="1330" spans="1:20" x14ac:dyDescent="0.25">
      <c r="A1330" s="1">
        <v>43138</v>
      </c>
      <c r="B1330">
        <v>2464.9</v>
      </c>
      <c r="C1330">
        <v>2553.75</v>
      </c>
      <c r="D1330">
        <v>2453.6999999999998</v>
      </c>
      <c r="E1330">
        <v>2545.25</v>
      </c>
      <c r="F1330">
        <v>1602514</v>
      </c>
      <c r="G1330" s="4">
        <f t="shared" si="281"/>
        <v>82.199999999999818</v>
      </c>
      <c r="H1330" s="4">
        <f t="shared" si="282"/>
        <v>0</v>
      </c>
      <c r="I1330" s="6">
        <f t="shared" si="287"/>
        <v>14.964285714285682</v>
      </c>
      <c r="J1330" s="6">
        <f t="shared" si="288"/>
        <v>17.646428571428551</v>
      </c>
      <c r="K1330" s="4">
        <f t="shared" si="289"/>
        <v>0.84800647642177607</v>
      </c>
      <c r="L1330">
        <f t="shared" si="290"/>
        <v>45.88763552732447</v>
      </c>
      <c r="M1330" s="14" t="str">
        <f t="shared" si="283"/>
        <v/>
      </c>
      <c r="N1330" s="7">
        <f t="shared" si="284"/>
        <v>0</v>
      </c>
      <c r="O1330" s="7">
        <f t="shared" si="291"/>
        <v>0</v>
      </c>
      <c r="P1330" s="7">
        <f t="shared" si="292"/>
        <v>1</v>
      </c>
      <c r="Q1330" s="10" t="e">
        <f t="shared" si="285"/>
        <v>#N/A</v>
      </c>
      <c r="R1330" s="10" t="e">
        <f t="shared" si="286"/>
        <v>#N/A</v>
      </c>
      <c r="S1330" s="7">
        <f t="shared" si="293"/>
        <v>2591.3000000000002</v>
      </c>
      <c r="T1330" s="7">
        <f t="shared" si="294"/>
        <v>0</v>
      </c>
    </row>
    <row r="1331" spans="1:20" x14ac:dyDescent="0.25">
      <c r="A1331" s="1">
        <v>43139</v>
      </c>
      <c r="B1331">
        <v>2560</v>
      </c>
      <c r="C1331">
        <v>2588</v>
      </c>
      <c r="D1331">
        <v>2516.3000000000002</v>
      </c>
      <c r="E1331">
        <v>2527.25</v>
      </c>
      <c r="F1331">
        <v>1501832</v>
      </c>
      <c r="G1331" s="4">
        <f t="shared" si="281"/>
        <v>0</v>
      </c>
      <c r="H1331" s="4">
        <f t="shared" si="282"/>
        <v>18</v>
      </c>
      <c r="I1331" s="6">
        <f t="shared" si="287"/>
        <v>14.964285714285682</v>
      </c>
      <c r="J1331" s="6">
        <f t="shared" si="288"/>
        <v>11.221428571428532</v>
      </c>
      <c r="K1331" s="4">
        <f t="shared" si="289"/>
        <v>1.3335455124124778</v>
      </c>
      <c r="L1331">
        <f t="shared" si="290"/>
        <v>57.146753955264622</v>
      </c>
      <c r="M1331" s="14" t="str">
        <f t="shared" si="283"/>
        <v/>
      </c>
      <c r="N1331" s="7">
        <f t="shared" si="284"/>
        <v>0</v>
      </c>
      <c r="O1331" s="7">
        <f t="shared" si="291"/>
        <v>0</v>
      </c>
      <c r="P1331" s="7">
        <f t="shared" si="292"/>
        <v>1</v>
      </c>
      <c r="Q1331" s="10" t="e">
        <f t="shared" si="285"/>
        <v>#N/A</v>
      </c>
      <c r="R1331" s="10" t="e">
        <f t="shared" si="286"/>
        <v>#N/A</v>
      </c>
      <c r="S1331" s="7">
        <f t="shared" si="293"/>
        <v>2591.3000000000002</v>
      </c>
      <c r="T1331" s="7">
        <f t="shared" si="294"/>
        <v>0</v>
      </c>
    </row>
    <row r="1332" spans="1:20" x14ac:dyDescent="0.25">
      <c r="A1332" s="1">
        <v>43140</v>
      </c>
      <c r="B1332">
        <v>2535</v>
      </c>
      <c r="C1332">
        <v>2563.0500000000002</v>
      </c>
      <c r="D1332">
        <v>2525</v>
      </c>
      <c r="E1332">
        <v>2556</v>
      </c>
      <c r="F1332">
        <v>1286541</v>
      </c>
      <c r="G1332" s="4">
        <f t="shared" si="281"/>
        <v>28.75</v>
      </c>
      <c r="H1332" s="4">
        <f t="shared" si="282"/>
        <v>0</v>
      </c>
      <c r="I1332" s="6">
        <f t="shared" si="287"/>
        <v>17.01785714285711</v>
      </c>
      <c r="J1332" s="6">
        <f t="shared" si="288"/>
        <v>7.9321428571428374</v>
      </c>
      <c r="K1332" s="4">
        <f t="shared" si="289"/>
        <v>2.1454299864925721</v>
      </c>
      <c r="L1332">
        <f t="shared" si="290"/>
        <v>68.207844259948473</v>
      </c>
      <c r="M1332" s="14" t="str">
        <f t="shared" si="283"/>
        <v/>
      </c>
      <c r="N1332" s="7">
        <f t="shared" si="284"/>
        <v>0</v>
      </c>
      <c r="O1332" s="7">
        <f t="shared" si="291"/>
        <v>0</v>
      </c>
      <c r="P1332" s="7">
        <f t="shared" si="292"/>
        <v>1</v>
      </c>
      <c r="Q1332" s="10" t="e">
        <f t="shared" si="285"/>
        <v>#N/A</v>
      </c>
      <c r="R1332" s="10" t="e">
        <f t="shared" si="286"/>
        <v>#N/A</v>
      </c>
      <c r="S1332" s="7">
        <f t="shared" si="293"/>
        <v>2591.3000000000002</v>
      </c>
      <c r="T1332" s="7">
        <f t="shared" si="294"/>
        <v>0</v>
      </c>
    </row>
    <row r="1333" spans="1:20" x14ac:dyDescent="0.25">
      <c r="A1333" s="1">
        <v>43143</v>
      </c>
      <c r="B1333">
        <v>2560</v>
      </c>
      <c r="C1333">
        <v>2565</v>
      </c>
      <c r="D1333">
        <v>2513</v>
      </c>
      <c r="E1333">
        <v>2522.9</v>
      </c>
      <c r="F1333">
        <v>1233693</v>
      </c>
      <c r="G1333" s="4">
        <f t="shared" si="281"/>
        <v>0</v>
      </c>
      <c r="H1333" s="4">
        <f t="shared" si="282"/>
        <v>33.099999999999909</v>
      </c>
      <c r="I1333" s="6">
        <f t="shared" si="287"/>
        <v>17.01785714285711</v>
      </c>
      <c r="J1333" s="6">
        <f t="shared" si="288"/>
        <v>10.171428571428546</v>
      </c>
      <c r="K1333" s="4">
        <f t="shared" si="289"/>
        <v>1.6731039325842707</v>
      </c>
      <c r="L1333">
        <f t="shared" si="290"/>
        <v>62.590306055431512</v>
      </c>
      <c r="M1333" s="14" t="str">
        <f t="shared" si="283"/>
        <v/>
      </c>
      <c r="N1333" s="7">
        <f t="shared" si="284"/>
        <v>0</v>
      </c>
      <c r="O1333" s="7">
        <f t="shared" si="291"/>
        <v>0</v>
      </c>
      <c r="P1333" s="7">
        <f t="shared" si="292"/>
        <v>1</v>
      </c>
      <c r="Q1333" s="10" t="e">
        <f t="shared" si="285"/>
        <v>#N/A</v>
      </c>
      <c r="R1333" s="10" t="e">
        <f t="shared" si="286"/>
        <v>#N/A</v>
      </c>
      <c r="S1333" s="7">
        <f t="shared" si="293"/>
        <v>2591.3000000000002</v>
      </c>
      <c r="T1333" s="7">
        <f t="shared" si="294"/>
        <v>0</v>
      </c>
    </row>
    <row r="1334" spans="1:20" x14ac:dyDescent="0.25">
      <c r="A1334" s="1">
        <v>43144</v>
      </c>
      <c r="B1334">
        <v>2547</v>
      </c>
      <c r="C1334">
        <v>2547</v>
      </c>
      <c r="D1334">
        <v>2480.4499999999998</v>
      </c>
      <c r="E1334">
        <v>2515.4</v>
      </c>
      <c r="F1334">
        <v>931887</v>
      </c>
      <c r="G1334" s="4">
        <f t="shared" si="281"/>
        <v>0</v>
      </c>
      <c r="H1334" s="4">
        <f t="shared" si="282"/>
        <v>7.5</v>
      </c>
      <c r="I1334" s="6">
        <f t="shared" si="287"/>
        <v>15.728571428571415</v>
      </c>
      <c r="J1334" s="6">
        <f t="shared" si="288"/>
        <v>10.707142857142831</v>
      </c>
      <c r="K1334" s="4">
        <f t="shared" si="289"/>
        <v>1.4689793195463667</v>
      </c>
      <c r="L1334">
        <f t="shared" si="290"/>
        <v>59.497433126182152</v>
      </c>
      <c r="M1334" s="14" t="str">
        <f t="shared" si="283"/>
        <v/>
      </c>
      <c r="N1334" s="7">
        <f t="shared" si="284"/>
        <v>0</v>
      </c>
      <c r="O1334" s="7">
        <f t="shared" si="291"/>
        <v>0</v>
      </c>
      <c r="P1334" s="7">
        <f t="shared" si="292"/>
        <v>1</v>
      </c>
      <c r="Q1334" s="10" t="e">
        <f t="shared" si="285"/>
        <v>#N/A</v>
      </c>
      <c r="R1334" s="10" t="e">
        <f t="shared" si="286"/>
        <v>#N/A</v>
      </c>
      <c r="S1334" s="7">
        <f t="shared" si="293"/>
        <v>2591.3000000000002</v>
      </c>
      <c r="T1334" s="7">
        <f t="shared" si="294"/>
        <v>0</v>
      </c>
    </row>
    <row r="1335" spans="1:20" x14ac:dyDescent="0.25">
      <c r="A1335" s="1">
        <v>43145</v>
      </c>
      <c r="B1335">
        <v>2520</v>
      </c>
      <c r="C1335">
        <v>2520</v>
      </c>
      <c r="D1335">
        <v>2485</v>
      </c>
      <c r="E1335">
        <v>2499.25</v>
      </c>
      <c r="F1335">
        <v>654525</v>
      </c>
      <c r="G1335" s="4">
        <f t="shared" si="281"/>
        <v>0</v>
      </c>
      <c r="H1335" s="4">
        <f t="shared" si="282"/>
        <v>16.150000000000091</v>
      </c>
      <c r="I1335" s="6">
        <f t="shared" si="287"/>
        <v>14.860714285714266</v>
      </c>
      <c r="J1335" s="6">
        <f t="shared" si="288"/>
        <v>11.860714285714266</v>
      </c>
      <c r="K1335" s="4">
        <f t="shared" si="289"/>
        <v>1.2529358626919607</v>
      </c>
      <c r="L1335">
        <f t="shared" si="290"/>
        <v>55.613472333600647</v>
      </c>
      <c r="M1335" s="14" t="str">
        <f t="shared" si="283"/>
        <v/>
      </c>
      <c r="N1335" s="7">
        <f t="shared" si="284"/>
        <v>0</v>
      </c>
      <c r="O1335" s="7">
        <f t="shared" si="291"/>
        <v>0</v>
      </c>
      <c r="P1335" s="7">
        <f t="shared" si="292"/>
        <v>1</v>
      </c>
      <c r="Q1335" s="10" t="e">
        <f t="shared" si="285"/>
        <v>#N/A</v>
      </c>
      <c r="R1335" s="10" t="e">
        <f t="shared" si="286"/>
        <v>#N/A</v>
      </c>
      <c r="S1335" s="7">
        <f t="shared" si="293"/>
        <v>2591.3000000000002</v>
      </c>
      <c r="T1335" s="7">
        <f t="shared" si="294"/>
        <v>0</v>
      </c>
    </row>
    <row r="1336" spans="1:20" x14ac:dyDescent="0.25">
      <c r="A1336" s="1">
        <v>43146</v>
      </c>
      <c r="B1336">
        <v>2515</v>
      </c>
      <c r="C1336">
        <v>2532.4</v>
      </c>
      <c r="D1336">
        <v>2501</v>
      </c>
      <c r="E1336">
        <v>2511.15</v>
      </c>
      <c r="F1336">
        <v>730727</v>
      </c>
      <c r="G1336" s="4">
        <f t="shared" si="281"/>
        <v>11.900000000000091</v>
      </c>
      <c r="H1336" s="4">
        <f t="shared" si="282"/>
        <v>0</v>
      </c>
      <c r="I1336" s="6">
        <f t="shared" si="287"/>
        <v>13.153571428571402</v>
      </c>
      <c r="J1336" s="6">
        <f t="shared" si="288"/>
        <v>11.860714285714266</v>
      </c>
      <c r="K1336" s="4">
        <f t="shared" si="289"/>
        <v>1.1090033122553444</v>
      </c>
      <c r="L1336">
        <f t="shared" si="290"/>
        <v>52.584237578526555</v>
      </c>
      <c r="M1336" s="14" t="str">
        <f t="shared" si="283"/>
        <v/>
      </c>
      <c r="N1336" s="7">
        <f t="shared" si="284"/>
        <v>0</v>
      </c>
      <c r="O1336" s="7">
        <f t="shared" si="291"/>
        <v>0</v>
      </c>
      <c r="P1336" s="7">
        <f t="shared" si="292"/>
        <v>1</v>
      </c>
      <c r="Q1336" s="10" t="e">
        <f t="shared" si="285"/>
        <v>#N/A</v>
      </c>
      <c r="R1336" s="10" t="e">
        <f t="shared" si="286"/>
        <v>#N/A</v>
      </c>
      <c r="S1336" s="7">
        <f t="shared" si="293"/>
        <v>2591.3000000000002</v>
      </c>
      <c r="T1336" s="7">
        <f t="shared" si="294"/>
        <v>0</v>
      </c>
    </row>
    <row r="1337" spans="1:20" x14ac:dyDescent="0.25">
      <c r="A1337" s="1">
        <v>43147</v>
      </c>
      <c r="B1337">
        <v>2514.1</v>
      </c>
      <c r="C1337">
        <v>2525.25</v>
      </c>
      <c r="D1337">
        <v>2497.1</v>
      </c>
      <c r="E1337">
        <v>2520.4</v>
      </c>
      <c r="F1337">
        <v>2253876</v>
      </c>
      <c r="G1337" s="4">
        <f t="shared" si="281"/>
        <v>9.25</v>
      </c>
      <c r="H1337" s="4">
        <f t="shared" si="282"/>
        <v>0</v>
      </c>
      <c r="I1337" s="6">
        <f t="shared" si="287"/>
        <v>13.303571428571429</v>
      </c>
      <c r="J1337" s="6">
        <f t="shared" si="288"/>
        <v>11.860714285714266</v>
      </c>
      <c r="K1337" s="4">
        <f t="shared" si="289"/>
        <v>1.1216501053899446</v>
      </c>
      <c r="L1337">
        <f t="shared" si="290"/>
        <v>52.866874822594419</v>
      </c>
      <c r="M1337" s="14" t="str">
        <f t="shared" si="283"/>
        <v/>
      </c>
      <c r="N1337" s="7">
        <f t="shared" si="284"/>
        <v>0</v>
      </c>
      <c r="O1337" s="7">
        <f t="shared" si="291"/>
        <v>0</v>
      </c>
      <c r="P1337" s="7">
        <f t="shared" si="292"/>
        <v>1</v>
      </c>
      <c r="Q1337" s="10" t="e">
        <f t="shared" si="285"/>
        <v>#N/A</v>
      </c>
      <c r="R1337" s="10" t="e">
        <f t="shared" si="286"/>
        <v>#N/A</v>
      </c>
      <c r="S1337" s="7">
        <f t="shared" si="293"/>
        <v>2591.3000000000002</v>
      </c>
      <c r="T1337" s="7">
        <f t="shared" si="294"/>
        <v>0</v>
      </c>
    </row>
    <row r="1338" spans="1:20" x14ac:dyDescent="0.25">
      <c r="A1338" s="1">
        <v>43150</v>
      </c>
      <c r="B1338">
        <v>2519.4</v>
      </c>
      <c r="C1338">
        <v>2530</v>
      </c>
      <c r="D1338">
        <v>2496.75</v>
      </c>
      <c r="E1338">
        <v>2512.6999999999998</v>
      </c>
      <c r="F1338">
        <v>978861</v>
      </c>
      <c r="G1338" s="4">
        <f t="shared" si="281"/>
        <v>0</v>
      </c>
      <c r="H1338" s="4">
        <f t="shared" si="282"/>
        <v>7.7000000000002728</v>
      </c>
      <c r="I1338" s="6">
        <f t="shared" si="287"/>
        <v>13.303571428571429</v>
      </c>
      <c r="J1338" s="6">
        <f t="shared" si="288"/>
        <v>12.039285714285727</v>
      </c>
      <c r="K1338" s="4">
        <f t="shared" si="289"/>
        <v>1.1050133491545524</v>
      </c>
      <c r="L1338">
        <f t="shared" si="290"/>
        <v>52.49436302142049</v>
      </c>
      <c r="M1338" s="14" t="str">
        <f t="shared" si="283"/>
        <v/>
      </c>
      <c r="N1338" s="7">
        <f t="shared" si="284"/>
        <v>0</v>
      </c>
      <c r="O1338" s="7">
        <f t="shared" si="291"/>
        <v>0</v>
      </c>
      <c r="P1338" s="7">
        <f t="shared" si="292"/>
        <v>1</v>
      </c>
      <c r="Q1338" s="10" t="e">
        <f t="shared" si="285"/>
        <v>#N/A</v>
      </c>
      <c r="R1338" s="10" t="e">
        <f t="shared" si="286"/>
        <v>#N/A</v>
      </c>
      <c r="S1338" s="7">
        <f t="shared" si="293"/>
        <v>2591.3000000000002</v>
      </c>
      <c r="T1338" s="7">
        <f t="shared" si="294"/>
        <v>0</v>
      </c>
    </row>
    <row r="1339" spans="1:20" x14ac:dyDescent="0.25">
      <c r="A1339" s="1">
        <v>43151</v>
      </c>
      <c r="B1339">
        <v>2520</v>
      </c>
      <c r="C1339">
        <v>2569.9</v>
      </c>
      <c r="D1339">
        <v>2516.9</v>
      </c>
      <c r="E1339">
        <v>2557.0500000000002</v>
      </c>
      <c r="F1339">
        <v>948907</v>
      </c>
      <c r="G1339" s="4">
        <f t="shared" si="281"/>
        <v>44.350000000000364</v>
      </c>
      <c r="H1339" s="4">
        <f t="shared" si="282"/>
        <v>0</v>
      </c>
      <c r="I1339" s="6">
        <f t="shared" si="287"/>
        <v>16.471428571428596</v>
      </c>
      <c r="J1339" s="6">
        <f t="shared" si="288"/>
        <v>11.489285714285741</v>
      </c>
      <c r="K1339" s="4">
        <f t="shared" si="289"/>
        <v>1.4336338203294985</v>
      </c>
      <c r="L1339">
        <f t="shared" si="290"/>
        <v>58.909183803806343</v>
      </c>
      <c r="M1339" s="14" t="str">
        <f t="shared" si="283"/>
        <v/>
      </c>
      <c r="N1339" s="7">
        <f t="shared" si="284"/>
        <v>0</v>
      </c>
      <c r="O1339" s="7">
        <f t="shared" si="291"/>
        <v>0</v>
      </c>
      <c r="P1339" s="7">
        <f t="shared" si="292"/>
        <v>1</v>
      </c>
      <c r="Q1339" s="10" t="e">
        <f t="shared" si="285"/>
        <v>#N/A</v>
      </c>
      <c r="R1339" s="10" t="e">
        <f t="shared" si="286"/>
        <v>#N/A</v>
      </c>
      <c r="S1339" s="7">
        <f t="shared" si="293"/>
        <v>2591.3000000000002</v>
      </c>
      <c r="T1339" s="7">
        <f t="shared" si="294"/>
        <v>0</v>
      </c>
    </row>
    <row r="1340" spans="1:20" x14ac:dyDescent="0.25">
      <c r="A1340" s="1">
        <v>43152</v>
      </c>
      <c r="B1340">
        <v>2557</v>
      </c>
      <c r="C1340">
        <v>2580</v>
      </c>
      <c r="D1340">
        <v>2548.15</v>
      </c>
      <c r="E1340">
        <v>2555.5</v>
      </c>
      <c r="F1340">
        <v>789789</v>
      </c>
      <c r="G1340" s="4">
        <f t="shared" si="281"/>
        <v>0</v>
      </c>
      <c r="H1340" s="4">
        <f t="shared" si="282"/>
        <v>1.5500000000001819</v>
      </c>
      <c r="I1340" s="6">
        <f t="shared" si="287"/>
        <v>16.471428571428596</v>
      </c>
      <c r="J1340" s="6">
        <f t="shared" si="288"/>
        <v>9.914285714285727</v>
      </c>
      <c r="K1340" s="4">
        <f t="shared" si="289"/>
        <v>1.661383285302594</v>
      </c>
      <c r="L1340">
        <f t="shared" si="290"/>
        <v>62.425554953979429</v>
      </c>
      <c r="M1340" s="14" t="str">
        <f t="shared" si="283"/>
        <v/>
      </c>
      <c r="N1340" s="7">
        <f t="shared" si="284"/>
        <v>0</v>
      </c>
      <c r="O1340" s="7">
        <f t="shared" si="291"/>
        <v>0</v>
      </c>
      <c r="P1340" s="7">
        <f t="shared" si="292"/>
        <v>1</v>
      </c>
      <c r="Q1340" s="10" t="e">
        <f t="shared" si="285"/>
        <v>#N/A</v>
      </c>
      <c r="R1340" s="10" t="e">
        <f t="shared" si="286"/>
        <v>#N/A</v>
      </c>
      <c r="S1340" s="7">
        <f t="shared" si="293"/>
        <v>2591.3000000000002</v>
      </c>
      <c r="T1340" s="7">
        <f t="shared" si="294"/>
        <v>0</v>
      </c>
    </row>
    <row r="1341" spans="1:20" x14ac:dyDescent="0.25">
      <c r="A1341" s="1">
        <v>43153</v>
      </c>
      <c r="B1341">
        <v>2550</v>
      </c>
      <c r="C1341">
        <v>2628.75</v>
      </c>
      <c r="D1341">
        <v>2539.25</v>
      </c>
      <c r="E1341">
        <v>2617.9</v>
      </c>
      <c r="F1341">
        <v>1345816</v>
      </c>
      <c r="G1341" s="4">
        <f t="shared" si="281"/>
        <v>62.400000000000091</v>
      </c>
      <c r="H1341" s="4">
        <f t="shared" si="282"/>
        <v>0</v>
      </c>
      <c r="I1341" s="6">
        <f t="shared" si="287"/>
        <v>19.653571428571436</v>
      </c>
      <c r="J1341" s="6">
        <f t="shared" si="288"/>
        <v>9.914285714285727</v>
      </c>
      <c r="K1341" s="4">
        <f t="shared" si="289"/>
        <v>1.9823487031700269</v>
      </c>
      <c r="L1341">
        <f t="shared" si="290"/>
        <v>66.469380359946825</v>
      </c>
      <c r="M1341" s="14" t="str">
        <f t="shared" si="283"/>
        <v/>
      </c>
      <c r="N1341" s="7">
        <f t="shared" si="284"/>
        <v>0</v>
      </c>
      <c r="O1341" s="7">
        <f t="shared" si="291"/>
        <v>0</v>
      </c>
      <c r="P1341" s="7">
        <f t="shared" si="292"/>
        <v>1</v>
      </c>
      <c r="Q1341" s="10" t="e">
        <f t="shared" si="285"/>
        <v>#N/A</v>
      </c>
      <c r="R1341" s="10" t="e">
        <f t="shared" si="286"/>
        <v>#N/A</v>
      </c>
      <c r="S1341" s="7">
        <f t="shared" si="293"/>
        <v>2591.3000000000002</v>
      </c>
      <c r="T1341" s="7">
        <f t="shared" si="294"/>
        <v>0</v>
      </c>
    </row>
    <row r="1342" spans="1:20" x14ac:dyDescent="0.25">
      <c r="A1342" s="1">
        <v>43154</v>
      </c>
      <c r="B1342">
        <v>2620</v>
      </c>
      <c r="C1342">
        <v>2636.9</v>
      </c>
      <c r="D1342">
        <v>2585.6999999999998</v>
      </c>
      <c r="E1342">
        <v>2601</v>
      </c>
      <c r="F1342">
        <v>491489</v>
      </c>
      <c r="G1342" s="4">
        <f t="shared" si="281"/>
        <v>0</v>
      </c>
      <c r="H1342" s="4">
        <f t="shared" si="282"/>
        <v>16.900000000000091</v>
      </c>
      <c r="I1342" s="6">
        <f t="shared" si="287"/>
        <v>17.060714285714312</v>
      </c>
      <c r="J1342" s="6">
        <f t="shared" si="288"/>
        <v>11.121428571428591</v>
      </c>
      <c r="K1342" s="4">
        <f t="shared" si="289"/>
        <v>1.5340398201669874</v>
      </c>
      <c r="L1342">
        <f t="shared" si="290"/>
        <v>60.537320998606006</v>
      </c>
      <c r="M1342" s="14" t="str">
        <f t="shared" si="283"/>
        <v/>
      </c>
      <c r="N1342" s="7">
        <f t="shared" si="284"/>
        <v>0</v>
      </c>
      <c r="O1342" s="7">
        <f t="shared" si="291"/>
        <v>0</v>
      </c>
      <c r="P1342" s="7">
        <f t="shared" si="292"/>
        <v>1</v>
      </c>
      <c r="Q1342" s="10" t="e">
        <f t="shared" si="285"/>
        <v>#N/A</v>
      </c>
      <c r="R1342" s="10" t="e">
        <f t="shared" si="286"/>
        <v>#N/A</v>
      </c>
      <c r="S1342" s="7">
        <f t="shared" si="293"/>
        <v>2591.3000000000002</v>
      </c>
      <c r="T1342" s="7">
        <f t="shared" si="294"/>
        <v>0</v>
      </c>
    </row>
    <row r="1343" spans="1:20" x14ac:dyDescent="0.25">
      <c r="A1343" s="1">
        <v>43157</v>
      </c>
      <c r="B1343">
        <v>2605</v>
      </c>
      <c r="C1343">
        <v>2623.25</v>
      </c>
      <c r="D1343">
        <v>2588.9</v>
      </c>
      <c r="E1343">
        <v>2608.85</v>
      </c>
      <c r="F1343">
        <v>980870</v>
      </c>
      <c r="G1343" s="4">
        <f t="shared" si="281"/>
        <v>7.8499999999999091</v>
      </c>
      <c r="H1343" s="4">
        <f t="shared" si="282"/>
        <v>0</v>
      </c>
      <c r="I1343" s="6">
        <f t="shared" si="287"/>
        <v>17.621428571428591</v>
      </c>
      <c r="J1343" s="6">
        <f t="shared" si="288"/>
        <v>7.2071428571428964</v>
      </c>
      <c r="K1343" s="4">
        <f t="shared" si="289"/>
        <v>2.4449950445986022</v>
      </c>
      <c r="L1343">
        <f t="shared" si="290"/>
        <v>70.972382048331326</v>
      </c>
      <c r="M1343" s="14" t="str">
        <f t="shared" si="283"/>
        <v>OVERBOUGHT</v>
      </c>
      <c r="N1343" s="7" t="str">
        <f t="shared" si="284"/>
        <v>SELL</v>
      </c>
      <c r="O1343" s="7" t="str">
        <f t="shared" si="291"/>
        <v>SELL</v>
      </c>
      <c r="P1343" s="7">
        <f t="shared" si="292"/>
        <v>-1</v>
      </c>
      <c r="Q1343" s="10" t="e">
        <f t="shared" si="285"/>
        <v>#N/A</v>
      </c>
      <c r="R1343" s="10">
        <f t="shared" si="286"/>
        <v>2608.85</v>
      </c>
      <c r="S1343" s="7">
        <f t="shared" si="293"/>
        <v>2608.85</v>
      </c>
      <c r="T1343" s="7">
        <f t="shared" si="294"/>
        <v>6.7726623702387707E-3</v>
      </c>
    </row>
    <row r="1344" spans="1:20" x14ac:dyDescent="0.25">
      <c r="A1344" s="1">
        <v>43158</v>
      </c>
      <c r="B1344">
        <v>2608</v>
      </c>
      <c r="C1344">
        <v>2633.15</v>
      </c>
      <c r="D1344">
        <v>2592</v>
      </c>
      <c r="E1344">
        <v>2615.25</v>
      </c>
      <c r="F1344">
        <v>810345</v>
      </c>
      <c r="G1344" s="4">
        <f t="shared" si="281"/>
        <v>6.4000000000000909</v>
      </c>
      <c r="H1344" s="4">
        <f t="shared" si="282"/>
        <v>0</v>
      </c>
      <c r="I1344" s="6">
        <f t="shared" si="287"/>
        <v>12.207142857142896</v>
      </c>
      <c r="J1344" s="6">
        <f t="shared" si="288"/>
        <v>7.2071428571428964</v>
      </c>
      <c r="K1344" s="4">
        <f t="shared" si="289"/>
        <v>1.6937561942517305</v>
      </c>
      <c r="L1344">
        <f t="shared" si="290"/>
        <v>62.877115526122097</v>
      </c>
      <c r="M1344" s="14" t="str">
        <f t="shared" si="283"/>
        <v/>
      </c>
      <c r="N1344" s="7">
        <f t="shared" si="284"/>
        <v>0</v>
      </c>
      <c r="O1344" s="7">
        <f t="shared" si="291"/>
        <v>0</v>
      </c>
      <c r="P1344" s="7">
        <f t="shared" si="292"/>
        <v>-1</v>
      </c>
      <c r="Q1344" s="10" t="e">
        <f t="shared" si="285"/>
        <v>#N/A</v>
      </c>
      <c r="R1344" s="10" t="e">
        <f t="shared" si="286"/>
        <v>#N/A</v>
      </c>
      <c r="S1344" s="7">
        <f t="shared" si="293"/>
        <v>2608.85</v>
      </c>
      <c r="T1344" s="7">
        <f t="shared" si="294"/>
        <v>0</v>
      </c>
    </row>
    <row r="1345" spans="1:20" x14ac:dyDescent="0.25">
      <c r="A1345" s="1">
        <v>43159</v>
      </c>
      <c r="B1345">
        <v>2603.9</v>
      </c>
      <c r="C1345">
        <v>2623</v>
      </c>
      <c r="D1345">
        <v>2582.25</v>
      </c>
      <c r="E1345">
        <v>2609.5</v>
      </c>
      <c r="F1345">
        <v>1381804</v>
      </c>
      <c r="G1345" s="4">
        <f t="shared" si="281"/>
        <v>0</v>
      </c>
      <c r="H1345" s="4">
        <f t="shared" si="282"/>
        <v>5.75</v>
      </c>
      <c r="I1345" s="6">
        <f t="shared" si="287"/>
        <v>12.207142857142896</v>
      </c>
      <c r="J1345" s="6">
        <f t="shared" si="288"/>
        <v>6.3321428571428964</v>
      </c>
      <c r="K1345" s="4">
        <f t="shared" si="289"/>
        <v>1.9278059785673942</v>
      </c>
      <c r="L1345">
        <f t="shared" si="290"/>
        <v>65.84473126565203</v>
      </c>
      <c r="M1345" s="14" t="str">
        <f t="shared" si="283"/>
        <v/>
      </c>
      <c r="N1345" s="7">
        <f t="shared" si="284"/>
        <v>0</v>
      </c>
      <c r="O1345" s="7">
        <f t="shared" si="291"/>
        <v>0</v>
      </c>
      <c r="P1345" s="7">
        <f t="shared" si="292"/>
        <v>-1</v>
      </c>
      <c r="Q1345" s="10" t="e">
        <f t="shared" si="285"/>
        <v>#N/A</v>
      </c>
      <c r="R1345" s="10" t="e">
        <f t="shared" si="286"/>
        <v>#N/A</v>
      </c>
      <c r="S1345" s="7">
        <f t="shared" si="293"/>
        <v>2608.85</v>
      </c>
      <c r="T1345" s="7">
        <f t="shared" si="294"/>
        <v>0</v>
      </c>
    </row>
    <row r="1346" spans="1:20" x14ac:dyDescent="0.25">
      <c r="A1346" s="1">
        <v>43160</v>
      </c>
      <c r="B1346">
        <v>2617</v>
      </c>
      <c r="C1346">
        <v>2648.6</v>
      </c>
      <c r="D1346">
        <v>2597.25</v>
      </c>
      <c r="E1346">
        <v>2610.3000000000002</v>
      </c>
      <c r="F1346">
        <v>2211766</v>
      </c>
      <c r="G1346" s="4">
        <f t="shared" si="281"/>
        <v>0.8000000000001819</v>
      </c>
      <c r="H1346" s="4">
        <f t="shared" si="282"/>
        <v>0</v>
      </c>
      <c r="I1346" s="6">
        <f t="shared" si="287"/>
        <v>10.210714285714337</v>
      </c>
      <c r="J1346" s="6">
        <f t="shared" si="288"/>
        <v>6.3321428571428964</v>
      </c>
      <c r="K1346" s="4">
        <f t="shared" si="289"/>
        <v>1.6125211505922146</v>
      </c>
      <c r="L1346">
        <f t="shared" si="290"/>
        <v>61.722797927461109</v>
      </c>
      <c r="M1346" s="14" t="str">
        <f t="shared" si="283"/>
        <v/>
      </c>
      <c r="N1346" s="7">
        <f t="shared" si="284"/>
        <v>0</v>
      </c>
      <c r="O1346" s="7">
        <f t="shared" si="291"/>
        <v>0</v>
      </c>
      <c r="P1346" s="7">
        <f t="shared" si="292"/>
        <v>-1</v>
      </c>
      <c r="Q1346" s="10" t="e">
        <f t="shared" si="285"/>
        <v>#N/A</v>
      </c>
      <c r="R1346" s="10" t="e">
        <f t="shared" si="286"/>
        <v>#N/A</v>
      </c>
      <c r="S1346" s="7">
        <f t="shared" si="293"/>
        <v>2608.85</v>
      </c>
      <c r="T1346" s="7">
        <f t="shared" si="294"/>
        <v>0</v>
      </c>
    </row>
    <row r="1347" spans="1:20" x14ac:dyDescent="0.25">
      <c r="A1347" s="1">
        <v>43161</v>
      </c>
      <c r="B1347">
        <v>2609.4499999999998</v>
      </c>
      <c r="C1347">
        <v>2647.1</v>
      </c>
      <c r="D1347">
        <v>2608.35</v>
      </c>
      <c r="E1347">
        <v>2617.75</v>
      </c>
      <c r="F1347">
        <v>441132</v>
      </c>
      <c r="G1347" s="4">
        <f t="shared" si="281"/>
        <v>7.4499999999998181</v>
      </c>
      <c r="H1347" s="4">
        <f t="shared" si="282"/>
        <v>0</v>
      </c>
      <c r="I1347" s="6">
        <f t="shared" si="287"/>
        <v>10.742857142857181</v>
      </c>
      <c r="J1347" s="6">
        <f t="shared" si="288"/>
        <v>3.9678571428571883</v>
      </c>
      <c r="K1347" s="4">
        <f t="shared" si="289"/>
        <v>2.7074707470746859</v>
      </c>
      <c r="L1347">
        <f t="shared" si="290"/>
        <v>73.027433843165653</v>
      </c>
      <c r="M1347" s="14" t="str">
        <f t="shared" si="283"/>
        <v>OVERBOUGHT</v>
      </c>
      <c r="N1347" s="7" t="str">
        <f t="shared" si="284"/>
        <v>SELL</v>
      </c>
      <c r="O1347" s="7">
        <f t="shared" si="291"/>
        <v>0</v>
      </c>
      <c r="P1347" s="7">
        <f t="shared" si="292"/>
        <v>-1</v>
      </c>
      <c r="Q1347" s="10" t="e">
        <f t="shared" si="285"/>
        <v>#N/A</v>
      </c>
      <c r="R1347" s="10" t="e">
        <f t="shared" si="286"/>
        <v>#N/A</v>
      </c>
      <c r="S1347" s="7">
        <f t="shared" si="293"/>
        <v>2608.85</v>
      </c>
      <c r="T1347" s="7">
        <f t="shared" si="294"/>
        <v>0</v>
      </c>
    </row>
    <row r="1348" spans="1:20" x14ac:dyDescent="0.25">
      <c r="A1348" s="1">
        <v>43164</v>
      </c>
      <c r="B1348">
        <v>2616</v>
      </c>
      <c r="C1348">
        <v>2630</v>
      </c>
      <c r="D1348">
        <v>2590.5</v>
      </c>
      <c r="E1348">
        <v>2599.9</v>
      </c>
      <c r="F1348">
        <v>1967910</v>
      </c>
      <c r="G1348" s="4">
        <f t="shared" ref="G1348:G1411" si="295">IF(E1348&gt;E1347,E1348-E1347,0)</f>
        <v>0</v>
      </c>
      <c r="H1348" s="4">
        <f t="shared" ref="H1348:H1411" si="296">IF(E1348&lt;E1347,E1347-E1348,0)</f>
        <v>17.849999999999909</v>
      </c>
      <c r="I1348" s="6">
        <f t="shared" si="287"/>
        <v>10.742857142857181</v>
      </c>
      <c r="J1348" s="6">
        <f t="shared" si="288"/>
        <v>4.7071428571428964</v>
      </c>
      <c r="K1348" s="4">
        <f t="shared" si="289"/>
        <v>2.2822458270106112</v>
      </c>
      <c r="L1348">
        <f t="shared" si="290"/>
        <v>69.533055940822834</v>
      </c>
      <c r="M1348" s="14" t="str">
        <f t="shared" si="283"/>
        <v/>
      </c>
      <c r="N1348" s="7">
        <f t="shared" si="284"/>
        <v>0</v>
      </c>
      <c r="O1348" s="7">
        <f t="shared" si="291"/>
        <v>0</v>
      </c>
      <c r="P1348" s="7">
        <f t="shared" si="292"/>
        <v>-1</v>
      </c>
      <c r="Q1348" s="10" t="e">
        <f t="shared" si="285"/>
        <v>#N/A</v>
      </c>
      <c r="R1348" s="10" t="e">
        <f t="shared" si="286"/>
        <v>#N/A</v>
      </c>
      <c r="S1348" s="7">
        <f t="shared" si="293"/>
        <v>2608.85</v>
      </c>
      <c r="T1348" s="7">
        <f t="shared" si="294"/>
        <v>0</v>
      </c>
    </row>
    <row r="1349" spans="1:20" x14ac:dyDescent="0.25">
      <c r="A1349" s="1">
        <v>43165</v>
      </c>
      <c r="B1349">
        <v>2604</v>
      </c>
      <c r="C1349">
        <v>2625.6</v>
      </c>
      <c r="D1349">
        <v>2590.5</v>
      </c>
      <c r="E1349">
        <v>2610.9</v>
      </c>
      <c r="F1349">
        <v>902342</v>
      </c>
      <c r="G1349" s="4">
        <f t="shared" si="295"/>
        <v>11</v>
      </c>
      <c r="H1349" s="4">
        <f t="shared" si="296"/>
        <v>0</v>
      </c>
      <c r="I1349" s="6">
        <f t="shared" si="287"/>
        <v>11.528571428571468</v>
      </c>
      <c r="J1349" s="6">
        <f t="shared" si="288"/>
        <v>3.5535714285714612</v>
      </c>
      <c r="K1349" s="4">
        <f t="shared" si="289"/>
        <v>3.2442211055276196</v>
      </c>
      <c r="L1349">
        <f t="shared" si="290"/>
        <v>76.438550793274828</v>
      </c>
      <c r="M1349" s="14" t="str">
        <f t="shared" si="283"/>
        <v>OVERBOUGHT</v>
      </c>
      <c r="N1349" s="7" t="str">
        <f t="shared" si="284"/>
        <v>SELL</v>
      </c>
      <c r="O1349" s="7">
        <f t="shared" si="291"/>
        <v>0</v>
      </c>
      <c r="P1349" s="7">
        <f t="shared" si="292"/>
        <v>-1</v>
      </c>
      <c r="Q1349" s="10" t="e">
        <f t="shared" si="285"/>
        <v>#N/A</v>
      </c>
      <c r="R1349" s="10" t="e">
        <f t="shared" si="286"/>
        <v>#N/A</v>
      </c>
      <c r="S1349" s="7">
        <f t="shared" si="293"/>
        <v>2608.85</v>
      </c>
      <c r="T1349" s="7">
        <f t="shared" si="294"/>
        <v>0</v>
      </c>
    </row>
    <row r="1350" spans="1:20" x14ac:dyDescent="0.25">
      <c r="A1350" s="1">
        <v>43166</v>
      </c>
      <c r="B1350">
        <v>2617.1</v>
      </c>
      <c r="C1350">
        <v>2622.8</v>
      </c>
      <c r="D1350">
        <v>2588.5</v>
      </c>
      <c r="E1350">
        <v>2605.65</v>
      </c>
      <c r="F1350">
        <v>2065734</v>
      </c>
      <c r="G1350" s="4">
        <f t="shared" si="295"/>
        <v>0</v>
      </c>
      <c r="H1350" s="4">
        <f t="shared" si="296"/>
        <v>5.25</v>
      </c>
      <c r="I1350" s="6">
        <f t="shared" si="287"/>
        <v>10.678571428571461</v>
      </c>
      <c r="J1350" s="6">
        <f t="shared" si="288"/>
        <v>3.9285714285714612</v>
      </c>
      <c r="K1350" s="4">
        <f t="shared" si="289"/>
        <v>2.7181818181818036</v>
      </c>
      <c r="L1350">
        <f t="shared" si="290"/>
        <v>73.105134474327528</v>
      </c>
      <c r="M1350" s="14" t="str">
        <f t="shared" si="283"/>
        <v>OVERBOUGHT</v>
      </c>
      <c r="N1350" s="7" t="str">
        <f t="shared" si="284"/>
        <v>SELL</v>
      </c>
      <c r="O1350" s="7">
        <f t="shared" si="291"/>
        <v>0</v>
      </c>
      <c r="P1350" s="7">
        <f t="shared" si="292"/>
        <v>-1</v>
      </c>
      <c r="Q1350" s="10" t="e">
        <f t="shared" si="285"/>
        <v>#N/A</v>
      </c>
      <c r="R1350" s="10" t="e">
        <f t="shared" si="286"/>
        <v>#N/A</v>
      </c>
      <c r="S1350" s="7">
        <f t="shared" si="293"/>
        <v>2608.85</v>
      </c>
      <c r="T1350" s="7">
        <f t="shared" si="294"/>
        <v>0</v>
      </c>
    </row>
    <row r="1351" spans="1:20" x14ac:dyDescent="0.25">
      <c r="A1351" s="1">
        <v>43167</v>
      </c>
      <c r="B1351">
        <v>2592</v>
      </c>
      <c r="C1351">
        <v>2609</v>
      </c>
      <c r="D1351">
        <v>2570</v>
      </c>
      <c r="E1351">
        <v>2575.85</v>
      </c>
      <c r="F1351">
        <v>1154267</v>
      </c>
      <c r="G1351" s="4">
        <f t="shared" si="295"/>
        <v>0</v>
      </c>
      <c r="H1351" s="4">
        <f t="shared" si="296"/>
        <v>29.800000000000182</v>
      </c>
      <c r="I1351" s="6">
        <f t="shared" si="287"/>
        <v>10.017857142857176</v>
      </c>
      <c r="J1351" s="6">
        <f t="shared" si="288"/>
        <v>6.0571428571429022</v>
      </c>
      <c r="K1351" s="4">
        <f t="shared" si="289"/>
        <v>1.6538915094339555</v>
      </c>
      <c r="L1351">
        <f t="shared" si="290"/>
        <v>62.319484558986794</v>
      </c>
      <c r="M1351" s="14" t="str">
        <f t="shared" si="283"/>
        <v/>
      </c>
      <c r="N1351" s="7">
        <f t="shared" si="284"/>
        <v>0</v>
      </c>
      <c r="O1351" s="7">
        <f t="shared" si="291"/>
        <v>0</v>
      </c>
      <c r="P1351" s="7">
        <f t="shared" si="292"/>
        <v>-1</v>
      </c>
      <c r="Q1351" s="10" t="e">
        <f t="shared" si="285"/>
        <v>#N/A</v>
      </c>
      <c r="R1351" s="10" t="e">
        <f t="shared" si="286"/>
        <v>#N/A</v>
      </c>
      <c r="S1351" s="7">
        <f t="shared" si="293"/>
        <v>2608.85</v>
      </c>
      <c r="T1351" s="7">
        <f t="shared" si="294"/>
        <v>0</v>
      </c>
    </row>
    <row r="1352" spans="1:20" x14ac:dyDescent="0.25">
      <c r="A1352" s="1">
        <v>43168</v>
      </c>
      <c r="B1352">
        <v>2590</v>
      </c>
      <c r="C1352">
        <v>2590</v>
      </c>
      <c r="D1352">
        <v>2561.65</v>
      </c>
      <c r="E1352">
        <v>2577.4499999999998</v>
      </c>
      <c r="F1352">
        <v>785160</v>
      </c>
      <c r="G1352" s="4">
        <f t="shared" si="295"/>
        <v>1.5999999999999091</v>
      </c>
      <c r="H1352" s="4">
        <f t="shared" si="296"/>
        <v>0</v>
      </c>
      <c r="I1352" s="6">
        <f t="shared" si="287"/>
        <v>10.132142857142883</v>
      </c>
      <c r="J1352" s="6">
        <f t="shared" si="288"/>
        <v>5.5071428571428829</v>
      </c>
      <c r="K1352" s="4">
        <f t="shared" si="289"/>
        <v>1.8398184176394254</v>
      </c>
      <c r="L1352">
        <f t="shared" si="290"/>
        <v>64.786480931719524</v>
      </c>
      <c r="M1352" s="14" t="str">
        <f t="shared" si="283"/>
        <v/>
      </c>
      <c r="N1352" s="7">
        <f t="shared" si="284"/>
        <v>0</v>
      </c>
      <c r="O1352" s="7">
        <f t="shared" si="291"/>
        <v>0</v>
      </c>
      <c r="P1352" s="7">
        <f t="shared" si="292"/>
        <v>-1</v>
      </c>
      <c r="Q1352" s="10" t="e">
        <f t="shared" si="285"/>
        <v>#N/A</v>
      </c>
      <c r="R1352" s="10" t="e">
        <f t="shared" si="286"/>
        <v>#N/A</v>
      </c>
      <c r="S1352" s="7">
        <f t="shared" si="293"/>
        <v>2608.85</v>
      </c>
      <c r="T1352" s="7">
        <f t="shared" si="294"/>
        <v>0</v>
      </c>
    </row>
    <row r="1353" spans="1:20" x14ac:dyDescent="0.25">
      <c r="A1353" s="1">
        <v>43171</v>
      </c>
      <c r="B1353">
        <v>2585</v>
      </c>
      <c r="C1353">
        <v>2590</v>
      </c>
      <c r="D1353">
        <v>2551</v>
      </c>
      <c r="E1353">
        <v>2561.65</v>
      </c>
      <c r="F1353">
        <v>1289457</v>
      </c>
      <c r="G1353" s="4">
        <f t="shared" si="295"/>
        <v>0</v>
      </c>
      <c r="H1353" s="4">
        <f t="shared" si="296"/>
        <v>15.799999999999727</v>
      </c>
      <c r="I1353" s="6">
        <f t="shared" si="287"/>
        <v>6.9642857142857144</v>
      </c>
      <c r="J1353" s="6">
        <f t="shared" si="288"/>
        <v>6.6357142857142923</v>
      </c>
      <c r="K1353" s="4">
        <f t="shared" si="289"/>
        <v>1.0495156081808386</v>
      </c>
      <c r="L1353">
        <f t="shared" si="290"/>
        <v>51.207983193277286</v>
      </c>
      <c r="M1353" s="14" t="str">
        <f t="shared" si="283"/>
        <v/>
      </c>
      <c r="N1353" s="7">
        <f t="shared" si="284"/>
        <v>0</v>
      </c>
      <c r="O1353" s="7">
        <f t="shared" si="291"/>
        <v>0</v>
      </c>
      <c r="P1353" s="7">
        <f t="shared" si="292"/>
        <v>-1</v>
      </c>
      <c r="Q1353" s="10" t="e">
        <f t="shared" si="285"/>
        <v>#N/A</v>
      </c>
      <c r="R1353" s="10" t="e">
        <f t="shared" si="286"/>
        <v>#N/A</v>
      </c>
      <c r="S1353" s="7">
        <f t="shared" si="293"/>
        <v>2608.85</v>
      </c>
      <c r="T1353" s="7">
        <f t="shared" si="294"/>
        <v>0</v>
      </c>
    </row>
    <row r="1354" spans="1:20" x14ac:dyDescent="0.25">
      <c r="A1354" s="1">
        <v>43172</v>
      </c>
      <c r="B1354">
        <v>2566</v>
      </c>
      <c r="C1354">
        <v>2610</v>
      </c>
      <c r="D1354">
        <v>2563.8000000000002</v>
      </c>
      <c r="E1354">
        <v>2600.75</v>
      </c>
      <c r="F1354">
        <v>1381675</v>
      </c>
      <c r="G1354" s="4">
        <f t="shared" si="295"/>
        <v>39.099999999999909</v>
      </c>
      <c r="H1354" s="4">
        <f t="shared" si="296"/>
        <v>0</v>
      </c>
      <c r="I1354" s="6">
        <f t="shared" si="287"/>
        <v>9.7571428571428509</v>
      </c>
      <c r="J1354" s="6">
        <f t="shared" si="288"/>
        <v>6.5249999999999932</v>
      </c>
      <c r="K1354" s="4">
        <f t="shared" si="289"/>
        <v>1.4953475643130822</v>
      </c>
      <c r="L1354">
        <f t="shared" si="290"/>
        <v>59.925422241719687</v>
      </c>
      <c r="M1354" s="14" t="str">
        <f t="shared" si="283"/>
        <v/>
      </c>
      <c r="N1354" s="7">
        <f t="shared" si="284"/>
        <v>0</v>
      </c>
      <c r="O1354" s="7">
        <f t="shared" si="291"/>
        <v>0</v>
      </c>
      <c r="P1354" s="7">
        <f t="shared" si="292"/>
        <v>-1</v>
      </c>
      <c r="Q1354" s="10" t="e">
        <f t="shared" si="285"/>
        <v>#N/A</v>
      </c>
      <c r="R1354" s="10" t="e">
        <f t="shared" si="286"/>
        <v>#N/A</v>
      </c>
      <c r="S1354" s="7">
        <f t="shared" si="293"/>
        <v>2608.85</v>
      </c>
      <c r="T1354" s="7">
        <f t="shared" si="294"/>
        <v>0</v>
      </c>
    </row>
    <row r="1355" spans="1:20" x14ac:dyDescent="0.25">
      <c r="A1355" s="1">
        <v>43173</v>
      </c>
      <c r="B1355">
        <v>2605.5</v>
      </c>
      <c r="C1355">
        <v>2613</v>
      </c>
      <c r="D1355">
        <v>2556.75</v>
      </c>
      <c r="E1355">
        <v>2571.3000000000002</v>
      </c>
      <c r="F1355">
        <v>923668</v>
      </c>
      <c r="G1355" s="4">
        <f t="shared" si="295"/>
        <v>0</v>
      </c>
      <c r="H1355" s="4">
        <f t="shared" si="296"/>
        <v>29.449999999999818</v>
      </c>
      <c r="I1355" s="6">
        <f t="shared" si="287"/>
        <v>5.2999999999999874</v>
      </c>
      <c r="J1355" s="6">
        <f t="shared" si="288"/>
        <v>8.6285714285714086</v>
      </c>
      <c r="K1355" s="4">
        <f t="shared" si="289"/>
        <v>0.61423841059602646</v>
      </c>
      <c r="L1355">
        <f t="shared" si="290"/>
        <v>38.051282051282044</v>
      </c>
      <c r="M1355" s="14" t="str">
        <f t="shared" si="283"/>
        <v/>
      </c>
      <c r="N1355" s="7">
        <f t="shared" si="284"/>
        <v>0</v>
      </c>
      <c r="O1355" s="7">
        <f t="shared" si="291"/>
        <v>0</v>
      </c>
      <c r="P1355" s="7">
        <f t="shared" si="292"/>
        <v>-1</v>
      </c>
      <c r="Q1355" s="10" t="e">
        <f t="shared" si="285"/>
        <v>#N/A</v>
      </c>
      <c r="R1355" s="10" t="e">
        <f t="shared" si="286"/>
        <v>#N/A</v>
      </c>
      <c r="S1355" s="7">
        <f t="shared" si="293"/>
        <v>2608.85</v>
      </c>
      <c r="T1355" s="7">
        <f t="shared" si="294"/>
        <v>0</v>
      </c>
    </row>
    <row r="1356" spans="1:20" x14ac:dyDescent="0.25">
      <c r="A1356" s="1">
        <v>43174</v>
      </c>
      <c r="B1356">
        <v>2571.9</v>
      </c>
      <c r="C1356">
        <v>2588.9499999999998</v>
      </c>
      <c r="D1356">
        <v>2476.8000000000002</v>
      </c>
      <c r="E1356">
        <v>2505.8000000000002</v>
      </c>
      <c r="F1356">
        <v>1285728</v>
      </c>
      <c r="G1356" s="4">
        <f t="shared" si="295"/>
        <v>0</v>
      </c>
      <c r="H1356" s="4">
        <f t="shared" si="296"/>
        <v>65.5</v>
      </c>
      <c r="I1356" s="6">
        <f t="shared" si="287"/>
        <v>5.2999999999999874</v>
      </c>
      <c r="J1356" s="6">
        <f t="shared" si="288"/>
        <v>12.099999999999975</v>
      </c>
      <c r="K1356" s="4">
        <f t="shared" si="289"/>
        <v>0.43801652892561971</v>
      </c>
      <c r="L1356">
        <f t="shared" si="290"/>
        <v>30.459770114942529</v>
      </c>
      <c r="M1356" s="14" t="str">
        <f t="shared" si="283"/>
        <v/>
      </c>
      <c r="N1356" s="7">
        <f t="shared" si="284"/>
        <v>0</v>
      </c>
      <c r="O1356" s="7">
        <f t="shared" si="291"/>
        <v>0</v>
      </c>
      <c r="P1356" s="7">
        <f t="shared" si="292"/>
        <v>-1</v>
      </c>
      <c r="Q1356" s="10" t="e">
        <f t="shared" si="285"/>
        <v>#N/A</v>
      </c>
      <c r="R1356" s="10" t="e">
        <f t="shared" si="286"/>
        <v>#N/A</v>
      </c>
      <c r="S1356" s="7">
        <f t="shared" si="293"/>
        <v>2608.85</v>
      </c>
      <c r="T1356" s="7">
        <f t="shared" si="294"/>
        <v>0</v>
      </c>
    </row>
    <row r="1357" spans="1:20" x14ac:dyDescent="0.25">
      <c r="A1357" s="1">
        <v>43175</v>
      </c>
      <c r="B1357">
        <v>2505.3000000000002</v>
      </c>
      <c r="C1357">
        <v>2520.4499999999998</v>
      </c>
      <c r="D1357">
        <v>2481</v>
      </c>
      <c r="E1357">
        <v>2504.8000000000002</v>
      </c>
      <c r="F1357">
        <v>1262588</v>
      </c>
      <c r="G1357" s="4">
        <f t="shared" si="295"/>
        <v>0</v>
      </c>
      <c r="H1357" s="4">
        <f t="shared" si="296"/>
        <v>1</v>
      </c>
      <c r="I1357" s="6">
        <f t="shared" si="287"/>
        <v>4.7392857142857077</v>
      </c>
      <c r="J1357" s="6">
        <f t="shared" si="288"/>
        <v>12.171428571428546</v>
      </c>
      <c r="K1357" s="4">
        <f t="shared" si="289"/>
        <v>0.38937793427230072</v>
      </c>
      <c r="L1357">
        <f t="shared" si="290"/>
        <v>28.02534318901796</v>
      </c>
      <c r="M1357" s="14" t="str">
        <f t="shared" si="283"/>
        <v>OVERSOLD</v>
      </c>
      <c r="N1357" s="7" t="str">
        <f t="shared" si="284"/>
        <v>BUY</v>
      </c>
      <c r="O1357" s="7" t="str">
        <f t="shared" si="291"/>
        <v>BUY</v>
      </c>
      <c r="P1357" s="7">
        <f t="shared" si="292"/>
        <v>1</v>
      </c>
      <c r="Q1357" s="10">
        <f t="shared" si="285"/>
        <v>2504.8000000000002</v>
      </c>
      <c r="R1357" s="10" t="e">
        <f t="shared" si="286"/>
        <v>#N/A</v>
      </c>
      <c r="S1357" s="7">
        <f t="shared" si="293"/>
        <v>2504.8000000000002</v>
      </c>
      <c r="T1357" s="7">
        <f t="shared" si="294"/>
        <v>3.9883473561147527E-2</v>
      </c>
    </row>
    <row r="1358" spans="1:20" x14ac:dyDescent="0.25">
      <c r="A1358" s="1">
        <v>43178</v>
      </c>
      <c r="B1358">
        <v>2500</v>
      </c>
      <c r="C1358">
        <v>2519.3000000000002</v>
      </c>
      <c r="D1358">
        <v>2494.4499999999998</v>
      </c>
      <c r="E1358">
        <v>2512</v>
      </c>
      <c r="F1358">
        <v>633698</v>
      </c>
      <c r="G1358" s="4">
        <f t="shared" si="295"/>
        <v>7.1999999999998181</v>
      </c>
      <c r="H1358" s="4">
        <f t="shared" si="296"/>
        <v>0</v>
      </c>
      <c r="I1358" s="6">
        <f t="shared" si="287"/>
        <v>4.7964285714285451</v>
      </c>
      <c r="J1358" s="6">
        <f t="shared" si="288"/>
        <v>12.171428571428546</v>
      </c>
      <c r="K1358" s="4">
        <f t="shared" si="289"/>
        <v>0.39407276995305029</v>
      </c>
      <c r="L1358">
        <f t="shared" si="290"/>
        <v>28.267733108819115</v>
      </c>
      <c r="M1358" s="14" t="str">
        <f t="shared" si="283"/>
        <v>OVERSOLD</v>
      </c>
      <c r="N1358" s="7" t="str">
        <f t="shared" si="284"/>
        <v>BUY</v>
      </c>
      <c r="O1358" s="7">
        <f t="shared" si="291"/>
        <v>0</v>
      </c>
      <c r="P1358" s="7">
        <f t="shared" si="292"/>
        <v>1</v>
      </c>
      <c r="Q1358" s="10" t="e">
        <f t="shared" si="285"/>
        <v>#N/A</v>
      </c>
      <c r="R1358" s="10" t="e">
        <f t="shared" si="286"/>
        <v>#N/A</v>
      </c>
      <c r="S1358" s="7">
        <f t="shared" si="293"/>
        <v>2504.8000000000002</v>
      </c>
      <c r="T1358" s="7">
        <f t="shared" si="294"/>
        <v>0</v>
      </c>
    </row>
    <row r="1359" spans="1:20" x14ac:dyDescent="0.25">
      <c r="A1359" s="1">
        <v>43179</v>
      </c>
      <c r="B1359">
        <v>2521</v>
      </c>
      <c r="C1359">
        <v>2529.15</v>
      </c>
      <c r="D1359">
        <v>2501.8000000000002</v>
      </c>
      <c r="E1359">
        <v>2513.8000000000002</v>
      </c>
      <c r="F1359">
        <v>987860</v>
      </c>
      <c r="G1359" s="4">
        <f t="shared" si="295"/>
        <v>1.8000000000001819</v>
      </c>
      <c r="H1359" s="4">
        <f t="shared" si="296"/>
        <v>0</v>
      </c>
      <c r="I1359" s="6">
        <f t="shared" si="287"/>
        <v>4.9249999999999874</v>
      </c>
      <c r="J1359" s="6">
        <f t="shared" si="288"/>
        <v>11.760714285714259</v>
      </c>
      <c r="K1359" s="4">
        <f t="shared" si="289"/>
        <v>0.41876708168842985</v>
      </c>
      <c r="L1359">
        <f t="shared" si="290"/>
        <v>29.516267123287662</v>
      </c>
      <c r="M1359" s="14" t="str">
        <f t="shared" si="283"/>
        <v>OVERSOLD</v>
      </c>
      <c r="N1359" s="7" t="str">
        <f t="shared" si="284"/>
        <v>BUY</v>
      </c>
      <c r="O1359" s="7">
        <f t="shared" si="291"/>
        <v>0</v>
      </c>
      <c r="P1359" s="7">
        <f t="shared" si="292"/>
        <v>1</v>
      </c>
      <c r="Q1359" s="10" t="e">
        <f t="shared" si="285"/>
        <v>#N/A</v>
      </c>
      <c r="R1359" s="10" t="e">
        <f t="shared" si="286"/>
        <v>#N/A</v>
      </c>
      <c r="S1359" s="7">
        <f t="shared" si="293"/>
        <v>2504.8000000000002</v>
      </c>
      <c r="T1359" s="7">
        <f t="shared" si="294"/>
        <v>0</v>
      </c>
    </row>
    <row r="1360" spans="1:20" x14ac:dyDescent="0.25">
      <c r="A1360" s="1">
        <v>43180</v>
      </c>
      <c r="B1360">
        <v>2515</v>
      </c>
      <c r="C1360">
        <v>2546.3000000000002</v>
      </c>
      <c r="D1360">
        <v>2508</v>
      </c>
      <c r="E1360">
        <v>2530.0500000000002</v>
      </c>
      <c r="F1360">
        <v>1082523</v>
      </c>
      <c r="G1360" s="4">
        <f t="shared" si="295"/>
        <v>16.25</v>
      </c>
      <c r="H1360" s="4">
        <f t="shared" si="296"/>
        <v>0</v>
      </c>
      <c r="I1360" s="6">
        <f t="shared" si="287"/>
        <v>6.0285714285714027</v>
      </c>
      <c r="J1360" s="6">
        <f t="shared" si="288"/>
        <v>11.760714285714259</v>
      </c>
      <c r="K1360" s="4">
        <f t="shared" si="289"/>
        <v>0.51260249013057901</v>
      </c>
      <c r="L1360">
        <f t="shared" si="290"/>
        <v>33.888777353944946</v>
      </c>
      <c r="M1360" s="14" t="str">
        <f t="shared" ref="M1360:M1423" si="297">IF(L1360&gt;RSI_Overbought,"OVERBOUGHT",IF(L1360&lt;RSI_Oversold,"OVERSOLD",""))</f>
        <v/>
      </c>
      <c r="N1360" s="7">
        <f t="shared" ref="N1360:N1423" si="298">IF(L1360&gt;RSI_Overbought,"SELL",IF(L1360&lt;RSI_Oversold,"BUY",0))</f>
        <v>0</v>
      </c>
      <c r="O1360" s="7">
        <f t="shared" si="291"/>
        <v>0</v>
      </c>
      <c r="P1360" s="7">
        <f t="shared" si="292"/>
        <v>1</v>
      </c>
      <c r="Q1360" s="10" t="e">
        <f t="shared" ref="Q1360:Q1423" si="299">IF($O1360="BUY",$E1360,NA())</f>
        <v>#N/A</v>
      </c>
      <c r="R1360" s="10" t="e">
        <f t="shared" ref="R1360:R1423" si="300">IF($O1360="SELL",$E1360,NA())</f>
        <v>#N/A</v>
      </c>
      <c r="S1360" s="7">
        <f t="shared" si="293"/>
        <v>2504.8000000000002</v>
      </c>
      <c r="T1360" s="7">
        <f t="shared" si="294"/>
        <v>0</v>
      </c>
    </row>
    <row r="1361" spans="1:20" x14ac:dyDescent="0.25">
      <c r="A1361" s="1">
        <v>43181</v>
      </c>
      <c r="B1361">
        <v>2535</v>
      </c>
      <c r="C1361">
        <v>2555</v>
      </c>
      <c r="D1361">
        <v>2527.1</v>
      </c>
      <c r="E1361">
        <v>2549.5500000000002</v>
      </c>
      <c r="F1361">
        <v>999805</v>
      </c>
      <c r="G1361" s="4">
        <f t="shared" si="295"/>
        <v>19.5</v>
      </c>
      <c r="H1361" s="4">
        <f t="shared" si="296"/>
        <v>0</v>
      </c>
      <c r="I1361" s="6">
        <f t="shared" ref="I1361:I1424" si="301">AVERAGE(G1348:G1361)</f>
        <v>6.8892857142857009</v>
      </c>
      <c r="J1361" s="6">
        <f t="shared" ref="J1361:J1424" si="302">AVERAGE(H1348:H1361)</f>
        <v>11.760714285714259</v>
      </c>
      <c r="K1361" s="4">
        <f t="shared" ref="K1361:K1424" si="303">I1361/J1361</f>
        <v>0.58578803522623768</v>
      </c>
      <c r="L1361">
        <f t="shared" ref="L1361:L1424" si="304">100-(100/(K1361+1))</f>
        <v>36.939869781692849</v>
      </c>
      <c r="M1361" s="14" t="str">
        <f t="shared" si="297"/>
        <v/>
      </c>
      <c r="N1361" s="7">
        <f t="shared" si="298"/>
        <v>0</v>
      </c>
      <c r="O1361" s="7">
        <f t="shared" ref="O1361:O1424" si="305">IF(AND(N1361="BUY",P1360&lt;&gt;1),"BUY",IF(AND(N1361="SELL",P1360&lt;&gt;-1),"SELL",0))</f>
        <v>0</v>
      </c>
      <c r="P1361" s="7">
        <f t="shared" ref="P1361:P1424" si="306">IF(O1361="BUY",1,IF(O1361="SELL",-1,P1360))</f>
        <v>1</v>
      </c>
      <c r="Q1361" s="10" t="e">
        <f t="shared" si="299"/>
        <v>#N/A</v>
      </c>
      <c r="R1361" s="10" t="e">
        <f t="shared" si="300"/>
        <v>#N/A</v>
      </c>
      <c r="S1361" s="7">
        <f t="shared" ref="S1361:S1424" si="307">IF(O1361&lt;&gt;0,E1361,S1360)</f>
        <v>2504.8000000000002</v>
      </c>
      <c r="T1361" s="7">
        <f t="shared" si="294"/>
        <v>0</v>
      </c>
    </row>
    <row r="1362" spans="1:20" x14ac:dyDescent="0.25">
      <c r="A1362" s="1">
        <v>43182</v>
      </c>
      <c r="B1362">
        <v>2547</v>
      </c>
      <c r="C1362">
        <v>2600</v>
      </c>
      <c r="D1362">
        <v>2547</v>
      </c>
      <c r="E1362">
        <v>2591.5</v>
      </c>
      <c r="F1362">
        <v>551001</v>
      </c>
      <c r="G1362" s="4">
        <f t="shared" si="295"/>
        <v>41.949999999999818</v>
      </c>
      <c r="H1362" s="4">
        <f t="shared" si="296"/>
        <v>0</v>
      </c>
      <c r="I1362" s="6">
        <f t="shared" si="301"/>
        <v>9.8857142857142595</v>
      </c>
      <c r="J1362" s="6">
        <f t="shared" si="302"/>
        <v>10.485714285714266</v>
      </c>
      <c r="K1362" s="4">
        <f t="shared" si="303"/>
        <v>0.94277929155313278</v>
      </c>
      <c r="L1362">
        <f t="shared" si="304"/>
        <v>48.527349228611484</v>
      </c>
      <c r="M1362" s="14" t="str">
        <f t="shared" si="297"/>
        <v/>
      </c>
      <c r="N1362" s="7">
        <f t="shared" si="298"/>
        <v>0</v>
      </c>
      <c r="O1362" s="7">
        <f t="shared" si="305"/>
        <v>0</v>
      </c>
      <c r="P1362" s="7">
        <f t="shared" si="306"/>
        <v>1</v>
      </c>
      <c r="Q1362" s="10" t="e">
        <f t="shared" si="299"/>
        <v>#N/A</v>
      </c>
      <c r="R1362" s="10" t="e">
        <f t="shared" si="300"/>
        <v>#N/A</v>
      </c>
      <c r="S1362" s="7">
        <f t="shared" si="307"/>
        <v>2504.8000000000002</v>
      </c>
      <c r="T1362" s="7">
        <f t="shared" si="294"/>
        <v>0</v>
      </c>
    </row>
    <row r="1363" spans="1:20" x14ac:dyDescent="0.25">
      <c r="A1363" s="1">
        <v>43185</v>
      </c>
      <c r="B1363">
        <v>2600</v>
      </c>
      <c r="C1363">
        <v>2608</v>
      </c>
      <c r="D1363">
        <v>2567.1999999999998</v>
      </c>
      <c r="E1363">
        <v>2574.6</v>
      </c>
      <c r="F1363">
        <v>449159</v>
      </c>
      <c r="G1363" s="4">
        <f t="shared" si="295"/>
        <v>0</v>
      </c>
      <c r="H1363" s="4">
        <f t="shared" si="296"/>
        <v>16.900000000000091</v>
      </c>
      <c r="I1363" s="6">
        <f t="shared" si="301"/>
        <v>9.0999999999999748</v>
      </c>
      <c r="J1363" s="6">
        <f t="shared" si="302"/>
        <v>11.692857142857131</v>
      </c>
      <c r="K1363" s="4">
        <f t="shared" si="303"/>
        <v>0.77825290164935723</v>
      </c>
      <c r="L1363">
        <f t="shared" si="304"/>
        <v>43.765029199587723</v>
      </c>
      <c r="M1363" s="14" t="str">
        <f t="shared" si="297"/>
        <v/>
      </c>
      <c r="N1363" s="7">
        <f t="shared" si="298"/>
        <v>0</v>
      </c>
      <c r="O1363" s="7">
        <f t="shared" si="305"/>
        <v>0</v>
      </c>
      <c r="P1363" s="7">
        <f t="shared" si="306"/>
        <v>1</v>
      </c>
      <c r="Q1363" s="10" t="e">
        <f t="shared" si="299"/>
        <v>#N/A</v>
      </c>
      <c r="R1363" s="10" t="e">
        <f t="shared" si="300"/>
        <v>#N/A</v>
      </c>
      <c r="S1363" s="7">
        <f t="shared" si="307"/>
        <v>2504.8000000000002</v>
      </c>
      <c r="T1363" s="7">
        <f t="shared" si="294"/>
        <v>0</v>
      </c>
    </row>
    <row r="1364" spans="1:20" x14ac:dyDescent="0.25">
      <c r="A1364" s="1">
        <v>43186</v>
      </c>
      <c r="B1364">
        <v>2580</v>
      </c>
      <c r="C1364">
        <v>2587.9</v>
      </c>
      <c r="D1364">
        <v>2558.85</v>
      </c>
      <c r="E1364">
        <v>2570.3000000000002</v>
      </c>
      <c r="F1364">
        <v>585123</v>
      </c>
      <c r="G1364" s="4">
        <f t="shared" si="295"/>
        <v>0</v>
      </c>
      <c r="H1364" s="4">
        <f t="shared" si="296"/>
        <v>4.2999999999997272</v>
      </c>
      <c r="I1364" s="6">
        <f t="shared" si="301"/>
        <v>9.0999999999999748</v>
      </c>
      <c r="J1364" s="6">
        <f t="shared" si="302"/>
        <v>11.624999999999968</v>
      </c>
      <c r="K1364" s="4">
        <f t="shared" si="303"/>
        <v>0.78279569892473122</v>
      </c>
      <c r="L1364">
        <f t="shared" si="304"/>
        <v>43.90832328106152</v>
      </c>
      <c r="M1364" s="14" t="str">
        <f t="shared" si="297"/>
        <v/>
      </c>
      <c r="N1364" s="7">
        <f t="shared" si="298"/>
        <v>0</v>
      </c>
      <c r="O1364" s="7">
        <f t="shared" si="305"/>
        <v>0</v>
      </c>
      <c r="P1364" s="7">
        <f t="shared" si="306"/>
        <v>1</v>
      </c>
      <c r="Q1364" s="10" t="e">
        <f t="shared" si="299"/>
        <v>#N/A</v>
      </c>
      <c r="R1364" s="10" t="e">
        <f t="shared" si="300"/>
        <v>#N/A</v>
      </c>
      <c r="S1364" s="7">
        <f t="shared" si="307"/>
        <v>2504.8000000000002</v>
      </c>
      <c r="T1364" s="7">
        <f t="shared" si="294"/>
        <v>0</v>
      </c>
    </row>
    <row r="1365" spans="1:20" x14ac:dyDescent="0.25">
      <c r="A1365" s="1">
        <v>43187</v>
      </c>
      <c r="B1365">
        <v>2562</v>
      </c>
      <c r="C1365">
        <v>2573</v>
      </c>
      <c r="D1365">
        <v>2544.15</v>
      </c>
      <c r="E1365">
        <v>2550</v>
      </c>
      <c r="F1365">
        <v>965496</v>
      </c>
      <c r="G1365" s="4">
        <f t="shared" si="295"/>
        <v>0</v>
      </c>
      <c r="H1365" s="4">
        <f t="shared" si="296"/>
        <v>20.300000000000182</v>
      </c>
      <c r="I1365" s="6">
        <f t="shared" si="301"/>
        <v>9.0999999999999748</v>
      </c>
      <c r="J1365" s="6">
        <f t="shared" si="302"/>
        <v>10.946428571428539</v>
      </c>
      <c r="K1365" s="4">
        <f t="shared" si="303"/>
        <v>0.83132137030995124</v>
      </c>
      <c r="L1365">
        <f t="shared" si="304"/>
        <v>45.394619632994832</v>
      </c>
      <c r="M1365" s="14" t="str">
        <f t="shared" si="297"/>
        <v/>
      </c>
      <c r="N1365" s="7">
        <f t="shared" si="298"/>
        <v>0</v>
      </c>
      <c r="O1365" s="7">
        <f t="shared" si="305"/>
        <v>0</v>
      </c>
      <c r="P1365" s="7">
        <f t="shared" si="306"/>
        <v>1</v>
      </c>
      <c r="Q1365" s="10" t="e">
        <f t="shared" si="299"/>
        <v>#N/A</v>
      </c>
      <c r="R1365" s="10" t="e">
        <f t="shared" si="300"/>
        <v>#N/A</v>
      </c>
      <c r="S1365" s="7">
        <f t="shared" si="307"/>
        <v>2504.8000000000002</v>
      </c>
      <c r="T1365" s="7">
        <f t="shared" si="294"/>
        <v>0</v>
      </c>
    </row>
    <row r="1366" spans="1:20" x14ac:dyDescent="0.25">
      <c r="A1366" s="1">
        <v>43188</v>
      </c>
      <c r="B1366">
        <v>2550.1999999999998</v>
      </c>
      <c r="C1366">
        <v>2596.35</v>
      </c>
      <c r="D1366">
        <v>2550.1999999999998</v>
      </c>
      <c r="E1366">
        <v>2592.8000000000002</v>
      </c>
      <c r="F1366">
        <v>645051</v>
      </c>
      <c r="G1366" s="4">
        <f t="shared" si="295"/>
        <v>42.800000000000182</v>
      </c>
      <c r="H1366" s="4">
        <f t="shared" si="296"/>
        <v>0</v>
      </c>
      <c r="I1366" s="6">
        <f t="shared" si="301"/>
        <v>12.042857142857136</v>
      </c>
      <c r="J1366" s="6">
        <f t="shared" si="302"/>
        <v>10.946428571428539</v>
      </c>
      <c r="K1366" s="4">
        <f t="shared" si="303"/>
        <v>1.1001631321370335</v>
      </c>
      <c r="L1366">
        <f t="shared" si="304"/>
        <v>52.384651235047443</v>
      </c>
      <c r="M1366" s="14" t="str">
        <f t="shared" si="297"/>
        <v/>
      </c>
      <c r="N1366" s="7">
        <f t="shared" si="298"/>
        <v>0</v>
      </c>
      <c r="O1366" s="7">
        <f t="shared" si="305"/>
        <v>0</v>
      </c>
      <c r="P1366" s="7">
        <f t="shared" si="306"/>
        <v>1</v>
      </c>
      <c r="Q1366" s="10" t="e">
        <f t="shared" si="299"/>
        <v>#N/A</v>
      </c>
      <c r="R1366" s="10" t="e">
        <f t="shared" si="300"/>
        <v>#N/A</v>
      </c>
      <c r="S1366" s="7">
        <f t="shared" si="307"/>
        <v>2504.8000000000002</v>
      </c>
      <c r="T1366" s="7">
        <f t="shared" si="294"/>
        <v>0</v>
      </c>
    </row>
    <row r="1367" spans="1:20" x14ac:dyDescent="0.25">
      <c r="A1367" s="1">
        <v>43189</v>
      </c>
      <c r="B1367">
        <v>2572</v>
      </c>
      <c r="C1367">
        <v>2604</v>
      </c>
      <c r="D1367">
        <v>2543.4</v>
      </c>
      <c r="E1367">
        <v>2592.9</v>
      </c>
      <c r="F1367">
        <v>686378</v>
      </c>
      <c r="G1367" s="4">
        <f t="shared" si="295"/>
        <v>9.9999999999909051E-2</v>
      </c>
      <c r="H1367" s="4">
        <f t="shared" si="296"/>
        <v>0</v>
      </c>
      <c r="I1367" s="6">
        <f t="shared" si="301"/>
        <v>12.049999999999986</v>
      </c>
      <c r="J1367" s="6">
        <f t="shared" si="302"/>
        <v>9.8178571428571306</v>
      </c>
      <c r="K1367" s="4">
        <f t="shared" si="303"/>
        <v>1.2273554019643509</v>
      </c>
      <c r="L1367">
        <f t="shared" si="304"/>
        <v>55.103707333006703</v>
      </c>
      <c r="M1367" s="14" t="str">
        <f t="shared" si="297"/>
        <v/>
      </c>
      <c r="N1367" s="7">
        <f t="shared" si="298"/>
        <v>0</v>
      </c>
      <c r="O1367" s="7">
        <f t="shared" si="305"/>
        <v>0</v>
      </c>
      <c r="P1367" s="7">
        <f t="shared" si="306"/>
        <v>1</v>
      </c>
      <c r="Q1367" s="10" t="e">
        <f t="shared" si="299"/>
        <v>#N/A</v>
      </c>
      <c r="R1367" s="10" t="e">
        <f t="shared" si="300"/>
        <v>#N/A</v>
      </c>
      <c r="S1367" s="7">
        <f t="shared" si="307"/>
        <v>2504.8000000000002</v>
      </c>
      <c r="T1367" s="7">
        <f t="shared" si="294"/>
        <v>0</v>
      </c>
    </row>
    <row r="1368" spans="1:20" x14ac:dyDescent="0.25">
      <c r="A1368" s="1">
        <v>43192</v>
      </c>
      <c r="B1368">
        <v>2585</v>
      </c>
      <c r="C1368">
        <v>2588.75</v>
      </c>
      <c r="D1368">
        <v>2540</v>
      </c>
      <c r="E1368">
        <v>2550.9499999999998</v>
      </c>
      <c r="F1368">
        <v>774976</v>
      </c>
      <c r="G1368" s="4">
        <f t="shared" si="295"/>
        <v>0</v>
      </c>
      <c r="H1368" s="4">
        <f t="shared" si="296"/>
        <v>41.950000000000273</v>
      </c>
      <c r="I1368" s="6">
        <f t="shared" si="301"/>
        <v>9.2571428571428509</v>
      </c>
      <c r="J1368" s="6">
        <f t="shared" si="302"/>
        <v>12.81428571428572</v>
      </c>
      <c r="K1368" s="4">
        <f t="shared" si="303"/>
        <v>0.72240802675585203</v>
      </c>
      <c r="L1368">
        <f t="shared" si="304"/>
        <v>41.941747572815501</v>
      </c>
      <c r="M1368" s="14" t="str">
        <f t="shared" si="297"/>
        <v/>
      </c>
      <c r="N1368" s="7">
        <f t="shared" si="298"/>
        <v>0</v>
      </c>
      <c r="O1368" s="7">
        <f t="shared" si="305"/>
        <v>0</v>
      </c>
      <c r="P1368" s="7">
        <f t="shared" si="306"/>
        <v>1</v>
      </c>
      <c r="Q1368" s="10" t="e">
        <f t="shared" si="299"/>
        <v>#N/A</v>
      </c>
      <c r="R1368" s="10" t="e">
        <f t="shared" si="300"/>
        <v>#N/A</v>
      </c>
      <c r="S1368" s="7">
        <f t="shared" si="307"/>
        <v>2504.8000000000002</v>
      </c>
      <c r="T1368" s="7">
        <f t="shared" si="294"/>
        <v>0</v>
      </c>
    </row>
    <row r="1369" spans="1:20" x14ac:dyDescent="0.25">
      <c r="A1369" s="1">
        <v>43193</v>
      </c>
      <c r="B1369">
        <v>2563.9</v>
      </c>
      <c r="C1369">
        <v>2608</v>
      </c>
      <c r="D1369">
        <v>2556.75</v>
      </c>
      <c r="E1369">
        <v>2593.1</v>
      </c>
      <c r="F1369">
        <v>639854</v>
      </c>
      <c r="G1369" s="4">
        <f t="shared" si="295"/>
        <v>42.150000000000091</v>
      </c>
      <c r="H1369" s="4">
        <f t="shared" si="296"/>
        <v>0</v>
      </c>
      <c r="I1369" s="6">
        <f t="shared" si="301"/>
        <v>12.267857142857142</v>
      </c>
      <c r="J1369" s="6">
        <f t="shared" si="302"/>
        <v>10.710714285714305</v>
      </c>
      <c r="K1369" s="4">
        <f t="shared" si="303"/>
        <v>1.1453817939313082</v>
      </c>
      <c r="L1369">
        <f t="shared" si="304"/>
        <v>53.388249922287798</v>
      </c>
      <c r="M1369" s="14" t="str">
        <f t="shared" si="297"/>
        <v/>
      </c>
      <c r="N1369" s="7">
        <f t="shared" si="298"/>
        <v>0</v>
      </c>
      <c r="O1369" s="7">
        <f t="shared" si="305"/>
        <v>0</v>
      </c>
      <c r="P1369" s="7">
        <f t="shared" si="306"/>
        <v>1</v>
      </c>
      <c r="Q1369" s="10" t="e">
        <f t="shared" si="299"/>
        <v>#N/A</v>
      </c>
      <c r="R1369" s="10" t="e">
        <f t="shared" si="300"/>
        <v>#N/A</v>
      </c>
      <c r="S1369" s="7">
        <f t="shared" si="307"/>
        <v>2504.8000000000002</v>
      </c>
      <c r="T1369" s="7">
        <f t="shared" si="294"/>
        <v>0</v>
      </c>
    </row>
    <row r="1370" spans="1:20" x14ac:dyDescent="0.25">
      <c r="A1370" s="1">
        <v>43194</v>
      </c>
      <c r="B1370">
        <v>2600</v>
      </c>
      <c r="C1370">
        <v>2602.9499999999998</v>
      </c>
      <c r="D1370">
        <v>2571.0500000000002</v>
      </c>
      <c r="E1370">
        <v>2577.75</v>
      </c>
      <c r="F1370">
        <v>722940</v>
      </c>
      <c r="G1370" s="4">
        <f t="shared" si="295"/>
        <v>0</v>
      </c>
      <c r="H1370" s="4">
        <f t="shared" si="296"/>
        <v>15.349999999999909</v>
      </c>
      <c r="I1370" s="6">
        <f t="shared" si="301"/>
        <v>12.267857142857142</v>
      </c>
      <c r="J1370" s="6">
        <f t="shared" si="302"/>
        <v>7.1285714285714414</v>
      </c>
      <c r="K1370" s="4">
        <f t="shared" si="303"/>
        <v>1.7209418837675319</v>
      </c>
      <c r="L1370">
        <f t="shared" si="304"/>
        <v>63.248020622353117</v>
      </c>
      <c r="M1370" s="14" t="str">
        <f t="shared" si="297"/>
        <v/>
      </c>
      <c r="N1370" s="7">
        <f t="shared" si="298"/>
        <v>0</v>
      </c>
      <c r="O1370" s="7">
        <f t="shared" si="305"/>
        <v>0</v>
      </c>
      <c r="P1370" s="7">
        <f t="shared" si="306"/>
        <v>1</v>
      </c>
      <c r="Q1370" s="10" t="e">
        <f t="shared" si="299"/>
        <v>#N/A</v>
      </c>
      <c r="R1370" s="10" t="e">
        <f t="shared" si="300"/>
        <v>#N/A</v>
      </c>
      <c r="S1370" s="7">
        <f t="shared" si="307"/>
        <v>2504.8000000000002</v>
      </c>
      <c r="T1370" s="7">
        <f t="shared" ref="T1370:T1433" si="308">IF(O1370="BUY",(S1369-S1370)/S1369,IF(O1370="SELL",(S1370-S1369)/S1369,0))</f>
        <v>0</v>
      </c>
    </row>
    <row r="1371" spans="1:20" x14ac:dyDescent="0.25">
      <c r="A1371" s="1">
        <v>43195</v>
      </c>
      <c r="B1371">
        <v>2573.0500000000002</v>
      </c>
      <c r="C1371">
        <v>2610</v>
      </c>
      <c r="D1371">
        <v>2570</v>
      </c>
      <c r="E1371">
        <v>2603.9</v>
      </c>
      <c r="F1371">
        <v>481735</v>
      </c>
      <c r="G1371" s="4">
        <f t="shared" si="295"/>
        <v>26.150000000000091</v>
      </c>
      <c r="H1371" s="4">
        <f t="shared" si="296"/>
        <v>0</v>
      </c>
      <c r="I1371" s="6">
        <f t="shared" si="301"/>
        <v>14.135714285714291</v>
      </c>
      <c r="J1371" s="6">
        <f t="shared" si="302"/>
        <v>7.0571428571428703</v>
      </c>
      <c r="K1371" s="4">
        <f t="shared" si="303"/>
        <v>2.0030364372469607</v>
      </c>
      <c r="L1371">
        <f t="shared" si="304"/>
        <v>66.700370744860095</v>
      </c>
      <c r="M1371" s="14" t="str">
        <f t="shared" si="297"/>
        <v/>
      </c>
      <c r="N1371" s="7">
        <f t="shared" si="298"/>
        <v>0</v>
      </c>
      <c r="O1371" s="7">
        <f t="shared" si="305"/>
        <v>0</v>
      </c>
      <c r="P1371" s="7">
        <f t="shared" si="306"/>
        <v>1</v>
      </c>
      <c r="Q1371" s="10" t="e">
        <f t="shared" si="299"/>
        <v>#N/A</v>
      </c>
      <c r="R1371" s="10" t="e">
        <f t="shared" si="300"/>
        <v>#N/A</v>
      </c>
      <c r="S1371" s="7">
        <f t="shared" si="307"/>
        <v>2504.8000000000002</v>
      </c>
      <c r="T1371" s="7">
        <f t="shared" si="308"/>
        <v>0</v>
      </c>
    </row>
    <row r="1372" spans="1:20" x14ac:dyDescent="0.25">
      <c r="A1372" s="1">
        <v>43196</v>
      </c>
      <c r="B1372">
        <v>2580.3000000000002</v>
      </c>
      <c r="C1372">
        <v>2645</v>
      </c>
      <c r="D1372">
        <v>2580.3000000000002</v>
      </c>
      <c r="E1372">
        <v>2633.3</v>
      </c>
      <c r="F1372">
        <v>591169</v>
      </c>
      <c r="G1372" s="4">
        <f t="shared" si="295"/>
        <v>29.400000000000091</v>
      </c>
      <c r="H1372" s="4">
        <f t="shared" si="296"/>
        <v>0</v>
      </c>
      <c r="I1372" s="6">
        <f t="shared" si="301"/>
        <v>15.721428571428598</v>
      </c>
      <c r="J1372" s="6">
        <f t="shared" si="302"/>
        <v>7.0571428571428703</v>
      </c>
      <c r="K1372" s="4">
        <f t="shared" si="303"/>
        <v>2.2277327935222671</v>
      </c>
      <c r="L1372">
        <f t="shared" si="304"/>
        <v>69.01850109752273</v>
      </c>
      <c r="M1372" s="14" t="str">
        <f t="shared" si="297"/>
        <v/>
      </c>
      <c r="N1372" s="7">
        <f t="shared" si="298"/>
        <v>0</v>
      </c>
      <c r="O1372" s="7">
        <f t="shared" si="305"/>
        <v>0</v>
      </c>
      <c r="P1372" s="7">
        <f t="shared" si="306"/>
        <v>1</v>
      </c>
      <c r="Q1372" s="10" t="e">
        <f t="shared" si="299"/>
        <v>#N/A</v>
      </c>
      <c r="R1372" s="10" t="e">
        <f t="shared" si="300"/>
        <v>#N/A</v>
      </c>
      <c r="S1372" s="7">
        <f t="shared" si="307"/>
        <v>2504.8000000000002</v>
      </c>
      <c r="T1372" s="7">
        <f t="shared" si="308"/>
        <v>0</v>
      </c>
    </row>
    <row r="1373" spans="1:20" x14ac:dyDescent="0.25">
      <c r="A1373" s="1">
        <v>43199</v>
      </c>
      <c r="B1373">
        <v>2632.75</v>
      </c>
      <c r="C1373">
        <v>2646.9</v>
      </c>
      <c r="D1373">
        <v>2603</v>
      </c>
      <c r="E1373">
        <v>2616.25</v>
      </c>
      <c r="F1373">
        <v>821418</v>
      </c>
      <c r="G1373" s="4">
        <f t="shared" si="295"/>
        <v>0</v>
      </c>
      <c r="H1373" s="4">
        <f t="shared" si="296"/>
        <v>17.050000000000182</v>
      </c>
      <c r="I1373" s="6">
        <f t="shared" si="301"/>
        <v>15.592857142857156</v>
      </c>
      <c r="J1373" s="6">
        <f t="shared" si="302"/>
        <v>8.2750000000000252</v>
      </c>
      <c r="K1373" s="4">
        <f t="shared" si="303"/>
        <v>1.8843331894691369</v>
      </c>
      <c r="L1373">
        <f t="shared" si="304"/>
        <v>65.32994164297466</v>
      </c>
      <c r="M1373" s="14" t="str">
        <f t="shared" si="297"/>
        <v/>
      </c>
      <c r="N1373" s="7">
        <f t="shared" si="298"/>
        <v>0</v>
      </c>
      <c r="O1373" s="7">
        <f t="shared" si="305"/>
        <v>0</v>
      </c>
      <c r="P1373" s="7">
        <f t="shared" si="306"/>
        <v>1</v>
      </c>
      <c r="Q1373" s="10" t="e">
        <f t="shared" si="299"/>
        <v>#N/A</v>
      </c>
      <c r="R1373" s="10" t="e">
        <f t="shared" si="300"/>
        <v>#N/A</v>
      </c>
      <c r="S1373" s="7">
        <f t="shared" si="307"/>
        <v>2504.8000000000002</v>
      </c>
      <c r="T1373" s="7">
        <f t="shared" si="308"/>
        <v>0</v>
      </c>
    </row>
    <row r="1374" spans="1:20" x14ac:dyDescent="0.25">
      <c r="A1374" s="1">
        <v>43200</v>
      </c>
      <c r="B1374">
        <v>2597.9499999999998</v>
      </c>
      <c r="C1374">
        <v>2621.7</v>
      </c>
      <c r="D1374">
        <v>2580.5</v>
      </c>
      <c r="E1374">
        <v>2595.1</v>
      </c>
      <c r="F1374">
        <v>1333925</v>
      </c>
      <c r="G1374" s="4">
        <f t="shared" si="295"/>
        <v>0</v>
      </c>
      <c r="H1374" s="4">
        <f t="shared" si="296"/>
        <v>21.150000000000091</v>
      </c>
      <c r="I1374" s="6">
        <f t="shared" si="301"/>
        <v>14.432142857142869</v>
      </c>
      <c r="J1374" s="6">
        <f t="shared" si="302"/>
        <v>9.7857142857143185</v>
      </c>
      <c r="K1374" s="4">
        <f t="shared" si="303"/>
        <v>1.4748175182481715</v>
      </c>
      <c r="L1374">
        <f t="shared" si="304"/>
        <v>59.592980386373625</v>
      </c>
      <c r="M1374" s="14" t="str">
        <f t="shared" si="297"/>
        <v/>
      </c>
      <c r="N1374" s="7">
        <f t="shared" si="298"/>
        <v>0</v>
      </c>
      <c r="O1374" s="7">
        <f t="shared" si="305"/>
        <v>0</v>
      </c>
      <c r="P1374" s="7">
        <f t="shared" si="306"/>
        <v>1</v>
      </c>
      <c r="Q1374" s="10" t="e">
        <f t="shared" si="299"/>
        <v>#N/A</v>
      </c>
      <c r="R1374" s="10" t="e">
        <f t="shared" si="300"/>
        <v>#N/A</v>
      </c>
      <c r="S1374" s="7">
        <f t="shared" si="307"/>
        <v>2504.8000000000002</v>
      </c>
      <c r="T1374" s="7">
        <f t="shared" si="308"/>
        <v>0</v>
      </c>
    </row>
    <row r="1375" spans="1:20" x14ac:dyDescent="0.25">
      <c r="A1375" s="1">
        <v>43201</v>
      </c>
      <c r="B1375">
        <v>2595</v>
      </c>
      <c r="C1375">
        <v>2598.25</v>
      </c>
      <c r="D1375">
        <v>2506.65</v>
      </c>
      <c r="E1375">
        <v>2522.5</v>
      </c>
      <c r="F1375">
        <v>1967061</v>
      </c>
      <c r="G1375" s="4">
        <f t="shared" si="295"/>
        <v>0</v>
      </c>
      <c r="H1375" s="4">
        <f t="shared" si="296"/>
        <v>72.599999999999909</v>
      </c>
      <c r="I1375" s="6">
        <f t="shared" si="301"/>
        <v>13.039285714285727</v>
      </c>
      <c r="J1375" s="6">
        <f t="shared" si="302"/>
        <v>14.971428571428598</v>
      </c>
      <c r="K1375" s="4">
        <f t="shared" si="303"/>
        <v>0.87094465648854891</v>
      </c>
      <c r="L1375">
        <f t="shared" si="304"/>
        <v>46.55106464363125</v>
      </c>
      <c r="M1375" s="14" t="str">
        <f t="shared" si="297"/>
        <v/>
      </c>
      <c r="N1375" s="7">
        <f t="shared" si="298"/>
        <v>0</v>
      </c>
      <c r="O1375" s="7">
        <f t="shared" si="305"/>
        <v>0</v>
      </c>
      <c r="P1375" s="7">
        <f t="shared" si="306"/>
        <v>1</v>
      </c>
      <c r="Q1375" s="10" t="e">
        <f t="shared" si="299"/>
        <v>#N/A</v>
      </c>
      <c r="R1375" s="10" t="e">
        <f t="shared" si="300"/>
        <v>#N/A</v>
      </c>
      <c r="S1375" s="7">
        <f t="shared" si="307"/>
        <v>2504.8000000000002</v>
      </c>
      <c r="T1375" s="7">
        <f t="shared" si="308"/>
        <v>0</v>
      </c>
    </row>
    <row r="1376" spans="1:20" x14ac:dyDescent="0.25">
      <c r="A1376" s="1">
        <v>43202</v>
      </c>
      <c r="B1376">
        <v>2559</v>
      </c>
      <c r="C1376">
        <v>2559</v>
      </c>
      <c r="D1376">
        <v>2455</v>
      </c>
      <c r="E1376">
        <v>2474.35</v>
      </c>
      <c r="F1376">
        <v>4131827</v>
      </c>
      <c r="G1376" s="4">
        <f t="shared" si="295"/>
        <v>0</v>
      </c>
      <c r="H1376" s="4">
        <f t="shared" si="296"/>
        <v>48.150000000000091</v>
      </c>
      <c r="I1376" s="6">
        <f t="shared" si="301"/>
        <v>10.042857142857169</v>
      </c>
      <c r="J1376" s="6">
        <f t="shared" si="302"/>
        <v>18.410714285714317</v>
      </c>
      <c r="K1376" s="4">
        <f t="shared" si="303"/>
        <v>0.54548981571290067</v>
      </c>
      <c r="L1376">
        <f t="shared" si="304"/>
        <v>35.295594326597239</v>
      </c>
      <c r="M1376" s="14" t="str">
        <f t="shared" si="297"/>
        <v/>
      </c>
      <c r="N1376" s="7">
        <f t="shared" si="298"/>
        <v>0</v>
      </c>
      <c r="O1376" s="7">
        <f t="shared" si="305"/>
        <v>0</v>
      </c>
      <c r="P1376" s="7">
        <f t="shared" si="306"/>
        <v>1</v>
      </c>
      <c r="Q1376" s="10" t="e">
        <f t="shared" si="299"/>
        <v>#N/A</v>
      </c>
      <c r="R1376" s="10" t="e">
        <f t="shared" si="300"/>
        <v>#N/A</v>
      </c>
      <c r="S1376" s="7">
        <f t="shared" si="307"/>
        <v>2504.8000000000002</v>
      </c>
      <c r="T1376" s="7">
        <f t="shared" si="308"/>
        <v>0</v>
      </c>
    </row>
    <row r="1377" spans="1:20" x14ac:dyDescent="0.25">
      <c r="A1377" s="1">
        <v>43203</v>
      </c>
      <c r="B1377">
        <v>2475.4</v>
      </c>
      <c r="C1377">
        <v>2518.6</v>
      </c>
      <c r="D1377">
        <v>2475.4</v>
      </c>
      <c r="E1377">
        <v>2509.5500000000002</v>
      </c>
      <c r="F1377">
        <v>1140154</v>
      </c>
      <c r="G1377" s="4">
        <f t="shared" si="295"/>
        <v>35.200000000000273</v>
      </c>
      <c r="H1377" s="4">
        <f t="shared" si="296"/>
        <v>0</v>
      </c>
      <c r="I1377" s="6">
        <f t="shared" si="301"/>
        <v>12.557142857142903</v>
      </c>
      <c r="J1377" s="6">
        <f t="shared" si="302"/>
        <v>17.203571428571454</v>
      </c>
      <c r="K1377" s="4">
        <f t="shared" si="303"/>
        <v>0.72991488478306155</v>
      </c>
      <c r="L1377">
        <f t="shared" si="304"/>
        <v>42.193687747509948</v>
      </c>
      <c r="M1377" s="14" t="str">
        <f t="shared" si="297"/>
        <v/>
      </c>
      <c r="N1377" s="7">
        <f t="shared" si="298"/>
        <v>0</v>
      </c>
      <c r="O1377" s="7">
        <f t="shared" si="305"/>
        <v>0</v>
      </c>
      <c r="P1377" s="7">
        <f t="shared" si="306"/>
        <v>1</v>
      </c>
      <c r="Q1377" s="10" t="e">
        <f t="shared" si="299"/>
        <v>#N/A</v>
      </c>
      <c r="R1377" s="10" t="e">
        <f t="shared" si="300"/>
        <v>#N/A</v>
      </c>
      <c r="S1377" s="7">
        <f t="shared" si="307"/>
        <v>2504.8000000000002</v>
      </c>
      <c r="T1377" s="7">
        <f t="shared" si="308"/>
        <v>0</v>
      </c>
    </row>
    <row r="1378" spans="1:20" x14ac:dyDescent="0.25">
      <c r="A1378" s="1">
        <v>43206</v>
      </c>
      <c r="B1378">
        <v>2511</v>
      </c>
      <c r="C1378">
        <v>2515</v>
      </c>
      <c r="D1378">
        <v>2490</v>
      </c>
      <c r="E1378">
        <v>2499.5</v>
      </c>
      <c r="F1378">
        <v>851637</v>
      </c>
      <c r="G1378" s="4">
        <f t="shared" si="295"/>
        <v>0</v>
      </c>
      <c r="H1378" s="4">
        <f t="shared" si="296"/>
        <v>10.050000000000182</v>
      </c>
      <c r="I1378" s="6">
        <f t="shared" si="301"/>
        <v>12.557142857142903</v>
      </c>
      <c r="J1378" s="6">
        <f t="shared" si="302"/>
        <v>17.614285714285774</v>
      </c>
      <c r="K1378" s="4">
        <f t="shared" si="303"/>
        <v>0.7128953771289539</v>
      </c>
      <c r="L1378">
        <f t="shared" si="304"/>
        <v>41.619318181818187</v>
      </c>
      <c r="M1378" s="14" t="str">
        <f t="shared" si="297"/>
        <v/>
      </c>
      <c r="N1378" s="7">
        <f t="shared" si="298"/>
        <v>0</v>
      </c>
      <c r="O1378" s="7">
        <f t="shared" si="305"/>
        <v>0</v>
      </c>
      <c r="P1378" s="7">
        <f t="shared" si="306"/>
        <v>1</v>
      </c>
      <c r="Q1378" s="10" t="e">
        <f t="shared" si="299"/>
        <v>#N/A</v>
      </c>
      <c r="R1378" s="10" t="e">
        <f t="shared" si="300"/>
        <v>#N/A</v>
      </c>
      <c r="S1378" s="7">
        <f t="shared" si="307"/>
        <v>2504.8000000000002</v>
      </c>
      <c r="T1378" s="7">
        <f t="shared" si="308"/>
        <v>0</v>
      </c>
    </row>
    <row r="1379" spans="1:20" x14ac:dyDescent="0.25">
      <c r="A1379" s="1">
        <v>43207</v>
      </c>
      <c r="B1379">
        <v>2501</v>
      </c>
      <c r="C1379">
        <v>2549.9499999999998</v>
      </c>
      <c r="D1379">
        <v>2500</v>
      </c>
      <c r="E1379">
        <v>2545.75</v>
      </c>
      <c r="F1379">
        <v>1001830</v>
      </c>
      <c r="G1379" s="4">
        <f t="shared" si="295"/>
        <v>46.25</v>
      </c>
      <c r="H1379" s="4">
        <f t="shared" si="296"/>
        <v>0</v>
      </c>
      <c r="I1379" s="6">
        <f t="shared" si="301"/>
        <v>15.860714285714332</v>
      </c>
      <c r="J1379" s="6">
        <f t="shared" si="302"/>
        <v>16.164285714285761</v>
      </c>
      <c r="K1379" s="4">
        <f t="shared" si="303"/>
        <v>0.98121961997348661</v>
      </c>
      <c r="L1379">
        <f t="shared" si="304"/>
        <v>49.52603992416639</v>
      </c>
      <c r="M1379" s="14" t="str">
        <f t="shared" si="297"/>
        <v/>
      </c>
      <c r="N1379" s="7">
        <f t="shared" si="298"/>
        <v>0</v>
      </c>
      <c r="O1379" s="7">
        <f t="shared" si="305"/>
        <v>0</v>
      </c>
      <c r="P1379" s="7">
        <f t="shared" si="306"/>
        <v>1</v>
      </c>
      <c r="Q1379" s="10" t="e">
        <f t="shared" si="299"/>
        <v>#N/A</v>
      </c>
      <c r="R1379" s="10" t="e">
        <f t="shared" si="300"/>
        <v>#N/A</v>
      </c>
      <c r="S1379" s="7">
        <f t="shared" si="307"/>
        <v>2504.8000000000002</v>
      </c>
      <c r="T1379" s="7">
        <f t="shared" si="308"/>
        <v>0</v>
      </c>
    </row>
    <row r="1380" spans="1:20" x14ac:dyDescent="0.25">
      <c r="A1380" s="1">
        <v>43208</v>
      </c>
      <c r="B1380">
        <v>2543.6999999999998</v>
      </c>
      <c r="C1380">
        <v>2558.85</v>
      </c>
      <c r="D1380">
        <v>2526.6</v>
      </c>
      <c r="E1380">
        <v>2540.1999999999998</v>
      </c>
      <c r="F1380">
        <v>728304</v>
      </c>
      <c r="G1380" s="4">
        <f t="shared" si="295"/>
        <v>0</v>
      </c>
      <c r="H1380" s="4">
        <f t="shared" si="296"/>
        <v>5.5500000000001819</v>
      </c>
      <c r="I1380" s="6">
        <f t="shared" si="301"/>
        <v>12.803571428571461</v>
      </c>
      <c r="J1380" s="6">
        <f t="shared" si="302"/>
        <v>16.560714285714344</v>
      </c>
      <c r="K1380" s="4">
        <f t="shared" si="303"/>
        <v>0.77312917834806916</v>
      </c>
      <c r="L1380">
        <f t="shared" si="304"/>
        <v>43.60252979810263</v>
      </c>
      <c r="M1380" s="14" t="str">
        <f t="shared" si="297"/>
        <v/>
      </c>
      <c r="N1380" s="7">
        <f t="shared" si="298"/>
        <v>0</v>
      </c>
      <c r="O1380" s="7">
        <f t="shared" si="305"/>
        <v>0</v>
      </c>
      <c r="P1380" s="7">
        <f t="shared" si="306"/>
        <v>1</v>
      </c>
      <c r="Q1380" s="10" t="e">
        <f t="shared" si="299"/>
        <v>#N/A</v>
      </c>
      <c r="R1380" s="10" t="e">
        <f t="shared" si="300"/>
        <v>#N/A</v>
      </c>
      <c r="S1380" s="7">
        <f t="shared" si="307"/>
        <v>2504.8000000000002</v>
      </c>
      <c r="T1380" s="7">
        <f t="shared" si="308"/>
        <v>0</v>
      </c>
    </row>
    <row r="1381" spans="1:20" x14ac:dyDescent="0.25">
      <c r="A1381" s="1">
        <v>43209</v>
      </c>
      <c r="B1381">
        <v>2546.8000000000002</v>
      </c>
      <c r="C1381">
        <v>2570.1</v>
      </c>
      <c r="D1381">
        <v>2543.3000000000002</v>
      </c>
      <c r="E1381">
        <v>2564.4</v>
      </c>
      <c r="F1381">
        <v>535263</v>
      </c>
      <c r="G1381" s="4">
        <f t="shared" si="295"/>
        <v>24.200000000000273</v>
      </c>
      <c r="H1381" s="4">
        <f t="shared" si="296"/>
        <v>0</v>
      </c>
      <c r="I1381" s="6">
        <f t="shared" si="301"/>
        <v>14.525000000000059</v>
      </c>
      <c r="J1381" s="6">
        <f t="shared" si="302"/>
        <v>16.560714285714344</v>
      </c>
      <c r="K1381" s="4">
        <f t="shared" si="303"/>
        <v>0.87707569549277598</v>
      </c>
      <c r="L1381">
        <f t="shared" si="304"/>
        <v>46.725643382352949</v>
      </c>
      <c r="M1381" s="14" t="str">
        <f t="shared" si="297"/>
        <v/>
      </c>
      <c r="N1381" s="7">
        <f t="shared" si="298"/>
        <v>0</v>
      </c>
      <c r="O1381" s="7">
        <f t="shared" si="305"/>
        <v>0</v>
      </c>
      <c r="P1381" s="7">
        <f t="shared" si="306"/>
        <v>1</v>
      </c>
      <c r="Q1381" s="10" t="e">
        <f t="shared" si="299"/>
        <v>#N/A</v>
      </c>
      <c r="R1381" s="10" t="e">
        <f t="shared" si="300"/>
        <v>#N/A</v>
      </c>
      <c r="S1381" s="7">
        <f t="shared" si="307"/>
        <v>2504.8000000000002</v>
      </c>
      <c r="T1381" s="7">
        <f t="shared" si="308"/>
        <v>0</v>
      </c>
    </row>
    <row r="1382" spans="1:20" x14ac:dyDescent="0.25">
      <c r="A1382" s="1">
        <v>43210</v>
      </c>
      <c r="B1382">
        <v>2564</v>
      </c>
      <c r="C1382">
        <v>2583.9</v>
      </c>
      <c r="D1382">
        <v>2551.9</v>
      </c>
      <c r="E1382">
        <v>2579.15</v>
      </c>
      <c r="F1382">
        <v>426893</v>
      </c>
      <c r="G1382" s="4">
        <f t="shared" si="295"/>
        <v>14.75</v>
      </c>
      <c r="H1382" s="4">
        <f t="shared" si="296"/>
        <v>0</v>
      </c>
      <c r="I1382" s="6">
        <f t="shared" si="301"/>
        <v>15.578571428571488</v>
      </c>
      <c r="J1382" s="6">
        <f t="shared" si="302"/>
        <v>13.564285714285754</v>
      </c>
      <c r="K1382" s="4">
        <f t="shared" si="303"/>
        <v>1.1484992101105855</v>
      </c>
      <c r="L1382">
        <f t="shared" si="304"/>
        <v>53.455882352941195</v>
      </c>
      <c r="M1382" s="14" t="str">
        <f t="shared" si="297"/>
        <v/>
      </c>
      <c r="N1382" s="7">
        <f t="shared" si="298"/>
        <v>0</v>
      </c>
      <c r="O1382" s="7">
        <f t="shared" si="305"/>
        <v>0</v>
      </c>
      <c r="P1382" s="7">
        <f t="shared" si="306"/>
        <v>1</v>
      </c>
      <c r="Q1382" s="10" t="e">
        <f t="shared" si="299"/>
        <v>#N/A</v>
      </c>
      <c r="R1382" s="10" t="e">
        <f t="shared" si="300"/>
        <v>#N/A</v>
      </c>
      <c r="S1382" s="7">
        <f t="shared" si="307"/>
        <v>2504.8000000000002</v>
      </c>
      <c r="T1382" s="7">
        <f t="shared" si="308"/>
        <v>0</v>
      </c>
    </row>
    <row r="1383" spans="1:20" x14ac:dyDescent="0.25">
      <c r="A1383" s="1">
        <v>43213</v>
      </c>
      <c r="B1383">
        <v>2576</v>
      </c>
      <c r="C1383">
        <v>2600.35</v>
      </c>
      <c r="D1383">
        <v>2555.1</v>
      </c>
      <c r="E1383">
        <v>2561.4</v>
      </c>
      <c r="F1383">
        <v>637250</v>
      </c>
      <c r="G1383" s="4">
        <f t="shared" si="295"/>
        <v>0</v>
      </c>
      <c r="H1383" s="4">
        <f t="shared" si="296"/>
        <v>17.75</v>
      </c>
      <c r="I1383" s="6">
        <f t="shared" si="301"/>
        <v>12.567857142857195</v>
      </c>
      <c r="J1383" s="6">
        <f t="shared" si="302"/>
        <v>14.832142857142896</v>
      </c>
      <c r="K1383" s="4">
        <f t="shared" si="303"/>
        <v>0.8473392728148339</v>
      </c>
      <c r="L1383">
        <f t="shared" si="304"/>
        <v>45.868091762252384</v>
      </c>
      <c r="M1383" s="14" t="str">
        <f t="shared" si="297"/>
        <v/>
      </c>
      <c r="N1383" s="7">
        <f t="shared" si="298"/>
        <v>0</v>
      </c>
      <c r="O1383" s="7">
        <f t="shared" si="305"/>
        <v>0</v>
      </c>
      <c r="P1383" s="7">
        <f t="shared" si="306"/>
        <v>1</v>
      </c>
      <c r="Q1383" s="10" t="e">
        <f t="shared" si="299"/>
        <v>#N/A</v>
      </c>
      <c r="R1383" s="10" t="e">
        <f t="shared" si="300"/>
        <v>#N/A</v>
      </c>
      <c r="S1383" s="7">
        <f t="shared" si="307"/>
        <v>2504.8000000000002</v>
      </c>
      <c r="T1383" s="7">
        <f t="shared" si="308"/>
        <v>0</v>
      </c>
    </row>
    <row r="1384" spans="1:20" x14ac:dyDescent="0.25">
      <c r="A1384" s="1">
        <v>43214</v>
      </c>
      <c r="B1384">
        <v>2561</v>
      </c>
      <c r="C1384">
        <v>2569</v>
      </c>
      <c r="D1384">
        <v>2521.0500000000002</v>
      </c>
      <c r="E1384">
        <v>2528.0500000000002</v>
      </c>
      <c r="F1384">
        <v>660314</v>
      </c>
      <c r="G1384" s="4">
        <f t="shared" si="295"/>
        <v>0</v>
      </c>
      <c r="H1384" s="4">
        <f t="shared" si="296"/>
        <v>33.349999999999909</v>
      </c>
      <c r="I1384" s="6">
        <f t="shared" si="301"/>
        <v>12.567857142857195</v>
      </c>
      <c r="J1384" s="6">
        <f t="shared" si="302"/>
        <v>16.117857142857183</v>
      </c>
      <c r="K1384" s="4">
        <f t="shared" si="303"/>
        <v>0.77974739641037127</v>
      </c>
      <c r="L1384">
        <f t="shared" si="304"/>
        <v>43.812250996015969</v>
      </c>
      <c r="M1384" s="14" t="str">
        <f t="shared" si="297"/>
        <v/>
      </c>
      <c r="N1384" s="7">
        <f t="shared" si="298"/>
        <v>0</v>
      </c>
      <c r="O1384" s="7">
        <f t="shared" si="305"/>
        <v>0</v>
      </c>
      <c r="P1384" s="7">
        <f t="shared" si="306"/>
        <v>1</v>
      </c>
      <c r="Q1384" s="10" t="e">
        <f t="shared" si="299"/>
        <v>#N/A</v>
      </c>
      <c r="R1384" s="10" t="e">
        <f t="shared" si="300"/>
        <v>#N/A</v>
      </c>
      <c r="S1384" s="7">
        <f t="shared" si="307"/>
        <v>2504.8000000000002</v>
      </c>
      <c r="T1384" s="7">
        <f t="shared" si="308"/>
        <v>0</v>
      </c>
    </row>
    <row r="1385" spans="1:20" x14ac:dyDescent="0.25">
      <c r="A1385" s="1">
        <v>43215</v>
      </c>
      <c r="B1385">
        <v>2517.5</v>
      </c>
      <c r="C1385">
        <v>2537.85</v>
      </c>
      <c r="D1385">
        <v>2483</v>
      </c>
      <c r="E1385">
        <v>2488.6</v>
      </c>
      <c r="F1385">
        <v>748390</v>
      </c>
      <c r="G1385" s="4">
        <f t="shared" si="295"/>
        <v>0</v>
      </c>
      <c r="H1385" s="4">
        <f t="shared" si="296"/>
        <v>39.450000000000273</v>
      </c>
      <c r="I1385" s="6">
        <f t="shared" si="301"/>
        <v>10.700000000000045</v>
      </c>
      <c r="J1385" s="6">
        <f t="shared" si="302"/>
        <v>18.935714285714344</v>
      </c>
      <c r="K1385" s="4">
        <f t="shared" si="303"/>
        <v>0.56506978498679805</v>
      </c>
      <c r="L1385">
        <f t="shared" si="304"/>
        <v>36.105085562786236</v>
      </c>
      <c r="M1385" s="14" t="str">
        <f t="shared" si="297"/>
        <v/>
      </c>
      <c r="N1385" s="7">
        <f t="shared" si="298"/>
        <v>0</v>
      </c>
      <c r="O1385" s="7">
        <f t="shared" si="305"/>
        <v>0</v>
      </c>
      <c r="P1385" s="7">
        <f t="shared" si="306"/>
        <v>1</v>
      </c>
      <c r="Q1385" s="10" t="e">
        <f t="shared" si="299"/>
        <v>#N/A</v>
      </c>
      <c r="R1385" s="10" t="e">
        <f t="shared" si="300"/>
        <v>#N/A</v>
      </c>
      <c r="S1385" s="7">
        <f t="shared" si="307"/>
        <v>2504.8000000000002</v>
      </c>
      <c r="T1385" s="7">
        <f t="shared" si="308"/>
        <v>0</v>
      </c>
    </row>
    <row r="1386" spans="1:20" x14ac:dyDescent="0.25">
      <c r="A1386" s="1">
        <v>43216</v>
      </c>
      <c r="B1386">
        <v>2497.5</v>
      </c>
      <c r="C1386">
        <v>2516.5</v>
      </c>
      <c r="D1386">
        <v>2492.1</v>
      </c>
      <c r="E1386">
        <v>2505.15</v>
      </c>
      <c r="F1386">
        <v>787486</v>
      </c>
      <c r="G1386" s="4">
        <f t="shared" si="295"/>
        <v>16.550000000000182</v>
      </c>
      <c r="H1386" s="4">
        <f t="shared" si="296"/>
        <v>0</v>
      </c>
      <c r="I1386" s="6">
        <f t="shared" si="301"/>
        <v>9.7821428571429099</v>
      </c>
      <c r="J1386" s="6">
        <f t="shared" si="302"/>
        <v>18.935714285714344</v>
      </c>
      <c r="K1386" s="4">
        <f t="shared" si="303"/>
        <v>0.51659751037344515</v>
      </c>
      <c r="L1386">
        <f t="shared" si="304"/>
        <v>34.062927496580087</v>
      </c>
      <c r="M1386" s="14" t="str">
        <f t="shared" si="297"/>
        <v/>
      </c>
      <c r="N1386" s="7">
        <f t="shared" si="298"/>
        <v>0</v>
      </c>
      <c r="O1386" s="7">
        <f t="shared" si="305"/>
        <v>0</v>
      </c>
      <c r="P1386" s="7">
        <f t="shared" si="306"/>
        <v>1</v>
      </c>
      <c r="Q1386" s="10" t="e">
        <f t="shared" si="299"/>
        <v>#N/A</v>
      </c>
      <c r="R1386" s="10" t="e">
        <f t="shared" si="300"/>
        <v>#N/A</v>
      </c>
      <c r="S1386" s="7">
        <f t="shared" si="307"/>
        <v>2504.8000000000002</v>
      </c>
      <c r="T1386" s="7">
        <f t="shared" si="308"/>
        <v>0</v>
      </c>
    </row>
    <row r="1387" spans="1:20" x14ac:dyDescent="0.25">
      <c r="A1387" s="1">
        <v>43217</v>
      </c>
      <c r="B1387">
        <v>2488</v>
      </c>
      <c r="C1387">
        <v>2505</v>
      </c>
      <c r="D1387">
        <v>2481.15</v>
      </c>
      <c r="E1387">
        <v>2497.0500000000002</v>
      </c>
      <c r="F1387">
        <v>1001869</v>
      </c>
      <c r="G1387" s="4">
        <f t="shared" si="295"/>
        <v>0</v>
      </c>
      <c r="H1387" s="4">
        <f t="shared" si="296"/>
        <v>8.0999999999999091</v>
      </c>
      <c r="I1387" s="6">
        <f t="shared" si="301"/>
        <v>9.7821428571429099</v>
      </c>
      <c r="J1387" s="6">
        <f t="shared" si="302"/>
        <v>18.29642857142861</v>
      </c>
      <c r="K1387" s="4">
        <f t="shared" si="303"/>
        <v>0.53464766738239489</v>
      </c>
      <c r="L1387">
        <f t="shared" si="304"/>
        <v>34.838463495293894</v>
      </c>
      <c r="M1387" s="14" t="str">
        <f t="shared" si="297"/>
        <v/>
      </c>
      <c r="N1387" s="7">
        <f t="shared" si="298"/>
        <v>0</v>
      </c>
      <c r="O1387" s="7">
        <f t="shared" si="305"/>
        <v>0</v>
      </c>
      <c r="P1387" s="7">
        <f t="shared" si="306"/>
        <v>1</v>
      </c>
      <c r="Q1387" s="10" t="e">
        <f t="shared" si="299"/>
        <v>#N/A</v>
      </c>
      <c r="R1387" s="10" t="e">
        <f t="shared" si="300"/>
        <v>#N/A</v>
      </c>
      <c r="S1387" s="7">
        <f t="shared" si="307"/>
        <v>2504.8000000000002</v>
      </c>
      <c r="T1387" s="7">
        <f t="shared" si="308"/>
        <v>0</v>
      </c>
    </row>
    <row r="1388" spans="1:20" x14ac:dyDescent="0.25">
      <c r="A1388" s="1">
        <v>43220</v>
      </c>
      <c r="B1388">
        <v>2499.5</v>
      </c>
      <c r="C1388">
        <v>2519</v>
      </c>
      <c r="D1388">
        <v>2492.15</v>
      </c>
      <c r="E1388">
        <v>2502.0500000000002</v>
      </c>
      <c r="F1388">
        <v>945594</v>
      </c>
      <c r="G1388" s="4">
        <f t="shared" si="295"/>
        <v>5</v>
      </c>
      <c r="H1388" s="4">
        <f t="shared" si="296"/>
        <v>0</v>
      </c>
      <c r="I1388" s="6">
        <f t="shared" si="301"/>
        <v>10.139285714285766</v>
      </c>
      <c r="J1388" s="6">
        <f t="shared" si="302"/>
        <v>16.785714285714317</v>
      </c>
      <c r="K1388" s="4">
        <f t="shared" si="303"/>
        <v>0.60404255319149136</v>
      </c>
      <c r="L1388">
        <f t="shared" si="304"/>
        <v>37.657514259185653</v>
      </c>
      <c r="M1388" s="14" t="str">
        <f t="shared" si="297"/>
        <v/>
      </c>
      <c r="N1388" s="7">
        <f t="shared" si="298"/>
        <v>0</v>
      </c>
      <c r="O1388" s="7">
        <f t="shared" si="305"/>
        <v>0</v>
      </c>
      <c r="P1388" s="7">
        <f t="shared" si="306"/>
        <v>1</v>
      </c>
      <c r="Q1388" s="10" t="e">
        <f t="shared" si="299"/>
        <v>#N/A</v>
      </c>
      <c r="R1388" s="10" t="e">
        <f t="shared" si="300"/>
        <v>#N/A</v>
      </c>
      <c r="S1388" s="7">
        <f t="shared" si="307"/>
        <v>2504.8000000000002</v>
      </c>
      <c r="T1388" s="7">
        <f t="shared" si="308"/>
        <v>0</v>
      </c>
    </row>
    <row r="1389" spans="1:20" x14ac:dyDescent="0.25">
      <c r="A1389" s="1">
        <v>43221</v>
      </c>
      <c r="B1389">
        <v>2511</v>
      </c>
      <c r="C1389">
        <v>2515.0500000000002</v>
      </c>
      <c r="D1389">
        <v>2483.5</v>
      </c>
      <c r="E1389">
        <v>2506.75</v>
      </c>
      <c r="F1389">
        <v>1206659</v>
      </c>
      <c r="G1389" s="4">
        <f t="shared" si="295"/>
        <v>4.6999999999998181</v>
      </c>
      <c r="H1389" s="4">
        <f t="shared" si="296"/>
        <v>0</v>
      </c>
      <c r="I1389" s="6">
        <f t="shared" si="301"/>
        <v>10.475000000000039</v>
      </c>
      <c r="J1389" s="6">
        <f t="shared" si="302"/>
        <v>11.600000000000039</v>
      </c>
      <c r="K1389" s="4">
        <f t="shared" si="303"/>
        <v>0.90301724137931072</v>
      </c>
      <c r="L1389">
        <f t="shared" si="304"/>
        <v>47.451868629671587</v>
      </c>
      <c r="M1389" s="14" t="str">
        <f t="shared" si="297"/>
        <v/>
      </c>
      <c r="N1389" s="7">
        <f t="shared" si="298"/>
        <v>0</v>
      </c>
      <c r="O1389" s="7">
        <f t="shared" si="305"/>
        <v>0</v>
      </c>
      <c r="P1389" s="7">
        <f t="shared" si="306"/>
        <v>1</v>
      </c>
      <c r="Q1389" s="10" t="e">
        <f t="shared" si="299"/>
        <v>#N/A</v>
      </c>
      <c r="R1389" s="10" t="e">
        <f t="shared" si="300"/>
        <v>#N/A</v>
      </c>
      <c r="S1389" s="7">
        <f t="shared" si="307"/>
        <v>2504.8000000000002</v>
      </c>
      <c r="T1389" s="7">
        <f t="shared" si="308"/>
        <v>0</v>
      </c>
    </row>
    <row r="1390" spans="1:20" x14ac:dyDescent="0.25">
      <c r="A1390" s="1">
        <v>43222</v>
      </c>
      <c r="B1390">
        <v>2516.0500000000002</v>
      </c>
      <c r="C1390">
        <v>2516.8000000000002</v>
      </c>
      <c r="D1390">
        <v>2472.8000000000002</v>
      </c>
      <c r="E1390">
        <v>2480.65</v>
      </c>
      <c r="F1390">
        <v>1385287</v>
      </c>
      <c r="G1390" s="4">
        <f t="shared" si="295"/>
        <v>0</v>
      </c>
      <c r="H1390" s="4">
        <f t="shared" si="296"/>
        <v>26.099999999999909</v>
      </c>
      <c r="I1390" s="6">
        <f t="shared" si="301"/>
        <v>10.475000000000039</v>
      </c>
      <c r="J1390" s="6">
        <f t="shared" si="302"/>
        <v>10.025000000000025</v>
      </c>
      <c r="K1390" s="4">
        <f t="shared" si="303"/>
        <v>1.0448877805486296</v>
      </c>
      <c r="L1390">
        <f t="shared" si="304"/>
        <v>51.097560975609781</v>
      </c>
      <c r="M1390" s="14" t="str">
        <f t="shared" si="297"/>
        <v/>
      </c>
      <c r="N1390" s="7">
        <f t="shared" si="298"/>
        <v>0</v>
      </c>
      <c r="O1390" s="7">
        <f t="shared" si="305"/>
        <v>0</v>
      </c>
      <c r="P1390" s="7">
        <f t="shared" si="306"/>
        <v>1</v>
      </c>
      <c r="Q1390" s="10" t="e">
        <f t="shared" si="299"/>
        <v>#N/A</v>
      </c>
      <c r="R1390" s="10" t="e">
        <f t="shared" si="300"/>
        <v>#N/A</v>
      </c>
      <c r="S1390" s="7">
        <f t="shared" si="307"/>
        <v>2504.8000000000002</v>
      </c>
      <c r="T1390" s="7">
        <f t="shared" si="308"/>
        <v>0</v>
      </c>
    </row>
    <row r="1391" spans="1:20" x14ac:dyDescent="0.25">
      <c r="A1391" s="1">
        <v>43223</v>
      </c>
      <c r="B1391">
        <v>2489.9</v>
      </c>
      <c r="C1391">
        <v>2519</v>
      </c>
      <c r="D1391">
        <v>2487</v>
      </c>
      <c r="E1391">
        <v>2510.75</v>
      </c>
      <c r="F1391">
        <v>981888</v>
      </c>
      <c r="G1391" s="4">
        <f t="shared" si="295"/>
        <v>30.099999999999909</v>
      </c>
      <c r="H1391" s="4">
        <f t="shared" si="296"/>
        <v>0</v>
      </c>
      <c r="I1391" s="6">
        <f t="shared" si="301"/>
        <v>10.110714285714298</v>
      </c>
      <c r="J1391" s="6">
        <f t="shared" si="302"/>
        <v>10.025000000000025</v>
      </c>
      <c r="K1391" s="4">
        <f t="shared" si="303"/>
        <v>1.0085500534378327</v>
      </c>
      <c r="L1391">
        <f t="shared" si="304"/>
        <v>50.212841433132276</v>
      </c>
      <c r="M1391" s="14" t="str">
        <f t="shared" si="297"/>
        <v/>
      </c>
      <c r="N1391" s="7">
        <f t="shared" si="298"/>
        <v>0</v>
      </c>
      <c r="O1391" s="7">
        <f t="shared" si="305"/>
        <v>0</v>
      </c>
      <c r="P1391" s="7">
        <f t="shared" si="306"/>
        <v>1</v>
      </c>
      <c r="Q1391" s="10" t="e">
        <f t="shared" si="299"/>
        <v>#N/A</v>
      </c>
      <c r="R1391" s="10" t="e">
        <f t="shared" si="300"/>
        <v>#N/A</v>
      </c>
      <c r="S1391" s="7">
        <f t="shared" si="307"/>
        <v>2504.8000000000002</v>
      </c>
      <c r="T1391" s="7">
        <f t="shared" si="308"/>
        <v>0</v>
      </c>
    </row>
    <row r="1392" spans="1:20" x14ac:dyDescent="0.25">
      <c r="A1392" s="1">
        <v>43224</v>
      </c>
      <c r="B1392">
        <v>2503.4</v>
      </c>
      <c r="C1392">
        <v>2525</v>
      </c>
      <c r="D1392">
        <v>2500.9</v>
      </c>
      <c r="E1392">
        <v>2509.6</v>
      </c>
      <c r="F1392">
        <v>589662</v>
      </c>
      <c r="G1392" s="4">
        <f t="shared" si="295"/>
        <v>0</v>
      </c>
      <c r="H1392" s="4">
        <f t="shared" si="296"/>
        <v>1.1500000000000909</v>
      </c>
      <c r="I1392" s="6">
        <f t="shared" si="301"/>
        <v>10.110714285714298</v>
      </c>
      <c r="J1392" s="6">
        <f t="shared" si="302"/>
        <v>9.3892857142857338</v>
      </c>
      <c r="K1392" s="4">
        <f t="shared" si="303"/>
        <v>1.0768352985926199</v>
      </c>
      <c r="L1392">
        <f t="shared" si="304"/>
        <v>51.849816849816833</v>
      </c>
      <c r="M1392" s="14" t="str">
        <f t="shared" si="297"/>
        <v/>
      </c>
      <c r="N1392" s="7">
        <f t="shared" si="298"/>
        <v>0</v>
      </c>
      <c r="O1392" s="7">
        <f t="shared" si="305"/>
        <v>0</v>
      </c>
      <c r="P1392" s="7">
        <f t="shared" si="306"/>
        <v>1</v>
      </c>
      <c r="Q1392" s="10" t="e">
        <f t="shared" si="299"/>
        <v>#N/A</v>
      </c>
      <c r="R1392" s="10" t="e">
        <f t="shared" si="300"/>
        <v>#N/A</v>
      </c>
      <c r="S1392" s="7">
        <f t="shared" si="307"/>
        <v>2504.8000000000002</v>
      </c>
      <c r="T1392" s="7">
        <f t="shared" si="308"/>
        <v>0</v>
      </c>
    </row>
    <row r="1393" spans="1:20" x14ac:dyDescent="0.25">
      <c r="A1393" s="1">
        <v>43227</v>
      </c>
      <c r="B1393">
        <v>2510.4</v>
      </c>
      <c r="C1393">
        <v>2523</v>
      </c>
      <c r="D1393">
        <v>2486</v>
      </c>
      <c r="E1393">
        <v>2508.9</v>
      </c>
      <c r="F1393">
        <v>1171346</v>
      </c>
      <c r="G1393" s="4">
        <f t="shared" si="295"/>
        <v>0</v>
      </c>
      <c r="H1393" s="4">
        <f t="shared" si="296"/>
        <v>0.6999999999998181</v>
      </c>
      <c r="I1393" s="6">
        <f t="shared" si="301"/>
        <v>6.8071428571428703</v>
      </c>
      <c r="J1393" s="6">
        <f t="shared" si="302"/>
        <v>9.4392857142857203</v>
      </c>
      <c r="K1393" s="4">
        <f t="shared" si="303"/>
        <v>0.72115020809686059</v>
      </c>
      <c r="L1393">
        <f t="shared" si="304"/>
        <v>41.899318531545426</v>
      </c>
      <c r="M1393" s="14" t="str">
        <f t="shared" si="297"/>
        <v/>
      </c>
      <c r="N1393" s="7">
        <f t="shared" si="298"/>
        <v>0</v>
      </c>
      <c r="O1393" s="7">
        <f t="shared" si="305"/>
        <v>0</v>
      </c>
      <c r="P1393" s="7">
        <f t="shared" si="306"/>
        <v>1</v>
      </c>
      <c r="Q1393" s="10" t="e">
        <f t="shared" si="299"/>
        <v>#N/A</v>
      </c>
      <c r="R1393" s="10" t="e">
        <f t="shared" si="300"/>
        <v>#N/A</v>
      </c>
      <c r="S1393" s="7">
        <f t="shared" si="307"/>
        <v>2504.8000000000002</v>
      </c>
      <c r="T1393" s="7">
        <f t="shared" si="308"/>
        <v>0</v>
      </c>
    </row>
    <row r="1394" spans="1:20" x14ac:dyDescent="0.25">
      <c r="A1394" s="1">
        <v>43228</v>
      </c>
      <c r="B1394">
        <v>2520</v>
      </c>
      <c r="C1394">
        <v>2550</v>
      </c>
      <c r="D1394">
        <v>2511</v>
      </c>
      <c r="E1394">
        <v>2547.15</v>
      </c>
      <c r="F1394">
        <v>494497</v>
      </c>
      <c r="G1394" s="4">
        <f t="shared" si="295"/>
        <v>38.25</v>
      </c>
      <c r="H1394" s="4">
        <f t="shared" si="296"/>
        <v>0</v>
      </c>
      <c r="I1394" s="6">
        <f t="shared" si="301"/>
        <v>9.539285714285727</v>
      </c>
      <c r="J1394" s="6">
        <f t="shared" si="302"/>
        <v>9.0428571428571356</v>
      </c>
      <c r="K1394" s="4">
        <f t="shared" si="303"/>
        <v>1.0548973143759897</v>
      </c>
      <c r="L1394">
        <f t="shared" si="304"/>
        <v>51.335767826254141</v>
      </c>
      <c r="M1394" s="14" t="str">
        <f t="shared" si="297"/>
        <v/>
      </c>
      <c r="N1394" s="7">
        <f t="shared" si="298"/>
        <v>0</v>
      </c>
      <c r="O1394" s="7">
        <f t="shared" si="305"/>
        <v>0</v>
      </c>
      <c r="P1394" s="7">
        <f t="shared" si="306"/>
        <v>1</v>
      </c>
      <c r="Q1394" s="10" t="e">
        <f t="shared" si="299"/>
        <v>#N/A</v>
      </c>
      <c r="R1394" s="10" t="e">
        <f t="shared" si="300"/>
        <v>#N/A</v>
      </c>
      <c r="S1394" s="7">
        <f t="shared" si="307"/>
        <v>2504.8000000000002</v>
      </c>
      <c r="T1394" s="7">
        <f t="shared" si="308"/>
        <v>0</v>
      </c>
    </row>
    <row r="1395" spans="1:20" x14ac:dyDescent="0.25">
      <c r="A1395" s="1">
        <v>43229</v>
      </c>
      <c r="B1395">
        <v>2565</v>
      </c>
      <c r="C1395">
        <v>2583</v>
      </c>
      <c r="D1395">
        <v>2550.1</v>
      </c>
      <c r="E1395">
        <v>2573.3000000000002</v>
      </c>
      <c r="F1395">
        <v>1105683</v>
      </c>
      <c r="G1395" s="4">
        <f t="shared" si="295"/>
        <v>26.150000000000091</v>
      </c>
      <c r="H1395" s="4">
        <f t="shared" si="296"/>
        <v>0</v>
      </c>
      <c r="I1395" s="6">
        <f t="shared" si="301"/>
        <v>9.6785714285714288</v>
      </c>
      <c r="J1395" s="6">
        <f t="shared" si="302"/>
        <v>9.0428571428571356</v>
      </c>
      <c r="K1395" s="4">
        <f t="shared" si="303"/>
        <v>1.0703001579778839</v>
      </c>
      <c r="L1395">
        <f t="shared" si="304"/>
        <v>51.697825257535307</v>
      </c>
      <c r="M1395" s="14" t="str">
        <f t="shared" si="297"/>
        <v/>
      </c>
      <c r="N1395" s="7">
        <f t="shared" si="298"/>
        <v>0</v>
      </c>
      <c r="O1395" s="7">
        <f t="shared" si="305"/>
        <v>0</v>
      </c>
      <c r="P1395" s="7">
        <f t="shared" si="306"/>
        <v>1</v>
      </c>
      <c r="Q1395" s="10" t="e">
        <f t="shared" si="299"/>
        <v>#N/A</v>
      </c>
      <c r="R1395" s="10" t="e">
        <f t="shared" si="300"/>
        <v>#N/A</v>
      </c>
      <c r="S1395" s="7">
        <f t="shared" si="307"/>
        <v>2504.8000000000002</v>
      </c>
      <c r="T1395" s="7">
        <f t="shared" si="308"/>
        <v>0</v>
      </c>
    </row>
    <row r="1396" spans="1:20" x14ac:dyDescent="0.25">
      <c r="A1396" s="1">
        <v>43230</v>
      </c>
      <c r="B1396">
        <v>2573</v>
      </c>
      <c r="C1396">
        <v>2573</v>
      </c>
      <c r="D1396">
        <v>2547</v>
      </c>
      <c r="E1396">
        <v>2552.0500000000002</v>
      </c>
      <c r="F1396">
        <v>594253</v>
      </c>
      <c r="G1396" s="4">
        <f t="shared" si="295"/>
        <v>0</v>
      </c>
      <c r="H1396" s="4">
        <f t="shared" si="296"/>
        <v>21.25</v>
      </c>
      <c r="I1396" s="6">
        <f t="shared" si="301"/>
        <v>8.625</v>
      </c>
      <c r="J1396" s="6">
        <f t="shared" si="302"/>
        <v>10.56071428571428</v>
      </c>
      <c r="K1396" s="4">
        <f t="shared" si="303"/>
        <v>0.81670612106865115</v>
      </c>
      <c r="L1396">
        <f t="shared" si="304"/>
        <v>44.955323901712596</v>
      </c>
      <c r="M1396" s="14" t="str">
        <f t="shared" si="297"/>
        <v/>
      </c>
      <c r="N1396" s="7">
        <f t="shared" si="298"/>
        <v>0</v>
      </c>
      <c r="O1396" s="7">
        <f t="shared" si="305"/>
        <v>0</v>
      </c>
      <c r="P1396" s="7">
        <f t="shared" si="306"/>
        <v>1</v>
      </c>
      <c r="Q1396" s="10" t="e">
        <f t="shared" si="299"/>
        <v>#N/A</v>
      </c>
      <c r="R1396" s="10" t="e">
        <f t="shared" si="300"/>
        <v>#N/A</v>
      </c>
      <c r="S1396" s="7">
        <f t="shared" si="307"/>
        <v>2504.8000000000002</v>
      </c>
      <c r="T1396" s="7">
        <f t="shared" si="308"/>
        <v>0</v>
      </c>
    </row>
    <row r="1397" spans="1:20" x14ac:dyDescent="0.25">
      <c r="A1397" s="1">
        <v>43231</v>
      </c>
      <c r="B1397">
        <v>2572</v>
      </c>
      <c r="C1397">
        <v>2589</v>
      </c>
      <c r="D1397">
        <v>2556.6</v>
      </c>
      <c r="E1397">
        <v>2572.1</v>
      </c>
      <c r="F1397">
        <v>715591</v>
      </c>
      <c r="G1397" s="4">
        <f t="shared" si="295"/>
        <v>20.049999999999727</v>
      </c>
      <c r="H1397" s="4">
        <f t="shared" si="296"/>
        <v>0</v>
      </c>
      <c r="I1397" s="6">
        <f t="shared" si="301"/>
        <v>10.057142857142837</v>
      </c>
      <c r="J1397" s="6">
        <f t="shared" si="302"/>
        <v>9.2928571428571356</v>
      </c>
      <c r="K1397" s="4">
        <f t="shared" si="303"/>
        <v>1.0822444273635652</v>
      </c>
      <c r="L1397">
        <f t="shared" si="304"/>
        <v>51.974898486526364</v>
      </c>
      <c r="M1397" s="14" t="str">
        <f t="shared" si="297"/>
        <v/>
      </c>
      <c r="N1397" s="7">
        <f t="shared" si="298"/>
        <v>0</v>
      </c>
      <c r="O1397" s="7">
        <f t="shared" si="305"/>
        <v>0</v>
      </c>
      <c r="P1397" s="7">
        <f t="shared" si="306"/>
        <v>1</v>
      </c>
      <c r="Q1397" s="10" t="e">
        <f t="shared" si="299"/>
        <v>#N/A</v>
      </c>
      <c r="R1397" s="10" t="e">
        <f t="shared" si="300"/>
        <v>#N/A</v>
      </c>
      <c r="S1397" s="7">
        <f t="shared" si="307"/>
        <v>2504.8000000000002</v>
      </c>
      <c r="T1397" s="7">
        <f t="shared" si="308"/>
        <v>0</v>
      </c>
    </row>
    <row r="1398" spans="1:20" x14ac:dyDescent="0.25">
      <c r="A1398" s="1">
        <v>43234</v>
      </c>
      <c r="B1398">
        <v>2578</v>
      </c>
      <c r="C1398">
        <v>2610</v>
      </c>
      <c r="D1398">
        <v>2542.1</v>
      </c>
      <c r="E1398">
        <v>2604.1999999999998</v>
      </c>
      <c r="F1398">
        <v>1100153</v>
      </c>
      <c r="G1398" s="4">
        <f t="shared" si="295"/>
        <v>32.099999999999909</v>
      </c>
      <c r="H1398" s="4">
        <f t="shared" si="296"/>
        <v>0</v>
      </c>
      <c r="I1398" s="6">
        <f t="shared" si="301"/>
        <v>12.349999999999975</v>
      </c>
      <c r="J1398" s="6">
        <f t="shared" si="302"/>
        <v>6.9107142857142856</v>
      </c>
      <c r="K1398" s="4">
        <f t="shared" si="303"/>
        <v>1.7870801033591694</v>
      </c>
      <c r="L1398">
        <f t="shared" si="304"/>
        <v>64.120155757463337</v>
      </c>
      <c r="M1398" s="14" t="str">
        <f t="shared" si="297"/>
        <v/>
      </c>
      <c r="N1398" s="7">
        <f t="shared" si="298"/>
        <v>0</v>
      </c>
      <c r="O1398" s="7">
        <f t="shared" si="305"/>
        <v>0</v>
      </c>
      <c r="P1398" s="7">
        <f t="shared" si="306"/>
        <v>1</v>
      </c>
      <c r="Q1398" s="10" t="e">
        <f t="shared" si="299"/>
        <v>#N/A</v>
      </c>
      <c r="R1398" s="10" t="e">
        <f t="shared" si="300"/>
        <v>#N/A</v>
      </c>
      <c r="S1398" s="7">
        <f t="shared" si="307"/>
        <v>2504.8000000000002</v>
      </c>
      <c r="T1398" s="7">
        <f t="shared" si="308"/>
        <v>0</v>
      </c>
    </row>
    <row r="1399" spans="1:20" x14ac:dyDescent="0.25">
      <c r="A1399" s="1">
        <v>43235</v>
      </c>
      <c r="B1399">
        <v>2603.1</v>
      </c>
      <c r="C1399">
        <v>2691.4</v>
      </c>
      <c r="D1399">
        <v>2602</v>
      </c>
      <c r="E1399">
        <v>2671.7</v>
      </c>
      <c r="F1399">
        <v>1739892</v>
      </c>
      <c r="G1399" s="4">
        <f t="shared" si="295"/>
        <v>67.5</v>
      </c>
      <c r="H1399" s="4">
        <f t="shared" si="296"/>
        <v>0</v>
      </c>
      <c r="I1399" s="6">
        <f t="shared" si="301"/>
        <v>17.171428571428546</v>
      </c>
      <c r="J1399" s="6">
        <f t="shared" si="302"/>
        <v>4.092857142857123</v>
      </c>
      <c r="K1399" s="4">
        <f t="shared" si="303"/>
        <v>4.1954624781850054</v>
      </c>
      <c r="L1399">
        <f t="shared" si="304"/>
        <v>80.752435337588224</v>
      </c>
      <c r="M1399" s="14" t="str">
        <f t="shared" si="297"/>
        <v>OVERBOUGHT</v>
      </c>
      <c r="N1399" s="7" t="str">
        <f t="shared" si="298"/>
        <v>SELL</v>
      </c>
      <c r="O1399" s="7" t="str">
        <f t="shared" si="305"/>
        <v>SELL</v>
      </c>
      <c r="P1399" s="7">
        <f t="shared" si="306"/>
        <v>-1</v>
      </c>
      <c r="Q1399" s="10" t="e">
        <f t="shared" si="299"/>
        <v>#N/A</v>
      </c>
      <c r="R1399" s="10">
        <f t="shared" si="300"/>
        <v>2671.7</v>
      </c>
      <c r="S1399" s="7">
        <f t="shared" si="307"/>
        <v>2671.7</v>
      </c>
      <c r="T1399" s="7">
        <f t="shared" si="308"/>
        <v>6.6632066432449552E-2</v>
      </c>
    </row>
    <row r="1400" spans="1:20" x14ac:dyDescent="0.25">
      <c r="A1400" s="1">
        <v>43236</v>
      </c>
      <c r="B1400">
        <v>2670</v>
      </c>
      <c r="C1400">
        <v>2684</v>
      </c>
      <c r="D1400">
        <v>2556</v>
      </c>
      <c r="E1400">
        <v>2635.6</v>
      </c>
      <c r="F1400">
        <v>703213</v>
      </c>
      <c r="G1400" s="4">
        <f t="shared" si="295"/>
        <v>0</v>
      </c>
      <c r="H1400" s="4">
        <f t="shared" si="296"/>
        <v>36.099999999999909</v>
      </c>
      <c r="I1400" s="6">
        <f t="shared" si="301"/>
        <v>15.989285714285675</v>
      </c>
      <c r="J1400" s="6">
        <f t="shared" si="302"/>
        <v>6.6714285714285451</v>
      </c>
      <c r="K1400" s="4">
        <f t="shared" si="303"/>
        <v>2.3966809421841577</v>
      </c>
      <c r="L1400">
        <f t="shared" si="304"/>
        <v>70.559495665878671</v>
      </c>
      <c r="M1400" s="14" t="str">
        <f t="shared" si="297"/>
        <v>OVERBOUGHT</v>
      </c>
      <c r="N1400" s="7" t="str">
        <f t="shared" si="298"/>
        <v>SELL</v>
      </c>
      <c r="O1400" s="7">
        <f t="shared" si="305"/>
        <v>0</v>
      </c>
      <c r="P1400" s="7">
        <f t="shared" si="306"/>
        <v>-1</v>
      </c>
      <c r="Q1400" s="10" t="e">
        <f t="shared" si="299"/>
        <v>#N/A</v>
      </c>
      <c r="R1400" s="10" t="e">
        <f t="shared" si="300"/>
        <v>#N/A</v>
      </c>
      <c r="S1400" s="7">
        <f t="shared" si="307"/>
        <v>2671.7</v>
      </c>
      <c r="T1400" s="7">
        <f t="shared" si="308"/>
        <v>0</v>
      </c>
    </row>
    <row r="1401" spans="1:20" x14ac:dyDescent="0.25">
      <c r="A1401" s="1">
        <v>43237</v>
      </c>
      <c r="B1401">
        <v>2638</v>
      </c>
      <c r="C1401">
        <v>2719.35</v>
      </c>
      <c r="D1401">
        <v>2637.1</v>
      </c>
      <c r="E1401">
        <v>2703.2</v>
      </c>
      <c r="F1401">
        <v>1146982</v>
      </c>
      <c r="G1401" s="4">
        <f t="shared" si="295"/>
        <v>67.599999999999909</v>
      </c>
      <c r="H1401" s="4">
        <f t="shared" si="296"/>
        <v>0</v>
      </c>
      <c r="I1401" s="6">
        <f t="shared" si="301"/>
        <v>20.817857142857097</v>
      </c>
      <c r="J1401" s="6">
        <f t="shared" si="302"/>
        <v>6.092857142857123</v>
      </c>
      <c r="K1401" s="4">
        <f t="shared" si="303"/>
        <v>3.4167643610785499</v>
      </c>
      <c r="L1401">
        <f t="shared" si="304"/>
        <v>77.35899137358993</v>
      </c>
      <c r="M1401" s="14" t="str">
        <f t="shared" si="297"/>
        <v>OVERBOUGHT</v>
      </c>
      <c r="N1401" s="7" t="str">
        <f t="shared" si="298"/>
        <v>SELL</v>
      </c>
      <c r="O1401" s="7">
        <f t="shared" si="305"/>
        <v>0</v>
      </c>
      <c r="P1401" s="7">
        <f t="shared" si="306"/>
        <v>-1</v>
      </c>
      <c r="Q1401" s="10" t="e">
        <f t="shared" si="299"/>
        <v>#N/A</v>
      </c>
      <c r="R1401" s="10" t="e">
        <f t="shared" si="300"/>
        <v>#N/A</v>
      </c>
      <c r="S1401" s="7">
        <f t="shared" si="307"/>
        <v>2671.7</v>
      </c>
      <c r="T1401" s="7">
        <f t="shared" si="308"/>
        <v>0</v>
      </c>
    </row>
    <row r="1402" spans="1:20" x14ac:dyDescent="0.25">
      <c r="A1402" s="1">
        <v>43238</v>
      </c>
      <c r="B1402">
        <v>2690.1</v>
      </c>
      <c r="C1402">
        <v>2696.8</v>
      </c>
      <c r="D1402">
        <v>2655</v>
      </c>
      <c r="E1402">
        <v>2684.75</v>
      </c>
      <c r="F1402">
        <v>386822</v>
      </c>
      <c r="G1402" s="4">
        <f t="shared" si="295"/>
        <v>0</v>
      </c>
      <c r="H1402" s="4">
        <f t="shared" si="296"/>
        <v>18.449999999999818</v>
      </c>
      <c r="I1402" s="6">
        <f t="shared" si="301"/>
        <v>20.460714285714239</v>
      </c>
      <c r="J1402" s="6">
        <f t="shared" si="302"/>
        <v>7.4107142857142536</v>
      </c>
      <c r="K1402" s="4">
        <f t="shared" si="303"/>
        <v>2.7609638554216924</v>
      </c>
      <c r="L1402">
        <f t="shared" si="304"/>
        <v>73.41107124551516</v>
      </c>
      <c r="M1402" s="14" t="str">
        <f t="shared" si="297"/>
        <v>OVERBOUGHT</v>
      </c>
      <c r="N1402" s="7" t="str">
        <f t="shared" si="298"/>
        <v>SELL</v>
      </c>
      <c r="O1402" s="7">
        <f t="shared" si="305"/>
        <v>0</v>
      </c>
      <c r="P1402" s="7">
        <f t="shared" si="306"/>
        <v>-1</v>
      </c>
      <c r="Q1402" s="10" t="e">
        <f t="shared" si="299"/>
        <v>#N/A</v>
      </c>
      <c r="R1402" s="10" t="e">
        <f t="shared" si="300"/>
        <v>#N/A</v>
      </c>
      <c r="S1402" s="7">
        <f t="shared" si="307"/>
        <v>2671.7</v>
      </c>
      <c r="T1402" s="7">
        <f t="shared" si="308"/>
        <v>0</v>
      </c>
    </row>
    <row r="1403" spans="1:20" x14ac:dyDescent="0.25">
      <c r="A1403" s="1">
        <v>43241</v>
      </c>
      <c r="B1403">
        <v>2706.9</v>
      </c>
      <c r="C1403">
        <v>2749.9</v>
      </c>
      <c r="D1403">
        <v>2690</v>
      </c>
      <c r="E1403">
        <v>2740.9</v>
      </c>
      <c r="F1403">
        <v>958463</v>
      </c>
      <c r="G1403" s="4">
        <f t="shared" si="295"/>
        <v>56.150000000000091</v>
      </c>
      <c r="H1403" s="4">
        <f t="shared" si="296"/>
        <v>0</v>
      </c>
      <c r="I1403" s="6">
        <f t="shared" si="301"/>
        <v>24.135714285714261</v>
      </c>
      <c r="J1403" s="6">
        <f t="shared" si="302"/>
        <v>7.4107142857142536</v>
      </c>
      <c r="K1403" s="4">
        <f t="shared" si="303"/>
        <v>3.2568674698795288</v>
      </c>
      <c r="L1403">
        <f t="shared" si="304"/>
        <v>76.508547492358261</v>
      </c>
      <c r="M1403" s="14" t="str">
        <f t="shared" si="297"/>
        <v>OVERBOUGHT</v>
      </c>
      <c r="N1403" s="7" t="str">
        <f t="shared" si="298"/>
        <v>SELL</v>
      </c>
      <c r="O1403" s="7">
        <f t="shared" si="305"/>
        <v>0</v>
      </c>
      <c r="P1403" s="7">
        <f t="shared" si="306"/>
        <v>-1</v>
      </c>
      <c r="Q1403" s="10" t="e">
        <f t="shared" si="299"/>
        <v>#N/A</v>
      </c>
      <c r="R1403" s="10" t="e">
        <f t="shared" si="300"/>
        <v>#N/A</v>
      </c>
      <c r="S1403" s="7">
        <f t="shared" si="307"/>
        <v>2671.7</v>
      </c>
      <c r="T1403" s="7">
        <f t="shared" si="308"/>
        <v>0</v>
      </c>
    </row>
    <row r="1404" spans="1:20" x14ac:dyDescent="0.25">
      <c r="A1404" s="1">
        <v>43242</v>
      </c>
      <c r="B1404">
        <v>2750</v>
      </c>
      <c r="C1404">
        <v>2752.85</v>
      </c>
      <c r="D1404">
        <v>2721.9</v>
      </c>
      <c r="E1404">
        <v>2733.6</v>
      </c>
      <c r="F1404">
        <v>845035</v>
      </c>
      <c r="G1404" s="4">
        <f t="shared" si="295"/>
        <v>0</v>
      </c>
      <c r="H1404" s="4">
        <f t="shared" si="296"/>
        <v>7.3000000000001819</v>
      </c>
      <c r="I1404" s="6">
        <f t="shared" si="301"/>
        <v>24.135714285714261</v>
      </c>
      <c r="J1404" s="6">
        <f t="shared" si="302"/>
        <v>6.0678571428571297</v>
      </c>
      <c r="K1404" s="4">
        <f t="shared" si="303"/>
        <v>3.9776339022954725</v>
      </c>
      <c r="L1404">
        <f t="shared" si="304"/>
        <v>79.910133617121929</v>
      </c>
      <c r="M1404" s="14" t="str">
        <f t="shared" si="297"/>
        <v>OVERBOUGHT</v>
      </c>
      <c r="N1404" s="7" t="str">
        <f t="shared" si="298"/>
        <v>SELL</v>
      </c>
      <c r="O1404" s="7">
        <f t="shared" si="305"/>
        <v>0</v>
      </c>
      <c r="P1404" s="7">
        <f t="shared" si="306"/>
        <v>-1</v>
      </c>
      <c r="Q1404" s="10" t="e">
        <f t="shared" si="299"/>
        <v>#N/A</v>
      </c>
      <c r="R1404" s="10" t="e">
        <f t="shared" si="300"/>
        <v>#N/A</v>
      </c>
      <c r="S1404" s="7">
        <f t="shared" si="307"/>
        <v>2671.7</v>
      </c>
      <c r="T1404" s="7">
        <f t="shared" si="308"/>
        <v>0</v>
      </c>
    </row>
    <row r="1405" spans="1:20" x14ac:dyDescent="0.25">
      <c r="A1405" s="1">
        <v>43243</v>
      </c>
      <c r="B1405">
        <v>2745</v>
      </c>
      <c r="C1405">
        <v>2745</v>
      </c>
      <c r="D1405">
        <v>2672</v>
      </c>
      <c r="E1405">
        <v>2686.85</v>
      </c>
      <c r="F1405">
        <v>1174649</v>
      </c>
      <c r="G1405" s="4">
        <f t="shared" si="295"/>
        <v>0</v>
      </c>
      <c r="H1405" s="4">
        <f t="shared" si="296"/>
        <v>46.75</v>
      </c>
      <c r="I1405" s="6">
        <f t="shared" si="301"/>
        <v>21.985714285714266</v>
      </c>
      <c r="J1405" s="6">
        <f t="shared" si="302"/>
        <v>9.4071428571428442</v>
      </c>
      <c r="K1405" s="4">
        <f t="shared" si="303"/>
        <v>2.337129840546698</v>
      </c>
      <c r="L1405">
        <f t="shared" si="304"/>
        <v>70.034129692832778</v>
      </c>
      <c r="M1405" s="14" t="str">
        <f t="shared" si="297"/>
        <v>OVERBOUGHT</v>
      </c>
      <c r="N1405" s="7" t="str">
        <f t="shared" si="298"/>
        <v>SELL</v>
      </c>
      <c r="O1405" s="7">
        <f t="shared" si="305"/>
        <v>0</v>
      </c>
      <c r="P1405" s="7">
        <f t="shared" si="306"/>
        <v>-1</v>
      </c>
      <c r="Q1405" s="10" t="e">
        <f t="shared" si="299"/>
        <v>#N/A</v>
      </c>
      <c r="R1405" s="10" t="e">
        <f t="shared" si="300"/>
        <v>#N/A</v>
      </c>
      <c r="S1405" s="7">
        <f t="shared" si="307"/>
        <v>2671.7</v>
      </c>
      <c r="T1405" s="7">
        <f t="shared" si="308"/>
        <v>0</v>
      </c>
    </row>
    <row r="1406" spans="1:20" x14ac:dyDescent="0.25">
      <c r="A1406" s="1">
        <v>43244</v>
      </c>
      <c r="B1406">
        <v>2712</v>
      </c>
      <c r="C1406">
        <v>2729.9</v>
      </c>
      <c r="D1406">
        <v>2655.1</v>
      </c>
      <c r="E1406">
        <v>2676.15</v>
      </c>
      <c r="F1406">
        <v>1768040</v>
      </c>
      <c r="G1406" s="4">
        <f t="shared" si="295"/>
        <v>0</v>
      </c>
      <c r="H1406" s="4">
        <f t="shared" si="296"/>
        <v>10.699999999999818</v>
      </c>
      <c r="I1406" s="6">
        <f t="shared" si="301"/>
        <v>21.985714285714266</v>
      </c>
      <c r="J1406" s="6">
        <f t="shared" si="302"/>
        <v>10.089285714285682</v>
      </c>
      <c r="K1406" s="4">
        <f t="shared" si="303"/>
        <v>2.1791150442477929</v>
      </c>
      <c r="L1406">
        <f t="shared" si="304"/>
        <v>68.544705489366493</v>
      </c>
      <c r="M1406" s="14" t="str">
        <f t="shared" si="297"/>
        <v/>
      </c>
      <c r="N1406" s="7">
        <f t="shared" si="298"/>
        <v>0</v>
      </c>
      <c r="O1406" s="7">
        <f t="shared" si="305"/>
        <v>0</v>
      </c>
      <c r="P1406" s="7">
        <f t="shared" si="306"/>
        <v>-1</v>
      </c>
      <c r="Q1406" s="10" t="e">
        <f t="shared" si="299"/>
        <v>#N/A</v>
      </c>
      <c r="R1406" s="10" t="e">
        <f t="shared" si="300"/>
        <v>#N/A</v>
      </c>
      <c r="S1406" s="7">
        <f t="shared" si="307"/>
        <v>2671.7</v>
      </c>
      <c r="T1406" s="7">
        <f t="shared" si="308"/>
        <v>0</v>
      </c>
    </row>
    <row r="1407" spans="1:20" x14ac:dyDescent="0.25">
      <c r="A1407" s="1">
        <v>43245</v>
      </c>
      <c r="B1407">
        <v>2639</v>
      </c>
      <c r="C1407">
        <v>2645</v>
      </c>
      <c r="D1407">
        <v>2569.1</v>
      </c>
      <c r="E1407">
        <v>2578.65</v>
      </c>
      <c r="F1407">
        <v>2346172</v>
      </c>
      <c r="G1407" s="4">
        <f t="shared" si="295"/>
        <v>0</v>
      </c>
      <c r="H1407" s="4">
        <f t="shared" si="296"/>
        <v>97.5</v>
      </c>
      <c r="I1407" s="6">
        <f t="shared" si="301"/>
        <v>21.985714285714266</v>
      </c>
      <c r="J1407" s="6">
        <f t="shared" si="302"/>
        <v>17.003571428571409</v>
      </c>
      <c r="K1407" s="4">
        <f t="shared" si="303"/>
        <v>1.2930056710775051</v>
      </c>
      <c r="L1407">
        <f t="shared" si="304"/>
        <v>56.389117889530098</v>
      </c>
      <c r="M1407" s="14" t="str">
        <f t="shared" si="297"/>
        <v/>
      </c>
      <c r="N1407" s="7">
        <f t="shared" si="298"/>
        <v>0</v>
      </c>
      <c r="O1407" s="7">
        <f t="shared" si="305"/>
        <v>0</v>
      </c>
      <c r="P1407" s="7">
        <f t="shared" si="306"/>
        <v>-1</v>
      </c>
      <c r="Q1407" s="10" t="e">
        <f t="shared" si="299"/>
        <v>#N/A</v>
      </c>
      <c r="R1407" s="10" t="e">
        <f t="shared" si="300"/>
        <v>#N/A</v>
      </c>
      <c r="S1407" s="7">
        <f t="shared" si="307"/>
        <v>2671.7</v>
      </c>
      <c r="T1407" s="7">
        <f t="shared" si="308"/>
        <v>0</v>
      </c>
    </row>
    <row r="1408" spans="1:20" x14ac:dyDescent="0.25">
      <c r="A1408" s="1">
        <v>43248</v>
      </c>
      <c r="B1408">
        <v>2587.9</v>
      </c>
      <c r="C1408">
        <v>2622</v>
      </c>
      <c r="D1408">
        <v>2535.5</v>
      </c>
      <c r="E1408">
        <v>2567.15</v>
      </c>
      <c r="F1408">
        <v>1962900</v>
      </c>
      <c r="G1408" s="4">
        <f t="shared" si="295"/>
        <v>0</v>
      </c>
      <c r="H1408" s="4">
        <f t="shared" si="296"/>
        <v>11.5</v>
      </c>
      <c r="I1408" s="6">
        <f t="shared" si="301"/>
        <v>19.253571428571409</v>
      </c>
      <c r="J1408" s="6">
        <f t="shared" si="302"/>
        <v>17.824999999999982</v>
      </c>
      <c r="K1408" s="4">
        <f t="shared" si="303"/>
        <v>1.0801442596674014</v>
      </c>
      <c r="L1408">
        <f t="shared" si="304"/>
        <v>51.926411096127907</v>
      </c>
      <c r="M1408" s="14" t="str">
        <f t="shared" si="297"/>
        <v/>
      </c>
      <c r="N1408" s="7">
        <f t="shared" si="298"/>
        <v>0</v>
      </c>
      <c r="O1408" s="7">
        <f t="shared" si="305"/>
        <v>0</v>
      </c>
      <c r="P1408" s="7">
        <f t="shared" si="306"/>
        <v>-1</v>
      </c>
      <c r="Q1408" s="10" t="e">
        <f t="shared" si="299"/>
        <v>#N/A</v>
      </c>
      <c r="R1408" s="10" t="e">
        <f t="shared" si="300"/>
        <v>#N/A</v>
      </c>
      <c r="S1408" s="7">
        <f t="shared" si="307"/>
        <v>2671.7</v>
      </c>
      <c r="T1408" s="7">
        <f t="shared" si="308"/>
        <v>0</v>
      </c>
    </row>
    <row r="1409" spans="1:20" x14ac:dyDescent="0.25">
      <c r="A1409" s="1">
        <v>43249</v>
      </c>
      <c r="B1409">
        <v>2558.0500000000002</v>
      </c>
      <c r="C1409">
        <v>2639</v>
      </c>
      <c r="D1409">
        <v>2511.9499999999998</v>
      </c>
      <c r="E1409">
        <v>2576.75</v>
      </c>
      <c r="F1409">
        <v>1608079</v>
      </c>
      <c r="G1409" s="4">
        <f t="shared" si="295"/>
        <v>9.5999999999999091</v>
      </c>
      <c r="H1409" s="4">
        <f t="shared" si="296"/>
        <v>0</v>
      </c>
      <c r="I1409" s="6">
        <f t="shared" si="301"/>
        <v>18.071428571428537</v>
      </c>
      <c r="J1409" s="6">
        <f t="shared" si="302"/>
        <v>17.824999999999982</v>
      </c>
      <c r="K1409" s="4">
        <f t="shared" si="303"/>
        <v>1.0138248847926259</v>
      </c>
      <c r="L1409">
        <f t="shared" si="304"/>
        <v>50.343249427917598</v>
      </c>
      <c r="M1409" s="14" t="str">
        <f t="shared" si="297"/>
        <v/>
      </c>
      <c r="N1409" s="7">
        <f t="shared" si="298"/>
        <v>0</v>
      </c>
      <c r="O1409" s="7">
        <f t="shared" si="305"/>
        <v>0</v>
      </c>
      <c r="P1409" s="7">
        <f t="shared" si="306"/>
        <v>-1</v>
      </c>
      <c r="Q1409" s="10" t="e">
        <f t="shared" si="299"/>
        <v>#N/A</v>
      </c>
      <c r="R1409" s="10" t="e">
        <f t="shared" si="300"/>
        <v>#N/A</v>
      </c>
      <c r="S1409" s="7">
        <f t="shared" si="307"/>
        <v>2671.7</v>
      </c>
      <c r="T1409" s="7">
        <f t="shared" si="308"/>
        <v>0</v>
      </c>
    </row>
    <row r="1410" spans="1:20" x14ac:dyDescent="0.25">
      <c r="A1410" s="1">
        <v>43250</v>
      </c>
      <c r="B1410">
        <v>2614.9</v>
      </c>
      <c r="C1410">
        <v>2614.9</v>
      </c>
      <c r="D1410">
        <v>2545.8000000000002</v>
      </c>
      <c r="E1410">
        <v>2574.65</v>
      </c>
      <c r="F1410">
        <v>2632399</v>
      </c>
      <c r="G1410" s="4">
        <f t="shared" si="295"/>
        <v>0</v>
      </c>
      <c r="H1410" s="4">
        <f t="shared" si="296"/>
        <v>2.0999999999999091</v>
      </c>
      <c r="I1410" s="6">
        <f t="shared" si="301"/>
        <v>18.071428571428537</v>
      </c>
      <c r="J1410" s="6">
        <f t="shared" si="302"/>
        <v>16.457142857142831</v>
      </c>
      <c r="K1410" s="4">
        <f t="shared" si="303"/>
        <v>1.0980902777777775</v>
      </c>
      <c r="L1410">
        <f t="shared" si="304"/>
        <v>52.337608605709555</v>
      </c>
      <c r="M1410" s="14" t="str">
        <f t="shared" si="297"/>
        <v/>
      </c>
      <c r="N1410" s="7">
        <f t="shared" si="298"/>
        <v>0</v>
      </c>
      <c r="O1410" s="7">
        <f t="shared" si="305"/>
        <v>0</v>
      </c>
      <c r="P1410" s="7">
        <f t="shared" si="306"/>
        <v>-1</v>
      </c>
      <c r="Q1410" s="10" t="e">
        <f t="shared" si="299"/>
        <v>#N/A</v>
      </c>
      <c r="R1410" s="10" t="e">
        <f t="shared" si="300"/>
        <v>#N/A</v>
      </c>
      <c r="S1410" s="7">
        <f t="shared" si="307"/>
        <v>2671.7</v>
      </c>
      <c r="T1410" s="7">
        <f t="shared" si="308"/>
        <v>0</v>
      </c>
    </row>
    <row r="1411" spans="1:20" x14ac:dyDescent="0.25">
      <c r="A1411" s="1">
        <v>43251</v>
      </c>
      <c r="B1411">
        <v>2609</v>
      </c>
      <c r="C1411">
        <v>2609</v>
      </c>
      <c r="D1411">
        <v>2557.6999999999998</v>
      </c>
      <c r="E1411">
        <v>2570.85</v>
      </c>
      <c r="F1411">
        <v>1372076</v>
      </c>
      <c r="G1411" s="4">
        <f t="shared" si="295"/>
        <v>0</v>
      </c>
      <c r="H1411" s="4">
        <f t="shared" si="296"/>
        <v>3.8000000000001819</v>
      </c>
      <c r="I1411" s="6">
        <f t="shared" si="301"/>
        <v>16.639285714285702</v>
      </c>
      <c r="J1411" s="6">
        <f t="shared" si="302"/>
        <v>16.728571428571417</v>
      </c>
      <c r="K1411" s="4">
        <f t="shared" si="303"/>
        <v>0.99466268146882997</v>
      </c>
      <c r="L1411">
        <f t="shared" si="304"/>
        <v>49.866209996789038</v>
      </c>
      <c r="M1411" s="14" t="str">
        <f t="shared" si="297"/>
        <v/>
      </c>
      <c r="N1411" s="7">
        <f t="shared" si="298"/>
        <v>0</v>
      </c>
      <c r="O1411" s="7">
        <f t="shared" si="305"/>
        <v>0</v>
      </c>
      <c r="P1411" s="7">
        <f t="shared" si="306"/>
        <v>-1</v>
      </c>
      <c r="Q1411" s="10" t="e">
        <f t="shared" si="299"/>
        <v>#N/A</v>
      </c>
      <c r="R1411" s="10" t="e">
        <f t="shared" si="300"/>
        <v>#N/A</v>
      </c>
      <c r="S1411" s="7">
        <f t="shared" si="307"/>
        <v>2671.7</v>
      </c>
      <c r="T1411" s="7">
        <f t="shared" si="308"/>
        <v>0</v>
      </c>
    </row>
    <row r="1412" spans="1:20" x14ac:dyDescent="0.25">
      <c r="A1412" s="1">
        <v>43252</v>
      </c>
      <c r="B1412">
        <v>2590</v>
      </c>
      <c r="C1412">
        <v>2590</v>
      </c>
      <c r="D1412">
        <v>2531.0500000000002</v>
      </c>
      <c r="E1412">
        <v>2564.0500000000002</v>
      </c>
      <c r="F1412">
        <v>1846022</v>
      </c>
      <c r="G1412" s="4">
        <f t="shared" ref="G1412:G1475" si="309">IF(E1412&gt;E1411,E1412-E1411,0)</f>
        <v>0</v>
      </c>
      <c r="H1412" s="4">
        <f t="shared" ref="H1412:H1475" si="310">IF(E1412&lt;E1411,E1411-E1412,0)</f>
        <v>6.7999999999997272</v>
      </c>
      <c r="I1412" s="6">
        <f t="shared" si="301"/>
        <v>14.346428571428564</v>
      </c>
      <c r="J1412" s="6">
        <f t="shared" si="302"/>
        <v>17.214285714285683</v>
      </c>
      <c r="K1412" s="4">
        <f t="shared" si="303"/>
        <v>0.83340248962655716</v>
      </c>
      <c r="L1412">
        <f t="shared" si="304"/>
        <v>45.45660291954286</v>
      </c>
      <c r="M1412" s="14" t="str">
        <f t="shared" si="297"/>
        <v/>
      </c>
      <c r="N1412" s="7">
        <f t="shared" si="298"/>
        <v>0</v>
      </c>
      <c r="O1412" s="7">
        <f t="shared" si="305"/>
        <v>0</v>
      </c>
      <c r="P1412" s="7">
        <f t="shared" si="306"/>
        <v>-1</v>
      </c>
      <c r="Q1412" s="10" t="e">
        <f t="shared" si="299"/>
        <v>#N/A</v>
      </c>
      <c r="R1412" s="10" t="e">
        <f t="shared" si="300"/>
        <v>#N/A</v>
      </c>
      <c r="S1412" s="7">
        <f t="shared" si="307"/>
        <v>2671.7</v>
      </c>
      <c r="T1412" s="7">
        <f t="shared" si="308"/>
        <v>0</v>
      </c>
    </row>
    <row r="1413" spans="1:20" x14ac:dyDescent="0.25">
      <c r="A1413" s="1">
        <v>43255</v>
      </c>
      <c r="B1413">
        <v>2556</v>
      </c>
      <c r="C1413">
        <v>2611.1999999999998</v>
      </c>
      <c r="D1413">
        <v>2530</v>
      </c>
      <c r="E1413">
        <v>2537.4</v>
      </c>
      <c r="F1413">
        <v>1493801</v>
      </c>
      <c r="G1413" s="4">
        <f t="shared" si="309"/>
        <v>0</v>
      </c>
      <c r="H1413" s="4">
        <f t="shared" si="310"/>
        <v>26.650000000000091</v>
      </c>
      <c r="I1413" s="6">
        <f t="shared" si="301"/>
        <v>9.5249999999999932</v>
      </c>
      <c r="J1413" s="6">
        <f t="shared" si="302"/>
        <v>19.117857142857115</v>
      </c>
      <c r="K1413" s="4">
        <f t="shared" si="303"/>
        <v>0.49822529422753631</v>
      </c>
      <c r="L1413">
        <f t="shared" si="304"/>
        <v>33.254364089775578</v>
      </c>
      <c r="M1413" s="14" t="str">
        <f t="shared" si="297"/>
        <v/>
      </c>
      <c r="N1413" s="7">
        <f t="shared" si="298"/>
        <v>0</v>
      </c>
      <c r="O1413" s="7">
        <f t="shared" si="305"/>
        <v>0</v>
      </c>
      <c r="P1413" s="7">
        <f t="shared" si="306"/>
        <v>-1</v>
      </c>
      <c r="Q1413" s="10" t="e">
        <f t="shared" si="299"/>
        <v>#N/A</v>
      </c>
      <c r="R1413" s="10" t="e">
        <f t="shared" si="300"/>
        <v>#N/A</v>
      </c>
      <c r="S1413" s="7">
        <f t="shared" si="307"/>
        <v>2671.7</v>
      </c>
      <c r="T1413" s="7">
        <f t="shared" si="308"/>
        <v>0</v>
      </c>
    </row>
    <row r="1414" spans="1:20" x14ac:dyDescent="0.25">
      <c r="A1414" s="1">
        <v>43256</v>
      </c>
      <c r="B1414">
        <v>2559.6999999999998</v>
      </c>
      <c r="C1414">
        <v>2620.4499999999998</v>
      </c>
      <c r="D1414">
        <v>2548</v>
      </c>
      <c r="E1414">
        <v>2591.8000000000002</v>
      </c>
      <c r="F1414">
        <v>1882975</v>
      </c>
      <c r="G1414" s="4">
        <f t="shared" si="309"/>
        <v>54.400000000000091</v>
      </c>
      <c r="H1414" s="4">
        <f t="shared" si="310"/>
        <v>0</v>
      </c>
      <c r="I1414" s="6">
        <f t="shared" si="301"/>
        <v>13.410714285714286</v>
      </c>
      <c r="J1414" s="6">
        <f t="shared" si="302"/>
        <v>16.539285714285693</v>
      </c>
      <c r="K1414" s="4">
        <f t="shared" si="303"/>
        <v>0.8108399913625578</v>
      </c>
      <c r="L1414">
        <f t="shared" si="304"/>
        <v>44.777009301216353</v>
      </c>
      <c r="M1414" s="14" t="str">
        <f t="shared" si="297"/>
        <v/>
      </c>
      <c r="N1414" s="7">
        <f t="shared" si="298"/>
        <v>0</v>
      </c>
      <c r="O1414" s="7">
        <f t="shared" si="305"/>
        <v>0</v>
      </c>
      <c r="P1414" s="7">
        <f t="shared" si="306"/>
        <v>-1</v>
      </c>
      <c r="Q1414" s="10" t="e">
        <f t="shared" si="299"/>
        <v>#N/A</v>
      </c>
      <c r="R1414" s="10" t="e">
        <f t="shared" si="300"/>
        <v>#N/A</v>
      </c>
      <c r="S1414" s="7">
        <f t="shared" si="307"/>
        <v>2671.7</v>
      </c>
      <c r="T1414" s="7">
        <f t="shared" si="308"/>
        <v>0</v>
      </c>
    </row>
    <row r="1415" spans="1:20" x14ac:dyDescent="0.25">
      <c r="A1415" s="1">
        <v>43257</v>
      </c>
      <c r="B1415">
        <v>2596.1</v>
      </c>
      <c r="C1415">
        <v>2615</v>
      </c>
      <c r="D1415">
        <v>2576.25</v>
      </c>
      <c r="E1415">
        <v>2605.6</v>
      </c>
      <c r="F1415">
        <v>1132537</v>
      </c>
      <c r="G1415" s="4">
        <f t="shared" si="309"/>
        <v>13.799999999999727</v>
      </c>
      <c r="H1415" s="4">
        <f t="shared" si="310"/>
        <v>0</v>
      </c>
      <c r="I1415" s="6">
        <f t="shared" si="301"/>
        <v>9.5678571428571306</v>
      </c>
      <c r="J1415" s="6">
        <f t="shared" si="302"/>
        <v>16.539285714285693</v>
      </c>
      <c r="K1415" s="4">
        <f t="shared" si="303"/>
        <v>0.57849276614122225</v>
      </c>
      <c r="L1415">
        <f t="shared" si="304"/>
        <v>36.648426812585498</v>
      </c>
      <c r="M1415" s="14" t="str">
        <f t="shared" si="297"/>
        <v/>
      </c>
      <c r="N1415" s="7">
        <f t="shared" si="298"/>
        <v>0</v>
      </c>
      <c r="O1415" s="7">
        <f t="shared" si="305"/>
        <v>0</v>
      </c>
      <c r="P1415" s="7">
        <f t="shared" si="306"/>
        <v>-1</v>
      </c>
      <c r="Q1415" s="10" t="e">
        <f t="shared" si="299"/>
        <v>#N/A</v>
      </c>
      <c r="R1415" s="10" t="e">
        <f t="shared" si="300"/>
        <v>#N/A</v>
      </c>
      <c r="S1415" s="7">
        <f t="shared" si="307"/>
        <v>2671.7</v>
      </c>
      <c r="T1415" s="7">
        <f t="shared" si="308"/>
        <v>0</v>
      </c>
    </row>
    <row r="1416" spans="1:20" x14ac:dyDescent="0.25">
      <c r="A1416" s="1">
        <v>43258</v>
      </c>
      <c r="B1416">
        <v>2611.4</v>
      </c>
      <c r="C1416">
        <v>2614.9</v>
      </c>
      <c r="D1416">
        <v>2539.15</v>
      </c>
      <c r="E1416">
        <v>2547.4499999999998</v>
      </c>
      <c r="F1416">
        <v>1213198</v>
      </c>
      <c r="G1416" s="4">
        <f t="shared" si="309"/>
        <v>0</v>
      </c>
      <c r="H1416" s="4">
        <f t="shared" si="310"/>
        <v>58.150000000000091</v>
      </c>
      <c r="I1416" s="6">
        <f t="shared" si="301"/>
        <v>9.5678571428571306</v>
      </c>
      <c r="J1416" s="6">
        <f t="shared" si="302"/>
        <v>19.375</v>
      </c>
      <c r="K1416" s="4">
        <f t="shared" si="303"/>
        <v>0.4938248847926261</v>
      </c>
      <c r="L1416">
        <f t="shared" si="304"/>
        <v>33.057749259624842</v>
      </c>
      <c r="M1416" s="14" t="str">
        <f t="shared" si="297"/>
        <v/>
      </c>
      <c r="N1416" s="7">
        <f t="shared" si="298"/>
        <v>0</v>
      </c>
      <c r="O1416" s="7">
        <f t="shared" si="305"/>
        <v>0</v>
      </c>
      <c r="P1416" s="7">
        <f t="shared" si="306"/>
        <v>-1</v>
      </c>
      <c r="Q1416" s="10" t="e">
        <f t="shared" si="299"/>
        <v>#N/A</v>
      </c>
      <c r="R1416" s="10" t="e">
        <f t="shared" si="300"/>
        <v>#N/A</v>
      </c>
      <c r="S1416" s="7">
        <f t="shared" si="307"/>
        <v>2671.7</v>
      </c>
      <c r="T1416" s="7">
        <f t="shared" si="308"/>
        <v>0</v>
      </c>
    </row>
    <row r="1417" spans="1:20" x14ac:dyDescent="0.25">
      <c r="A1417" s="1">
        <v>43259</v>
      </c>
      <c r="B1417">
        <v>2553</v>
      </c>
      <c r="C1417">
        <v>2559.9499999999998</v>
      </c>
      <c r="D1417">
        <v>2532.6999999999998</v>
      </c>
      <c r="E1417">
        <v>2539.75</v>
      </c>
      <c r="F1417">
        <v>879592</v>
      </c>
      <c r="G1417" s="4">
        <f t="shared" si="309"/>
        <v>0</v>
      </c>
      <c r="H1417" s="4">
        <f t="shared" si="310"/>
        <v>7.6999999999998181</v>
      </c>
      <c r="I1417" s="6">
        <f t="shared" si="301"/>
        <v>5.5571428571428374</v>
      </c>
      <c r="J1417" s="6">
        <f t="shared" si="302"/>
        <v>19.924999999999986</v>
      </c>
      <c r="K1417" s="4">
        <f t="shared" si="303"/>
        <v>0.27890302921670468</v>
      </c>
      <c r="L1417">
        <f t="shared" si="304"/>
        <v>21.807988787666389</v>
      </c>
      <c r="M1417" s="14" t="str">
        <f t="shared" si="297"/>
        <v>OVERSOLD</v>
      </c>
      <c r="N1417" s="7" t="str">
        <f t="shared" si="298"/>
        <v>BUY</v>
      </c>
      <c r="O1417" s="7" t="str">
        <f t="shared" si="305"/>
        <v>BUY</v>
      </c>
      <c r="P1417" s="7">
        <f t="shared" si="306"/>
        <v>1</v>
      </c>
      <c r="Q1417" s="10">
        <f t="shared" si="299"/>
        <v>2539.75</v>
      </c>
      <c r="R1417" s="10" t="e">
        <f t="shared" si="300"/>
        <v>#N/A</v>
      </c>
      <c r="S1417" s="7">
        <f t="shared" si="307"/>
        <v>2539.75</v>
      </c>
      <c r="T1417" s="7">
        <f t="shared" si="308"/>
        <v>4.9388030093199024E-2</v>
      </c>
    </row>
    <row r="1418" spans="1:20" x14ac:dyDescent="0.25">
      <c r="A1418" s="1">
        <v>43262</v>
      </c>
      <c r="B1418">
        <v>2545</v>
      </c>
      <c r="C1418">
        <v>2564.1</v>
      </c>
      <c r="D1418">
        <v>2523.5</v>
      </c>
      <c r="E1418">
        <v>2540.3000000000002</v>
      </c>
      <c r="F1418">
        <v>893873</v>
      </c>
      <c r="G1418" s="4">
        <f t="shared" si="309"/>
        <v>0.5500000000001819</v>
      </c>
      <c r="H1418" s="4">
        <f t="shared" si="310"/>
        <v>0</v>
      </c>
      <c r="I1418" s="6">
        <f t="shared" si="301"/>
        <v>5.5964285714285653</v>
      </c>
      <c r="J1418" s="6">
        <f t="shared" si="302"/>
        <v>19.403571428571404</v>
      </c>
      <c r="K1418" s="4">
        <f t="shared" si="303"/>
        <v>0.28842260261365732</v>
      </c>
      <c r="L1418">
        <f t="shared" si="304"/>
        <v>22.385714285714286</v>
      </c>
      <c r="M1418" s="14" t="str">
        <f t="shared" si="297"/>
        <v>OVERSOLD</v>
      </c>
      <c r="N1418" s="7" t="str">
        <f t="shared" si="298"/>
        <v>BUY</v>
      </c>
      <c r="O1418" s="7">
        <f t="shared" si="305"/>
        <v>0</v>
      </c>
      <c r="P1418" s="7">
        <f t="shared" si="306"/>
        <v>1</v>
      </c>
      <c r="Q1418" s="10" t="e">
        <f t="shared" si="299"/>
        <v>#N/A</v>
      </c>
      <c r="R1418" s="10" t="e">
        <f t="shared" si="300"/>
        <v>#N/A</v>
      </c>
      <c r="S1418" s="7">
        <f t="shared" si="307"/>
        <v>2539.75</v>
      </c>
      <c r="T1418" s="7">
        <f t="shared" si="308"/>
        <v>0</v>
      </c>
    </row>
    <row r="1419" spans="1:20" x14ac:dyDescent="0.25">
      <c r="A1419" s="1">
        <v>43263</v>
      </c>
      <c r="B1419">
        <v>2562.9499999999998</v>
      </c>
      <c r="C1419">
        <v>2574</v>
      </c>
      <c r="D1419">
        <v>2544</v>
      </c>
      <c r="E1419">
        <v>2549.75</v>
      </c>
      <c r="F1419">
        <v>1022538</v>
      </c>
      <c r="G1419" s="4">
        <f t="shared" si="309"/>
        <v>9.4499999999998181</v>
      </c>
      <c r="H1419" s="4">
        <f t="shared" si="310"/>
        <v>0</v>
      </c>
      <c r="I1419" s="6">
        <f t="shared" si="301"/>
        <v>6.2714285714285518</v>
      </c>
      <c r="J1419" s="6">
        <f t="shared" si="302"/>
        <v>16.064285714285688</v>
      </c>
      <c r="K1419" s="4">
        <f t="shared" si="303"/>
        <v>0.39039573143619327</v>
      </c>
      <c r="L1419">
        <f t="shared" si="304"/>
        <v>28.07803006076108</v>
      </c>
      <c r="M1419" s="14" t="str">
        <f t="shared" si="297"/>
        <v>OVERSOLD</v>
      </c>
      <c r="N1419" s="7" t="str">
        <f t="shared" si="298"/>
        <v>BUY</v>
      </c>
      <c r="O1419" s="7">
        <f t="shared" si="305"/>
        <v>0</v>
      </c>
      <c r="P1419" s="7">
        <f t="shared" si="306"/>
        <v>1</v>
      </c>
      <c r="Q1419" s="10" t="e">
        <f t="shared" si="299"/>
        <v>#N/A</v>
      </c>
      <c r="R1419" s="10" t="e">
        <f t="shared" si="300"/>
        <v>#N/A</v>
      </c>
      <c r="S1419" s="7">
        <f t="shared" si="307"/>
        <v>2539.75</v>
      </c>
      <c r="T1419" s="7">
        <f t="shared" si="308"/>
        <v>0</v>
      </c>
    </row>
    <row r="1420" spans="1:20" x14ac:dyDescent="0.25">
      <c r="A1420" s="1">
        <v>43264</v>
      </c>
      <c r="B1420">
        <v>2542</v>
      </c>
      <c r="C1420">
        <v>2578.5</v>
      </c>
      <c r="D1420">
        <v>2527</v>
      </c>
      <c r="E1420">
        <v>2545.4</v>
      </c>
      <c r="F1420">
        <v>1332909</v>
      </c>
      <c r="G1420" s="4">
        <f t="shared" si="309"/>
        <v>0</v>
      </c>
      <c r="H1420" s="4">
        <f t="shared" si="310"/>
        <v>4.3499999999999091</v>
      </c>
      <c r="I1420" s="6">
        <f t="shared" si="301"/>
        <v>6.2714285714285518</v>
      </c>
      <c r="J1420" s="6">
        <f t="shared" si="302"/>
        <v>15.610714285714266</v>
      </c>
      <c r="K1420" s="4">
        <f t="shared" si="303"/>
        <v>0.40173873255547854</v>
      </c>
      <c r="L1420">
        <f t="shared" si="304"/>
        <v>28.660029378162193</v>
      </c>
      <c r="M1420" s="14" t="str">
        <f t="shared" si="297"/>
        <v>OVERSOLD</v>
      </c>
      <c r="N1420" s="7" t="str">
        <f t="shared" si="298"/>
        <v>BUY</v>
      </c>
      <c r="O1420" s="7">
        <f t="shared" si="305"/>
        <v>0</v>
      </c>
      <c r="P1420" s="7">
        <f t="shared" si="306"/>
        <v>1</v>
      </c>
      <c r="Q1420" s="10" t="e">
        <f t="shared" si="299"/>
        <v>#N/A</v>
      </c>
      <c r="R1420" s="10" t="e">
        <f t="shared" si="300"/>
        <v>#N/A</v>
      </c>
      <c r="S1420" s="7">
        <f t="shared" si="307"/>
        <v>2539.75</v>
      </c>
      <c r="T1420" s="7">
        <f t="shared" si="308"/>
        <v>0</v>
      </c>
    </row>
    <row r="1421" spans="1:20" x14ac:dyDescent="0.25">
      <c r="A1421" s="1">
        <v>43265</v>
      </c>
      <c r="B1421">
        <v>2546.5</v>
      </c>
      <c r="C1421">
        <v>2568.4</v>
      </c>
      <c r="D1421">
        <v>2540.6</v>
      </c>
      <c r="E1421">
        <v>2552</v>
      </c>
      <c r="F1421">
        <v>796336</v>
      </c>
      <c r="G1421" s="4">
        <f t="shared" si="309"/>
        <v>6.5999999999999091</v>
      </c>
      <c r="H1421" s="4">
        <f t="shared" si="310"/>
        <v>0</v>
      </c>
      <c r="I1421" s="6">
        <f t="shared" si="301"/>
        <v>6.7428571428571171</v>
      </c>
      <c r="J1421" s="6">
        <f t="shared" si="302"/>
        <v>8.6464285714285527</v>
      </c>
      <c r="K1421" s="4">
        <f t="shared" si="303"/>
        <v>0.77984304006608707</v>
      </c>
      <c r="L1421">
        <f t="shared" si="304"/>
        <v>43.81527036435363</v>
      </c>
      <c r="M1421" s="14" t="str">
        <f t="shared" si="297"/>
        <v/>
      </c>
      <c r="N1421" s="7">
        <f t="shared" si="298"/>
        <v>0</v>
      </c>
      <c r="O1421" s="7">
        <f t="shared" si="305"/>
        <v>0</v>
      </c>
      <c r="P1421" s="7">
        <f t="shared" si="306"/>
        <v>1</v>
      </c>
      <c r="Q1421" s="10" t="e">
        <f t="shared" si="299"/>
        <v>#N/A</v>
      </c>
      <c r="R1421" s="10" t="e">
        <f t="shared" si="300"/>
        <v>#N/A</v>
      </c>
      <c r="S1421" s="7">
        <f t="shared" si="307"/>
        <v>2539.75</v>
      </c>
      <c r="T1421" s="7">
        <f t="shared" si="308"/>
        <v>0</v>
      </c>
    </row>
    <row r="1422" spans="1:20" x14ac:dyDescent="0.25">
      <c r="A1422" s="1">
        <v>43266</v>
      </c>
      <c r="B1422">
        <v>2565</v>
      </c>
      <c r="C1422">
        <v>2565</v>
      </c>
      <c r="D1422">
        <v>2543</v>
      </c>
      <c r="E1422">
        <v>2551.65</v>
      </c>
      <c r="F1422">
        <v>794659</v>
      </c>
      <c r="G1422" s="4">
        <f t="shared" si="309"/>
        <v>0</v>
      </c>
      <c r="H1422" s="4">
        <f t="shared" si="310"/>
        <v>0.34999999999990905</v>
      </c>
      <c r="I1422" s="6">
        <f t="shared" si="301"/>
        <v>6.7428571428571171</v>
      </c>
      <c r="J1422" s="6">
        <f t="shared" si="302"/>
        <v>7.8499999999999739</v>
      </c>
      <c r="K1422" s="4">
        <f t="shared" si="303"/>
        <v>0.85896269335759745</v>
      </c>
      <c r="L1422">
        <f t="shared" si="304"/>
        <v>46.206558981889373</v>
      </c>
      <c r="M1422" s="14" t="str">
        <f t="shared" si="297"/>
        <v/>
      </c>
      <c r="N1422" s="7">
        <f t="shared" si="298"/>
        <v>0</v>
      </c>
      <c r="O1422" s="7">
        <f t="shared" si="305"/>
        <v>0</v>
      </c>
      <c r="P1422" s="7">
        <f t="shared" si="306"/>
        <v>1</v>
      </c>
      <c r="Q1422" s="10" t="e">
        <f t="shared" si="299"/>
        <v>#N/A</v>
      </c>
      <c r="R1422" s="10" t="e">
        <f t="shared" si="300"/>
        <v>#N/A</v>
      </c>
      <c r="S1422" s="7">
        <f t="shared" si="307"/>
        <v>2539.75</v>
      </c>
      <c r="T1422" s="7">
        <f t="shared" si="308"/>
        <v>0</v>
      </c>
    </row>
    <row r="1423" spans="1:20" x14ac:dyDescent="0.25">
      <c r="A1423" s="1">
        <v>43269</v>
      </c>
      <c r="B1423">
        <v>2551.65</v>
      </c>
      <c r="C1423">
        <v>2558.9</v>
      </c>
      <c r="D1423">
        <v>2536</v>
      </c>
      <c r="E1423">
        <v>2547.6</v>
      </c>
      <c r="F1423">
        <v>689950</v>
      </c>
      <c r="G1423" s="4">
        <f t="shared" si="309"/>
        <v>0</v>
      </c>
      <c r="H1423" s="4">
        <f t="shared" si="310"/>
        <v>4.0500000000001819</v>
      </c>
      <c r="I1423" s="6">
        <f t="shared" si="301"/>
        <v>6.0571428571428374</v>
      </c>
      <c r="J1423" s="6">
        <f t="shared" si="302"/>
        <v>8.1392857142857018</v>
      </c>
      <c r="K1423" s="4">
        <f t="shared" si="303"/>
        <v>0.74418604651162668</v>
      </c>
      <c r="L1423">
        <f t="shared" si="304"/>
        <v>42.666666666666622</v>
      </c>
      <c r="M1423" s="14" t="str">
        <f t="shared" si="297"/>
        <v/>
      </c>
      <c r="N1423" s="7">
        <f t="shared" si="298"/>
        <v>0</v>
      </c>
      <c r="O1423" s="7">
        <f t="shared" si="305"/>
        <v>0</v>
      </c>
      <c r="P1423" s="7">
        <f t="shared" si="306"/>
        <v>1</v>
      </c>
      <c r="Q1423" s="10" t="e">
        <f t="shared" si="299"/>
        <v>#N/A</v>
      </c>
      <c r="R1423" s="10" t="e">
        <f t="shared" si="300"/>
        <v>#N/A</v>
      </c>
      <c r="S1423" s="7">
        <f t="shared" si="307"/>
        <v>2539.75</v>
      </c>
      <c r="T1423" s="7">
        <f t="shared" si="308"/>
        <v>0</v>
      </c>
    </row>
    <row r="1424" spans="1:20" x14ac:dyDescent="0.25">
      <c r="A1424" s="1">
        <v>43270</v>
      </c>
      <c r="B1424">
        <v>2555</v>
      </c>
      <c r="C1424">
        <v>2565</v>
      </c>
      <c r="D1424">
        <v>2541.0500000000002</v>
      </c>
      <c r="E1424">
        <v>2550.35</v>
      </c>
      <c r="F1424">
        <v>878408</v>
      </c>
      <c r="G1424" s="4">
        <f t="shared" si="309"/>
        <v>2.75</v>
      </c>
      <c r="H1424" s="4">
        <f t="shared" si="310"/>
        <v>0</v>
      </c>
      <c r="I1424" s="6">
        <f t="shared" si="301"/>
        <v>6.2535714285714095</v>
      </c>
      <c r="J1424" s="6">
        <f t="shared" si="302"/>
        <v>7.9892857142857077</v>
      </c>
      <c r="K1424" s="4">
        <f t="shared" si="303"/>
        <v>0.78274474742959144</v>
      </c>
      <c r="L1424">
        <f t="shared" si="304"/>
        <v>43.906720160481392</v>
      </c>
      <c r="M1424" s="14" t="str">
        <f t="shared" ref="M1424:M1487" si="311">IF(L1424&gt;RSI_Overbought,"OVERBOUGHT",IF(L1424&lt;RSI_Oversold,"OVERSOLD",""))</f>
        <v/>
      </c>
      <c r="N1424" s="7">
        <f t="shared" ref="N1424:N1487" si="312">IF(L1424&gt;RSI_Overbought,"SELL",IF(L1424&lt;RSI_Oversold,"BUY",0))</f>
        <v>0</v>
      </c>
      <c r="O1424" s="7">
        <f t="shared" si="305"/>
        <v>0</v>
      </c>
      <c r="P1424" s="7">
        <f t="shared" si="306"/>
        <v>1</v>
      </c>
      <c r="Q1424" s="10" t="e">
        <f t="shared" ref="Q1424:Q1487" si="313">IF($O1424="BUY",$E1424,NA())</f>
        <v>#N/A</v>
      </c>
      <c r="R1424" s="10" t="e">
        <f t="shared" ref="R1424:R1487" si="314">IF($O1424="SELL",$E1424,NA())</f>
        <v>#N/A</v>
      </c>
      <c r="S1424" s="7">
        <f t="shared" si="307"/>
        <v>2539.75</v>
      </c>
      <c r="T1424" s="7">
        <f t="shared" si="308"/>
        <v>0</v>
      </c>
    </row>
    <row r="1425" spans="1:20" x14ac:dyDescent="0.25">
      <c r="A1425" s="1">
        <v>43271</v>
      </c>
      <c r="B1425">
        <v>2565</v>
      </c>
      <c r="C1425">
        <v>2586</v>
      </c>
      <c r="D1425">
        <v>2539</v>
      </c>
      <c r="E1425">
        <v>2551.25</v>
      </c>
      <c r="F1425">
        <v>1227647</v>
      </c>
      <c r="G1425" s="4">
        <f t="shared" si="309"/>
        <v>0.90000000000009095</v>
      </c>
      <c r="H1425" s="4">
        <f t="shared" si="310"/>
        <v>0</v>
      </c>
      <c r="I1425" s="6">
        <f t="shared" ref="I1425:I1488" si="315">AVERAGE(G1412:G1425)</f>
        <v>6.3178571428571297</v>
      </c>
      <c r="J1425" s="6">
        <f t="shared" ref="J1425:J1488" si="316">AVERAGE(H1412:H1425)</f>
        <v>7.717857142857123</v>
      </c>
      <c r="K1425" s="4">
        <f t="shared" ref="K1425:K1488" si="317">I1425/J1425</f>
        <v>0.81860249884312863</v>
      </c>
      <c r="L1425">
        <f t="shared" ref="L1425:L1488" si="318">100-(100/(K1425+1))</f>
        <v>45.012722646310444</v>
      </c>
      <c r="M1425" s="14" t="str">
        <f t="shared" si="311"/>
        <v/>
      </c>
      <c r="N1425" s="7">
        <f t="shared" si="312"/>
        <v>0</v>
      </c>
      <c r="O1425" s="7">
        <f t="shared" ref="O1425:O1488" si="319">IF(AND(N1425="BUY",P1424&lt;&gt;1),"BUY",IF(AND(N1425="SELL",P1424&lt;&gt;-1),"SELL",0))</f>
        <v>0</v>
      </c>
      <c r="P1425" s="7">
        <f t="shared" ref="P1425:P1488" si="320">IF(O1425="BUY",1,IF(O1425="SELL",-1,P1424))</f>
        <v>1</v>
      </c>
      <c r="Q1425" s="10" t="e">
        <f t="shared" si="313"/>
        <v>#N/A</v>
      </c>
      <c r="R1425" s="10" t="e">
        <f t="shared" si="314"/>
        <v>#N/A</v>
      </c>
      <c r="S1425" s="7">
        <f t="shared" ref="S1425:S1488" si="321">IF(O1425&lt;&gt;0,E1425,S1424)</f>
        <v>2539.75</v>
      </c>
      <c r="T1425" s="7">
        <f t="shared" si="308"/>
        <v>0</v>
      </c>
    </row>
    <row r="1426" spans="1:20" x14ac:dyDescent="0.25">
      <c r="A1426" s="1">
        <v>43272</v>
      </c>
      <c r="B1426">
        <v>2550</v>
      </c>
      <c r="C1426">
        <v>2557.1</v>
      </c>
      <c r="D1426">
        <v>2533.1999999999998</v>
      </c>
      <c r="E1426">
        <v>2551.0500000000002</v>
      </c>
      <c r="F1426">
        <v>554420</v>
      </c>
      <c r="G1426" s="4">
        <f t="shared" si="309"/>
        <v>0</v>
      </c>
      <c r="H1426" s="4">
        <f t="shared" si="310"/>
        <v>0.1999999999998181</v>
      </c>
      <c r="I1426" s="6">
        <f t="shared" si="315"/>
        <v>6.3178571428571297</v>
      </c>
      <c r="J1426" s="6">
        <f t="shared" si="316"/>
        <v>7.2464285714285586</v>
      </c>
      <c r="K1426" s="4">
        <f t="shared" si="317"/>
        <v>0.87185805815672723</v>
      </c>
      <c r="L1426">
        <f t="shared" si="318"/>
        <v>46.577145866245388</v>
      </c>
      <c r="M1426" s="14" t="str">
        <f t="shared" si="311"/>
        <v/>
      </c>
      <c r="N1426" s="7">
        <f t="shared" si="312"/>
        <v>0</v>
      </c>
      <c r="O1426" s="7">
        <f t="shared" si="319"/>
        <v>0</v>
      </c>
      <c r="P1426" s="7">
        <f t="shared" si="320"/>
        <v>1</v>
      </c>
      <c r="Q1426" s="10" t="e">
        <f t="shared" si="313"/>
        <v>#N/A</v>
      </c>
      <c r="R1426" s="10" t="e">
        <f t="shared" si="314"/>
        <v>#N/A</v>
      </c>
      <c r="S1426" s="7">
        <f t="shared" si="321"/>
        <v>2539.75</v>
      </c>
      <c r="T1426" s="7">
        <f t="shared" si="308"/>
        <v>0</v>
      </c>
    </row>
    <row r="1427" spans="1:20" x14ac:dyDescent="0.25">
      <c r="A1427" s="1">
        <v>43273</v>
      </c>
      <c r="B1427">
        <v>2557.5</v>
      </c>
      <c r="C1427">
        <v>2572.4</v>
      </c>
      <c r="D1427">
        <v>2490</v>
      </c>
      <c r="E1427">
        <v>2526.8000000000002</v>
      </c>
      <c r="F1427">
        <v>1040623</v>
      </c>
      <c r="G1427" s="4">
        <f t="shared" si="309"/>
        <v>0</v>
      </c>
      <c r="H1427" s="4">
        <f t="shared" si="310"/>
        <v>24.25</v>
      </c>
      <c r="I1427" s="6">
        <f t="shared" si="315"/>
        <v>6.3178571428571297</v>
      </c>
      <c r="J1427" s="6">
        <f t="shared" si="316"/>
        <v>7.0749999999999806</v>
      </c>
      <c r="K1427" s="4">
        <f t="shared" si="317"/>
        <v>0.89298334174659322</v>
      </c>
      <c r="L1427">
        <f t="shared" si="318"/>
        <v>47.173333333333353</v>
      </c>
      <c r="M1427" s="14" t="str">
        <f t="shared" si="311"/>
        <v/>
      </c>
      <c r="N1427" s="7">
        <f t="shared" si="312"/>
        <v>0</v>
      </c>
      <c r="O1427" s="7">
        <f t="shared" si="319"/>
        <v>0</v>
      </c>
      <c r="P1427" s="7">
        <f t="shared" si="320"/>
        <v>1</v>
      </c>
      <c r="Q1427" s="10" t="e">
        <f t="shared" si="313"/>
        <v>#N/A</v>
      </c>
      <c r="R1427" s="10" t="e">
        <f t="shared" si="314"/>
        <v>#N/A</v>
      </c>
      <c r="S1427" s="7">
        <f t="shared" si="321"/>
        <v>2539.75</v>
      </c>
      <c r="T1427" s="7">
        <f t="shared" si="308"/>
        <v>0</v>
      </c>
    </row>
    <row r="1428" spans="1:20" x14ac:dyDescent="0.25">
      <c r="A1428" s="1">
        <v>43276</v>
      </c>
      <c r="B1428">
        <v>2534.3000000000002</v>
      </c>
      <c r="C1428">
        <v>2557.75</v>
      </c>
      <c r="D1428">
        <v>2512.6</v>
      </c>
      <c r="E1428">
        <v>2532.65</v>
      </c>
      <c r="F1428">
        <v>614176</v>
      </c>
      <c r="G1428" s="4">
        <f t="shared" si="309"/>
        <v>5.8499999999999091</v>
      </c>
      <c r="H1428" s="4">
        <f t="shared" si="310"/>
        <v>0</v>
      </c>
      <c r="I1428" s="6">
        <f t="shared" si="315"/>
        <v>2.8499999999999739</v>
      </c>
      <c r="J1428" s="6">
        <f t="shared" si="316"/>
        <v>7.0749999999999806</v>
      </c>
      <c r="K1428" s="4">
        <f t="shared" si="317"/>
        <v>0.40282685512367233</v>
      </c>
      <c r="L1428">
        <f t="shared" si="318"/>
        <v>28.715365239294584</v>
      </c>
      <c r="M1428" s="14" t="str">
        <f t="shared" si="311"/>
        <v>OVERSOLD</v>
      </c>
      <c r="N1428" s="7" t="str">
        <f t="shared" si="312"/>
        <v>BUY</v>
      </c>
      <c r="O1428" s="7">
        <f t="shared" si="319"/>
        <v>0</v>
      </c>
      <c r="P1428" s="7">
        <f t="shared" si="320"/>
        <v>1</v>
      </c>
      <c r="Q1428" s="10" t="e">
        <f t="shared" si="313"/>
        <v>#N/A</v>
      </c>
      <c r="R1428" s="10" t="e">
        <f t="shared" si="314"/>
        <v>#N/A</v>
      </c>
      <c r="S1428" s="7">
        <f t="shared" si="321"/>
        <v>2539.75</v>
      </c>
      <c r="T1428" s="7">
        <f t="shared" si="308"/>
        <v>0</v>
      </c>
    </row>
    <row r="1429" spans="1:20" x14ac:dyDescent="0.25">
      <c r="A1429" s="1">
        <v>43277</v>
      </c>
      <c r="B1429">
        <v>2535.5</v>
      </c>
      <c r="C1429">
        <v>2590</v>
      </c>
      <c r="D1429">
        <v>2529.9</v>
      </c>
      <c r="E1429">
        <v>2580.4</v>
      </c>
      <c r="F1429">
        <v>1177127</v>
      </c>
      <c r="G1429" s="4">
        <f t="shared" si="309"/>
        <v>47.75</v>
      </c>
      <c r="H1429" s="4">
        <f t="shared" si="310"/>
        <v>0</v>
      </c>
      <c r="I1429" s="6">
        <f t="shared" si="315"/>
        <v>5.2749999999999932</v>
      </c>
      <c r="J1429" s="6">
        <f t="shared" si="316"/>
        <v>7.0749999999999806</v>
      </c>
      <c r="K1429" s="4">
        <f t="shared" si="317"/>
        <v>0.74558303886925903</v>
      </c>
      <c r="L1429">
        <f t="shared" si="318"/>
        <v>42.712550607287483</v>
      </c>
      <c r="M1429" s="14" t="str">
        <f t="shared" si="311"/>
        <v/>
      </c>
      <c r="N1429" s="7">
        <f t="shared" si="312"/>
        <v>0</v>
      </c>
      <c r="O1429" s="7">
        <f t="shared" si="319"/>
        <v>0</v>
      </c>
      <c r="P1429" s="7">
        <f t="shared" si="320"/>
        <v>1</v>
      </c>
      <c r="Q1429" s="10" t="e">
        <f t="shared" si="313"/>
        <v>#N/A</v>
      </c>
      <c r="R1429" s="10" t="e">
        <f t="shared" si="314"/>
        <v>#N/A</v>
      </c>
      <c r="S1429" s="7">
        <f t="shared" si="321"/>
        <v>2539.75</v>
      </c>
      <c r="T1429" s="7">
        <f t="shared" si="308"/>
        <v>0</v>
      </c>
    </row>
    <row r="1430" spans="1:20" x14ac:dyDescent="0.25">
      <c r="A1430" s="1">
        <v>43278</v>
      </c>
      <c r="B1430">
        <v>2594</v>
      </c>
      <c r="C1430">
        <v>2619</v>
      </c>
      <c r="D1430">
        <v>2579.5</v>
      </c>
      <c r="E1430">
        <v>2593.6999999999998</v>
      </c>
      <c r="F1430">
        <v>1183406</v>
      </c>
      <c r="G1430" s="4">
        <f t="shared" si="309"/>
        <v>13.299999999999727</v>
      </c>
      <c r="H1430" s="4">
        <f t="shared" si="310"/>
        <v>0</v>
      </c>
      <c r="I1430" s="6">
        <f t="shared" si="315"/>
        <v>6.2249999999999739</v>
      </c>
      <c r="J1430" s="6">
        <f t="shared" si="316"/>
        <v>2.9214285714285455</v>
      </c>
      <c r="K1430" s="4">
        <f t="shared" si="317"/>
        <v>2.1308068459657803</v>
      </c>
      <c r="L1430">
        <f t="shared" si="318"/>
        <v>68.059351815697099</v>
      </c>
      <c r="M1430" s="14" t="str">
        <f t="shared" si="311"/>
        <v/>
      </c>
      <c r="N1430" s="7">
        <f t="shared" si="312"/>
        <v>0</v>
      </c>
      <c r="O1430" s="7">
        <f t="shared" si="319"/>
        <v>0</v>
      </c>
      <c r="P1430" s="7">
        <f t="shared" si="320"/>
        <v>1</v>
      </c>
      <c r="Q1430" s="10" t="e">
        <f t="shared" si="313"/>
        <v>#N/A</v>
      </c>
      <c r="R1430" s="10" t="e">
        <f t="shared" si="314"/>
        <v>#N/A</v>
      </c>
      <c r="S1430" s="7">
        <f t="shared" si="321"/>
        <v>2539.75</v>
      </c>
      <c r="T1430" s="7">
        <f t="shared" si="308"/>
        <v>0</v>
      </c>
    </row>
    <row r="1431" spans="1:20" x14ac:dyDescent="0.25">
      <c r="A1431" s="1">
        <v>43279</v>
      </c>
      <c r="B1431">
        <v>2583.35</v>
      </c>
      <c r="C1431">
        <v>2634</v>
      </c>
      <c r="D1431">
        <v>2569.85</v>
      </c>
      <c r="E1431">
        <v>2588.25</v>
      </c>
      <c r="F1431">
        <v>1662976</v>
      </c>
      <c r="G1431" s="4">
        <f t="shared" si="309"/>
        <v>0</v>
      </c>
      <c r="H1431" s="4">
        <f t="shared" si="310"/>
        <v>5.4499999999998181</v>
      </c>
      <c r="I1431" s="6">
        <f t="shared" si="315"/>
        <v>6.2249999999999739</v>
      </c>
      <c r="J1431" s="6">
        <f t="shared" si="316"/>
        <v>2.7607142857142599</v>
      </c>
      <c r="K1431" s="4">
        <f t="shared" si="317"/>
        <v>2.2548512289780192</v>
      </c>
      <c r="L1431">
        <f t="shared" si="318"/>
        <v>69.276629570747332</v>
      </c>
      <c r="M1431" s="14" t="str">
        <f t="shared" si="311"/>
        <v/>
      </c>
      <c r="N1431" s="7">
        <f t="shared" si="312"/>
        <v>0</v>
      </c>
      <c r="O1431" s="7">
        <f t="shared" si="319"/>
        <v>0</v>
      </c>
      <c r="P1431" s="7">
        <f t="shared" si="320"/>
        <v>1</v>
      </c>
      <c r="Q1431" s="10" t="e">
        <f t="shared" si="313"/>
        <v>#N/A</v>
      </c>
      <c r="R1431" s="10" t="e">
        <f t="shared" si="314"/>
        <v>#N/A</v>
      </c>
      <c r="S1431" s="7">
        <f t="shared" si="321"/>
        <v>2539.75</v>
      </c>
      <c r="T1431" s="7">
        <f t="shared" si="308"/>
        <v>0</v>
      </c>
    </row>
    <row r="1432" spans="1:20" x14ac:dyDescent="0.25">
      <c r="A1432" s="1">
        <v>43280</v>
      </c>
      <c r="B1432">
        <v>2643.7</v>
      </c>
      <c r="C1432">
        <v>2643.7</v>
      </c>
      <c r="D1432">
        <v>2570.9499999999998</v>
      </c>
      <c r="E1432">
        <v>2588.0500000000002</v>
      </c>
      <c r="F1432">
        <v>1684168</v>
      </c>
      <c r="G1432" s="4">
        <f t="shared" si="309"/>
        <v>0</v>
      </c>
      <c r="H1432" s="4">
        <f t="shared" si="310"/>
        <v>0.1999999999998181</v>
      </c>
      <c r="I1432" s="6">
        <f t="shared" si="315"/>
        <v>6.1857142857142469</v>
      </c>
      <c r="J1432" s="6">
        <f t="shared" si="316"/>
        <v>2.7749999999999608</v>
      </c>
      <c r="K1432" s="4">
        <f t="shared" si="317"/>
        <v>2.2290862290862465</v>
      </c>
      <c r="L1432">
        <f t="shared" si="318"/>
        <v>69.03148664806713</v>
      </c>
      <c r="M1432" s="14" t="str">
        <f t="shared" si="311"/>
        <v/>
      </c>
      <c r="N1432" s="7">
        <f t="shared" si="312"/>
        <v>0</v>
      </c>
      <c r="O1432" s="7">
        <f t="shared" si="319"/>
        <v>0</v>
      </c>
      <c r="P1432" s="7">
        <f t="shared" si="320"/>
        <v>1</v>
      </c>
      <c r="Q1432" s="10" t="e">
        <f t="shared" si="313"/>
        <v>#N/A</v>
      </c>
      <c r="R1432" s="10" t="e">
        <f t="shared" si="314"/>
        <v>#N/A</v>
      </c>
      <c r="S1432" s="7">
        <f t="shared" si="321"/>
        <v>2539.75</v>
      </c>
      <c r="T1432" s="7">
        <f t="shared" si="308"/>
        <v>0</v>
      </c>
    </row>
    <row r="1433" spans="1:20" x14ac:dyDescent="0.25">
      <c r="A1433" s="1">
        <v>43283</v>
      </c>
      <c r="B1433">
        <v>2599</v>
      </c>
      <c r="C1433">
        <v>2649.95</v>
      </c>
      <c r="D1433">
        <v>2592.1999999999998</v>
      </c>
      <c r="E1433">
        <v>2644.6</v>
      </c>
      <c r="F1433">
        <v>1417204</v>
      </c>
      <c r="G1433" s="4">
        <f t="shared" si="309"/>
        <v>56.549999999999727</v>
      </c>
      <c r="H1433" s="4">
        <f t="shared" si="310"/>
        <v>0</v>
      </c>
      <c r="I1433" s="6">
        <f t="shared" si="315"/>
        <v>9.5499999999999545</v>
      </c>
      <c r="J1433" s="6">
        <f t="shared" si="316"/>
        <v>2.7749999999999608</v>
      </c>
      <c r="K1433" s="4">
        <f t="shared" si="317"/>
        <v>3.4414414414414738</v>
      </c>
      <c r="L1433">
        <f t="shared" si="318"/>
        <v>77.484787018255744</v>
      </c>
      <c r="M1433" s="14" t="str">
        <f t="shared" si="311"/>
        <v>OVERBOUGHT</v>
      </c>
      <c r="N1433" s="7" t="str">
        <f t="shared" si="312"/>
        <v>SELL</v>
      </c>
      <c r="O1433" s="7" t="str">
        <f t="shared" si="319"/>
        <v>SELL</v>
      </c>
      <c r="P1433" s="7">
        <f t="shared" si="320"/>
        <v>-1</v>
      </c>
      <c r="Q1433" s="10" t="e">
        <f t="shared" si="313"/>
        <v>#N/A</v>
      </c>
      <c r="R1433" s="10">
        <f t="shared" si="314"/>
        <v>2644.6</v>
      </c>
      <c r="S1433" s="7">
        <f t="shared" si="321"/>
        <v>2644.6</v>
      </c>
      <c r="T1433" s="7">
        <f t="shared" si="308"/>
        <v>4.1283590904616557E-2</v>
      </c>
    </row>
    <row r="1434" spans="1:20" x14ac:dyDescent="0.25">
      <c r="A1434" s="1">
        <v>43284</v>
      </c>
      <c r="B1434">
        <v>2652.7</v>
      </c>
      <c r="C1434">
        <v>2770</v>
      </c>
      <c r="D1434">
        <v>2652.7</v>
      </c>
      <c r="E1434">
        <v>2711.65</v>
      </c>
      <c r="F1434">
        <v>2403653</v>
      </c>
      <c r="G1434" s="4">
        <f t="shared" si="309"/>
        <v>67.050000000000182</v>
      </c>
      <c r="H1434" s="4">
        <f t="shared" si="310"/>
        <v>0</v>
      </c>
      <c r="I1434" s="6">
        <f t="shared" si="315"/>
        <v>14.339285714285682</v>
      </c>
      <c r="J1434" s="6">
        <f t="shared" si="316"/>
        <v>2.464285714285682</v>
      </c>
      <c r="K1434" s="4">
        <f t="shared" si="317"/>
        <v>5.8188405797102076</v>
      </c>
      <c r="L1434">
        <f t="shared" si="318"/>
        <v>85.334750265674955</v>
      </c>
      <c r="M1434" s="14" t="str">
        <f t="shared" si="311"/>
        <v>OVERBOUGHT</v>
      </c>
      <c r="N1434" s="7" t="str">
        <f t="shared" si="312"/>
        <v>SELL</v>
      </c>
      <c r="O1434" s="7">
        <f t="shared" si="319"/>
        <v>0</v>
      </c>
      <c r="P1434" s="7">
        <f t="shared" si="320"/>
        <v>-1</v>
      </c>
      <c r="Q1434" s="10" t="e">
        <f t="shared" si="313"/>
        <v>#N/A</v>
      </c>
      <c r="R1434" s="10" t="e">
        <f t="shared" si="314"/>
        <v>#N/A</v>
      </c>
      <c r="S1434" s="7">
        <f t="shared" si="321"/>
        <v>2644.6</v>
      </c>
      <c r="T1434" s="7">
        <f t="shared" ref="T1434:T1497" si="322">IF(O1434="BUY",(S1433-S1434)/S1433,IF(O1434="SELL",(S1434-S1433)/S1433,0))</f>
        <v>0</v>
      </c>
    </row>
    <row r="1435" spans="1:20" x14ac:dyDescent="0.25">
      <c r="A1435" s="1">
        <v>43285</v>
      </c>
      <c r="B1435">
        <v>2725</v>
      </c>
      <c r="C1435">
        <v>2726</v>
      </c>
      <c r="D1435">
        <v>2684</v>
      </c>
      <c r="E1435">
        <v>2700</v>
      </c>
      <c r="F1435">
        <v>1989795</v>
      </c>
      <c r="G1435" s="4">
        <f t="shared" si="309"/>
        <v>0</v>
      </c>
      <c r="H1435" s="4">
        <f t="shared" si="310"/>
        <v>11.650000000000091</v>
      </c>
      <c r="I1435" s="6">
        <f t="shared" si="315"/>
        <v>13.867857142857117</v>
      </c>
      <c r="J1435" s="6">
        <f t="shared" si="316"/>
        <v>3.2964285714285455</v>
      </c>
      <c r="K1435" s="4">
        <f t="shared" si="317"/>
        <v>4.2069339111592887</v>
      </c>
      <c r="L1435">
        <f t="shared" si="318"/>
        <v>80.794839783603919</v>
      </c>
      <c r="M1435" s="14" t="str">
        <f t="shared" si="311"/>
        <v>OVERBOUGHT</v>
      </c>
      <c r="N1435" s="7" t="str">
        <f t="shared" si="312"/>
        <v>SELL</v>
      </c>
      <c r="O1435" s="7">
        <f t="shared" si="319"/>
        <v>0</v>
      </c>
      <c r="P1435" s="7">
        <f t="shared" si="320"/>
        <v>-1</v>
      </c>
      <c r="Q1435" s="10" t="e">
        <f t="shared" si="313"/>
        <v>#N/A</v>
      </c>
      <c r="R1435" s="10" t="e">
        <f t="shared" si="314"/>
        <v>#N/A</v>
      </c>
      <c r="S1435" s="7">
        <f t="shared" si="321"/>
        <v>2644.6</v>
      </c>
      <c r="T1435" s="7">
        <f t="shared" si="322"/>
        <v>0</v>
      </c>
    </row>
    <row r="1436" spans="1:20" x14ac:dyDescent="0.25">
      <c r="A1436" s="1">
        <v>43286</v>
      </c>
      <c r="B1436">
        <v>2693.95</v>
      </c>
      <c r="C1436">
        <v>2717</v>
      </c>
      <c r="D1436">
        <v>2646.95</v>
      </c>
      <c r="E1436">
        <v>2653.95</v>
      </c>
      <c r="F1436">
        <v>1032765</v>
      </c>
      <c r="G1436" s="4">
        <f t="shared" si="309"/>
        <v>0</v>
      </c>
      <c r="H1436" s="4">
        <f t="shared" si="310"/>
        <v>46.050000000000182</v>
      </c>
      <c r="I1436" s="6">
        <f t="shared" si="315"/>
        <v>13.867857142857117</v>
      </c>
      <c r="J1436" s="6">
        <f t="shared" si="316"/>
        <v>6.5607142857142788</v>
      </c>
      <c r="K1436" s="4">
        <f t="shared" si="317"/>
        <v>2.1137724550898187</v>
      </c>
      <c r="L1436">
        <f t="shared" si="318"/>
        <v>67.884615384615358</v>
      </c>
      <c r="M1436" s="14" t="str">
        <f t="shared" si="311"/>
        <v/>
      </c>
      <c r="N1436" s="7">
        <f t="shared" si="312"/>
        <v>0</v>
      </c>
      <c r="O1436" s="7">
        <f t="shared" si="319"/>
        <v>0</v>
      </c>
      <c r="P1436" s="7">
        <f t="shared" si="320"/>
        <v>-1</v>
      </c>
      <c r="Q1436" s="10" t="e">
        <f t="shared" si="313"/>
        <v>#N/A</v>
      </c>
      <c r="R1436" s="10" t="e">
        <f t="shared" si="314"/>
        <v>#N/A</v>
      </c>
      <c r="S1436" s="7">
        <f t="shared" si="321"/>
        <v>2644.6</v>
      </c>
      <c r="T1436" s="7">
        <f t="shared" si="322"/>
        <v>0</v>
      </c>
    </row>
    <row r="1437" spans="1:20" x14ac:dyDescent="0.25">
      <c r="A1437" s="1">
        <v>43287</v>
      </c>
      <c r="B1437">
        <v>2670</v>
      </c>
      <c r="C1437">
        <v>2678.35</v>
      </c>
      <c r="D1437">
        <v>2620</v>
      </c>
      <c r="E1437">
        <v>2633.8</v>
      </c>
      <c r="F1437">
        <v>1178775</v>
      </c>
      <c r="G1437" s="4">
        <f t="shared" si="309"/>
        <v>0</v>
      </c>
      <c r="H1437" s="4">
        <f t="shared" si="310"/>
        <v>20.149999999999636</v>
      </c>
      <c r="I1437" s="6">
        <f t="shared" si="315"/>
        <v>13.867857142857117</v>
      </c>
      <c r="J1437" s="6">
        <f t="shared" si="316"/>
        <v>7.7107142857142401</v>
      </c>
      <c r="K1437" s="4">
        <f t="shared" si="317"/>
        <v>1.7985178323297897</v>
      </c>
      <c r="L1437">
        <f t="shared" si="318"/>
        <v>64.266799073154672</v>
      </c>
      <c r="M1437" s="14" t="str">
        <f t="shared" si="311"/>
        <v/>
      </c>
      <c r="N1437" s="7">
        <f t="shared" si="312"/>
        <v>0</v>
      </c>
      <c r="O1437" s="7">
        <f t="shared" si="319"/>
        <v>0</v>
      </c>
      <c r="P1437" s="7">
        <f t="shared" si="320"/>
        <v>-1</v>
      </c>
      <c r="Q1437" s="10" t="e">
        <f t="shared" si="313"/>
        <v>#N/A</v>
      </c>
      <c r="R1437" s="10" t="e">
        <f t="shared" si="314"/>
        <v>#N/A</v>
      </c>
      <c r="S1437" s="7">
        <f t="shared" si="321"/>
        <v>2644.6</v>
      </c>
      <c r="T1437" s="7">
        <f t="shared" si="322"/>
        <v>0</v>
      </c>
    </row>
    <row r="1438" spans="1:20" x14ac:dyDescent="0.25">
      <c r="A1438" s="1">
        <v>43290</v>
      </c>
      <c r="B1438">
        <v>2650.5</v>
      </c>
      <c r="C1438">
        <v>2650.6</v>
      </c>
      <c r="D1438">
        <v>2608</v>
      </c>
      <c r="E1438">
        <v>2629.65</v>
      </c>
      <c r="F1438">
        <v>1124862</v>
      </c>
      <c r="G1438" s="4">
        <f t="shared" si="309"/>
        <v>0</v>
      </c>
      <c r="H1438" s="4">
        <f t="shared" si="310"/>
        <v>4.1500000000000909</v>
      </c>
      <c r="I1438" s="6">
        <f t="shared" si="315"/>
        <v>13.671428571428546</v>
      </c>
      <c r="J1438" s="6">
        <f t="shared" si="316"/>
        <v>8.0071428571428189</v>
      </c>
      <c r="K1438" s="4">
        <f t="shared" si="317"/>
        <v>1.7074041034790415</v>
      </c>
      <c r="L1438">
        <f t="shared" si="318"/>
        <v>63.064250411861686</v>
      </c>
      <c r="M1438" s="14" t="str">
        <f t="shared" si="311"/>
        <v/>
      </c>
      <c r="N1438" s="7">
        <f t="shared" si="312"/>
        <v>0</v>
      </c>
      <c r="O1438" s="7">
        <f t="shared" si="319"/>
        <v>0</v>
      </c>
      <c r="P1438" s="7">
        <f t="shared" si="320"/>
        <v>-1</v>
      </c>
      <c r="Q1438" s="10" t="e">
        <f t="shared" si="313"/>
        <v>#N/A</v>
      </c>
      <c r="R1438" s="10" t="e">
        <f t="shared" si="314"/>
        <v>#N/A</v>
      </c>
      <c r="S1438" s="7">
        <f t="shared" si="321"/>
        <v>2644.6</v>
      </c>
      <c r="T1438" s="7">
        <f t="shared" si="322"/>
        <v>0</v>
      </c>
    </row>
    <row r="1439" spans="1:20" x14ac:dyDescent="0.25">
      <c r="A1439" s="1">
        <v>43291</v>
      </c>
      <c r="B1439">
        <v>2655</v>
      </c>
      <c r="C1439">
        <v>2660.35</v>
      </c>
      <c r="D1439">
        <v>2587</v>
      </c>
      <c r="E1439">
        <v>2592.6</v>
      </c>
      <c r="F1439">
        <v>1227956</v>
      </c>
      <c r="G1439" s="4">
        <f t="shared" si="309"/>
        <v>0</v>
      </c>
      <c r="H1439" s="4">
        <f t="shared" si="310"/>
        <v>37.050000000000182</v>
      </c>
      <c r="I1439" s="6">
        <f t="shared" si="315"/>
        <v>13.607142857142824</v>
      </c>
      <c r="J1439" s="6">
        <f t="shared" si="316"/>
        <v>10.653571428571402</v>
      </c>
      <c r="K1439" s="4">
        <f t="shared" si="317"/>
        <v>1.2772376801877305</v>
      </c>
      <c r="L1439">
        <f t="shared" si="318"/>
        <v>56.087148535256887</v>
      </c>
      <c r="M1439" s="14" t="str">
        <f t="shared" si="311"/>
        <v/>
      </c>
      <c r="N1439" s="7">
        <f t="shared" si="312"/>
        <v>0</v>
      </c>
      <c r="O1439" s="7">
        <f t="shared" si="319"/>
        <v>0</v>
      </c>
      <c r="P1439" s="7">
        <f t="shared" si="320"/>
        <v>-1</v>
      </c>
      <c r="Q1439" s="10" t="e">
        <f t="shared" si="313"/>
        <v>#N/A</v>
      </c>
      <c r="R1439" s="10" t="e">
        <f t="shared" si="314"/>
        <v>#N/A</v>
      </c>
      <c r="S1439" s="7">
        <f t="shared" si="321"/>
        <v>2644.6</v>
      </c>
      <c r="T1439" s="7">
        <f t="shared" si="322"/>
        <v>0</v>
      </c>
    </row>
    <row r="1440" spans="1:20" x14ac:dyDescent="0.25">
      <c r="A1440" s="1">
        <v>43292</v>
      </c>
      <c r="B1440">
        <v>2602.8000000000002</v>
      </c>
      <c r="C1440">
        <v>2612</v>
      </c>
      <c r="D1440">
        <v>2567.6</v>
      </c>
      <c r="E1440">
        <v>2598.5500000000002</v>
      </c>
      <c r="F1440">
        <v>3089856</v>
      </c>
      <c r="G1440" s="4">
        <f t="shared" si="309"/>
        <v>5.9500000000002728</v>
      </c>
      <c r="H1440" s="4">
        <f t="shared" si="310"/>
        <v>0</v>
      </c>
      <c r="I1440" s="6">
        <f t="shared" si="315"/>
        <v>14.032142857142844</v>
      </c>
      <c r="J1440" s="6">
        <f t="shared" si="316"/>
        <v>10.639285714285702</v>
      </c>
      <c r="K1440" s="4">
        <f t="shared" si="317"/>
        <v>1.3188989593823435</v>
      </c>
      <c r="L1440">
        <f t="shared" si="318"/>
        <v>56.87608569774175</v>
      </c>
      <c r="M1440" s="14" t="str">
        <f t="shared" si="311"/>
        <v/>
      </c>
      <c r="N1440" s="7">
        <f t="shared" si="312"/>
        <v>0</v>
      </c>
      <c r="O1440" s="7">
        <f t="shared" si="319"/>
        <v>0</v>
      </c>
      <c r="P1440" s="7">
        <f t="shared" si="320"/>
        <v>-1</v>
      </c>
      <c r="Q1440" s="10" t="e">
        <f t="shared" si="313"/>
        <v>#N/A</v>
      </c>
      <c r="R1440" s="10" t="e">
        <f t="shared" si="314"/>
        <v>#N/A</v>
      </c>
      <c r="S1440" s="7">
        <f t="shared" si="321"/>
        <v>2644.6</v>
      </c>
      <c r="T1440" s="7">
        <f t="shared" si="322"/>
        <v>0</v>
      </c>
    </row>
    <row r="1441" spans="1:20" x14ac:dyDescent="0.25">
      <c r="A1441" s="1">
        <v>43293</v>
      </c>
      <c r="B1441">
        <v>2548</v>
      </c>
      <c r="C1441">
        <v>2548</v>
      </c>
      <c r="D1441">
        <v>2480</v>
      </c>
      <c r="E1441">
        <v>2483.6999999999998</v>
      </c>
      <c r="F1441">
        <v>4168564</v>
      </c>
      <c r="G1441" s="4">
        <f t="shared" si="309"/>
        <v>0</v>
      </c>
      <c r="H1441" s="4">
        <f t="shared" si="310"/>
        <v>114.85000000000036</v>
      </c>
      <c r="I1441" s="6">
        <f t="shared" si="315"/>
        <v>14.032142857142844</v>
      </c>
      <c r="J1441" s="6">
        <f t="shared" si="316"/>
        <v>17.110714285714298</v>
      </c>
      <c r="K1441" s="4">
        <f t="shared" si="317"/>
        <v>0.82007931538300849</v>
      </c>
      <c r="L1441">
        <f t="shared" si="318"/>
        <v>45.057339449541239</v>
      </c>
      <c r="M1441" s="14" t="str">
        <f t="shared" si="311"/>
        <v/>
      </c>
      <c r="N1441" s="7">
        <f t="shared" si="312"/>
        <v>0</v>
      </c>
      <c r="O1441" s="7">
        <f t="shared" si="319"/>
        <v>0</v>
      </c>
      <c r="P1441" s="7">
        <f t="shared" si="320"/>
        <v>-1</v>
      </c>
      <c r="Q1441" s="10" t="e">
        <f t="shared" si="313"/>
        <v>#N/A</v>
      </c>
      <c r="R1441" s="10" t="e">
        <f t="shared" si="314"/>
        <v>#N/A</v>
      </c>
      <c r="S1441" s="7">
        <f t="shared" si="321"/>
        <v>2644.6</v>
      </c>
      <c r="T1441" s="7">
        <f t="shared" si="322"/>
        <v>0</v>
      </c>
    </row>
    <row r="1442" spans="1:20" x14ac:dyDescent="0.25">
      <c r="A1442" s="1">
        <v>43294</v>
      </c>
      <c r="B1442">
        <v>2490</v>
      </c>
      <c r="C1442">
        <v>2503.5</v>
      </c>
      <c r="D1442">
        <v>2465</v>
      </c>
      <c r="E1442">
        <v>2467.75</v>
      </c>
      <c r="F1442">
        <v>1607855</v>
      </c>
      <c r="G1442" s="4">
        <f t="shared" si="309"/>
        <v>0</v>
      </c>
      <c r="H1442" s="4">
        <f t="shared" si="310"/>
        <v>15.949999999999818</v>
      </c>
      <c r="I1442" s="6">
        <f t="shared" si="315"/>
        <v>13.614285714285709</v>
      </c>
      <c r="J1442" s="6">
        <f t="shared" si="316"/>
        <v>18.25</v>
      </c>
      <c r="K1442" s="4">
        <f t="shared" si="317"/>
        <v>0.74598825831702509</v>
      </c>
      <c r="L1442">
        <f t="shared" si="318"/>
        <v>42.725846222819989</v>
      </c>
      <c r="M1442" s="14" t="str">
        <f t="shared" si="311"/>
        <v/>
      </c>
      <c r="N1442" s="7">
        <f t="shared" si="312"/>
        <v>0</v>
      </c>
      <c r="O1442" s="7">
        <f t="shared" si="319"/>
        <v>0</v>
      </c>
      <c r="P1442" s="7">
        <f t="shared" si="320"/>
        <v>-1</v>
      </c>
      <c r="Q1442" s="10" t="e">
        <f t="shared" si="313"/>
        <v>#N/A</v>
      </c>
      <c r="R1442" s="10" t="e">
        <f t="shared" si="314"/>
        <v>#N/A</v>
      </c>
      <c r="S1442" s="7">
        <f t="shared" si="321"/>
        <v>2644.6</v>
      </c>
      <c r="T1442" s="7">
        <f t="shared" si="322"/>
        <v>0</v>
      </c>
    </row>
    <row r="1443" spans="1:20" x14ac:dyDescent="0.25">
      <c r="A1443" s="1">
        <v>43297</v>
      </c>
      <c r="B1443">
        <v>2480.9</v>
      </c>
      <c r="C1443">
        <v>2492</v>
      </c>
      <c r="D1443">
        <v>2470</v>
      </c>
      <c r="E1443">
        <v>2473.75</v>
      </c>
      <c r="F1443">
        <v>1166914</v>
      </c>
      <c r="G1443" s="4">
        <f t="shared" si="309"/>
        <v>6</v>
      </c>
      <c r="H1443" s="4">
        <f t="shared" si="310"/>
        <v>0</v>
      </c>
      <c r="I1443" s="6">
        <f t="shared" si="315"/>
        <v>10.632142857142851</v>
      </c>
      <c r="J1443" s="6">
        <f t="shared" si="316"/>
        <v>18.25</v>
      </c>
      <c r="K1443" s="4">
        <f t="shared" si="317"/>
        <v>0.58258317025440276</v>
      </c>
      <c r="L1443">
        <f t="shared" si="318"/>
        <v>36.812167676517852</v>
      </c>
      <c r="M1443" s="14" t="str">
        <f t="shared" si="311"/>
        <v/>
      </c>
      <c r="N1443" s="7">
        <f t="shared" si="312"/>
        <v>0</v>
      </c>
      <c r="O1443" s="7">
        <f t="shared" si="319"/>
        <v>0</v>
      </c>
      <c r="P1443" s="7">
        <f t="shared" si="320"/>
        <v>-1</v>
      </c>
      <c r="Q1443" s="10" t="e">
        <f t="shared" si="313"/>
        <v>#N/A</v>
      </c>
      <c r="R1443" s="10" t="e">
        <f t="shared" si="314"/>
        <v>#N/A</v>
      </c>
      <c r="S1443" s="7">
        <f t="shared" si="321"/>
        <v>2644.6</v>
      </c>
      <c r="T1443" s="7">
        <f t="shared" si="322"/>
        <v>0</v>
      </c>
    </row>
    <row r="1444" spans="1:20" x14ac:dyDescent="0.25">
      <c r="A1444" s="1">
        <v>43298</v>
      </c>
      <c r="B1444">
        <v>2490</v>
      </c>
      <c r="C1444">
        <v>2494.9499999999998</v>
      </c>
      <c r="D1444">
        <v>2455.85</v>
      </c>
      <c r="E1444">
        <v>2488.75</v>
      </c>
      <c r="F1444">
        <v>1565321</v>
      </c>
      <c r="G1444" s="4">
        <f t="shared" si="309"/>
        <v>15</v>
      </c>
      <c r="H1444" s="4">
        <f t="shared" si="310"/>
        <v>0</v>
      </c>
      <c r="I1444" s="6">
        <f t="shared" si="315"/>
        <v>10.753571428571442</v>
      </c>
      <c r="J1444" s="6">
        <f t="shared" si="316"/>
        <v>18.25</v>
      </c>
      <c r="K1444" s="4">
        <f t="shared" si="317"/>
        <v>0.58923679060665435</v>
      </c>
      <c r="L1444">
        <f t="shared" si="318"/>
        <v>37.07671469030911</v>
      </c>
      <c r="M1444" s="14" t="str">
        <f t="shared" si="311"/>
        <v/>
      </c>
      <c r="N1444" s="7">
        <f t="shared" si="312"/>
        <v>0</v>
      </c>
      <c r="O1444" s="7">
        <f t="shared" si="319"/>
        <v>0</v>
      </c>
      <c r="P1444" s="7">
        <f t="shared" si="320"/>
        <v>-1</v>
      </c>
      <c r="Q1444" s="10" t="e">
        <f t="shared" si="313"/>
        <v>#N/A</v>
      </c>
      <c r="R1444" s="10" t="e">
        <f t="shared" si="314"/>
        <v>#N/A</v>
      </c>
      <c r="S1444" s="7">
        <f t="shared" si="321"/>
        <v>2644.6</v>
      </c>
      <c r="T1444" s="7">
        <f t="shared" si="322"/>
        <v>0</v>
      </c>
    </row>
    <row r="1445" spans="1:20" x14ac:dyDescent="0.25">
      <c r="A1445" s="1">
        <v>43299</v>
      </c>
      <c r="B1445">
        <v>2496.25</v>
      </c>
      <c r="C1445">
        <v>2530</v>
      </c>
      <c r="D1445">
        <v>2495.6</v>
      </c>
      <c r="E1445">
        <v>2526.75</v>
      </c>
      <c r="F1445">
        <v>1347542</v>
      </c>
      <c r="G1445" s="4">
        <f t="shared" si="309"/>
        <v>38</v>
      </c>
      <c r="H1445" s="4">
        <f t="shared" si="310"/>
        <v>0</v>
      </c>
      <c r="I1445" s="6">
        <f t="shared" si="315"/>
        <v>13.467857142857156</v>
      </c>
      <c r="J1445" s="6">
        <f t="shared" si="316"/>
        <v>17.860714285714298</v>
      </c>
      <c r="K1445" s="4">
        <f t="shared" si="317"/>
        <v>0.75404919016196781</v>
      </c>
      <c r="L1445">
        <f t="shared" si="318"/>
        <v>42.989056087551305</v>
      </c>
      <c r="M1445" s="14" t="str">
        <f t="shared" si="311"/>
        <v/>
      </c>
      <c r="N1445" s="7">
        <f t="shared" si="312"/>
        <v>0</v>
      </c>
      <c r="O1445" s="7">
        <f t="shared" si="319"/>
        <v>0</v>
      </c>
      <c r="P1445" s="7">
        <f t="shared" si="320"/>
        <v>-1</v>
      </c>
      <c r="Q1445" s="10" t="e">
        <f t="shared" si="313"/>
        <v>#N/A</v>
      </c>
      <c r="R1445" s="10" t="e">
        <f t="shared" si="314"/>
        <v>#N/A</v>
      </c>
      <c r="S1445" s="7">
        <f t="shared" si="321"/>
        <v>2644.6</v>
      </c>
      <c r="T1445" s="7">
        <f t="shared" si="322"/>
        <v>0</v>
      </c>
    </row>
    <row r="1446" spans="1:20" x14ac:dyDescent="0.25">
      <c r="A1446" s="1">
        <v>43300</v>
      </c>
      <c r="B1446">
        <v>2535</v>
      </c>
      <c r="C1446">
        <v>2542</v>
      </c>
      <c r="D1446">
        <v>2522.25</v>
      </c>
      <c r="E1446">
        <v>2530</v>
      </c>
      <c r="F1446">
        <v>964844</v>
      </c>
      <c r="G1446" s="4">
        <f t="shared" si="309"/>
        <v>3.25</v>
      </c>
      <c r="H1446" s="4">
        <f t="shared" si="310"/>
        <v>0</v>
      </c>
      <c r="I1446" s="6">
        <f t="shared" si="315"/>
        <v>13.700000000000014</v>
      </c>
      <c r="J1446" s="6">
        <f t="shared" si="316"/>
        <v>17.846428571428596</v>
      </c>
      <c r="K1446" s="4">
        <f t="shared" si="317"/>
        <v>0.76766059635781436</v>
      </c>
      <c r="L1446">
        <f t="shared" si="318"/>
        <v>43.428053888825985</v>
      </c>
      <c r="M1446" s="14" t="str">
        <f t="shared" si="311"/>
        <v/>
      </c>
      <c r="N1446" s="7">
        <f t="shared" si="312"/>
        <v>0</v>
      </c>
      <c r="O1446" s="7">
        <f t="shared" si="319"/>
        <v>0</v>
      </c>
      <c r="P1446" s="7">
        <f t="shared" si="320"/>
        <v>-1</v>
      </c>
      <c r="Q1446" s="10" t="e">
        <f t="shared" si="313"/>
        <v>#N/A</v>
      </c>
      <c r="R1446" s="10" t="e">
        <f t="shared" si="314"/>
        <v>#N/A</v>
      </c>
      <c r="S1446" s="7">
        <f t="shared" si="321"/>
        <v>2644.6</v>
      </c>
      <c r="T1446" s="7">
        <f t="shared" si="322"/>
        <v>0</v>
      </c>
    </row>
    <row r="1447" spans="1:20" x14ac:dyDescent="0.25">
      <c r="A1447" s="1">
        <v>43301</v>
      </c>
      <c r="B1447">
        <v>2548</v>
      </c>
      <c r="C1447">
        <v>2548</v>
      </c>
      <c r="D1447">
        <v>2527.3000000000002</v>
      </c>
      <c r="E1447">
        <v>2537.15</v>
      </c>
      <c r="F1447">
        <v>1167699</v>
      </c>
      <c r="G1447" s="4">
        <f t="shared" si="309"/>
        <v>7.1500000000000909</v>
      </c>
      <c r="H1447" s="4">
        <f t="shared" si="310"/>
        <v>0</v>
      </c>
      <c r="I1447" s="6">
        <f t="shared" si="315"/>
        <v>10.17142857142861</v>
      </c>
      <c r="J1447" s="6">
        <f t="shared" si="316"/>
        <v>17.846428571428596</v>
      </c>
      <c r="K1447" s="4">
        <f t="shared" si="317"/>
        <v>0.56994196517910878</v>
      </c>
      <c r="L1447">
        <f t="shared" si="318"/>
        <v>36.303377947737459</v>
      </c>
      <c r="M1447" s="14" t="str">
        <f t="shared" si="311"/>
        <v/>
      </c>
      <c r="N1447" s="7">
        <f t="shared" si="312"/>
        <v>0</v>
      </c>
      <c r="O1447" s="7">
        <f t="shared" si="319"/>
        <v>0</v>
      </c>
      <c r="P1447" s="7">
        <f t="shared" si="320"/>
        <v>-1</v>
      </c>
      <c r="Q1447" s="10" t="e">
        <f t="shared" si="313"/>
        <v>#N/A</v>
      </c>
      <c r="R1447" s="10" t="e">
        <f t="shared" si="314"/>
        <v>#N/A</v>
      </c>
      <c r="S1447" s="7">
        <f t="shared" si="321"/>
        <v>2644.6</v>
      </c>
      <c r="T1447" s="7">
        <f t="shared" si="322"/>
        <v>0</v>
      </c>
    </row>
    <row r="1448" spans="1:20" x14ac:dyDescent="0.25">
      <c r="A1448" s="1">
        <v>43304</v>
      </c>
      <c r="B1448">
        <v>2549</v>
      </c>
      <c r="C1448">
        <v>2549</v>
      </c>
      <c r="D1448">
        <v>2515.1</v>
      </c>
      <c r="E1448">
        <v>2536.5500000000002</v>
      </c>
      <c r="F1448">
        <v>707315</v>
      </c>
      <c r="G1448" s="4">
        <f t="shared" si="309"/>
        <v>0</v>
      </c>
      <c r="H1448" s="4">
        <f t="shared" si="310"/>
        <v>0.59999999999990905</v>
      </c>
      <c r="I1448" s="6">
        <f t="shared" si="315"/>
        <v>5.3821428571428829</v>
      </c>
      <c r="J1448" s="6">
        <f t="shared" si="316"/>
        <v>17.889285714285734</v>
      </c>
      <c r="K1448" s="4">
        <f t="shared" si="317"/>
        <v>0.30085845478139461</v>
      </c>
      <c r="L1448">
        <f t="shared" si="318"/>
        <v>23.127685696746539</v>
      </c>
      <c r="M1448" s="14" t="str">
        <f t="shared" si="311"/>
        <v>OVERSOLD</v>
      </c>
      <c r="N1448" s="7" t="str">
        <f t="shared" si="312"/>
        <v>BUY</v>
      </c>
      <c r="O1448" s="7" t="str">
        <f t="shared" si="319"/>
        <v>BUY</v>
      </c>
      <c r="P1448" s="7">
        <f t="shared" si="320"/>
        <v>1</v>
      </c>
      <c r="Q1448" s="10">
        <f t="shared" si="313"/>
        <v>2536.5500000000002</v>
      </c>
      <c r="R1448" s="10" t="e">
        <f t="shared" si="314"/>
        <v>#N/A</v>
      </c>
      <c r="S1448" s="7">
        <f t="shared" si="321"/>
        <v>2536.5500000000002</v>
      </c>
      <c r="T1448" s="7">
        <f t="shared" si="322"/>
        <v>4.0856840353928656E-2</v>
      </c>
    </row>
    <row r="1449" spans="1:20" x14ac:dyDescent="0.25">
      <c r="A1449" s="1">
        <v>43305</v>
      </c>
      <c r="B1449">
        <v>2530.0500000000002</v>
      </c>
      <c r="C1449">
        <v>2544.9</v>
      </c>
      <c r="D1449">
        <v>2520.35</v>
      </c>
      <c r="E1449">
        <v>2531.1</v>
      </c>
      <c r="F1449">
        <v>765210</v>
      </c>
      <c r="G1449" s="4">
        <f t="shared" si="309"/>
        <v>0</v>
      </c>
      <c r="H1449" s="4">
        <f t="shared" si="310"/>
        <v>5.4500000000002728</v>
      </c>
      <c r="I1449" s="6">
        <f t="shared" si="315"/>
        <v>5.3821428571428829</v>
      </c>
      <c r="J1449" s="6">
        <f t="shared" si="316"/>
        <v>17.446428571428605</v>
      </c>
      <c r="K1449" s="4">
        <f t="shared" si="317"/>
        <v>0.30849539406346044</v>
      </c>
      <c r="L1449">
        <f t="shared" si="318"/>
        <v>23.57634543178979</v>
      </c>
      <c r="M1449" s="14" t="str">
        <f t="shared" si="311"/>
        <v>OVERSOLD</v>
      </c>
      <c r="N1449" s="7" t="str">
        <f t="shared" si="312"/>
        <v>BUY</v>
      </c>
      <c r="O1449" s="7">
        <f t="shared" si="319"/>
        <v>0</v>
      </c>
      <c r="P1449" s="7">
        <f t="shared" si="320"/>
        <v>1</v>
      </c>
      <c r="Q1449" s="10" t="e">
        <f t="shared" si="313"/>
        <v>#N/A</v>
      </c>
      <c r="R1449" s="10" t="e">
        <f t="shared" si="314"/>
        <v>#N/A</v>
      </c>
      <c r="S1449" s="7">
        <f t="shared" si="321"/>
        <v>2536.5500000000002</v>
      </c>
      <c r="T1449" s="7">
        <f t="shared" si="322"/>
        <v>0</v>
      </c>
    </row>
    <row r="1450" spans="1:20" x14ac:dyDescent="0.25">
      <c r="A1450" s="1">
        <v>43306</v>
      </c>
      <c r="B1450">
        <v>2510.0500000000002</v>
      </c>
      <c r="C1450">
        <v>2533.5500000000002</v>
      </c>
      <c r="D1450">
        <v>2510.0500000000002</v>
      </c>
      <c r="E1450">
        <v>2529.1</v>
      </c>
      <c r="F1450">
        <v>627671</v>
      </c>
      <c r="G1450" s="4">
        <f t="shared" si="309"/>
        <v>0</v>
      </c>
      <c r="H1450" s="4">
        <f t="shared" si="310"/>
        <v>2</v>
      </c>
      <c r="I1450" s="6">
        <f t="shared" si="315"/>
        <v>5.3821428571428829</v>
      </c>
      <c r="J1450" s="6">
        <f t="shared" si="316"/>
        <v>14.30000000000002</v>
      </c>
      <c r="K1450" s="4">
        <f t="shared" si="317"/>
        <v>0.37637362637362765</v>
      </c>
      <c r="L1450">
        <f t="shared" si="318"/>
        <v>27.345309381237598</v>
      </c>
      <c r="M1450" s="14" t="str">
        <f t="shared" si="311"/>
        <v>OVERSOLD</v>
      </c>
      <c r="N1450" s="7" t="str">
        <f t="shared" si="312"/>
        <v>BUY</v>
      </c>
      <c r="O1450" s="7">
        <f t="shared" si="319"/>
        <v>0</v>
      </c>
      <c r="P1450" s="7">
        <f t="shared" si="320"/>
        <v>1</v>
      </c>
      <c r="Q1450" s="10" t="e">
        <f t="shared" si="313"/>
        <v>#N/A</v>
      </c>
      <c r="R1450" s="10" t="e">
        <f t="shared" si="314"/>
        <v>#N/A</v>
      </c>
      <c r="S1450" s="7">
        <f t="shared" si="321"/>
        <v>2536.5500000000002</v>
      </c>
      <c r="T1450" s="7">
        <f t="shared" si="322"/>
        <v>0</v>
      </c>
    </row>
    <row r="1451" spans="1:20" x14ac:dyDescent="0.25">
      <c r="A1451" s="1">
        <v>43307</v>
      </c>
      <c r="B1451">
        <v>2533.5500000000002</v>
      </c>
      <c r="C1451">
        <v>2535.4</v>
      </c>
      <c r="D1451">
        <v>2490.0500000000002</v>
      </c>
      <c r="E1451">
        <v>2495.35</v>
      </c>
      <c r="F1451">
        <v>1565158</v>
      </c>
      <c r="G1451" s="4">
        <f t="shared" si="309"/>
        <v>0</v>
      </c>
      <c r="H1451" s="4">
        <f t="shared" si="310"/>
        <v>33.75</v>
      </c>
      <c r="I1451" s="6">
        <f t="shared" si="315"/>
        <v>5.3821428571428829</v>
      </c>
      <c r="J1451" s="6">
        <f t="shared" si="316"/>
        <v>15.271428571428617</v>
      </c>
      <c r="K1451" s="4">
        <f t="shared" si="317"/>
        <v>0.3524321796071101</v>
      </c>
      <c r="L1451">
        <f t="shared" si="318"/>
        <v>26.059138855265473</v>
      </c>
      <c r="M1451" s="14" t="str">
        <f t="shared" si="311"/>
        <v>OVERSOLD</v>
      </c>
      <c r="N1451" s="7" t="str">
        <f t="shared" si="312"/>
        <v>BUY</v>
      </c>
      <c r="O1451" s="7">
        <f t="shared" si="319"/>
        <v>0</v>
      </c>
      <c r="P1451" s="7">
        <f t="shared" si="320"/>
        <v>1</v>
      </c>
      <c r="Q1451" s="10" t="e">
        <f t="shared" si="313"/>
        <v>#N/A</v>
      </c>
      <c r="R1451" s="10" t="e">
        <f t="shared" si="314"/>
        <v>#N/A</v>
      </c>
      <c r="S1451" s="7">
        <f t="shared" si="321"/>
        <v>2536.5500000000002</v>
      </c>
      <c r="T1451" s="7">
        <f t="shared" si="322"/>
        <v>0</v>
      </c>
    </row>
    <row r="1452" spans="1:20" x14ac:dyDescent="0.25">
      <c r="A1452" s="1">
        <v>43308</v>
      </c>
      <c r="B1452">
        <v>2500</v>
      </c>
      <c r="C1452">
        <v>2511.9</v>
      </c>
      <c r="D1452">
        <v>2485</v>
      </c>
      <c r="E1452">
        <v>2495.1999999999998</v>
      </c>
      <c r="F1452">
        <v>758348</v>
      </c>
      <c r="G1452" s="4">
        <f t="shared" si="309"/>
        <v>0</v>
      </c>
      <c r="H1452" s="4">
        <f t="shared" si="310"/>
        <v>0.15000000000009095</v>
      </c>
      <c r="I1452" s="6">
        <f t="shared" si="315"/>
        <v>5.3821428571428829</v>
      </c>
      <c r="J1452" s="6">
        <f t="shared" si="316"/>
        <v>14.985714285714332</v>
      </c>
      <c r="K1452" s="4">
        <f t="shared" si="317"/>
        <v>0.35915157292659738</v>
      </c>
      <c r="L1452">
        <f t="shared" si="318"/>
        <v>26.424688760301635</v>
      </c>
      <c r="M1452" s="14" t="str">
        <f t="shared" si="311"/>
        <v>OVERSOLD</v>
      </c>
      <c r="N1452" s="7" t="str">
        <f t="shared" si="312"/>
        <v>BUY</v>
      </c>
      <c r="O1452" s="7">
        <f t="shared" si="319"/>
        <v>0</v>
      </c>
      <c r="P1452" s="7">
        <f t="shared" si="320"/>
        <v>1</v>
      </c>
      <c r="Q1452" s="10" t="e">
        <f t="shared" si="313"/>
        <v>#N/A</v>
      </c>
      <c r="R1452" s="10" t="e">
        <f t="shared" si="314"/>
        <v>#N/A</v>
      </c>
      <c r="S1452" s="7">
        <f t="shared" si="321"/>
        <v>2536.5500000000002</v>
      </c>
      <c r="T1452" s="7">
        <f t="shared" si="322"/>
        <v>0</v>
      </c>
    </row>
    <row r="1453" spans="1:20" x14ac:dyDescent="0.25">
      <c r="A1453" s="1">
        <v>43311</v>
      </c>
      <c r="B1453">
        <v>2500</v>
      </c>
      <c r="C1453">
        <v>2522.8000000000002</v>
      </c>
      <c r="D1453">
        <v>2487.5500000000002</v>
      </c>
      <c r="E1453">
        <v>2517.35</v>
      </c>
      <c r="F1453">
        <v>659647</v>
      </c>
      <c r="G1453" s="4">
        <f t="shared" si="309"/>
        <v>22.150000000000091</v>
      </c>
      <c r="H1453" s="4">
        <f t="shared" si="310"/>
        <v>0</v>
      </c>
      <c r="I1453" s="6">
        <f t="shared" si="315"/>
        <v>6.9642857142857464</v>
      </c>
      <c r="J1453" s="6">
        <f t="shared" si="316"/>
        <v>12.339285714285747</v>
      </c>
      <c r="K1453" s="4">
        <f t="shared" si="317"/>
        <v>0.56439942112879993</v>
      </c>
      <c r="L1453">
        <f t="shared" si="318"/>
        <v>36.077705827937137</v>
      </c>
      <c r="M1453" s="14" t="str">
        <f t="shared" si="311"/>
        <v/>
      </c>
      <c r="N1453" s="7">
        <f t="shared" si="312"/>
        <v>0</v>
      </c>
      <c r="O1453" s="7">
        <f t="shared" si="319"/>
        <v>0</v>
      </c>
      <c r="P1453" s="7">
        <f t="shared" si="320"/>
        <v>1</v>
      </c>
      <c r="Q1453" s="10" t="e">
        <f t="shared" si="313"/>
        <v>#N/A</v>
      </c>
      <c r="R1453" s="10" t="e">
        <f t="shared" si="314"/>
        <v>#N/A</v>
      </c>
      <c r="S1453" s="7">
        <f t="shared" si="321"/>
        <v>2536.5500000000002</v>
      </c>
      <c r="T1453" s="7">
        <f t="shared" si="322"/>
        <v>0</v>
      </c>
    </row>
    <row r="1454" spans="1:20" x14ac:dyDescent="0.25">
      <c r="A1454" s="1">
        <v>43312</v>
      </c>
      <c r="B1454">
        <v>2528</v>
      </c>
      <c r="C1454">
        <v>2547.8000000000002</v>
      </c>
      <c r="D1454">
        <v>2518.5</v>
      </c>
      <c r="E1454">
        <v>2543.4499999999998</v>
      </c>
      <c r="F1454">
        <v>682453</v>
      </c>
      <c r="G1454" s="4">
        <f t="shared" si="309"/>
        <v>26.099999999999909</v>
      </c>
      <c r="H1454" s="4">
        <f t="shared" si="310"/>
        <v>0</v>
      </c>
      <c r="I1454" s="6">
        <f t="shared" si="315"/>
        <v>8.4035714285714356</v>
      </c>
      <c r="J1454" s="6">
        <f t="shared" si="316"/>
        <v>12.339285714285747</v>
      </c>
      <c r="K1454" s="4">
        <f t="shared" si="317"/>
        <v>0.68104196816208273</v>
      </c>
      <c r="L1454">
        <f t="shared" si="318"/>
        <v>40.513085399448997</v>
      </c>
      <c r="M1454" s="14" t="str">
        <f t="shared" si="311"/>
        <v/>
      </c>
      <c r="N1454" s="7">
        <f t="shared" si="312"/>
        <v>0</v>
      </c>
      <c r="O1454" s="7">
        <f t="shared" si="319"/>
        <v>0</v>
      </c>
      <c r="P1454" s="7">
        <f t="shared" si="320"/>
        <v>1</v>
      </c>
      <c r="Q1454" s="10" t="e">
        <f t="shared" si="313"/>
        <v>#N/A</v>
      </c>
      <c r="R1454" s="10" t="e">
        <f t="shared" si="314"/>
        <v>#N/A</v>
      </c>
      <c r="S1454" s="7">
        <f t="shared" si="321"/>
        <v>2536.5500000000002</v>
      </c>
      <c r="T1454" s="7">
        <f t="shared" si="322"/>
        <v>0</v>
      </c>
    </row>
    <row r="1455" spans="1:20" x14ac:dyDescent="0.25">
      <c r="A1455" s="1">
        <v>43313</v>
      </c>
      <c r="B1455">
        <v>2545</v>
      </c>
      <c r="C1455">
        <v>2547.1999999999998</v>
      </c>
      <c r="D1455">
        <v>2520</v>
      </c>
      <c r="E1455">
        <v>2533.8000000000002</v>
      </c>
      <c r="F1455">
        <v>495717</v>
      </c>
      <c r="G1455" s="4">
        <f t="shared" si="309"/>
        <v>0</v>
      </c>
      <c r="H1455" s="4">
        <f t="shared" si="310"/>
        <v>9.6499999999996362</v>
      </c>
      <c r="I1455" s="6">
        <f t="shared" si="315"/>
        <v>8.4035714285714356</v>
      </c>
      <c r="J1455" s="6">
        <f t="shared" si="316"/>
        <v>4.8249999999999806</v>
      </c>
      <c r="K1455" s="4">
        <f t="shared" si="317"/>
        <v>1.741672834937092</v>
      </c>
      <c r="L1455">
        <f t="shared" si="318"/>
        <v>63.525917926565988</v>
      </c>
      <c r="M1455" s="14" t="str">
        <f t="shared" si="311"/>
        <v/>
      </c>
      <c r="N1455" s="7">
        <f t="shared" si="312"/>
        <v>0</v>
      </c>
      <c r="O1455" s="7">
        <f t="shared" si="319"/>
        <v>0</v>
      </c>
      <c r="P1455" s="7">
        <f t="shared" si="320"/>
        <v>1</v>
      </c>
      <c r="Q1455" s="10" t="e">
        <f t="shared" si="313"/>
        <v>#N/A</v>
      </c>
      <c r="R1455" s="10" t="e">
        <f t="shared" si="314"/>
        <v>#N/A</v>
      </c>
      <c r="S1455" s="7">
        <f t="shared" si="321"/>
        <v>2536.5500000000002</v>
      </c>
      <c r="T1455" s="7">
        <f t="shared" si="322"/>
        <v>0</v>
      </c>
    </row>
    <row r="1456" spans="1:20" x14ac:dyDescent="0.25">
      <c r="A1456" s="1">
        <v>43314</v>
      </c>
      <c r="B1456">
        <v>2530.8000000000002</v>
      </c>
      <c r="C1456">
        <v>2534.9499999999998</v>
      </c>
      <c r="D1456">
        <v>2480</v>
      </c>
      <c r="E1456">
        <v>2482.65</v>
      </c>
      <c r="F1456">
        <v>798049</v>
      </c>
      <c r="G1456" s="4">
        <f t="shared" si="309"/>
        <v>0</v>
      </c>
      <c r="H1456" s="4">
        <f t="shared" si="310"/>
        <v>51.150000000000091</v>
      </c>
      <c r="I1456" s="6">
        <f t="shared" si="315"/>
        <v>8.4035714285714356</v>
      </c>
      <c r="J1456" s="6">
        <f t="shared" si="316"/>
        <v>7.3392857142857144</v>
      </c>
      <c r="K1456" s="4">
        <f t="shared" si="317"/>
        <v>1.1450121654501226</v>
      </c>
      <c r="L1456">
        <f t="shared" si="318"/>
        <v>53.380217785843939</v>
      </c>
      <c r="M1456" s="14" t="str">
        <f t="shared" si="311"/>
        <v/>
      </c>
      <c r="N1456" s="7">
        <f t="shared" si="312"/>
        <v>0</v>
      </c>
      <c r="O1456" s="7">
        <f t="shared" si="319"/>
        <v>0</v>
      </c>
      <c r="P1456" s="7">
        <f t="shared" si="320"/>
        <v>1</v>
      </c>
      <c r="Q1456" s="10" t="e">
        <f t="shared" si="313"/>
        <v>#N/A</v>
      </c>
      <c r="R1456" s="10" t="e">
        <f t="shared" si="314"/>
        <v>#N/A</v>
      </c>
      <c r="S1456" s="7">
        <f t="shared" si="321"/>
        <v>2536.5500000000002</v>
      </c>
      <c r="T1456" s="7">
        <f t="shared" si="322"/>
        <v>0</v>
      </c>
    </row>
    <row r="1457" spans="1:20" x14ac:dyDescent="0.25">
      <c r="A1457" s="1">
        <v>43315</v>
      </c>
      <c r="B1457">
        <v>2492</v>
      </c>
      <c r="C1457">
        <v>2518.25</v>
      </c>
      <c r="D1457">
        <v>2483.4499999999998</v>
      </c>
      <c r="E1457">
        <v>2505.75</v>
      </c>
      <c r="F1457">
        <v>454012</v>
      </c>
      <c r="G1457" s="4">
        <f t="shared" si="309"/>
        <v>23.099999999999909</v>
      </c>
      <c r="H1457" s="4">
        <f t="shared" si="310"/>
        <v>0</v>
      </c>
      <c r="I1457" s="6">
        <f t="shared" si="315"/>
        <v>9.625</v>
      </c>
      <c r="J1457" s="6">
        <f t="shared" si="316"/>
        <v>7.3392857142857144</v>
      </c>
      <c r="K1457" s="4">
        <f t="shared" si="317"/>
        <v>1.3114355231143553</v>
      </c>
      <c r="L1457">
        <f t="shared" si="318"/>
        <v>56.736842105263158</v>
      </c>
      <c r="M1457" s="14" t="str">
        <f t="shared" si="311"/>
        <v/>
      </c>
      <c r="N1457" s="7">
        <f t="shared" si="312"/>
        <v>0</v>
      </c>
      <c r="O1457" s="7">
        <f t="shared" si="319"/>
        <v>0</v>
      </c>
      <c r="P1457" s="7">
        <f t="shared" si="320"/>
        <v>1</v>
      </c>
      <c r="Q1457" s="10" t="e">
        <f t="shared" si="313"/>
        <v>#N/A</v>
      </c>
      <c r="R1457" s="10" t="e">
        <f t="shared" si="314"/>
        <v>#N/A</v>
      </c>
      <c r="S1457" s="7">
        <f t="shared" si="321"/>
        <v>2536.5500000000002</v>
      </c>
      <c r="T1457" s="7">
        <f t="shared" si="322"/>
        <v>0</v>
      </c>
    </row>
    <row r="1458" spans="1:20" x14ac:dyDescent="0.25">
      <c r="A1458" s="1">
        <v>43318</v>
      </c>
      <c r="B1458">
        <v>2495</v>
      </c>
      <c r="C1458">
        <v>2502.75</v>
      </c>
      <c r="D1458">
        <v>2468.6</v>
      </c>
      <c r="E1458">
        <v>2471.35</v>
      </c>
      <c r="F1458">
        <v>1010778</v>
      </c>
      <c r="G1458" s="4">
        <f t="shared" si="309"/>
        <v>0</v>
      </c>
      <c r="H1458" s="4">
        <f t="shared" si="310"/>
        <v>34.400000000000091</v>
      </c>
      <c r="I1458" s="6">
        <f t="shared" si="315"/>
        <v>8.5535714285714288</v>
      </c>
      <c r="J1458" s="6">
        <f t="shared" si="316"/>
        <v>9.7964285714285779</v>
      </c>
      <c r="K1458" s="4">
        <f t="shared" si="317"/>
        <v>0.87313160772876353</v>
      </c>
      <c r="L1458">
        <f t="shared" si="318"/>
        <v>46.613468275593604</v>
      </c>
      <c r="M1458" s="14" t="str">
        <f t="shared" si="311"/>
        <v/>
      </c>
      <c r="N1458" s="7">
        <f t="shared" si="312"/>
        <v>0</v>
      </c>
      <c r="O1458" s="7">
        <f t="shared" si="319"/>
        <v>0</v>
      </c>
      <c r="P1458" s="7">
        <f t="shared" si="320"/>
        <v>1</v>
      </c>
      <c r="Q1458" s="10" t="e">
        <f t="shared" si="313"/>
        <v>#N/A</v>
      </c>
      <c r="R1458" s="10" t="e">
        <f t="shared" si="314"/>
        <v>#N/A</v>
      </c>
      <c r="S1458" s="7">
        <f t="shared" si="321"/>
        <v>2536.5500000000002</v>
      </c>
      <c r="T1458" s="7">
        <f t="shared" si="322"/>
        <v>0</v>
      </c>
    </row>
    <row r="1459" spans="1:20" x14ac:dyDescent="0.25">
      <c r="A1459" s="1">
        <v>43319</v>
      </c>
      <c r="B1459">
        <v>2472.9499999999998</v>
      </c>
      <c r="C1459">
        <v>2477</v>
      </c>
      <c r="D1459">
        <v>2450</v>
      </c>
      <c r="E1459">
        <v>2458.15</v>
      </c>
      <c r="F1459">
        <v>680960</v>
      </c>
      <c r="G1459" s="4">
        <f t="shared" si="309"/>
        <v>0</v>
      </c>
      <c r="H1459" s="4">
        <f t="shared" si="310"/>
        <v>13.199999999999818</v>
      </c>
      <c r="I1459" s="6">
        <f t="shared" si="315"/>
        <v>5.8392857142857144</v>
      </c>
      <c r="J1459" s="6">
        <f t="shared" si="316"/>
        <v>10.739285714285709</v>
      </c>
      <c r="K1459" s="4">
        <f t="shared" si="317"/>
        <v>0.54373129364815465</v>
      </c>
      <c r="L1459">
        <f t="shared" si="318"/>
        <v>35.221887117621733</v>
      </c>
      <c r="M1459" s="14" t="str">
        <f t="shared" si="311"/>
        <v/>
      </c>
      <c r="N1459" s="7">
        <f t="shared" si="312"/>
        <v>0</v>
      </c>
      <c r="O1459" s="7">
        <f t="shared" si="319"/>
        <v>0</v>
      </c>
      <c r="P1459" s="7">
        <f t="shared" si="320"/>
        <v>1</v>
      </c>
      <c r="Q1459" s="10" t="e">
        <f t="shared" si="313"/>
        <v>#N/A</v>
      </c>
      <c r="R1459" s="10" t="e">
        <f t="shared" si="314"/>
        <v>#N/A</v>
      </c>
      <c r="S1459" s="7">
        <f t="shared" si="321"/>
        <v>2536.5500000000002</v>
      </c>
      <c r="T1459" s="7">
        <f t="shared" si="322"/>
        <v>0</v>
      </c>
    </row>
    <row r="1460" spans="1:20" x14ac:dyDescent="0.25">
      <c r="A1460" s="1">
        <v>43320</v>
      </c>
      <c r="B1460">
        <v>2475</v>
      </c>
      <c r="C1460">
        <v>2475</v>
      </c>
      <c r="D1460">
        <v>2450</v>
      </c>
      <c r="E1460">
        <v>2468.8000000000002</v>
      </c>
      <c r="F1460">
        <v>67582</v>
      </c>
      <c r="G1460" s="4">
        <f t="shared" si="309"/>
        <v>10.650000000000091</v>
      </c>
      <c r="H1460" s="4">
        <f t="shared" si="310"/>
        <v>0</v>
      </c>
      <c r="I1460" s="6">
        <f t="shared" si="315"/>
        <v>6.3678571428571491</v>
      </c>
      <c r="J1460" s="6">
        <f t="shared" si="316"/>
        <v>10.739285714285709</v>
      </c>
      <c r="K1460" s="4">
        <f t="shared" si="317"/>
        <v>0.59294978383771291</v>
      </c>
      <c r="L1460">
        <f t="shared" si="318"/>
        <v>37.223382045929057</v>
      </c>
      <c r="M1460" s="14" t="str">
        <f t="shared" si="311"/>
        <v/>
      </c>
      <c r="N1460" s="7">
        <f t="shared" si="312"/>
        <v>0</v>
      </c>
      <c r="O1460" s="7">
        <f t="shared" si="319"/>
        <v>0</v>
      </c>
      <c r="P1460" s="7">
        <f t="shared" si="320"/>
        <v>1</v>
      </c>
      <c r="Q1460" s="10" t="e">
        <f t="shared" si="313"/>
        <v>#N/A</v>
      </c>
      <c r="R1460" s="10" t="e">
        <f t="shared" si="314"/>
        <v>#N/A</v>
      </c>
      <c r="S1460" s="7">
        <f t="shared" si="321"/>
        <v>2536.5500000000002</v>
      </c>
      <c r="T1460" s="7">
        <f t="shared" si="322"/>
        <v>0</v>
      </c>
    </row>
    <row r="1461" spans="1:20" x14ac:dyDescent="0.25">
      <c r="A1461" s="1">
        <v>43321</v>
      </c>
      <c r="B1461">
        <v>2438.0500000000002</v>
      </c>
      <c r="C1461">
        <v>2438.0500000000002</v>
      </c>
      <c r="D1461">
        <v>2386.5500000000002</v>
      </c>
      <c r="E1461">
        <v>2397.4</v>
      </c>
      <c r="F1461">
        <v>1371616</v>
      </c>
      <c r="G1461" s="4">
        <f t="shared" si="309"/>
        <v>0</v>
      </c>
      <c r="H1461" s="4">
        <f t="shared" si="310"/>
        <v>71.400000000000091</v>
      </c>
      <c r="I1461" s="6">
        <f t="shared" si="315"/>
        <v>5.8571428571428568</v>
      </c>
      <c r="J1461" s="6">
        <f t="shared" si="316"/>
        <v>15.839285714285714</v>
      </c>
      <c r="K1461" s="4">
        <f t="shared" si="317"/>
        <v>0.36978579481397972</v>
      </c>
      <c r="L1461">
        <f t="shared" si="318"/>
        <v>26.995884773662553</v>
      </c>
      <c r="M1461" s="14" t="str">
        <f t="shared" si="311"/>
        <v>OVERSOLD</v>
      </c>
      <c r="N1461" s="7" t="str">
        <f t="shared" si="312"/>
        <v>BUY</v>
      </c>
      <c r="O1461" s="7">
        <f t="shared" si="319"/>
        <v>0</v>
      </c>
      <c r="P1461" s="7">
        <f t="shared" si="320"/>
        <v>1</v>
      </c>
      <c r="Q1461" s="10" t="e">
        <f t="shared" si="313"/>
        <v>#N/A</v>
      </c>
      <c r="R1461" s="10" t="e">
        <f t="shared" si="314"/>
        <v>#N/A</v>
      </c>
      <c r="S1461" s="7">
        <f t="shared" si="321"/>
        <v>2536.5500000000002</v>
      </c>
      <c r="T1461" s="7">
        <f t="shared" si="322"/>
        <v>0</v>
      </c>
    </row>
    <row r="1462" spans="1:20" x14ac:dyDescent="0.25">
      <c r="A1462" s="1">
        <v>43322</v>
      </c>
      <c r="B1462">
        <v>2390</v>
      </c>
      <c r="C1462">
        <v>2390</v>
      </c>
      <c r="D1462">
        <v>2356</v>
      </c>
      <c r="E1462">
        <v>2374.6</v>
      </c>
      <c r="F1462">
        <v>1021764</v>
      </c>
      <c r="G1462" s="4">
        <f t="shared" si="309"/>
        <v>0</v>
      </c>
      <c r="H1462" s="4">
        <f t="shared" si="310"/>
        <v>22.800000000000182</v>
      </c>
      <c r="I1462" s="6">
        <f t="shared" si="315"/>
        <v>5.8571428571428568</v>
      </c>
      <c r="J1462" s="6">
        <f t="shared" si="316"/>
        <v>17.425000000000018</v>
      </c>
      <c r="K1462" s="4">
        <f t="shared" si="317"/>
        <v>0.33613445378151224</v>
      </c>
      <c r="L1462">
        <f t="shared" si="318"/>
        <v>25.157232704402503</v>
      </c>
      <c r="M1462" s="14" t="str">
        <f t="shared" si="311"/>
        <v>OVERSOLD</v>
      </c>
      <c r="N1462" s="7" t="str">
        <f t="shared" si="312"/>
        <v>BUY</v>
      </c>
      <c r="O1462" s="7">
        <f t="shared" si="319"/>
        <v>0</v>
      </c>
      <c r="P1462" s="7">
        <f t="shared" si="320"/>
        <v>1</v>
      </c>
      <c r="Q1462" s="10" t="e">
        <f t="shared" si="313"/>
        <v>#N/A</v>
      </c>
      <c r="R1462" s="10" t="e">
        <f t="shared" si="314"/>
        <v>#N/A</v>
      </c>
      <c r="S1462" s="7">
        <f t="shared" si="321"/>
        <v>2536.5500000000002</v>
      </c>
      <c r="T1462" s="7">
        <f t="shared" si="322"/>
        <v>0</v>
      </c>
    </row>
    <row r="1463" spans="1:20" x14ac:dyDescent="0.25">
      <c r="A1463" s="1">
        <v>43325</v>
      </c>
      <c r="B1463">
        <v>2380.5</v>
      </c>
      <c r="C1463">
        <v>2398.4499999999998</v>
      </c>
      <c r="D1463">
        <v>2375</v>
      </c>
      <c r="E1463">
        <v>2390.5500000000002</v>
      </c>
      <c r="F1463">
        <v>992514</v>
      </c>
      <c r="G1463" s="4">
        <f t="shared" si="309"/>
        <v>15.950000000000273</v>
      </c>
      <c r="H1463" s="4">
        <f t="shared" si="310"/>
        <v>0</v>
      </c>
      <c r="I1463" s="6">
        <f t="shared" si="315"/>
        <v>6.9964285714285905</v>
      </c>
      <c r="J1463" s="6">
        <f t="shared" si="316"/>
        <v>17.035714285714285</v>
      </c>
      <c r="K1463" s="4">
        <f t="shared" si="317"/>
        <v>0.4106918238993722</v>
      </c>
      <c r="L1463">
        <f t="shared" si="318"/>
        <v>29.112795363352703</v>
      </c>
      <c r="M1463" s="14" t="str">
        <f t="shared" si="311"/>
        <v>OVERSOLD</v>
      </c>
      <c r="N1463" s="7" t="str">
        <f t="shared" si="312"/>
        <v>BUY</v>
      </c>
      <c r="O1463" s="7">
        <f t="shared" si="319"/>
        <v>0</v>
      </c>
      <c r="P1463" s="7">
        <f t="shared" si="320"/>
        <v>1</v>
      </c>
      <c r="Q1463" s="10" t="e">
        <f t="shared" si="313"/>
        <v>#N/A</v>
      </c>
      <c r="R1463" s="10" t="e">
        <f t="shared" si="314"/>
        <v>#N/A</v>
      </c>
      <c r="S1463" s="7">
        <f t="shared" si="321"/>
        <v>2536.5500000000002</v>
      </c>
      <c r="T1463" s="7">
        <f t="shared" si="322"/>
        <v>0</v>
      </c>
    </row>
    <row r="1464" spans="1:20" x14ac:dyDescent="0.25">
      <c r="A1464" s="1">
        <v>43326</v>
      </c>
      <c r="B1464">
        <v>2388.9</v>
      </c>
      <c r="C1464">
        <v>2388.9</v>
      </c>
      <c r="D1464">
        <v>2346</v>
      </c>
      <c r="E1464">
        <v>2351.4499999999998</v>
      </c>
      <c r="F1464">
        <v>760176</v>
      </c>
      <c r="G1464" s="4">
        <f t="shared" si="309"/>
        <v>0</v>
      </c>
      <c r="H1464" s="4">
        <f t="shared" si="310"/>
        <v>39.100000000000364</v>
      </c>
      <c r="I1464" s="6">
        <f t="shared" si="315"/>
        <v>6.9964285714285905</v>
      </c>
      <c r="J1464" s="6">
        <f t="shared" si="316"/>
        <v>19.685714285714312</v>
      </c>
      <c r="K1464" s="4">
        <f t="shared" si="317"/>
        <v>0.35540638606676395</v>
      </c>
      <c r="L1464">
        <f t="shared" si="318"/>
        <v>26.221389372239358</v>
      </c>
      <c r="M1464" s="14" t="str">
        <f t="shared" si="311"/>
        <v>OVERSOLD</v>
      </c>
      <c r="N1464" s="7" t="str">
        <f t="shared" si="312"/>
        <v>BUY</v>
      </c>
      <c r="O1464" s="7">
        <f t="shared" si="319"/>
        <v>0</v>
      </c>
      <c r="P1464" s="7">
        <f t="shared" si="320"/>
        <v>1</v>
      </c>
      <c r="Q1464" s="10" t="e">
        <f t="shared" si="313"/>
        <v>#N/A</v>
      </c>
      <c r="R1464" s="10" t="e">
        <f t="shared" si="314"/>
        <v>#N/A</v>
      </c>
      <c r="S1464" s="7">
        <f t="shared" si="321"/>
        <v>2536.5500000000002</v>
      </c>
      <c r="T1464" s="7">
        <f t="shared" si="322"/>
        <v>0</v>
      </c>
    </row>
    <row r="1465" spans="1:20" x14ac:dyDescent="0.25">
      <c r="A1465" s="1">
        <v>43327</v>
      </c>
      <c r="B1465">
        <v>2365.35</v>
      </c>
      <c r="C1465">
        <v>2381.6</v>
      </c>
      <c r="D1465">
        <v>2352</v>
      </c>
      <c r="E1465">
        <v>2362.5500000000002</v>
      </c>
      <c r="F1465">
        <v>933453</v>
      </c>
      <c r="G1465" s="4">
        <f t="shared" si="309"/>
        <v>11.100000000000364</v>
      </c>
      <c r="H1465" s="4">
        <f t="shared" si="310"/>
        <v>0</v>
      </c>
      <c r="I1465" s="6">
        <f t="shared" si="315"/>
        <v>7.7892857142857599</v>
      </c>
      <c r="J1465" s="6">
        <f t="shared" si="316"/>
        <v>17.275000000000027</v>
      </c>
      <c r="K1465" s="4">
        <f t="shared" si="317"/>
        <v>0.45089931775894343</v>
      </c>
      <c r="L1465">
        <f t="shared" si="318"/>
        <v>31.077229980051385</v>
      </c>
      <c r="M1465" s="14" t="str">
        <f t="shared" si="311"/>
        <v/>
      </c>
      <c r="N1465" s="7">
        <f t="shared" si="312"/>
        <v>0</v>
      </c>
      <c r="O1465" s="7">
        <f t="shared" si="319"/>
        <v>0</v>
      </c>
      <c r="P1465" s="7">
        <f t="shared" si="320"/>
        <v>1</v>
      </c>
      <c r="Q1465" s="10" t="e">
        <f t="shared" si="313"/>
        <v>#N/A</v>
      </c>
      <c r="R1465" s="10" t="e">
        <f t="shared" si="314"/>
        <v>#N/A</v>
      </c>
      <c r="S1465" s="7">
        <f t="shared" si="321"/>
        <v>2536.5500000000002</v>
      </c>
      <c r="T1465" s="7">
        <f t="shared" si="322"/>
        <v>0</v>
      </c>
    </row>
    <row r="1466" spans="1:20" x14ac:dyDescent="0.25">
      <c r="A1466" s="1">
        <v>43328</v>
      </c>
      <c r="B1466">
        <v>2366.5</v>
      </c>
      <c r="C1466">
        <v>2423.5500000000002</v>
      </c>
      <c r="D1466">
        <v>2361.9499999999998</v>
      </c>
      <c r="E1466">
        <v>2398.35</v>
      </c>
      <c r="F1466">
        <v>1006063</v>
      </c>
      <c r="G1466" s="4">
        <f t="shared" si="309"/>
        <v>35.799999999999727</v>
      </c>
      <c r="H1466" s="4">
        <f t="shared" si="310"/>
        <v>0</v>
      </c>
      <c r="I1466" s="6">
        <f t="shared" si="315"/>
        <v>10.346428571428598</v>
      </c>
      <c r="J1466" s="6">
        <f t="shared" si="316"/>
        <v>17.264285714285734</v>
      </c>
      <c r="K1466" s="4">
        <f t="shared" si="317"/>
        <v>0.59929664873810595</v>
      </c>
      <c r="L1466">
        <f t="shared" si="318"/>
        <v>37.472513258310734</v>
      </c>
      <c r="M1466" s="14" t="str">
        <f t="shared" si="311"/>
        <v/>
      </c>
      <c r="N1466" s="7">
        <f t="shared" si="312"/>
        <v>0</v>
      </c>
      <c r="O1466" s="7">
        <f t="shared" si="319"/>
        <v>0</v>
      </c>
      <c r="P1466" s="7">
        <f t="shared" si="320"/>
        <v>1</v>
      </c>
      <c r="Q1466" s="10" t="e">
        <f t="shared" si="313"/>
        <v>#N/A</v>
      </c>
      <c r="R1466" s="10" t="e">
        <f t="shared" si="314"/>
        <v>#N/A</v>
      </c>
      <c r="S1466" s="7">
        <f t="shared" si="321"/>
        <v>2536.5500000000002</v>
      </c>
      <c r="T1466" s="7">
        <f t="shared" si="322"/>
        <v>0</v>
      </c>
    </row>
    <row r="1467" spans="1:20" x14ac:dyDescent="0.25">
      <c r="A1467" s="1">
        <v>43329</v>
      </c>
      <c r="B1467">
        <v>2405.3000000000002</v>
      </c>
      <c r="C1467">
        <v>2413.4</v>
      </c>
      <c r="D1467">
        <v>2382.25</v>
      </c>
      <c r="E1467">
        <v>2391.0500000000002</v>
      </c>
      <c r="F1467">
        <v>544041</v>
      </c>
      <c r="G1467" s="4">
        <f t="shared" si="309"/>
        <v>0</v>
      </c>
      <c r="H1467" s="4">
        <f t="shared" si="310"/>
        <v>7.2999999999997272</v>
      </c>
      <c r="I1467" s="6">
        <f t="shared" si="315"/>
        <v>8.7642857142857338</v>
      </c>
      <c r="J1467" s="6">
        <f t="shared" si="316"/>
        <v>17.785714285714285</v>
      </c>
      <c r="K1467" s="4">
        <f t="shared" si="317"/>
        <v>0.49277108433735051</v>
      </c>
      <c r="L1467">
        <f t="shared" si="318"/>
        <v>33.010492332526283</v>
      </c>
      <c r="M1467" s="14" t="str">
        <f t="shared" si="311"/>
        <v/>
      </c>
      <c r="N1467" s="7">
        <f t="shared" si="312"/>
        <v>0</v>
      </c>
      <c r="O1467" s="7">
        <f t="shared" si="319"/>
        <v>0</v>
      </c>
      <c r="P1467" s="7">
        <f t="shared" si="320"/>
        <v>1</v>
      </c>
      <c r="Q1467" s="10" t="e">
        <f t="shared" si="313"/>
        <v>#N/A</v>
      </c>
      <c r="R1467" s="10" t="e">
        <f t="shared" si="314"/>
        <v>#N/A</v>
      </c>
      <c r="S1467" s="7">
        <f t="shared" si="321"/>
        <v>2536.5500000000002</v>
      </c>
      <c r="T1467" s="7">
        <f t="shared" si="322"/>
        <v>0</v>
      </c>
    </row>
    <row r="1468" spans="1:20" x14ac:dyDescent="0.25">
      <c r="A1468" s="1">
        <v>43332</v>
      </c>
      <c r="B1468">
        <v>2380.0500000000002</v>
      </c>
      <c r="C1468">
        <v>2392.4499999999998</v>
      </c>
      <c r="D1468">
        <v>2365.5</v>
      </c>
      <c r="E1468">
        <v>2367.9499999999998</v>
      </c>
      <c r="F1468">
        <v>499320</v>
      </c>
      <c r="G1468" s="4">
        <f t="shared" si="309"/>
        <v>0</v>
      </c>
      <c r="H1468" s="4">
        <f t="shared" si="310"/>
        <v>23.100000000000364</v>
      </c>
      <c r="I1468" s="6">
        <f t="shared" si="315"/>
        <v>6.9000000000000261</v>
      </c>
      <c r="J1468" s="6">
        <f t="shared" si="316"/>
        <v>19.435714285714312</v>
      </c>
      <c r="K1468" s="4">
        <f t="shared" si="317"/>
        <v>0.35501653803748706</v>
      </c>
      <c r="L1468">
        <f t="shared" si="318"/>
        <v>26.200162733930071</v>
      </c>
      <c r="M1468" s="14" t="str">
        <f t="shared" si="311"/>
        <v>OVERSOLD</v>
      </c>
      <c r="N1468" s="7" t="str">
        <f t="shared" si="312"/>
        <v>BUY</v>
      </c>
      <c r="O1468" s="7">
        <f t="shared" si="319"/>
        <v>0</v>
      </c>
      <c r="P1468" s="7">
        <f t="shared" si="320"/>
        <v>1</v>
      </c>
      <c r="Q1468" s="10" t="e">
        <f t="shared" si="313"/>
        <v>#N/A</v>
      </c>
      <c r="R1468" s="10" t="e">
        <f t="shared" si="314"/>
        <v>#N/A</v>
      </c>
      <c r="S1468" s="7">
        <f t="shared" si="321"/>
        <v>2536.5500000000002</v>
      </c>
      <c r="T1468" s="7">
        <f t="shared" si="322"/>
        <v>0</v>
      </c>
    </row>
    <row r="1469" spans="1:20" x14ac:dyDescent="0.25">
      <c r="A1469" s="1">
        <v>43333</v>
      </c>
      <c r="B1469">
        <v>2377.9</v>
      </c>
      <c r="C1469">
        <v>2382.4</v>
      </c>
      <c r="D1469">
        <v>2337.85</v>
      </c>
      <c r="E1469">
        <v>2345.5500000000002</v>
      </c>
      <c r="F1469">
        <v>1457646</v>
      </c>
      <c r="G1469" s="4">
        <f t="shared" si="309"/>
        <v>0</v>
      </c>
      <c r="H1469" s="4">
        <f t="shared" si="310"/>
        <v>22.399999999999636</v>
      </c>
      <c r="I1469" s="6">
        <f t="shared" si="315"/>
        <v>6.9000000000000261</v>
      </c>
      <c r="J1469" s="6">
        <f t="shared" si="316"/>
        <v>20.346428571428596</v>
      </c>
      <c r="K1469" s="4">
        <f t="shared" si="317"/>
        <v>0.33912585571353432</v>
      </c>
      <c r="L1469">
        <f t="shared" si="318"/>
        <v>25.324419976405878</v>
      </c>
      <c r="M1469" s="14" t="str">
        <f t="shared" si="311"/>
        <v>OVERSOLD</v>
      </c>
      <c r="N1469" s="7" t="str">
        <f t="shared" si="312"/>
        <v>BUY</v>
      </c>
      <c r="O1469" s="7">
        <f t="shared" si="319"/>
        <v>0</v>
      </c>
      <c r="P1469" s="7">
        <f t="shared" si="320"/>
        <v>1</v>
      </c>
      <c r="Q1469" s="10" t="e">
        <f t="shared" si="313"/>
        <v>#N/A</v>
      </c>
      <c r="R1469" s="10" t="e">
        <f t="shared" si="314"/>
        <v>#N/A</v>
      </c>
      <c r="S1469" s="7">
        <f t="shared" si="321"/>
        <v>2536.5500000000002</v>
      </c>
      <c r="T1469" s="7">
        <f t="shared" si="322"/>
        <v>0</v>
      </c>
    </row>
    <row r="1470" spans="1:20" x14ac:dyDescent="0.25">
      <c r="A1470" s="1">
        <v>43334</v>
      </c>
      <c r="B1470">
        <v>2348</v>
      </c>
      <c r="C1470">
        <v>2359.4499999999998</v>
      </c>
      <c r="D1470">
        <v>2332.5</v>
      </c>
      <c r="E1470">
        <v>2353.35</v>
      </c>
      <c r="F1470">
        <v>868603</v>
      </c>
      <c r="G1470" s="4">
        <f t="shared" si="309"/>
        <v>7.7999999999997272</v>
      </c>
      <c r="H1470" s="4">
        <f t="shared" si="310"/>
        <v>0</v>
      </c>
      <c r="I1470" s="6">
        <f t="shared" si="315"/>
        <v>7.4571428571428635</v>
      </c>
      <c r="J1470" s="6">
        <f t="shared" si="316"/>
        <v>16.692857142857161</v>
      </c>
      <c r="K1470" s="4">
        <f t="shared" si="317"/>
        <v>0.44672657252888309</v>
      </c>
      <c r="L1470">
        <f t="shared" si="318"/>
        <v>30.878438331854483</v>
      </c>
      <c r="M1470" s="14" t="str">
        <f t="shared" si="311"/>
        <v/>
      </c>
      <c r="N1470" s="7">
        <f t="shared" si="312"/>
        <v>0</v>
      </c>
      <c r="O1470" s="7">
        <f t="shared" si="319"/>
        <v>0</v>
      </c>
      <c r="P1470" s="7">
        <f t="shared" si="320"/>
        <v>1</v>
      </c>
      <c r="Q1470" s="10" t="e">
        <f t="shared" si="313"/>
        <v>#N/A</v>
      </c>
      <c r="R1470" s="10" t="e">
        <f t="shared" si="314"/>
        <v>#N/A</v>
      </c>
      <c r="S1470" s="7">
        <f t="shared" si="321"/>
        <v>2536.5500000000002</v>
      </c>
      <c r="T1470" s="7">
        <f t="shared" si="322"/>
        <v>0</v>
      </c>
    </row>
    <row r="1471" spans="1:20" x14ac:dyDescent="0.25">
      <c r="A1471" s="1">
        <v>43335</v>
      </c>
      <c r="B1471">
        <v>2365</v>
      </c>
      <c r="C1471">
        <v>2391.25</v>
      </c>
      <c r="D1471">
        <v>2350.15</v>
      </c>
      <c r="E1471">
        <v>2364.6999999999998</v>
      </c>
      <c r="F1471">
        <v>2050024</v>
      </c>
      <c r="G1471" s="4">
        <f t="shared" si="309"/>
        <v>11.349999999999909</v>
      </c>
      <c r="H1471" s="4">
        <f t="shared" si="310"/>
        <v>0</v>
      </c>
      <c r="I1471" s="6">
        <f t="shared" si="315"/>
        <v>6.6178571428571491</v>
      </c>
      <c r="J1471" s="6">
        <f t="shared" si="316"/>
        <v>16.692857142857161</v>
      </c>
      <c r="K1471" s="4">
        <f t="shared" si="317"/>
        <v>0.39644843816859215</v>
      </c>
      <c r="L1471">
        <f t="shared" si="318"/>
        <v>28.389765589091468</v>
      </c>
      <c r="M1471" s="14" t="str">
        <f t="shared" si="311"/>
        <v>OVERSOLD</v>
      </c>
      <c r="N1471" s="7" t="str">
        <f t="shared" si="312"/>
        <v>BUY</v>
      </c>
      <c r="O1471" s="7">
        <f t="shared" si="319"/>
        <v>0</v>
      </c>
      <c r="P1471" s="7">
        <f t="shared" si="320"/>
        <v>1</v>
      </c>
      <c r="Q1471" s="10" t="e">
        <f t="shared" si="313"/>
        <v>#N/A</v>
      </c>
      <c r="R1471" s="10" t="e">
        <f t="shared" si="314"/>
        <v>#N/A</v>
      </c>
      <c r="S1471" s="7">
        <f t="shared" si="321"/>
        <v>2536.5500000000002</v>
      </c>
      <c r="T1471" s="7">
        <f t="shared" si="322"/>
        <v>0</v>
      </c>
    </row>
    <row r="1472" spans="1:20" x14ac:dyDescent="0.25">
      <c r="A1472" s="1">
        <v>43336</v>
      </c>
      <c r="B1472">
        <v>2362.9</v>
      </c>
      <c r="C1472">
        <v>2378.0500000000002</v>
      </c>
      <c r="D1472">
        <v>2357.0500000000002</v>
      </c>
      <c r="E1472">
        <v>2361.9</v>
      </c>
      <c r="F1472">
        <v>860997</v>
      </c>
      <c r="G1472" s="4">
        <f t="shared" si="309"/>
        <v>0</v>
      </c>
      <c r="H1472" s="4">
        <f t="shared" si="310"/>
        <v>2.7999999999997272</v>
      </c>
      <c r="I1472" s="6">
        <f t="shared" si="315"/>
        <v>6.6178571428571491</v>
      </c>
      <c r="J1472" s="6">
        <f t="shared" si="316"/>
        <v>14.43571428571428</v>
      </c>
      <c r="K1472" s="4">
        <f t="shared" si="317"/>
        <v>0.45843641761504267</v>
      </c>
      <c r="L1472">
        <f t="shared" si="318"/>
        <v>31.433418150975427</v>
      </c>
      <c r="M1472" s="14" t="str">
        <f t="shared" si="311"/>
        <v/>
      </c>
      <c r="N1472" s="7">
        <f t="shared" si="312"/>
        <v>0</v>
      </c>
      <c r="O1472" s="7">
        <f t="shared" si="319"/>
        <v>0</v>
      </c>
      <c r="P1472" s="7">
        <f t="shared" si="320"/>
        <v>1</v>
      </c>
      <c r="Q1472" s="10" t="e">
        <f t="shared" si="313"/>
        <v>#N/A</v>
      </c>
      <c r="R1472" s="10" t="e">
        <f t="shared" si="314"/>
        <v>#N/A</v>
      </c>
      <c r="S1472" s="7">
        <f t="shared" si="321"/>
        <v>2536.5500000000002</v>
      </c>
      <c r="T1472" s="7">
        <f t="shared" si="322"/>
        <v>0</v>
      </c>
    </row>
    <row r="1473" spans="1:20" x14ac:dyDescent="0.25">
      <c r="A1473" s="1">
        <v>43339</v>
      </c>
      <c r="B1473">
        <v>2378</v>
      </c>
      <c r="C1473">
        <v>2378.1</v>
      </c>
      <c r="D1473">
        <v>2346.5</v>
      </c>
      <c r="E1473">
        <v>2365.1999999999998</v>
      </c>
      <c r="F1473">
        <v>820148</v>
      </c>
      <c r="G1473" s="4">
        <f t="shared" si="309"/>
        <v>3.2999999999997272</v>
      </c>
      <c r="H1473" s="4">
        <f t="shared" si="310"/>
        <v>0</v>
      </c>
      <c r="I1473" s="6">
        <f t="shared" si="315"/>
        <v>6.8535714285714153</v>
      </c>
      <c r="J1473" s="6">
        <f t="shared" si="316"/>
        <v>13.492857142857149</v>
      </c>
      <c r="K1473" s="4">
        <f t="shared" si="317"/>
        <v>0.50794070937003588</v>
      </c>
      <c r="L1473">
        <f t="shared" si="318"/>
        <v>33.684395295769647</v>
      </c>
      <c r="M1473" s="14" t="str">
        <f t="shared" si="311"/>
        <v/>
      </c>
      <c r="N1473" s="7">
        <f t="shared" si="312"/>
        <v>0</v>
      </c>
      <c r="O1473" s="7">
        <f t="shared" si="319"/>
        <v>0</v>
      </c>
      <c r="P1473" s="7">
        <f t="shared" si="320"/>
        <v>1</v>
      </c>
      <c r="Q1473" s="10" t="e">
        <f t="shared" si="313"/>
        <v>#N/A</v>
      </c>
      <c r="R1473" s="10" t="e">
        <f t="shared" si="314"/>
        <v>#N/A</v>
      </c>
      <c r="S1473" s="7">
        <f t="shared" si="321"/>
        <v>2536.5500000000002</v>
      </c>
      <c r="T1473" s="7">
        <f t="shared" si="322"/>
        <v>0</v>
      </c>
    </row>
    <row r="1474" spans="1:20" x14ac:dyDescent="0.25">
      <c r="A1474" s="1">
        <v>43340</v>
      </c>
      <c r="B1474">
        <v>2360</v>
      </c>
      <c r="C1474">
        <v>2373</v>
      </c>
      <c r="D1474">
        <v>2347</v>
      </c>
      <c r="E1474">
        <v>2350.75</v>
      </c>
      <c r="F1474">
        <v>1141679</v>
      </c>
      <c r="G1474" s="4">
        <f t="shared" si="309"/>
        <v>0</v>
      </c>
      <c r="H1474" s="4">
        <f t="shared" si="310"/>
        <v>14.449999999999818</v>
      </c>
      <c r="I1474" s="6">
        <f t="shared" si="315"/>
        <v>6.092857142857123</v>
      </c>
      <c r="J1474" s="6">
        <f t="shared" si="316"/>
        <v>14.524999999999993</v>
      </c>
      <c r="K1474" s="4">
        <f t="shared" si="317"/>
        <v>0.41947381362183311</v>
      </c>
      <c r="L1474">
        <f t="shared" si="318"/>
        <v>29.551359778278126</v>
      </c>
      <c r="M1474" s="14" t="str">
        <f t="shared" si="311"/>
        <v>OVERSOLD</v>
      </c>
      <c r="N1474" s="7" t="str">
        <f t="shared" si="312"/>
        <v>BUY</v>
      </c>
      <c r="O1474" s="7">
        <f t="shared" si="319"/>
        <v>0</v>
      </c>
      <c r="P1474" s="7">
        <f t="shared" si="320"/>
        <v>1</v>
      </c>
      <c r="Q1474" s="10" t="e">
        <f t="shared" si="313"/>
        <v>#N/A</v>
      </c>
      <c r="R1474" s="10" t="e">
        <f t="shared" si="314"/>
        <v>#N/A</v>
      </c>
      <c r="S1474" s="7">
        <f t="shared" si="321"/>
        <v>2536.5500000000002</v>
      </c>
      <c r="T1474" s="7">
        <f t="shared" si="322"/>
        <v>0</v>
      </c>
    </row>
    <row r="1475" spans="1:20" x14ac:dyDescent="0.25">
      <c r="A1475" s="1">
        <v>43341</v>
      </c>
      <c r="B1475">
        <v>2340</v>
      </c>
      <c r="C1475">
        <v>2347.3000000000002</v>
      </c>
      <c r="D1475">
        <v>2321.1</v>
      </c>
      <c r="E1475">
        <v>2328.4</v>
      </c>
      <c r="F1475">
        <v>623046</v>
      </c>
      <c r="G1475" s="4">
        <f t="shared" si="309"/>
        <v>0</v>
      </c>
      <c r="H1475" s="4">
        <f t="shared" si="310"/>
        <v>22.349999999999909</v>
      </c>
      <c r="I1475" s="6">
        <f t="shared" si="315"/>
        <v>6.092857142857123</v>
      </c>
      <c r="J1475" s="6">
        <f t="shared" si="316"/>
        <v>11.021428571428553</v>
      </c>
      <c r="K1475" s="4">
        <f t="shared" si="317"/>
        <v>0.55281918340894276</v>
      </c>
      <c r="L1475">
        <f t="shared" si="318"/>
        <v>35.601001669449047</v>
      </c>
      <c r="M1475" s="14" t="str">
        <f t="shared" si="311"/>
        <v/>
      </c>
      <c r="N1475" s="7">
        <f t="shared" si="312"/>
        <v>0</v>
      </c>
      <c r="O1475" s="7">
        <f t="shared" si="319"/>
        <v>0</v>
      </c>
      <c r="P1475" s="7">
        <f t="shared" si="320"/>
        <v>1</v>
      </c>
      <c r="Q1475" s="10" t="e">
        <f t="shared" si="313"/>
        <v>#N/A</v>
      </c>
      <c r="R1475" s="10" t="e">
        <f t="shared" si="314"/>
        <v>#N/A</v>
      </c>
      <c r="S1475" s="7">
        <f t="shared" si="321"/>
        <v>2536.5500000000002</v>
      </c>
      <c r="T1475" s="7">
        <f t="shared" si="322"/>
        <v>0</v>
      </c>
    </row>
    <row r="1476" spans="1:20" x14ac:dyDescent="0.25">
      <c r="A1476" s="1">
        <v>43342</v>
      </c>
      <c r="B1476">
        <v>2332.1999999999998</v>
      </c>
      <c r="C1476">
        <v>2343.9</v>
      </c>
      <c r="D1476">
        <v>2315.25</v>
      </c>
      <c r="E1476">
        <v>2319.8000000000002</v>
      </c>
      <c r="F1476">
        <v>691302</v>
      </c>
      <c r="G1476" s="4">
        <f t="shared" ref="G1476:G1539" si="323">IF(E1476&gt;E1475,E1476-E1475,0)</f>
        <v>0</v>
      </c>
      <c r="H1476" s="4">
        <f t="shared" ref="H1476:H1539" si="324">IF(E1476&lt;E1475,E1475-E1476,0)</f>
        <v>8.5999999999999091</v>
      </c>
      <c r="I1476" s="6">
        <f t="shared" si="315"/>
        <v>6.092857142857123</v>
      </c>
      <c r="J1476" s="6">
        <f t="shared" si="316"/>
        <v>10.007142857142819</v>
      </c>
      <c r="K1476" s="4">
        <f t="shared" si="317"/>
        <v>0.60885082084225584</v>
      </c>
      <c r="L1476">
        <f t="shared" si="318"/>
        <v>37.843833185448105</v>
      </c>
      <c r="M1476" s="14" t="str">
        <f t="shared" si="311"/>
        <v/>
      </c>
      <c r="N1476" s="7">
        <f t="shared" si="312"/>
        <v>0</v>
      </c>
      <c r="O1476" s="7">
        <f t="shared" si="319"/>
        <v>0</v>
      </c>
      <c r="P1476" s="7">
        <f t="shared" si="320"/>
        <v>1</v>
      </c>
      <c r="Q1476" s="10" t="e">
        <f t="shared" si="313"/>
        <v>#N/A</v>
      </c>
      <c r="R1476" s="10" t="e">
        <f t="shared" si="314"/>
        <v>#N/A</v>
      </c>
      <c r="S1476" s="7">
        <f t="shared" si="321"/>
        <v>2536.5500000000002</v>
      </c>
      <c r="T1476" s="7">
        <f t="shared" si="322"/>
        <v>0</v>
      </c>
    </row>
    <row r="1477" spans="1:20" x14ac:dyDescent="0.25">
      <c r="A1477" s="1">
        <v>43343</v>
      </c>
      <c r="B1477">
        <v>2319.4</v>
      </c>
      <c r="C1477">
        <v>2349</v>
      </c>
      <c r="D1477">
        <v>2317.3000000000002</v>
      </c>
      <c r="E1477">
        <v>2329</v>
      </c>
      <c r="F1477">
        <v>569982</v>
      </c>
      <c r="G1477" s="4">
        <f t="shared" si="323"/>
        <v>9.1999999999998181</v>
      </c>
      <c r="H1477" s="4">
        <f t="shared" si="324"/>
        <v>0</v>
      </c>
      <c r="I1477" s="6">
        <f t="shared" si="315"/>
        <v>5.6107142857142334</v>
      </c>
      <c r="J1477" s="6">
        <f t="shared" si="316"/>
        <v>10.007142857142819</v>
      </c>
      <c r="K1477" s="4">
        <f t="shared" si="317"/>
        <v>0.56067094932190986</v>
      </c>
      <c r="L1477">
        <f t="shared" si="318"/>
        <v>35.92499428310073</v>
      </c>
      <c r="M1477" s="14" t="str">
        <f t="shared" si="311"/>
        <v/>
      </c>
      <c r="N1477" s="7">
        <f t="shared" si="312"/>
        <v>0</v>
      </c>
      <c r="O1477" s="7">
        <f t="shared" si="319"/>
        <v>0</v>
      </c>
      <c r="P1477" s="7">
        <f t="shared" si="320"/>
        <v>1</v>
      </c>
      <c r="Q1477" s="10" t="e">
        <f t="shared" si="313"/>
        <v>#N/A</v>
      </c>
      <c r="R1477" s="10" t="e">
        <f t="shared" si="314"/>
        <v>#N/A</v>
      </c>
      <c r="S1477" s="7">
        <f t="shared" si="321"/>
        <v>2536.5500000000002</v>
      </c>
      <c r="T1477" s="7">
        <f t="shared" si="322"/>
        <v>0</v>
      </c>
    </row>
    <row r="1478" spans="1:20" x14ac:dyDescent="0.25">
      <c r="A1478" s="1">
        <v>43346</v>
      </c>
      <c r="B1478">
        <v>2337.9</v>
      </c>
      <c r="C1478">
        <v>2372.8000000000002</v>
      </c>
      <c r="D1478">
        <v>2320</v>
      </c>
      <c r="E1478">
        <v>2367.65</v>
      </c>
      <c r="F1478">
        <v>2641403</v>
      </c>
      <c r="G1478" s="4">
        <f t="shared" si="323"/>
        <v>38.650000000000091</v>
      </c>
      <c r="H1478" s="4">
        <f t="shared" si="324"/>
        <v>0</v>
      </c>
      <c r="I1478" s="6">
        <f t="shared" si="315"/>
        <v>8.3714285714285257</v>
      </c>
      <c r="J1478" s="6">
        <f t="shared" si="316"/>
        <v>7.2142857142856496</v>
      </c>
      <c r="K1478" s="4">
        <f t="shared" si="317"/>
        <v>1.1603960396039645</v>
      </c>
      <c r="L1478">
        <f t="shared" si="318"/>
        <v>53.712190650779192</v>
      </c>
      <c r="M1478" s="14" t="str">
        <f t="shared" si="311"/>
        <v/>
      </c>
      <c r="N1478" s="7">
        <f t="shared" si="312"/>
        <v>0</v>
      </c>
      <c r="O1478" s="7">
        <f t="shared" si="319"/>
        <v>0</v>
      </c>
      <c r="P1478" s="7">
        <f t="shared" si="320"/>
        <v>1</v>
      </c>
      <c r="Q1478" s="10" t="e">
        <f t="shared" si="313"/>
        <v>#N/A</v>
      </c>
      <c r="R1478" s="10" t="e">
        <f t="shared" si="314"/>
        <v>#N/A</v>
      </c>
      <c r="S1478" s="7">
        <f t="shared" si="321"/>
        <v>2536.5500000000002</v>
      </c>
      <c r="T1478" s="7">
        <f t="shared" si="322"/>
        <v>0</v>
      </c>
    </row>
    <row r="1479" spans="1:20" x14ac:dyDescent="0.25">
      <c r="A1479" s="1">
        <v>43347</v>
      </c>
      <c r="B1479">
        <v>2369</v>
      </c>
      <c r="C1479">
        <v>2391.1999999999998</v>
      </c>
      <c r="D1479">
        <v>2352</v>
      </c>
      <c r="E1479">
        <v>2384.5500000000002</v>
      </c>
      <c r="F1479">
        <v>861994</v>
      </c>
      <c r="G1479" s="4">
        <f t="shared" si="323"/>
        <v>16.900000000000091</v>
      </c>
      <c r="H1479" s="4">
        <f t="shared" si="324"/>
        <v>0</v>
      </c>
      <c r="I1479" s="6">
        <f t="shared" si="315"/>
        <v>8.7857142857142208</v>
      </c>
      <c r="J1479" s="6">
        <f t="shared" si="316"/>
        <v>7.2142857142856496</v>
      </c>
      <c r="K1479" s="4">
        <f t="shared" si="317"/>
        <v>1.2178217821782198</v>
      </c>
      <c r="L1479">
        <f t="shared" si="318"/>
        <v>54.910714285714327</v>
      </c>
      <c r="M1479" s="14" t="str">
        <f t="shared" si="311"/>
        <v/>
      </c>
      <c r="N1479" s="7">
        <f t="shared" si="312"/>
        <v>0</v>
      </c>
      <c r="O1479" s="7">
        <f t="shared" si="319"/>
        <v>0</v>
      </c>
      <c r="P1479" s="7">
        <f t="shared" si="320"/>
        <v>1</v>
      </c>
      <c r="Q1479" s="10" t="e">
        <f t="shared" si="313"/>
        <v>#N/A</v>
      </c>
      <c r="R1479" s="10" t="e">
        <f t="shared" si="314"/>
        <v>#N/A</v>
      </c>
      <c r="S1479" s="7">
        <f t="shared" si="321"/>
        <v>2536.5500000000002</v>
      </c>
      <c r="T1479" s="7">
        <f t="shared" si="322"/>
        <v>0</v>
      </c>
    </row>
    <row r="1480" spans="1:20" x14ac:dyDescent="0.25">
      <c r="A1480" s="1">
        <v>43348</v>
      </c>
      <c r="B1480">
        <v>2383</v>
      </c>
      <c r="C1480">
        <v>2391.9499999999998</v>
      </c>
      <c r="D1480">
        <v>2363.25</v>
      </c>
      <c r="E1480">
        <v>2386</v>
      </c>
      <c r="F1480">
        <v>826189</v>
      </c>
      <c r="G1480" s="4">
        <f t="shared" si="323"/>
        <v>1.4499999999998181</v>
      </c>
      <c r="H1480" s="4">
        <f t="shared" si="324"/>
        <v>0</v>
      </c>
      <c r="I1480" s="6">
        <f t="shared" si="315"/>
        <v>6.3321428571427987</v>
      </c>
      <c r="J1480" s="6">
        <f t="shared" si="316"/>
        <v>7.2142857142856496</v>
      </c>
      <c r="K1480" s="4">
        <f t="shared" si="317"/>
        <v>0.8777227722772275</v>
      </c>
      <c r="L1480">
        <f t="shared" si="318"/>
        <v>46.744002109148425</v>
      </c>
      <c r="M1480" s="14" t="str">
        <f t="shared" si="311"/>
        <v/>
      </c>
      <c r="N1480" s="7">
        <f t="shared" si="312"/>
        <v>0</v>
      </c>
      <c r="O1480" s="7">
        <f t="shared" si="319"/>
        <v>0</v>
      </c>
      <c r="P1480" s="7">
        <f t="shared" si="320"/>
        <v>1</v>
      </c>
      <c r="Q1480" s="10" t="e">
        <f t="shared" si="313"/>
        <v>#N/A</v>
      </c>
      <c r="R1480" s="10" t="e">
        <f t="shared" si="314"/>
        <v>#N/A</v>
      </c>
      <c r="S1480" s="7">
        <f t="shared" si="321"/>
        <v>2536.5500000000002</v>
      </c>
      <c r="T1480" s="7">
        <f t="shared" si="322"/>
        <v>0</v>
      </c>
    </row>
    <row r="1481" spans="1:20" x14ac:dyDescent="0.25">
      <c r="A1481" s="1">
        <v>43349</v>
      </c>
      <c r="B1481">
        <v>2335.1999999999998</v>
      </c>
      <c r="C1481">
        <v>2387</v>
      </c>
      <c r="D1481">
        <v>2330.6</v>
      </c>
      <c r="E1481">
        <v>2378.4499999999998</v>
      </c>
      <c r="F1481">
        <v>1359266</v>
      </c>
      <c r="G1481" s="4">
        <f t="shared" si="323"/>
        <v>0</v>
      </c>
      <c r="H1481" s="4">
        <f t="shared" si="324"/>
        <v>7.5500000000001819</v>
      </c>
      <c r="I1481" s="6">
        <f t="shared" si="315"/>
        <v>6.3321428571427987</v>
      </c>
      <c r="J1481" s="6">
        <f t="shared" si="316"/>
        <v>7.2321428571428248</v>
      </c>
      <c r="K1481" s="4">
        <f t="shared" si="317"/>
        <v>0.87555555555555142</v>
      </c>
      <c r="L1481">
        <f t="shared" si="318"/>
        <v>46.682464454976184</v>
      </c>
      <c r="M1481" s="14" t="str">
        <f t="shared" si="311"/>
        <v/>
      </c>
      <c r="N1481" s="7">
        <f t="shared" si="312"/>
        <v>0</v>
      </c>
      <c r="O1481" s="7">
        <f t="shared" si="319"/>
        <v>0</v>
      </c>
      <c r="P1481" s="7">
        <f t="shared" si="320"/>
        <v>1</v>
      </c>
      <c r="Q1481" s="10" t="e">
        <f t="shared" si="313"/>
        <v>#N/A</v>
      </c>
      <c r="R1481" s="10" t="e">
        <f t="shared" si="314"/>
        <v>#N/A</v>
      </c>
      <c r="S1481" s="7">
        <f t="shared" si="321"/>
        <v>2536.5500000000002</v>
      </c>
      <c r="T1481" s="7">
        <f t="shared" si="322"/>
        <v>0</v>
      </c>
    </row>
    <row r="1482" spans="1:20" x14ac:dyDescent="0.25">
      <c r="A1482" s="1">
        <v>43350</v>
      </c>
      <c r="B1482">
        <v>2378.4499999999998</v>
      </c>
      <c r="C1482">
        <v>2385</v>
      </c>
      <c r="D1482">
        <v>2363.0500000000002</v>
      </c>
      <c r="E1482">
        <v>2375.85</v>
      </c>
      <c r="F1482">
        <v>567934</v>
      </c>
      <c r="G1482" s="4">
        <f t="shared" si="323"/>
        <v>0</v>
      </c>
      <c r="H1482" s="4">
        <f t="shared" si="324"/>
        <v>2.5999999999999091</v>
      </c>
      <c r="I1482" s="6">
        <f t="shared" si="315"/>
        <v>6.3321428571427987</v>
      </c>
      <c r="J1482" s="6">
        <f t="shared" si="316"/>
        <v>5.7678571428570775</v>
      </c>
      <c r="K1482" s="4">
        <f t="shared" si="317"/>
        <v>1.0978328173374636</v>
      </c>
      <c r="L1482">
        <f t="shared" si="318"/>
        <v>52.331759149941028</v>
      </c>
      <c r="M1482" s="14" t="str">
        <f t="shared" si="311"/>
        <v/>
      </c>
      <c r="N1482" s="7">
        <f t="shared" si="312"/>
        <v>0</v>
      </c>
      <c r="O1482" s="7">
        <f t="shared" si="319"/>
        <v>0</v>
      </c>
      <c r="P1482" s="7">
        <f t="shared" si="320"/>
        <v>1</v>
      </c>
      <c r="Q1482" s="10" t="e">
        <f t="shared" si="313"/>
        <v>#N/A</v>
      </c>
      <c r="R1482" s="10" t="e">
        <f t="shared" si="314"/>
        <v>#N/A</v>
      </c>
      <c r="S1482" s="7">
        <f t="shared" si="321"/>
        <v>2536.5500000000002</v>
      </c>
      <c r="T1482" s="7">
        <f t="shared" si="322"/>
        <v>0</v>
      </c>
    </row>
    <row r="1483" spans="1:20" x14ac:dyDescent="0.25">
      <c r="A1483" s="1">
        <v>43353</v>
      </c>
      <c r="B1483">
        <v>2384</v>
      </c>
      <c r="C1483">
        <v>2414.5</v>
      </c>
      <c r="D1483">
        <v>2384</v>
      </c>
      <c r="E1483">
        <v>2408.4</v>
      </c>
      <c r="F1483">
        <v>717967</v>
      </c>
      <c r="G1483" s="4">
        <f t="shared" si="323"/>
        <v>32.550000000000182</v>
      </c>
      <c r="H1483" s="4">
        <f t="shared" si="324"/>
        <v>0</v>
      </c>
      <c r="I1483" s="6">
        <f t="shared" si="315"/>
        <v>8.6571428571428122</v>
      </c>
      <c r="J1483" s="6">
        <f t="shared" si="316"/>
        <v>4.1678571428571036</v>
      </c>
      <c r="K1483" s="4">
        <f t="shared" si="317"/>
        <v>2.0771208226221169</v>
      </c>
      <c r="L1483">
        <f t="shared" si="318"/>
        <v>67.502088554720231</v>
      </c>
      <c r="M1483" s="14" t="str">
        <f t="shared" si="311"/>
        <v/>
      </c>
      <c r="N1483" s="7">
        <f t="shared" si="312"/>
        <v>0</v>
      </c>
      <c r="O1483" s="7">
        <f t="shared" si="319"/>
        <v>0</v>
      </c>
      <c r="P1483" s="7">
        <f t="shared" si="320"/>
        <v>1</v>
      </c>
      <c r="Q1483" s="10" t="e">
        <f t="shared" si="313"/>
        <v>#N/A</v>
      </c>
      <c r="R1483" s="10" t="e">
        <f t="shared" si="314"/>
        <v>#N/A</v>
      </c>
      <c r="S1483" s="7">
        <f t="shared" si="321"/>
        <v>2536.5500000000002</v>
      </c>
      <c r="T1483" s="7">
        <f t="shared" si="322"/>
        <v>0</v>
      </c>
    </row>
    <row r="1484" spans="1:20" x14ac:dyDescent="0.25">
      <c r="A1484" s="1">
        <v>43354</v>
      </c>
      <c r="B1484">
        <v>2415</v>
      </c>
      <c r="C1484">
        <v>2445</v>
      </c>
      <c r="D1484">
        <v>2393.35</v>
      </c>
      <c r="E1484">
        <v>2439.75</v>
      </c>
      <c r="F1484">
        <v>809422</v>
      </c>
      <c r="G1484" s="4">
        <f t="shared" si="323"/>
        <v>31.349999999999909</v>
      </c>
      <c r="H1484" s="4">
        <f t="shared" si="324"/>
        <v>0</v>
      </c>
      <c r="I1484" s="6">
        <f t="shared" si="315"/>
        <v>10.339285714285682</v>
      </c>
      <c r="J1484" s="6">
        <f t="shared" si="316"/>
        <v>4.1678571428571036</v>
      </c>
      <c r="K1484" s="4">
        <f t="shared" si="317"/>
        <v>2.4807197943444885</v>
      </c>
      <c r="L1484">
        <f t="shared" si="318"/>
        <v>71.270310192023757</v>
      </c>
      <c r="M1484" s="14" t="str">
        <f t="shared" si="311"/>
        <v>OVERBOUGHT</v>
      </c>
      <c r="N1484" s="7" t="str">
        <f t="shared" si="312"/>
        <v>SELL</v>
      </c>
      <c r="O1484" s="7" t="str">
        <f t="shared" si="319"/>
        <v>SELL</v>
      </c>
      <c r="P1484" s="7">
        <f t="shared" si="320"/>
        <v>-1</v>
      </c>
      <c r="Q1484" s="10" t="e">
        <f t="shared" si="313"/>
        <v>#N/A</v>
      </c>
      <c r="R1484" s="10">
        <f t="shared" si="314"/>
        <v>2439.75</v>
      </c>
      <c r="S1484" s="7">
        <f t="shared" si="321"/>
        <v>2439.75</v>
      </c>
      <c r="T1484" s="7">
        <f t="shared" si="322"/>
        <v>-3.8162070528868018E-2</v>
      </c>
    </row>
    <row r="1485" spans="1:20" x14ac:dyDescent="0.25">
      <c r="A1485" s="1">
        <v>43355</v>
      </c>
      <c r="B1485">
        <v>2420</v>
      </c>
      <c r="C1485">
        <v>2434.1999999999998</v>
      </c>
      <c r="D1485">
        <v>2400.65</v>
      </c>
      <c r="E1485">
        <v>2416.8000000000002</v>
      </c>
      <c r="F1485">
        <v>1512485</v>
      </c>
      <c r="G1485" s="4">
        <f t="shared" si="323"/>
        <v>0</v>
      </c>
      <c r="H1485" s="4">
        <f t="shared" si="324"/>
        <v>22.949999999999818</v>
      </c>
      <c r="I1485" s="6">
        <f t="shared" si="315"/>
        <v>9.5285714285714018</v>
      </c>
      <c r="J1485" s="6">
        <f t="shared" si="316"/>
        <v>5.8071428571428054</v>
      </c>
      <c r="K1485" s="4">
        <f t="shared" si="317"/>
        <v>1.6408364083640936</v>
      </c>
      <c r="L1485">
        <f t="shared" si="318"/>
        <v>62.133209129017381</v>
      </c>
      <c r="M1485" s="14" t="str">
        <f t="shared" si="311"/>
        <v/>
      </c>
      <c r="N1485" s="7">
        <f t="shared" si="312"/>
        <v>0</v>
      </c>
      <c r="O1485" s="7">
        <f t="shared" si="319"/>
        <v>0</v>
      </c>
      <c r="P1485" s="7">
        <f t="shared" si="320"/>
        <v>-1</v>
      </c>
      <c r="Q1485" s="10" t="e">
        <f t="shared" si="313"/>
        <v>#N/A</v>
      </c>
      <c r="R1485" s="10" t="e">
        <f t="shared" si="314"/>
        <v>#N/A</v>
      </c>
      <c r="S1485" s="7">
        <f t="shared" si="321"/>
        <v>2439.75</v>
      </c>
      <c r="T1485" s="7">
        <f t="shared" si="322"/>
        <v>0</v>
      </c>
    </row>
    <row r="1486" spans="1:20" x14ac:dyDescent="0.25">
      <c r="A1486" s="1">
        <v>43356</v>
      </c>
      <c r="B1486">
        <v>2419.9499999999998</v>
      </c>
      <c r="C1486">
        <v>2450</v>
      </c>
      <c r="D1486">
        <v>2406.85</v>
      </c>
      <c r="E1486">
        <v>2446.4</v>
      </c>
      <c r="F1486">
        <v>805052</v>
      </c>
      <c r="G1486" s="4">
        <f t="shared" si="323"/>
        <v>29.599999999999909</v>
      </c>
      <c r="H1486" s="4">
        <f t="shared" si="324"/>
        <v>0</v>
      </c>
      <c r="I1486" s="6">
        <f t="shared" si="315"/>
        <v>11.64285714285711</v>
      </c>
      <c r="J1486" s="6">
        <f t="shared" si="316"/>
        <v>5.6071428571428248</v>
      </c>
      <c r="K1486" s="4">
        <f t="shared" si="317"/>
        <v>2.0764331210191145</v>
      </c>
      <c r="L1486">
        <f t="shared" si="318"/>
        <v>67.494824016563214</v>
      </c>
      <c r="M1486" s="14" t="str">
        <f t="shared" si="311"/>
        <v/>
      </c>
      <c r="N1486" s="7">
        <f t="shared" si="312"/>
        <v>0</v>
      </c>
      <c r="O1486" s="7">
        <f t="shared" si="319"/>
        <v>0</v>
      </c>
      <c r="P1486" s="7">
        <f t="shared" si="320"/>
        <v>-1</v>
      </c>
      <c r="Q1486" s="10" t="e">
        <f t="shared" si="313"/>
        <v>#N/A</v>
      </c>
      <c r="R1486" s="10" t="e">
        <f t="shared" si="314"/>
        <v>#N/A</v>
      </c>
      <c r="S1486" s="7">
        <f t="shared" si="321"/>
        <v>2439.75</v>
      </c>
      <c r="T1486" s="7">
        <f t="shared" si="322"/>
        <v>0</v>
      </c>
    </row>
    <row r="1487" spans="1:20" x14ac:dyDescent="0.25">
      <c r="A1487" s="1">
        <v>43357</v>
      </c>
      <c r="B1487">
        <v>2440</v>
      </c>
      <c r="C1487">
        <v>2440</v>
      </c>
      <c r="D1487">
        <v>2400</v>
      </c>
      <c r="E1487">
        <v>2405.0500000000002</v>
      </c>
      <c r="F1487">
        <v>780429</v>
      </c>
      <c r="G1487" s="4">
        <f t="shared" si="323"/>
        <v>0</v>
      </c>
      <c r="H1487" s="4">
        <f t="shared" si="324"/>
        <v>41.349999999999909</v>
      </c>
      <c r="I1487" s="6">
        <f t="shared" si="315"/>
        <v>11.407142857142844</v>
      </c>
      <c r="J1487" s="6">
        <f t="shared" si="316"/>
        <v>8.560714285714246</v>
      </c>
      <c r="K1487" s="4">
        <f t="shared" si="317"/>
        <v>1.3324989570296251</v>
      </c>
      <c r="L1487">
        <f t="shared" si="318"/>
        <v>57.127526381684937</v>
      </c>
      <c r="M1487" s="14" t="str">
        <f t="shared" si="311"/>
        <v/>
      </c>
      <c r="N1487" s="7">
        <f t="shared" si="312"/>
        <v>0</v>
      </c>
      <c r="O1487" s="7">
        <f t="shared" si="319"/>
        <v>0</v>
      </c>
      <c r="P1487" s="7">
        <f t="shared" si="320"/>
        <v>-1</v>
      </c>
      <c r="Q1487" s="10" t="e">
        <f t="shared" si="313"/>
        <v>#N/A</v>
      </c>
      <c r="R1487" s="10" t="e">
        <f t="shared" si="314"/>
        <v>#N/A</v>
      </c>
      <c r="S1487" s="7">
        <f t="shared" si="321"/>
        <v>2439.75</v>
      </c>
      <c r="T1487" s="7">
        <f t="shared" si="322"/>
        <v>0</v>
      </c>
    </row>
    <row r="1488" spans="1:20" x14ac:dyDescent="0.25">
      <c r="A1488" s="1">
        <v>43360</v>
      </c>
      <c r="B1488">
        <v>2415</v>
      </c>
      <c r="C1488">
        <v>2435</v>
      </c>
      <c r="D1488">
        <v>2410.5500000000002</v>
      </c>
      <c r="E1488">
        <v>2425.8000000000002</v>
      </c>
      <c r="F1488">
        <v>424917</v>
      </c>
      <c r="G1488" s="4">
        <f t="shared" si="323"/>
        <v>20.75</v>
      </c>
      <c r="H1488" s="4">
        <f t="shared" si="324"/>
        <v>0</v>
      </c>
      <c r="I1488" s="6">
        <f t="shared" si="315"/>
        <v>12.889285714285702</v>
      </c>
      <c r="J1488" s="6">
        <f t="shared" si="316"/>
        <v>7.5285714285714027</v>
      </c>
      <c r="K1488" s="4">
        <f t="shared" si="317"/>
        <v>1.7120493358633819</v>
      </c>
      <c r="L1488">
        <f t="shared" si="318"/>
        <v>63.127514430645505</v>
      </c>
      <c r="M1488" s="14" t="str">
        <f t="shared" ref="M1488:M1551" si="325">IF(L1488&gt;RSI_Overbought,"OVERBOUGHT",IF(L1488&lt;RSI_Oversold,"OVERSOLD",""))</f>
        <v/>
      </c>
      <c r="N1488" s="7">
        <f t="shared" ref="N1488:N1551" si="326">IF(L1488&gt;RSI_Overbought,"SELL",IF(L1488&lt;RSI_Oversold,"BUY",0))</f>
        <v>0</v>
      </c>
      <c r="O1488" s="7">
        <f t="shared" si="319"/>
        <v>0</v>
      </c>
      <c r="P1488" s="7">
        <f t="shared" si="320"/>
        <v>-1</v>
      </c>
      <c r="Q1488" s="10" t="e">
        <f t="shared" ref="Q1488:Q1551" si="327">IF($O1488="BUY",$E1488,NA())</f>
        <v>#N/A</v>
      </c>
      <c r="R1488" s="10" t="e">
        <f t="shared" ref="R1488:R1551" si="328">IF($O1488="SELL",$E1488,NA())</f>
        <v>#N/A</v>
      </c>
      <c r="S1488" s="7">
        <f t="shared" si="321"/>
        <v>2439.75</v>
      </c>
      <c r="T1488" s="7">
        <f t="shared" si="322"/>
        <v>0</v>
      </c>
    </row>
    <row r="1489" spans="1:20" x14ac:dyDescent="0.25">
      <c r="A1489" s="1">
        <v>43361</v>
      </c>
      <c r="B1489">
        <v>2421</v>
      </c>
      <c r="C1489">
        <v>2438.1999999999998</v>
      </c>
      <c r="D1489">
        <v>2404</v>
      </c>
      <c r="E1489">
        <v>2434.25</v>
      </c>
      <c r="F1489">
        <v>421580</v>
      </c>
      <c r="G1489" s="4">
        <f t="shared" si="323"/>
        <v>8.4499999999998181</v>
      </c>
      <c r="H1489" s="4">
        <f t="shared" si="324"/>
        <v>0</v>
      </c>
      <c r="I1489" s="6">
        <f t="shared" ref="I1489:I1552" si="329">AVERAGE(G1476:G1489)</f>
        <v>13.492857142857117</v>
      </c>
      <c r="J1489" s="6">
        <f t="shared" ref="J1489:J1552" si="330">AVERAGE(H1476:H1489)</f>
        <v>5.9321428571428374</v>
      </c>
      <c r="K1489" s="4">
        <f t="shared" ref="K1489:K1552" si="331">I1489/J1489</f>
        <v>2.2745334136062647</v>
      </c>
      <c r="L1489">
        <f t="shared" ref="L1489:L1552" si="332">100-(100/(K1489+1))</f>
        <v>69.461298032726631</v>
      </c>
      <c r="M1489" s="14" t="str">
        <f t="shared" si="325"/>
        <v/>
      </c>
      <c r="N1489" s="7">
        <f t="shared" si="326"/>
        <v>0</v>
      </c>
      <c r="O1489" s="7">
        <f t="shared" ref="O1489:O1552" si="333">IF(AND(N1489="BUY",P1488&lt;&gt;1),"BUY",IF(AND(N1489="SELL",P1488&lt;&gt;-1),"SELL",0))</f>
        <v>0</v>
      </c>
      <c r="P1489" s="7">
        <f t="shared" ref="P1489:P1552" si="334">IF(O1489="BUY",1,IF(O1489="SELL",-1,P1488))</f>
        <v>-1</v>
      </c>
      <c r="Q1489" s="10" t="e">
        <f t="shared" si="327"/>
        <v>#N/A</v>
      </c>
      <c r="R1489" s="10" t="e">
        <f t="shared" si="328"/>
        <v>#N/A</v>
      </c>
      <c r="S1489" s="7">
        <f t="shared" ref="S1489:S1552" si="335">IF(O1489&lt;&gt;0,E1489,S1488)</f>
        <v>2439.75</v>
      </c>
      <c r="T1489" s="7">
        <f t="shared" si="322"/>
        <v>0</v>
      </c>
    </row>
    <row r="1490" spans="1:20" x14ac:dyDescent="0.25">
      <c r="A1490" s="1">
        <v>43362</v>
      </c>
      <c r="B1490">
        <v>2428</v>
      </c>
      <c r="C1490">
        <v>2466.4</v>
      </c>
      <c r="D1490">
        <v>2420.1999999999998</v>
      </c>
      <c r="E1490">
        <v>2462.6999999999998</v>
      </c>
      <c r="F1490">
        <v>1852099</v>
      </c>
      <c r="G1490" s="4">
        <f t="shared" si="323"/>
        <v>28.449999999999818</v>
      </c>
      <c r="H1490" s="4">
        <f t="shared" si="324"/>
        <v>0</v>
      </c>
      <c r="I1490" s="6">
        <f t="shared" si="329"/>
        <v>15.524999999999961</v>
      </c>
      <c r="J1490" s="6">
        <f t="shared" si="330"/>
        <v>5.3178571428571297</v>
      </c>
      <c r="K1490" s="4">
        <f t="shared" si="331"/>
        <v>2.9194089993284082</v>
      </c>
      <c r="L1490">
        <f t="shared" si="332"/>
        <v>74.485949280328995</v>
      </c>
      <c r="M1490" s="14" t="str">
        <f t="shared" si="325"/>
        <v>OVERBOUGHT</v>
      </c>
      <c r="N1490" s="7" t="str">
        <f t="shared" si="326"/>
        <v>SELL</v>
      </c>
      <c r="O1490" s="7">
        <f t="shared" si="333"/>
        <v>0</v>
      </c>
      <c r="P1490" s="7">
        <f t="shared" si="334"/>
        <v>-1</v>
      </c>
      <c r="Q1490" s="10" t="e">
        <f t="shared" si="327"/>
        <v>#N/A</v>
      </c>
      <c r="R1490" s="10" t="e">
        <f t="shared" si="328"/>
        <v>#N/A</v>
      </c>
      <c r="S1490" s="7">
        <f t="shared" si="335"/>
        <v>2439.75</v>
      </c>
      <c r="T1490" s="7">
        <f t="shared" si="322"/>
        <v>0</v>
      </c>
    </row>
    <row r="1491" spans="1:20" x14ac:dyDescent="0.25">
      <c r="A1491" s="1">
        <v>43363</v>
      </c>
      <c r="B1491">
        <v>2458.35</v>
      </c>
      <c r="C1491">
        <v>2465.3000000000002</v>
      </c>
      <c r="D1491">
        <v>2445.75</v>
      </c>
      <c r="E1491">
        <v>2455.8000000000002</v>
      </c>
      <c r="F1491">
        <v>854262</v>
      </c>
      <c r="G1491" s="4">
        <f t="shared" si="323"/>
        <v>0</v>
      </c>
      <c r="H1491" s="4">
        <f t="shared" si="324"/>
        <v>6.8999999999996362</v>
      </c>
      <c r="I1491" s="6">
        <f t="shared" si="329"/>
        <v>14.867857142857117</v>
      </c>
      <c r="J1491" s="6">
        <f t="shared" si="330"/>
        <v>5.8107142857142469</v>
      </c>
      <c r="K1491" s="4">
        <f t="shared" si="331"/>
        <v>2.5586969883220778</v>
      </c>
      <c r="L1491">
        <f t="shared" si="332"/>
        <v>71.899827288428426</v>
      </c>
      <c r="M1491" s="14" t="str">
        <f t="shared" si="325"/>
        <v>OVERBOUGHT</v>
      </c>
      <c r="N1491" s="7" t="str">
        <f t="shared" si="326"/>
        <v>SELL</v>
      </c>
      <c r="O1491" s="7">
        <f t="shared" si="333"/>
        <v>0</v>
      </c>
      <c r="P1491" s="7">
        <f t="shared" si="334"/>
        <v>-1</v>
      </c>
      <c r="Q1491" s="10" t="e">
        <f t="shared" si="327"/>
        <v>#N/A</v>
      </c>
      <c r="R1491" s="10" t="e">
        <f t="shared" si="328"/>
        <v>#N/A</v>
      </c>
      <c r="S1491" s="7">
        <f t="shared" si="335"/>
        <v>2439.75</v>
      </c>
      <c r="T1491" s="7">
        <f t="shared" si="322"/>
        <v>0</v>
      </c>
    </row>
    <row r="1492" spans="1:20" x14ac:dyDescent="0.25">
      <c r="A1492" s="1">
        <v>43364</v>
      </c>
      <c r="B1492">
        <v>2453.0500000000002</v>
      </c>
      <c r="C1492">
        <v>2459</v>
      </c>
      <c r="D1492">
        <v>2412.3000000000002</v>
      </c>
      <c r="E1492">
        <v>2418.3000000000002</v>
      </c>
      <c r="F1492">
        <v>802881</v>
      </c>
      <c r="G1492" s="4">
        <f t="shared" si="323"/>
        <v>0</v>
      </c>
      <c r="H1492" s="4">
        <f t="shared" si="324"/>
        <v>37.5</v>
      </c>
      <c r="I1492" s="6">
        <f t="shared" si="329"/>
        <v>12.107142857142824</v>
      </c>
      <c r="J1492" s="6">
        <f t="shared" si="330"/>
        <v>8.4892857142856748</v>
      </c>
      <c r="K1492" s="4">
        <f t="shared" si="331"/>
        <v>1.4261674379469946</v>
      </c>
      <c r="L1492">
        <f t="shared" si="332"/>
        <v>58.782729322004556</v>
      </c>
      <c r="M1492" s="14" t="str">
        <f t="shared" si="325"/>
        <v/>
      </c>
      <c r="N1492" s="7">
        <f t="shared" si="326"/>
        <v>0</v>
      </c>
      <c r="O1492" s="7">
        <f t="shared" si="333"/>
        <v>0</v>
      </c>
      <c r="P1492" s="7">
        <f t="shared" si="334"/>
        <v>-1</v>
      </c>
      <c r="Q1492" s="10" t="e">
        <f t="shared" si="327"/>
        <v>#N/A</v>
      </c>
      <c r="R1492" s="10" t="e">
        <f t="shared" si="328"/>
        <v>#N/A</v>
      </c>
      <c r="S1492" s="7">
        <f t="shared" si="335"/>
        <v>2439.75</v>
      </c>
      <c r="T1492" s="7">
        <f t="shared" si="322"/>
        <v>0</v>
      </c>
    </row>
    <row r="1493" spans="1:20" x14ac:dyDescent="0.25">
      <c r="A1493" s="1">
        <v>43367</v>
      </c>
      <c r="B1493">
        <v>2415.75</v>
      </c>
      <c r="C1493">
        <v>2448.5</v>
      </c>
      <c r="D1493">
        <v>2407.5</v>
      </c>
      <c r="E1493">
        <v>2436.85</v>
      </c>
      <c r="F1493">
        <v>620159</v>
      </c>
      <c r="G1493" s="4">
        <f t="shared" si="323"/>
        <v>18.549999999999727</v>
      </c>
      <c r="H1493" s="4">
        <f t="shared" si="324"/>
        <v>0</v>
      </c>
      <c r="I1493" s="6">
        <f t="shared" si="329"/>
        <v>12.224999999999941</v>
      </c>
      <c r="J1493" s="6">
        <f t="shared" si="330"/>
        <v>8.4892857142856748</v>
      </c>
      <c r="K1493" s="4">
        <f t="shared" si="331"/>
        <v>1.440050483803113</v>
      </c>
      <c r="L1493">
        <f t="shared" si="332"/>
        <v>59.017241379310342</v>
      </c>
      <c r="M1493" s="14" t="str">
        <f t="shared" si="325"/>
        <v/>
      </c>
      <c r="N1493" s="7">
        <f t="shared" si="326"/>
        <v>0</v>
      </c>
      <c r="O1493" s="7">
        <f t="shared" si="333"/>
        <v>0</v>
      </c>
      <c r="P1493" s="7">
        <f t="shared" si="334"/>
        <v>-1</v>
      </c>
      <c r="Q1493" s="10" t="e">
        <f t="shared" si="327"/>
        <v>#N/A</v>
      </c>
      <c r="R1493" s="10" t="e">
        <f t="shared" si="328"/>
        <v>#N/A</v>
      </c>
      <c r="S1493" s="7">
        <f t="shared" si="335"/>
        <v>2439.75</v>
      </c>
      <c r="T1493" s="7">
        <f t="shared" si="322"/>
        <v>0</v>
      </c>
    </row>
    <row r="1494" spans="1:20" x14ac:dyDescent="0.25">
      <c r="A1494" s="1">
        <v>43368</v>
      </c>
      <c r="B1494">
        <v>2439</v>
      </c>
      <c r="C1494">
        <v>2439</v>
      </c>
      <c r="D1494">
        <v>2412.25</v>
      </c>
      <c r="E1494">
        <v>2416.4</v>
      </c>
      <c r="F1494">
        <v>356131</v>
      </c>
      <c r="G1494" s="4">
        <f t="shared" si="323"/>
        <v>0</v>
      </c>
      <c r="H1494" s="4">
        <f t="shared" si="324"/>
        <v>20.449999999999818</v>
      </c>
      <c r="I1494" s="6">
        <f t="shared" si="329"/>
        <v>12.121428571428526</v>
      </c>
      <c r="J1494" s="6">
        <f t="shared" si="330"/>
        <v>9.9499999999999478</v>
      </c>
      <c r="K1494" s="4">
        <f t="shared" si="331"/>
        <v>1.2182340272792551</v>
      </c>
      <c r="L1494">
        <f t="shared" si="332"/>
        <v>54.919093851132722</v>
      </c>
      <c r="M1494" s="14" t="str">
        <f t="shared" si="325"/>
        <v/>
      </c>
      <c r="N1494" s="7">
        <f t="shared" si="326"/>
        <v>0</v>
      </c>
      <c r="O1494" s="7">
        <f t="shared" si="333"/>
        <v>0</v>
      </c>
      <c r="P1494" s="7">
        <f t="shared" si="334"/>
        <v>-1</v>
      </c>
      <c r="Q1494" s="10" t="e">
        <f t="shared" si="327"/>
        <v>#N/A</v>
      </c>
      <c r="R1494" s="10" t="e">
        <f t="shared" si="328"/>
        <v>#N/A</v>
      </c>
      <c r="S1494" s="7">
        <f t="shared" si="335"/>
        <v>2439.75</v>
      </c>
      <c r="T1494" s="7">
        <f t="shared" si="322"/>
        <v>0</v>
      </c>
    </row>
    <row r="1495" spans="1:20" x14ac:dyDescent="0.25">
      <c r="A1495" s="1">
        <v>43369</v>
      </c>
      <c r="B1495">
        <v>2410.15</v>
      </c>
      <c r="C1495">
        <v>2414</v>
      </c>
      <c r="D1495">
        <v>2366.0500000000002</v>
      </c>
      <c r="E1495">
        <v>2369.6</v>
      </c>
      <c r="F1495">
        <v>935092</v>
      </c>
      <c r="G1495" s="4">
        <f t="shared" si="323"/>
        <v>0</v>
      </c>
      <c r="H1495" s="4">
        <f t="shared" si="324"/>
        <v>46.800000000000182</v>
      </c>
      <c r="I1495" s="6">
        <f t="shared" si="329"/>
        <v>12.121428571428526</v>
      </c>
      <c r="J1495" s="6">
        <f t="shared" si="330"/>
        <v>12.753571428571377</v>
      </c>
      <c r="K1495" s="4">
        <f t="shared" si="331"/>
        <v>0.95043405208625065</v>
      </c>
      <c r="L1495">
        <f t="shared" si="332"/>
        <v>48.729361091170141</v>
      </c>
      <c r="M1495" s="14" t="str">
        <f t="shared" si="325"/>
        <v/>
      </c>
      <c r="N1495" s="7">
        <f t="shared" si="326"/>
        <v>0</v>
      </c>
      <c r="O1495" s="7">
        <f t="shared" si="333"/>
        <v>0</v>
      </c>
      <c r="P1495" s="7">
        <f t="shared" si="334"/>
        <v>-1</v>
      </c>
      <c r="Q1495" s="10" t="e">
        <f t="shared" si="327"/>
        <v>#N/A</v>
      </c>
      <c r="R1495" s="10" t="e">
        <f t="shared" si="328"/>
        <v>#N/A</v>
      </c>
      <c r="S1495" s="7">
        <f t="shared" si="335"/>
        <v>2439.75</v>
      </c>
      <c r="T1495" s="7">
        <f t="shared" si="322"/>
        <v>0</v>
      </c>
    </row>
    <row r="1496" spans="1:20" x14ac:dyDescent="0.25">
      <c r="A1496" s="1">
        <v>43370</v>
      </c>
      <c r="B1496">
        <v>2385</v>
      </c>
      <c r="C1496">
        <v>2386.6</v>
      </c>
      <c r="D1496">
        <v>2341</v>
      </c>
      <c r="E1496">
        <v>2348.9499999999998</v>
      </c>
      <c r="F1496">
        <v>1339010</v>
      </c>
      <c r="G1496" s="4">
        <f t="shared" si="323"/>
        <v>0</v>
      </c>
      <c r="H1496" s="4">
        <f t="shared" si="324"/>
        <v>20.650000000000091</v>
      </c>
      <c r="I1496" s="6">
        <f t="shared" si="329"/>
        <v>12.121428571428526</v>
      </c>
      <c r="J1496" s="6">
        <f t="shared" si="330"/>
        <v>14.042857142857104</v>
      </c>
      <c r="K1496" s="4">
        <f t="shared" si="331"/>
        <v>0.8631739572736512</v>
      </c>
      <c r="L1496">
        <f t="shared" si="332"/>
        <v>46.328146328146303</v>
      </c>
      <c r="M1496" s="14" t="str">
        <f t="shared" si="325"/>
        <v/>
      </c>
      <c r="N1496" s="7">
        <f t="shared" si="326"/>
        <v>0</v>
      </c>
      <c r="O1496" s="7">
        <f t="shared" si="333"/>
        <v>0</v>
      </c>
      <c r="P1496" s="7">
        <f t="shared" si="334"/>
        <v>-1</v>
      </c>
      <c r="Q1496" s="10" t="e">
        <f t="shared" si="327"/>
        <v>#N/A</v>
      </c>
      <c r="R1496" s="10" t="e">
        <f t="shared" si="328"/>
        <v>#N/A</v>
      </c>
      <c r="S1496" s="7">
        <f t="shared" si="335"/>
        <v>2439.75</v>
      </c>
      <c r="T1496" s="7">
        <f t="shared" si="322"/>
        <v>0</v>
      </c>
    </row>
    <row r="1497" spans="1:20" x14ac:dyDescent="0.25">
      <c r="A1497" s="1">
        <v>43371</v>
      </c>
      <c r="B1497">
        <v>2350.1999999999998</v>
      </c>
      <c r="C1497">
        <v>2386.15</v>
      </c>
      <c r="D1497">
        <v>2350.1999999999998</v>
      </c>
      <c r="E1497">
        <v>2381.6</v>
      </c>
      <c r="F1497">
        <v>1326614</v>
      </c>
      <c r="G1497" s="4">
        <f t="shared" si="323"/>
        <v>32.650000000000091</v>
      </c>
      <c r="H1497" s="4">
        <f t="shared" si="324"/>
        <v>0</v>
      </c>
      <c r="I1497" s="6">
        <f t="shared" si="329"/>
        <v>12.128571428571377</v>
      </c>
      <c r="J1497" s="6">
        <f t="shared" si="330"/>
        <v>14.042857142857104</v>
      </c>
      <c r="K1497" s="4">
        <f t="shared" si="331"/>
        <v>0.86368260427263355</v>
      </c>
      <c r="L1497">
        <f t="shared" si="332"/>
        <v>46.342794759825289</v>
      </c>
      <c r="M1497" s="14" t="str">
        <f t="shared" si="325"/>
        <v/>
      </c>
      <c r="N1497" s="7">
        <f t="shared" si="326"/>
        <v>0</v>
      </c>
      <c r="O1497" s="7">
        <f t="shared" si="333"/>
        <v>0</v>
      </c>
      <c r="P1497" s="7">
        <f t="shared" si="334"/>
        <v>-1</v>
      </c>
      <c r="Q1497" s="10" t="e">
        <f t="shared" si="327"/>
        <v>#N/A</v>
      </c>
      <c r="R1497" s="10" t="e">
        <f t="shared" si="328"/>
        <v>#N/A</v>
      </c>
      <c r="S1497" s="7">
        <f t="shared" si="335"/>
        <v>2439.75</v>
      </c>
      <c r="T1497" s="7">
        <f t="shared" si="322"/>
        <v>0</v>
      </c>
    </row>
    <row r="1498" spans="1:20" x14ac:dyDescent="0.25">
      <c r="A1498" s="1">
        <v>43374</v>
      </c>
      <c r="B1498">
        <v>2370</v>
      </c>
      <c r="C1498">
        <v>2382.9</v>
      </c>
      <c r="D1498">
        <v>2360</v>
      </c>
      <c r="E1498">
        <v>2371.25</v>
      </c>
      <c r="F1498">
        <v>1599790</v>
      </c>
      <c r="G1498" s="4">
        <f t="shared" si="323"/>
        <v>0</v>
      </c>
      <c r="H1498" s="4">
        <f t="shared" si="324"/>
        <v>10.349999999999909</v>
      </c>
      <c r="I1498" s="6">
        <f t="shared" si="329"/>
        <v>9.889285714285668</v>
      </c>
      <c r="J1498" s="6">
        <f t="shared" si="330"/>
        <v>14.782142857142812</v>
      </c>
      <c r="K1498" s="4">
        <f t="shared" si="331"/>
        <v>0.66900217443826904</v>
      </c>
      <c r="L1498">
        <f t="shared" si="332"/>
        <v>40.083960625361861</v>
      </c>
      <c r="M1498" s="14" t="str">
        <f t="shared" si="325"/>
        <v/>
      </c>
      <c r="N1498" s="7">
        <f t="shared" si="326"/>
        <v>0</v>
      </c>
      <c r="O1498" s="7">
        <f t="shared" si="333"/>
        <v>0</v>
      </c>
      <c r="P1498" s="7">
        <f t="shared" si="334"/>
        <v>-1</v>
      </c>
      <c r="Q1498" s="10" t="e">
        <f t="shared" si="327"/>
        <v>#N/A</v>
      </c>
      <c r="R1498" s="10" t="e">
        <f t="shared" si="328"/>
        <v>#N/A</v>
      </c>
      <c r="S1498" s="7">
        <f t="shared" si="335"/>
        <v>2439.75</v>
      </c>
      <c r="T1498" s="7">
        <f t="shared" ref="T1498:T1561" si="336">IF(O1498="BUY",(S1497-S1498)/S1497,IF(O1498="SELL",(S1498-S1497)/S1497,0))</f>
        <v>0</v>
      </c>
    </row>
    <row r="1499" spans="1:20" x14ac:dyDescent="0.25">
      <c r="A1499" s="1">
        <v>43375</v>
      </c>
      <c r="B1499">
        <v>2385</v>
      </c>
      <c r="C1499">
        <v>2407.35</v>
      </c>
      <c r="D1499">
        <v>2372.5</v>
      </c>
      <c r="E1499">
        <v>2397.6</v>
      </c>
      <c r="F1499">
        <v>953772</v>
      </c>
      <c r="G1499" s="4">
        <f t="shared" si="323"/>
        <v>26.349999999999909</v>
      </c>
      <c r="H1499" s="4">
        <f t="shared" si="324"/>
        <v>0</v>
      </c>
      <c r="I1499" s="6">
        <f t="shared" si="329"/>
        <v>11.771428571428519</v>
      </c>
      <c r="J1499" s="6">
        <f t="shared" si="330"/>
        <v>13.14285714285711</v>
      </c>
      <c r="K1499" s="4">
        <f t="shared" si="331"/>
        <v>0.89565217391304175</v>
      </c>
      <c r="L1499">
        <f t="shared" si="332"/>
        <v>47.247706422018304</v>
      </c>
      <c r="M1499" s="14" t="str">
        <f t="shared" si="325"/>
        <v/>
      </c>
      <c r="N1499" s="7">
        <f t="shared" si="326"/>
        <v>0</v>
      </c>
      <c r="O1499" s="7">
        <f t="shared" si="333"/>
        <v>0</v>
      </c>
      <c r="P1499" s="7">
        <f t="shared" si="334"/>
        <v>-1</v>
      </c>
      <c r="Q1499" s="10" t="e">
        <f t="shared" si="327"/>
        <v>#N/A</v>
      </c>
      <c r="R1499" s="10" t="e">
        <f t="shared" si="328"/>
        <v>#N/A</v>
      </c>
      <c r="S1499" s="7">
        <f t="shared" si="335"/>
        <v>2439.75</v>
      </c>
      <c r="T1499" s="7">
        <f t="shared" si="336"/>
        <v>0</v>
      </c>
    </row>
    <row r="1500" spans="1:20" x14ac:dyDescent="0.25">
      <c r="A1500" s="1">
        <v>43376</v>
      </c>
      <c r="B1500">
        <v>2382.5</v>
      </c>
      <c r="C1500">
        <v>2384</v>
      </c>
      <c r="D1500">
        <v>2348.85</v>
      </c>
      <c r="E1500">
        <v>2362.35</v>
      </c>
      <c r="F1500">
        <v>1465114</v>
      </c>
      <c r="G1500" s="4">
        <f t="shared" si="323"/>
        <v>0</v>
      </c>
      <c r="H1500" s="4">
        <f t="shared" si="324"/>
        <v>35.25</v>
      </c>
      <c r="I1500" s="6">
        <f t="shared" si="329"/>
        <v>9.6571428571428122</v>
      </c>
      <c r="J1500" s="6">
        <f t="shared" si="330"/>
        <v>15.660714285714253</v>
      </c>
      <c r="K1500" s="4">
        <f t="shared" si="331"/>
        <v>0.61664766248574532</v>
      </c>
      <c r="L1500">
        <f t="shared" si="332"/>
        <v>38.143602764846889</v>
      </c>
      <c r="M1500" s="14" t="str">
        <f t="shared" si="325"/>
        <v/>
      </c>
      <c r="N1500" s="7">
        <f t="shared" si="326"/>
        <v>0</v>
      </c>
      <c r="O1500" s="7">
        <f t="shared" si="333"/>
        <v>0</v>
      </c>
      <c r="P1500" s="7">
        <f t="shared" si="334"/>
        <v>-1</v>
      </c>
      <c r="Q1500" s="10" t="e">
        <f t="shared" si="327"/>
        <v>#N/A</v>
      </c>
      <c r="R1500" s="10" t="e">
        <f t="shared" si="328"/>
        <v>#N/A</v>
      </c>
      <c r="S1500" s="7">
        <f t="shared" si="335"/>
        <v>2439.75</v>
      </c>
      <c r="T1500" s="7">
        <f t="shared" si="336"/>
        <v>0</v>
      </c>
    </row>
    <row r="1501" spans="1:20" x14ac:dyDescent="0.25">
      <c r="A1501" s="1">
        <v>43377</v>
      </c>
      <c r="B1501">
        <v>2362.6999999999998</v>
      </c>
      <c r="C1501">
        <v>2365</v>
      </c>
      <c r="D1501">
        <v>2301.6</v>
      </c>
      <c r="E1501">
        <v>2327.0500000000002</v>
      </c>
      <c r="F1501">
        <v>1741297</v>
      </c>
      <c r="G1501" s="4">
        <f t="shared" si="323"/>
        <v>0</v>
      </c>
      <c r="H1501" s="4">
        <f t="shared" si="324"/>
        <v>35.299999999999727</v>
      </c>
      <c r="I1501" s="6">
        <f t="shared" si="329"/>
        <v>9.6571428571428122</v>
      </c>
      <c r="J1501" s="6">
        <f t="shared" si="330"/>
        <v>15.228571428571383</v>
      </c>
      <c r="K1501" s="4">
        <f t="shared" si="331"/>
        <v>0.63414634146341353</v>
      </c>
      <c r="L1501">
        <f t="shared" si="332"/>
        <v>38.805970149253689</v>
      </c>
      <c r="M1501" s="14" t="str">
        <f t="shared" si="325"/>
        <v/>
      </c>
      <c r="N1501" s="7">
        <f t="shared" si="326"/>
        <v>0</v>
      </c>
      <c r="O1501" s="7">
        <f t="shared" si="333"/>
        <v>0</v>
      </c>
      <c r="P1501" s="7">
        <f t="shared" si="334"/>
        <v>-1</v>
      </c>
      <c r="Q1501" s="10" t="e">
        <f t="shared" si="327"/>
        <v>#N/A</v>
      </c>
      <c r="R1501" s="10" t="e">
        <f t="shared" si="328"/>
        <v>#N/A</v>
      </c>
      <c r="S1501" s="7">
        <f t="shared" si="335"/>
        <v>2439.75</v>
      </c>
      <c r="T1501" s="7">
        <f t="shared" si="336"/>
        <v>0</v>
      </c>
    </row>
    <row r="1502" spans="1:20" x14ac:dyDescent="0.25">
      <c r="A1502" s="1">
        <v>43378</v>
      </c>
      <c r="B1502">
        <v>2317</v>
      </c>
      <c r="C1502">
        <v>2327</v>
      </c>
      <c r="D1502">
        <v>2255.1</v>
      </c>
      <c r="E1502">
        <v>2279.1999999999998</v>
      </c>
      <c r="F1502">
        <v>2373046</v>
      </c>
      <c r="G1502" s="4">
        <f t="shared" si="323"/>
        <v>0</v>
      </c>
      <c r="H1502" s="4">
        <f t="shared" si="324"/>
        <v>47.850000000000364</v>
      </c>
      <c r="I1502" s="6">
        <f t="shared" si="329"/>
        <v>8.1749999999999545</v>
      </c>
      <c r="J1502" s="6">
        <f t="shared" si="330"/>
        <v>18.646428571428551</v>
      </c>
      <c r="K1502" s="4">
        <f t="shared" si="331"/>
        <v>0.43842175828385171</v>
      </c>
      <c r="L1502">
        <f t="shared" si="332"/>
        <v>30.479360852196976</v>
      </c>
      <c r="M1502" s="14" t="str">
        <f t="shared" si="325"/>
        <v/>
      </c>
      <c r="N1502" s="7">
        <f t="shared" si="326"/>
        <v>0</v>
      </c>
      <c r="O1502" s="7">
        <f t="shared" si="333"/>
        <v>0</v>
      </c>
      <c r="P1502" s="7">
        <f t="shared" si="334"/>
        <v>-1</v>
      </c>
      <c r="Q1502" s="10" t="e">
        <f t="shared" si="327"/>
        <v>#N/A</v>
      </c>
      <c r="R1502" s="10" t="e">
        <f t="shared" si="328"/>
        <v>#N/A</v>
      </c>
      <c r="S1502" s="7">
        <f t="shared" si="335"/>
        <v>2439.75</v>
      </c>
      <c r="T1502" s="7">
        <f t="shared" si="336"/>
        <v>0</v>
      </c>
    </row>
    <row r="1503" spans="1:20" x14ac:dyDescent="0.25">
      <c r="A1503" s="1">
        <v>43381</v>
      </c>
      <c r="B1503">
        <v>2273</v>
      </c>
      <c r="C1503">
        <v>2298.9</v>
      </c>
      <c r="D1503">
        <v>2250</v>
      </c>
      <c r="E1503">
        <v>2278.8000000000002</v>
      </c>
      <c r="F1503">
        <v>1371026</v>
      </c>
      <c r="G1503" s="4">
        <f t="shared" si="323"/>
        <v>0</v>
      </c>
      <c r="H1503" s="4">
        <f t="shared" si="324"/>
        <v>0.3999999999996362</v>
      </c>
      <c r="I1503" s="6">
        <f t="shared" si="329"/>
        <v>7.5714285714285392</v>
      </c>
      <c r="J1503" s="6">
        <f t="shared" si="330"/>
        <v>18.674999999999955</v>
      </c>
      <c r="K1503" s="4">
        <f t="shared" si="331"/>
        <v>0.40543124880474202</v>
      </c>
      <c r="L1503">
        <f t="shared" si="332"/>
        <v>28.847462239760475</v>
      </c>
      <c r="M1503" s="14" t="str">
        <f t="shared" si="325"/>
        <v>OVERSOLD</v>
      </c>
      <c r="N1503" s="7" t="str">
        <f t="shared" si="326"/>
        <v>BUY</v>
      </c>
      <c r="O1503" s="7" t="str">
        <f t="shared" si="333"/>
        <v>BUY</v>
      </c>
      <c r="P1503" s="7">
        <f t="shared" si="334"/>
        <v>1</v>
      </c>
      <c r="Q1503" s="10">
        <f t="shared" si="327"/>
        <v>2278.8000000000002</v>
      </c>
      <c r="R1503" s="10" t="e">
        <f t="shared" si="328"/>
        <v>#N/A</v>
      </c>
      <c r="S1503" s="7">
        <f t="shared" si="335"/>
        <v>2278.8000000000002</v>
      </c>
      <c r="T1503" s="7">
        <f t="shared" si="336"/>
        <v>6.5969873962496081E-2</v>
      </c>
    </row>
    <row r="1504" spans="1:20" x14ac:dyDescent="0.25">
      <c r="A1504" s="1">
        <v>43382</v>
      </c>
      <c r="B1504">
        <v>2288.85</v>
      </c>
      <c r="C1504">
        <v>2291.6999999999998</v>
      </c>
      <c r="D1504">
        <v>2255</v>
      </c>
      <c r="E1504">
        <v>2261.1</v>
      </c>
      <c r="F1504">
        <v>1634704</v>
      </c>
      <c r="G1504" s="4">
        <f t="shared" si="323"/>
        <v>0</v>
      </c>
      <c r="H1504" s="4">
        <f t="shared" si="324"/>
        <v>17.700000000000273</v>
      </c>
      <c r="I1504" s="6">
        <f t="shared" si="329"/>
        <v>5.5392857142856951</v>
      </c>
      <c r="J1504" s="6">
        <f t="shared" si="330"/>
        <v>19.939285714285688</v>
      </c>
      <c r="K1504" s="4">
        <f t="shared" si="331"/>
        <v>0.27780763030628636</v>
      </c>
      <c r="L1504">
        <f t="shared" si="332"/>
        <v>21.740958788898197</v>
      </c>
      <c r="M1504" s="14" t="str">
        <f t="shared" si="325"/>
        <v>OVERSOLD</v>
      </c>
      <c r="N1504" s="7" t="str">
        <f t="shared" si="326"/>
        <v>BUY</v>
      </c>
      <c r="O1504" s="7">
        <f t="shared" si="333"/>
        <v>0</v>
      </c>
      <c r="P1504" s="7">
        <f t="shared" si="334"/>
        <v>1</v>
      </c>
      <c r="Q1504" s="10" t="e">
        <f t="shared" si="327"/>
        <v>#N/A</v>
      </c>
      <c r="R1504" s="10" t="e">
        <f t="shared" si="328"/>
        <v>#N/A</v>
      </c>
      <c r="S1504" s="7">
        <f t="shared" si="335"/>
        <v>2278.8000000000002</v>
      </c>
      <c r="T1504" s="7">
        <f t="shared" si="336"/>
        <v>0</v>
      </c>
    </row>
    <row r="1505" spans="1:20" x14ac:dyDescent="0.25">
      <c r="A1505" s="1">
        <v>43383</v>
      </c>
      <c r="B1505">
        <v>2262</v>
      </c>
      <c r="C1505">
        <v>2291.9</v>
      </c>
      <c r="D1505">
        <v>2260</v>
      </c>
      <c r="E1505">
        <v>2277.65</v>
      </c>
      <c r="F1505">
        <v>1106961</v>
      </c>
      <c r="G1505" s="4">
        <f t="shared" si="323"/>
        <v>16.550000000000182</v>
      </c>
      <c r="H1505" s="4">
        <f t="shared" si="324"/>
        <v>0</v>
      </c>
      <c r="I1505" s="6">
        <f t="shared" si="329"/>
        <v>6.7214285714285653</v>
      </c>
      <c r="J1505" s="6">
        <f t="shared" si="330"/>
        <v>19.446428571428573</v>
      </c>
      <c r="K1505" s="4">
        <f t="shared" si="331"/>
        <v>0.34563820018365438</v>
      </c>
      <c r="L1505">
        <f t="shared" si="332"/>
        <v>25.68581957144805</v>
      </c>
      <c r="M1505" s="14" t="str">
        <f t="shared" si="325"/>
        <v>OVERSOLD</v>
      </c>
      <c r="N1505" s="7" t="str">
        <f t="shared" si="326"/>
        <v>BUY</v>
      </c>
      <c r="O1505" s="7">
        <f t="shared" si="333"/>
        <v>0</v>
      </c>
      <c r="P1505" s="7">
        <f t="shared" si="334"/>
        <v>1</v>
      </c>
      <c r="Q1505" s="10" t="e">
        <f t="shared" si="327"/>
        <v>#N/A</v>
      </c>
      <c r="R1505" s="10" t="e">
        <f t="shared" si="328"/>
        <v>#N/A</v>
      </c>
      <c r="S1505" s="7">
        <f t="shared" si="335"/>
        <v>2278.8000000000002</v>
      </c>
      <c r="T1505" s="7">
        <f t="shared" si="336"/>
        <v>0</v>
      </c>
    </row>
    <row r="1506" spans="1:20" x14ac:dyDescent="0.25">
      <c r="A1506" s="1">
        <v>43384</v>
      </c>
      <c r="B1506">
        <v>2277</v>
      </c>
      <c r="C1506">
        <v>2300</v>
      </c>
      <c r="D1506">
        <v>2268.3000000000002</v>
      </c>
      <c r="E1506">
        <v>2279.3000000000002</v>
      </c>
      <c r="F1506">
        <v>483955</v>
      </c>
      <c r="G1506" s="4">
        <f t="shared" si="323"/>
        <v>1.6500000000000909</v>
      </c>
      <c r="H1506" s="4">
        <f t="shared" si="324"/>
        <v>0</v>
      </c>
      <c r="I1506" s="6">
        <f t="shared" si="329"/>
        <v>6.8392857142857144</v>
      </c>
      <c r="J1506" s="6">
        <f t="shared" si="330"/>
        <v>16.767857142857142</v>
      </c>
      <c r="K1506" s="4">
        <f t="shared" si="331"/>
        <v>0.40788072417465393</v>
      </c>
      <c r="L1506">
        <f t="shared" si="332"/>
        <v>28.971255673222402</v>
      </c>
      <c r="M1506" s="14" t="str">
        <f t="shared" si="325"/>
        <v>OVERSOLD</v>
      </c>
      <c r="N1506" s="7" t="str">
        <f t="shared" si="326"/>
        <v>BUY</v>
      </c>
      <c r="O1506" s="7">
        <f t="shared" si="333"/>
        <v>0</v>
      </c>
      <c r="P1506" s="7">
        <f t="shared" si="334"/>
        <v>1</v>
      </c>
      <c r="Q1506" s="10" t="e">
        <f t="shared" si="327"/>
        <v>#N/A</v>
      </c>
      <c r="R1506" s="10" t="e">
        <f t="shared" si="328"/>
        <v>#N/A</v>
      </c>
      <c r="S1506" s="7">
        <f t="shared" si="335"/>
        <v>2278.8000000000002</v>
      </c>
      <c r="T1506" s="7">
        <f t="shared" si="336"/>
        <v>0</v>
      </c>
    </row>
    <row r="1507" spans="1:20" x14ac:dyDescent="0.25">
      <c r="A1507" s="1">
        <v>43385</v>
      </c>
      <c r="B1507">
        <v>2273.8000000000002</v>
      </c>
      <c r="C1507">
        <v>2285</v>
      </c>
      <c r="D1507">
        <v>2243</v>
      </c>
      <c r="E1507">
        <v>2280.1</v>
      </c>
      <c r="F1507">
        <v>807977</v>
      </c>
      <c r="G1507" s="4">
        <f t="shared" si="323"/>
        <v>0.79999999999972715</v>
      </c>
      <c r="H1507" s="4">
        <f t="shared" si="324"/>
        <v>0</v>
      </c>
      <c r="I1507" s="6">
        <f t="shared" si="329"/>
        <v>5.5714285714285712</v>
      </c>
      <c r="J1507" s="6">
        <f t="shared" si="330"/>
        <v>16.767857142857142</v>
      </c>
      <c r="K1507" s="4">
        <f t="shared" si="331"/>
        <v>0.33226837060702874</v>
      </c>
      <c r="L1507">
        <f t="shared" si="332"/>
        <v>24.940047961630682</v>
      </c>
      <c r="M1507" s="14" t="str">
        <f t="shared" si="325"/>
        <v>OVERSOLD</v>
      </c>
      <c r="N1507" s="7" t="str">
        <f t="shared" si="326"/>
        <v>BUY</v>
      </c>
      <c r="O1507" s="7">
        <f t="shared" si="333"/>
        <v>0</v>
      </c>
      <c r="P1507" s="7">
        <f t="shared" si="334"/>
        <v>1</v>
      </c>
      <c r="Q1507" s="10" t="e">
        <f t="shared" si="327"/>
        <v>#N/A</v>
      </c>
      <c r="R1507" s="10" t="e">
        <f t="shared" si="328"/>
        <v>#N/A</v>
      </c>
      <c r="S1507" s="7">
        <f t="shared" si="335"/>
        <v>2278.8000000000002</v>
      </c>
      <c r="T1507" s="7">
        <f t="shared" si="336"/>
        <v>0</v>
      </c>
    </row>
    <row r="1508" spans="1:20" x14ac:dyDescent="0.25">
      <c r="A1508" s="1">
        <v>43388</v>
      </c>
      <c r="B1508">
        <v>2285</v>
      </c>
      <c r="C1508">
        <v>2289.9</v>
      </c>
      <c r="D1508">
        <v>2245.75</v>
      </c>
      <c r="E1508">
        <v>2254.5</v>
      </c>
      <c r="F1508">
        <v>1337768</v>
      </c>
      <c r="G1508" s="4">
        <f t="shared" si="323"/>
        <v>0</v>
      </c>
      <c r="H1508" s="4">
        <f t="shared" si="324"/>
        <v>25.599999999999909</v>
      </c>
      <c r="I1508" s="6">
        <f t="shared" si="329"/>
        <v>5.5714285714285712</v>
      </c>
      <c r="J1508" s="6">
        <f t="shared" si="330"/>
        <v>17.135714285714293</v>
      </c>
      <c r="K1508" s="4">
        <f t="shared" si="331"/>
        <v>0.32513547311379726</v>
      </c>
      <c r="L1508">
        <f t="shared" si="332"/>
        <v>24.536017615602375</v>
      </c>
      <c r="M1508" s="14" t="str">
        <f t="shared" si="325"/>
        <v>OVERSOLD</v>
      </c>
      <c r="N1508" s="7" t="str">
        <f t="shared" si="326"/>
        <v>BUY</v>
      </c>
      <c r="O1508" s="7">
        <f t="shared" si="333"/>
        <v>0</v>
      </c>
      <c r="P1508" s="7">
        <f t="shared" si="334"/>
        <v>1</v>
      </c>
      <c r="Q1508" s="10" t="e">
        <f t="shared" si="327"/>
        <v>#N/A</v>
      </c>
      <c r="R1508" s="10" t="e">
        <f t="shared" si="328"/>
        <v>#N/A</v>
      </c>
      <c r="S1508" s="7">
        <f t="shared" si="335"/>
        <v>2278.8000000000002</v>
      </c>
      <c r="T1508" s="7">
        <f t="shared" si="336"/>
        <v>0</v>
      </c>
    </row>
    <row r="1509" spans="1:20" x14ac:dyDescent="0.25">
      <c r="A1509" s="1">
        <v>43389</v>
      </c>
      <c r="B1509">
        <v>2273</v>
      </c>
      <c r="C1509">
        <v>2302.0500000000002</v>
      </c>
      <c r="D1509">
        <v>2260</v>
      </c>
      <c r="E1509">
        <v>2295.75</v>
      </c>
      <c r="F1509">
        <v>671589</v>
      </c>
      <c r="G1509" s="4">
        <f t="shared" si="323"/>
        <v>41.25</v>
      </c>
      <c r="H1509" s="4">
        <f t="shared" si="324"/>
        <v>0</v>
      </c>
      <c r="I1509" s="6">
        <f t="shared" si="329"/>
        <v>8.5178571428571423</v>
      </c>
      <c r="J1509" s="6">
        <f t="shared" si="330"/>
        <v>13.792857142857136</v>
      </c>
      <c r="K1509" s="4">
        <f t="shared" si="331"/>
        <v>0.61755567063697592</v>
      </c>
      <c r="L1509">
        <f t="shared" si="332"/>
        <v>38.178325596286228</v>
      </c>
      <c r="M1509" s="14" t="str">
        <f t="shared" si="325"/>
        <v/>
      </c>
      <c r="N1509" s="7">
        <f t="shared" si="326"/>
        <v>0</v>
      </c>
      <c r="O1509" s="7">
        <f t="shared" si="333"/>
        <v>0</v>
      </c>
      <c r="P1509" s="7">
        <f t="shared" si="334"/>
        <v>1</v>
      </c>
      <c r="Q1509" s="10" t="e">
        <f t="shared" si="327"/>
        <v>#N/A</v>
      </c>
      <c r="R1509" s="10" t="e">
        <f t="shared" si="328"/>
        <v>#N/A</v>
      </c>
      <c r="S1509" s="7">
        <f t="shared" si="335"/>
        <v>2278.8000000000002</v>
      </c>
      <c r="T1509" s="7">
        <f t="shared" si="336"/>
        <v>0</v>
      </c>
    </row>
    <row r="1510" spans="1:20" x14ac:dyDescent="0.25">
      <c r="A1510" s="1">
        <v>43390</v>
      </c>
      <c r="B1510">
        <v>2301.9</v>
      </c>
      <c r="C1510">
        <v>2339</v>
      </c>
      <c r="D1510">
        <v>2291.5</v>
      </c>
      <c r="E1510">
        <v>2304.65</v>
      </c>
      <c r="F1510">
        <v>698780</v>
      </c>
      <c r="G1510" s="4">
        <f t="shared" si="323"/>
        <v>8.9000000000000909</v>
      </c>
      <c r="H1510" s="4">
        <f t="shared" si="324"/>
        <v>0</v>
      </c>
      <c r="I1510" s="6">
        <f t="shared" si="329"/>
        <v>9.1535714285714356</v>
      </c>
      <c r="J1510" s="6">
        <f t="shared" si="330"/>
        <v>12.317857142857131</v>
      </c>
      <c r="K1510" s="4">
        <f t="shared" si="331"/>
        <v>0.7431139460713263</v>
      </c>
      <c r="L1510">
        <f t="shared" si="332"/>
        <v>42.631403858948808</v>
      </c>
      <c r="M1510" s="14" t="str">
        <f t="shared" si="325"/>
        <v/>
      </c>
      <c r="N1510" s="7">
        <f t="shared" si="326"/>
        <v>0</v>
      </c>
      <c r="O1510" s="7">
        <f t="shared" si="333"/>
        <v>0</v>
      </c>
      <c r="P1510" s="7">
        <f t="shared" si="334"/>
        <v>1</v>
      </c>
      <c r="Q1510" s="10" t="e">
        <f t="shared" si="327"/>
        <v>#N/A</v>
      </c>
      <c r="R1510" s="10" t="e">
        <f t="shared" si="328"/>
        <v>#N/A</v>
      </c>
      <c r="S1510" s="7">
        <f t="shared" si="335"/>
        <v>2278.8000000000002</v>
      </c>
      <c r="T1510" s="7">
        <f t="shared" si="336"/>
        <v>0</v>
      </c>
    </row>
    <row r="1511" spans="1:20" x14ac:dyDescent="0.25">
      <c r="A1511" s="1">
        <v>43391</v>
      </c>
      <c r="B1511">
        <v>2302</v>
      </c>
      <c r="C1511">
        <v>2329.9499999999998</v>
      </c>
      <c r="D1511">
        <v>2281.9</v>
      </c>
      <c r="E1511">
        <v>2319.75</v>
      </c>
      <c r="F1511">
        <v>813493</v>
      </c>
      <c r="G1511" s="4">
        <f t="shared" si="323"/>
        <v>15.099999999999909</v>
      </c>
      <c r="H1511" s="4">
        <f t="shared" si="324"/>
        <v>0</v>
      </c>
      <c r="I1511" s="6">
        <f t="shared" si="329"/>
        <v>7.8999999999999932</v>
      </c>
      <c r="J1511" s="6">
        <f t="shared" si="330"/>
        <v>12.317857142857131</v>
      </c>
      <c r="K1511" s="4">
        <f t="shared" si="331"/>
        <v>0.64134531748332857</v>
      </c>
      <c r="L1511">
        <f t="shared" si="332"/>
        <v>39.074368486133196</v>
      </c>
      <c r="M1511" s="14" t="str">
        <f t="shared" si="325"/>
        <v/>
      </c>
      <c r="N1511" s="7">
        <f t="shared" si="326"/>
        <v>0</v>
      </c>
      <c r="O1511" s="7">
        <f t="shared" si="333"/>
        <v>0</v>
      </c>
      <c r="P1511" s="7">
        <f t="shared" si="334"/>
        <v>1</v>
      </c>
      <c r="Q1511" s="10" t="e">
        <f t="shared" si="327"/>
        <v>#N/A</v>
      </c>
      <c r="R1511" s="10" t="e">
        <f t="shared" si="328"/>
        <v>#N/A</v>
      </c>
      <c r="S1511" s="7">
        <f t="shared" si="335"/>
        <v>2278.8000000000002</v>
      </c>
      <c r="T1511" s="7">
        <f t="shared" si="336"/>
        <v>0</v>
      </c>
    </row>
    <row r="1512" spans="1:20" x14ac:dyDescent="0.25">
      <c r="A1512" s="1">
        <v>43392</v>
      </c>
      <c r="B1512">
        <v>2315.5</v>
      </c>
      <c r="C1512">
        <v>2348.9</v>
      </c>
      <c r="D1512">
        <v>2308.0500000000002</v>
      </c>
      <c r="E1512">
        <v>2331.1999999999998</v>
      </c>
      <c r="F1512">
        <v>1553330</v>
      </c>
      <c r="G1512" s="4">
        <f t="shared" si="323"/>
        <v>11.449999999999818</v>
      </c>
      <c r="H1512" s="4">
        <f t="shared" si="324"/>
        <v>0</v>
      </c>
      <c r="I1512" s="6">
        <f t="shared" si="329"/>
        <v>8.7178571428571239</v>
      </c>
      <c r="J1512" s="6">
        <f t="shared" si="330"/>
        <v>11.578571428571422</v>
      </c>
      <c r="K1512" s="4">
        <f t="shared" si="331"/>
        <v>0.75293028994447753</v>
      </c>
      <c r="L1512">
        <f t="shared" si="332"/>
        <v>42.952665845504093</v>
      </c>
      <c r="M1512" s="14" t="str">
        <f t="shared" si="325"/>
        <v/>
      </c>
      <c r="N1512" s="7">
        <f t="shared" si="326"/>
        <v>0</v>
      </c>
      <c r="O1512" s="7">
        <f t="shared" si="333"/>
        <v>0</v>
      </c>
      <c r="P1512" s="7">
        <f t="shared" si="334"/>
        <v>1</v>
      </c>
      <c r="Q1512" s="10" t="e">
        <f t="shared" si="327"/>
        <v>#N/A</v>
      </c>
      <c r="R1512" s="10" t="e">
        <f t="shared" si="328"/>
        <v>#N/A</v>
      </c>
      <c r="S1512" s="7">
        <f t="shared" si="335"/>
        <v>2278.8000000000002</v>
      </c>
      <c r="T1512" s="7">
        <f t="shared" si="336"/>
        <v>0</v>
      </c>
    </row>
    <row r="1513" spans="1:20" x14ac:dyDescent="0.25">
      <c r="A1513" s="1">
        <v>43395</v>
      </c>
      <c r="B1513">
        <v>2358.6999999999998</v>
      </c>
      <c r="C1513">
        <v>2400</v>
      </c>
      <c r="D1513">
        <v>2335.0500000000002</v>
      </c>
      <c r="E1513">
        <v>2391.3000000000002</v>
      </c>
      <c r="F1513">
        <v>1117872</v>
      </c>
      <c r="G1513" s="4">
        <f t="shared" si="323"/>
        <v>60.100000000000364</v>
      </c>
      <c r="H1513" s="4">
        <f t="shared" si="324"/>
        <v>0</v>
      </c>
      <c r="I1513" s="6">
        <f t="shared" si="329"/>
        <v>11.128571428571442</v>
      </c>
      <c r="J1513" s="6">
        <f t="shared" si="330"/>
        <v>11.578571428571422</v>
      </c>
      <c r="K1513" s="4">
        <f t="shared" si="331"/>
        <v>0.96113510178902084</v>
      </c>
      <c r="L1513">
        <f t="shared" si="332"/>
        <v>49.009122365523794</v>
      </c>
      <c r="M1513" s="14" t="str">
        <f t="shared" si="325"/>
        <v/>
      </c>
      <c r="N1513" s="7">
        <f t="shared" si="326"/>
        <v>0</v>
      </c>
      <c r="O1513" s="7">
        <f t="shared" si="333"/>
        <v>0</v>
      </c>
      <c r="P1513" s="7">
        <f t="shared" si="334"/>
        <v>1</v>
      </c>
      <c r="Q1513" s="10" t="e">
        <f t="shared" si="327"/>
        <v>#N/A</v>
      </c>
      <c r="R1513" s="10" t="e">
        <f t="shared" si="328"/>
        <v>#N/A</v>
      </c>
      <c r="S1513" s="7">
        <f t="shared" si="335"/>
        <v>2278.8000000000002</v>
      </c>
      <c r="T1513" s="7">
        <f t="shared" si="336"/>
        <v>0</v>
      </c>
    </row>
    <row r="1514" spans="1:20" x14ac:dyDescent="0.25">
      <c r="A1514" s="1">
        <v>43396</v>
      </c>
      <c r="B1514">
        <v>2391.1</v>
      </c>
      <c r="C1514">
        <v>2412.9499999999998</v>
      </c>
      <c r="D1514">
        <v>2359</v>
      </c>
      <c r="E1514">
        <v>2402.6999999999998</v>
      </c>
      <c r="F1514">
        <v>747637</v>
      </c>
      <c r="G1514" s="4">
        <f t="shared" si="323"/>
        <v>11.399999999999636</v>
      </c>
      <c r="H1514" s="4">
        <f t="shared" si="324"/>
        <v>0</v>
      </c>
      <c r="I1514" s="6">
        <f t="shared" si="329"/>
        <v>11.942857142857131</v>
      </c>
      <c r="J1514" s="6">
        <f t="shared" si="330"/>
        <v>9.0607142857142797</v>
      </c>
      <c r="K1514" s="4">
        <f t="shared" si="331"/>
        <v>1.318092234923137</v>
      </c>
      <c r="L1514">
        <f t="shared" si="332"/>
        <v>56.861078047951018</v>
      </c>
      <c r="M1514" s="14" t="str">
        <f t="shared" si="325"/>
        <v/>
      </c>
      <c r="N1514" s="7">
        <f t="shared" si="326"/>
        <v>0</v>
      </c>
      <c r="O1514" s="7">
        <f t="shared" si="333"/>
        <v>0</v>
      </c>
      <c r="P1514" s="7">
        <f t="shared" si="334"/>
        <v>1</v>
      </c>
      <c r="Q1514" s="10" t="e">
        <f t="shared" si="327"/>
        <v>#N/A</v>
      </c>
      <c r="R1514" s="10" t="e">
        <f t="shared" si="328"/>
        <v>#N/A</v>
      </c>
      <c r="S1514" s="7">
        <f t="shared" si="335"/>
        <v>2278.8000000000002</v>
      </c>
      <c r="T1514" s="7">
        <f t="shared" si="336"/>
        <v>0</v>
      </c>
    </row>
    <row r="1515" spans="1:20" x14ac:dyDescent="0.25">
      <c r="A1515" s="1">
        <v>43397</v>
      </c>
      <c r="B1515">
        <v>2409</v>
      </c>
      <c r="C1515">
        <v>2433</v>
      </c>
      <c r="D1515">
        <v>2379.6999999999998</v>
      </c>
      <c r="E1515">
        <v>2398.1</v>
      </c>
      <c r="F1515">
        <v>737794</v>
      </c>
      <c r="G1515" s="4">
        <f t="shared" si="323"/>
        <v>0</v>
      </c>
      <c r="H1515" s="4">
        <f t="shared" si="324"/>
        <v>4.5999999999999091</v>
      </c>
      <c r="I1515" s="6">
        <f t="shared" si="329"/>
        <v>11.942857142857131</v>
      </c>
      <c r="J1515" s="6">
        <f t="shared" si="330"/>
        <v>6.8678571428571491</v>
      </c>
      <c r="K1515" s="4">
        <f t="shared" si="331"/>
        <v>1.738949557982316</v>
      </c>
      <c r="L1515">
        <f t="shared" si="332"/>
        <v>63.489652553635807</v>
      </c>
      <c r="M1515" s="14" t="str">
        <f t="shared" si="325"/>
        <v/>
      </c>
      <c r="N1515" s="7">
        <f t="shared" si="326"/>
        <v>0</v>
      </c>
      <c r="O1515" s="7">
        <f t="shared" si="333"/>
        <v>0</v>
      </c>
      <c r="P1515" s="7">
        <f t="shared" si="334"/>
        <v>1</v>
      </c>
      <c r="Q1515" s="10" t="e">
        <f t="shared" si="327"/>
        <v>#N/A</v>
      </c>
      <c r="R1515" s="10" t="e">
        <f t="shared" si="328"/>
        <v>#N/A</v>
      </c>
      <c r="S1515" s="7">
        <f t="shared" si="335"/>
        <v>2278.8000000000002</v>
      </c>
      <c r="T1515" s="7">
        <f t="shared" si="336"/>
        <v>0</v>
      </c>
    </row>
    <row r="1516" spans="1:20" x14ac:dyDescent="0.25">
      <c r="A1516" s="1">
        <v>43398</v>
      </c>
      <c r="B1516">
        <v>2387.5</v>
      </c>
      <c r="C1516">
        <v>2429.9</v>
      </c>
      <c r="D1516">
        <v>2360.3000000000002</v>
      </c>
      <c r="E1516">
        <v>2416.3000000000002</v>
      </c>
      <c r="F1516">
        <v>654346</v>
      </c>
      <c r="G1516" s="4">
        <f t="shared" si="323"/>
        <v>18.200000000000273</v>
      </c>
      <c r="H1516" s="4">
        <f t="shared" si="324"/>
        <v>0</v>
      </c>
      <c r="I1516" s="6">
        <f t="shared" si="329"/>
        <v>13.242857142857149</v>
      </c>
      <c r="J1516" s="6">
        <f t="shared" si="330"/>
        <v>3.4499999999999806</v>
      </c>
      <c r="K1516" s="4">
        <f t="shared" si="331"/>
        <v>3.8385093167702098</v>
      </c>
      <c r="L1516">
        <f t="shared" si="332"/>
        <v>79.332477535301763</v>
      </c>
      <c r="M1516" s="14" t="str">
        <f t="shared" si="325"/>
        <v>OVERBOUGHT</v>
      </c>
      <c r="N1516" s="7" t="str">
        <f t="shared" si="326"/>
        <v>SELL</v>
      </c>
      <c r="O1516" s="7" t="str">
        <f t="shared" si="333"/>
        <v>SELL</v>
      </c>
      <c r="P1516" s="7">
        <f t="shared" si="334"/>
        <v>-1</v>
      </c>
      <c r="Q1516" s="10" t="e">
        <f t="shared" si="327"/>
        <v>#N/A</v>
      </c>
      <c r="R1516" s="10">
        <f t="shared" si="328"/>
        <v>2416.3000000000002</v>
      </c>
      <c r="S1516" s="7">
        <f t="shared" si="335"/>
        <v>2416.3000000000002</v>
      </c>
      <c r="T1516" s="7">
        <f t="shared" si="336"/>
        <v>6.033877479375109E-2</v>
      </c>
    </row>
    <row r="1517" spans="1:20" x14ac:dyDescent="0.25">
      <c r="A1517" s="1">
        <v>43399</v>
      </c>
      <c r="B1517">
        <v>2421.9</v>
      </c>
      <c r="C1517">
        <v>2440</v>
      </c>
      <c r="D1517">
        <v>2402</v>
      </c>
      <c r="E1517">
        <v>2420.0500000000002</v>
      </c>
      <c r="F1517">
        <v>625023</v>
      </c>
      <c r="G1517" s="4">
        <f t="shared" si="323"/>
        <v>3.75</v>
      </c>
      <c r="H1517" s="4">
        <f t="shared" si="324"/>
        <v>0</v>
      </c>
      <c r="I1517" s="6">
        <f t="shared" si="329"/>
        <v>13.510714285714291</v>
      </c>
      <c r="J1517" s="6">
        <f t="shared" si="330"/>
        <v>3.4214285714285779</v>
      </c>
      <c r="K1517" s="4">
        <f t="shared" si="331"/>
        <v>3.9488517745302656</v>
      </c>
      <c r="L1517">
        <f t="shared" si="332"/>
        <v>79.79329255431341</v>
      </c>
      <c r="M1517" s="14" t="str">
        <f t="shared" si="325"/>
        <v>OVERBOUGHT</v>
      </c>
      <c r="N1517" s="7" t="str">
        <f t="shared" si="326"/>
        <v>SELL</v>
      </c>
      <c r="O1517" s="7">
        <f t="shared" si="333"/>
        <v>0</v>
      </c>
      <c r="P1517" s="7">
        <f t="shared" si="334"/>
        <v>-1</v>
      </c>
      <c r="Q1517" s="10" t="e">
        <f t="shared" si="327"/>
        <v>#N/A</v>
      </c>
      <c r="R1517" s="10" t="e">
        <f t="shared" si="328"/>
        <v>#N/A</v>
      </c>
      <c r="S1517" s="7">
        <f t="shared" si="335"/>
        <v>2416.3000000000002</v>
      </c>
      <c r="T1517" s="7">
        <f t="shared" si="336"/>
        <v>0</v>
      </c>
    </row>
    <row r="1518" spans="1:20" x14ac:dyDescent="0.25">
      <c r="A1518" s="1">
        <v>43402</v>
      </c>
      <c r="B1518">
        <v>2408.1</v>
      </c>
      <c r="C1518">
        <v>2439.9499999999998</v>
      </c>
      <c r="D1518">
        <v>2408.1</v>
      </c>
      <c r="E1518">
        <v>2421.9499999999998</v>
      </c>
      <c r="F1518">
        <v>701498</v>
      </c>
      <c r="G1518" s="4">
        <f t="shared" si="323"/>
        <v>1.8999999999996362</v>
      </c>
      <c r="H1518" s="4">
        <f t="shared" si="324"/>
        <v>0</v>
      </c>
      <c r="I1518" s="6">
        <f t="shared" si="329"/>
        <v>13.646428571428553</v>
      </c>
      <c r="J1518" s="6">
        <f t="shared" si="330"/>
        <v>2.1571428571428442</v>
      </c>
      <c r="K1518" s="4">
        <f t="shared" si="331"/>
        <v>6.3261589403973808</v>
      </c>
      <c r="L1518">
        <f t="shared" si="332"/>
        <v>86.350282485875766</v>
      </c>
      <c r="M1518" s="14" t="str">
        <f t="shared" si="325"/>
        <v>OVERBOUGHT</v>
      </c>
      <c r="N1518" s="7" t="str">
        <f t="shared" si="326"/>
        <v>SELL</v>
      </c>
      <c r="O1518" s="7">
        <f t="shared" si="333"/>
        <v>0</v>
      </c>
      <c r="P1518" s="7">
        <f t="shared" si="334"/>
        <v>-1</v>
      </c>
      <c r="Q1518" s="10" t="e">
        <f t="shared" si="327"/>
        <v>#N/A</v>
      </c>
      <c r="R1518" s="10" t="e">
        <f t="shared" si="328"/>
        <v>#N/A</v>
      </c>
      <c r="S1518" s="7">
        <f t="shared" si="335"/>
        <v>2416.3000000000002</v>
      </c>
      <c r="T1518" s="7">
        <f t="shared" si="336"/>
        <v>0</v>
      </c>
    </row>
    <row r="1519" spans="1:20" x14ac:dyDescent="0.25">
      <c r="A1519" s="1">
        <v>43403</v>
      </c>
      <c r="B1519">
        <v>2400</v>
      </c>
      <c r="C1519">
        <v>2412.0500000000002</v>
      </c>
      <c r="D1519">
        <v>2347</v>
      </c>
      <c r="E1519">
        <v>2362.9499999999998</v>
      </c>
      <c r="F1519">
        <v>531829</v>
      </c>
      <c r="G1519" s="4">
        <f t="shared" si="323"/>
        <v>0</v>
      </c>
      <c r="H1519" s="4">
        <f t="shared" si="324"/>
        <v>59</v>
      </c>
      <c r="I1519" s="6">
        <f t="shared" si="329"/>
        <v>12.464285714285682</v>
      </c>
      <c r="J1519" s="6">
        <f t="shared" si="330"/>
        <v>6.3714285714285586</v>
      </c>
      <c r="K1519" s="4">
        <f t="shared" si="331"/>
        <v>1.9562780269058284</v>
      </c>
      <c r="L1519">
        <f t="shared" si="332"/>
        <v>66.173682214637836</v>
      </c>
      <c r="M1519" s="14" t="str">
        <f t="shared" si="325"/>
        <v/>
      </c>
      <c r="N1519" s="7">
        <f t="shared" si="326"/>
        <v>0</v>
      </c>
      <c r="O1519" s="7">
        <f t="shared" si="333"/>
        <v>0</v>
      </c>
      <c r="P1519" s="7">
        <f t="shared" si="334"/>
        <v>-1</v>
      </c>
      <c r="Q1519" s="10" t="e">
        <f t="shared" si="327"/>
        <v>#N/A</v>
      </c>
      <c r="R1519" s="10" t="e">
        <f t="shared" si="328"/>
        <v>#N/A</v>
      </c>
      <c r="S1519" s="7">
        <f t="shared" si="335"/>
        <v>2416.3000000000002</v>
      </c>
      <c r="T1519" s="7">
        <f t="shared" si="336"/>
        <v>0</v>
      </c>
    </row>
    <row r="1520" spans="1:20" x14ac:dyDescent="0.25">
      <c r="A1520" s="1">
        <v>43404</v>
      </c>
      <c r="B1520">
        <v>2333.6</v>
      </c>
      <c r="C1520">
        <v>2333.6</v>
      </c>
      <c r="D1520">
        <v>2255.6</v>
      </c>
      <c r="E1520">
        <v>2281.4</v>
      </c>
      <c r="F1520">
        <v>1244805</v>
      </c>
      <c r="G1520" s="4">
        <f t="shared" si="323"/>
        <v>0</v>
      </c>
      <c r="H1520" s="4">
        <f t="shared" si="324"/>
        <v>81.549999999999727</v>
      </c>
      <c r="I1520" s="6">
        <f t="shared" si="329"/>
        <v>12.346428571428532</v>
      </c>
      <c r="J1520" s="6">
        <f t="shared" si="330"/>
        <v>12.196428571428539</v>
      </c>
      <c r="K1520" s="4">
        <f t="shared" si="331"/>
        <v>1.0122986822840405</v>
      </c>
      <c r="L1520">
        <f t="shared" si="332"/>
        <v>50.3055878928987</v>
      </c>
      <c r="M1520" s="14" t="str">
        <f t="shared" si="325"/>
        <v/>
      </c>
      <c r="N1520" s="7">
        <f t="shared" si="326"/>
        <v>0</v>
      </c>
      <c r="O1520" s="7">
        <f t="shared" si="333"/>
        <v>0</v>
      </c>
      <c r="P1520" s="7">
        <f t="shared" si="334"/>
        <v>-1</v>
      </c>
      <c r="Q1520" s="10" t="e">
        <f t="shared" si="327"/>
        <v>#N/A</v>
      </c>
      <c r="R1520" s="10" t="e">
        <f t="shared" si="328"/>
        <v>#N/A</v>
      </c>
      <c r="S1520" s="7">
        <f t="shared" si="335"/>
        <v>2416.3000000000002</v>
      </c>
      <c r="T1520" s="7">
        <f t="shared" si="336"/>
        <v>0</v>
      </c>
    </row>
    <row r="1521" spans="1:20" x14ac:dyDescent="0.25">
      <c r="A1521" s="1">
        <v>43405</v>
      </c>
      <c r="B1521">
        <v>2275</v>
      </c>
      <c r="C1521">
        <v>2289.9</v>
      </c>
      <c r="D1521">
        <v>2258.1</v>
      </c>
      <c r="E1521">
        <v>2268.8000000000002</v>
      </c>
      <c r="F1521">
        <v>945366</v>
      </c>
      <c r="G1521" s="4">
        <f t="shared" si="323"/>
        <v>0</v>
      </c>
      <c r="H1521" s="4">
        <f t="shared" si="324"/>
        <v>12.599999999999909</v>
      </c>
      <c r="I1521" s="6">
        <f t="shared" si="329"/>
        <v>12.289285714285695</v>
      </c>
      <c r="J1521" s="6">
        <f t="shared" si="330"/>
        <v>13.096428571428532</v>
      </c>
      <c r="K1521" s="4">
        <f t="shared" si="331"/>
        <v>0.93836923916007764</v>
      </c>
      <c r="L1521">
        <f t="shared" si="332"/>
        <v>48.410241980866665</v>
      </c>
      <c r="M1521" s="14" t="str">
        <f t="shared" si="325"/>
        <v/>
      </c>
      <c r="N1521" s="7">
        <f t="shared" si="326"/>
        <v>0</v>
      </c>
      <c r="O1521" s="7">
        <f t="shared" si="333"/>
        <v>0</v>
      </c>
      <c r="P1521" s="7">
        <f t="shared" si="334"/>
        <v>-1</v>
      </c>
      <c r="Q1521" s="10" t="e">
        <f t="shared" si="327"/>
        <v>#N/A</v>
      </c>
      <c r="R1521" s="10" t="e">
        <f t="shared" si="328"/>
        <v>#N/A</v>
      </c>
      <c r="S1521" s="7">
        <f t="shared" si="335"/>
        <v>2416.3000000000002</v>
      </c>
      <c r="T1521" s="7">
        <f t="shared" si="336"/>
        <v>0</v>
      </c>
    </row>
    <row r="1522" spans="1:20" x14ac:dyDescent="0.25">
      <c r="A1522" s="1">
        <v>43406</v>
      </c>
      <c r="B1522">
        <v>2280</v>
      </c>
      <c r="C1522">
        <v>2289</v>
      </c>
      <c r="D1522">
        <v>2171.65</v>
      </c>
      <c r="E1522">
        <v>2197.9499999999998</v>
      </c>
      <c r="F1522">
        <v>981204</v>
      </c>
      <c r="G1522" s="4">
        <f t="shared" si="323"/>
        <v>0</v>
      </c>
      <c r="H1522" s="4">
        <f t="shared" si="324"/>
        <v>70.850000000000364</v>
      </c>
      <c r="I1522" s="6">
        <f t="shared" si="329"/>
        <v>12.289285714285695</v>
      </c>
      <c r="J1522" s="6">
        <f t="shared" si="330"/>
        <v>16.328571428571422</v>
      </c>
      <c r="K1522" s="4">
        <f t="shared" si="331"/>
        <v>0.75262467191600957</v>
      </c>
      <c r="L1522">
        <f t="shared" si="332"/>
        <v>42.942718083114904</v>
      </c>
      <c r="M1522" s="14" t="str">
        <f t="shared" si="325"/>
        <v/>
      </c>
      <c r="N1522" s="7">
        <f t="shared" si="326"/>
        <v>0</v>
      </c>
      <c r="O1522" s="7">
        <f t="shared" si="333"/>
        <v>0</v>
      </c>
      <c r="P1522" s="7">
        <f t="shared" si="334"/>
        <v>-1</v>
      </c>
      <c r="Q1522" s="10" t="e">
        <f t="shared" si="327"/>
        <v>#N/A</v>
      </c>
      <c r="R1522" s="10" t="e">
        <f t="shared" si="328"/>
        <v>#N/A</v>
      </c>
      <c r="S1522" s="7">
        <f t="shared" si="335"/>
        <v>2416.3000000000002</v>
      </c>
      <c r="T1522" s="7">
        <f t="shared" si="336"/>
        <v>0</v>
      </c>
    </row>
    <row r="1523" spans="1:20" x14ac:dyDescent="0.25">
      <c r="A1523" s="1">
        <v>43409</v>
      </c>
      <c r="B1523">
        <v>2200</v>
      </c>
      <c r="C1523">
        <v>2243.4</v>
      </c>
      <c r="D1523">
        <v>2164</v>
      </c>
      <c r="E1523">
        <v>2226.6</v>
      </c>
      <c r="F1523">
        <v>1086284</v>
      </c>
      <c r="G1523" s="4">
        <f t="shared" si="323"/>
        <v>28.650000000000091</v>
      </c>
      <c r="H1523" s="4">
        <f t="shared" si="324"/>
        <v>0</v>
      </c>
      <c r="I1523" s="6">
        <f t="shared" si="329"/>
        <v>11.389285714285702</v>
      </c>
      <c r="J1523" s="6">
        <f t="shared" si="330"/>
        <v>16.328571428571422</v>
      </c>
      <c r="K1523" s="4">
        <f t="shared" si="331"/>
        <v>0.69750656167978953</v>
      </c>
      <c r="L1523">
        <f t="shared" si="332"/>
        <v>41.090065713181275</v>
      </c>
      <c r="M1523" s="14" t="str">
        <f t="shared" si="325"/>
        <v/>
      </c>
      <c r="N1523" s="7">
        <f t="shared" si="326"/>
        <v>0</v>
      </c>
      <c r="O1523" s="7">
        <f t="shared" si="333"/>
        <v>0</v>
      </c>
      <c r="P1523" s="7">
        <f t="shared" si="334"/>
        <v>-1</v>
      </c>
      <c r="Q1523" s="10" t="e">
        <f t="shared" si="327"/>
        <v>#N/A</v>
      </c>
      <c r="R1523" s="10" t="e">
        <f t="shared" si="328"/>
        <v>#N/A</v>
      </c>
      <c r="S1523" s="7">
        <f t="shared" si="335"/>
        <v>2416.3000000000002</v>
      </c>
      <c r="T1523" s="7">
        <f t="shared" si="336"/>
        <v>0</v>
      </c>
    </row>
    <row r="1524" spans="1:20" x14ac:dyDescent="0.25">
      <c r="A1524" s="1">
        <v>43410</v>
      </c>
      <c r="B1524">
        <v>2250</v>
      </c>
      <c r="C1524">
        <v>2306.85</v>
      </c>
      <c r="D1524">
        <v>2240</v>
      </c>
      <c r="E1524">
        <v>2269.15</v>
      </c>
      <c r="F1524">
        <v>1239856</v>
      </c>
      <c r="G1524" s="4">
        <f t="shared" si="323"/>
        <v>42.550000000000182</v>
      </c>
      <c r="H1524" s="4">
        <f t="shared" si="324"/>
        <v>0</v>
      </c>
      <c r="I1524" s="6">
        <f t="shared" si="329"/>
        <v>13.792857142857136</v>
      </c>
      <c r="J1524" s="6">
        <f t="shared" si="330"/>
        <v>16.328571428571422</v>
      </c>
      <c r="K1524" s="4">
        <f t="shared" si="331"/>
        <v>0.84470691163604539</v>
      </c>
      <c r="L1524">
        <f t="shared" si="332"/>
        <v>45.790846573393402</v>
      </c>
      <c r="M1524" s="14" t="str">
        <f t="shared" si="325"/>
        <v/>
      </c>
      <c r="N1524" s="7">
        <f t="shared" si="326"/>
        <v>0</v>
      </c>
      <c r="O1524" s="7">
        <f t="shared" si="333"/>
        <v>0</v>
      </c>
      <c r="P1524" s="7">
        <f t="shared" si="334"/>
        <v>-1</v>
      </c>
      <c r="Q1524" s="10" t="e">
        <f t="shared" si="327"/>
        <v>#N/A</v>
      </c>
      <c r="R1524" s="10" t="e">
        <f t="shared" si="328"/>
        <v>#N/A</v>
      </c>
      <c r="S1524" s="7">
        <f t="shared" si="335"/>
        <v>2416.3000000000002</v>
      </c>
      <c r="T1524" s="7">
        <f t="shared" si="336"/>
        <v>0</v>
      </c>
    </row>
    <row r="1525" spans="1:20" x14ac:dyDescent="0.25">
      <c r="A1525" s="1">
        <v>43411</v>
      </c>
      <c r="B1525">
        <v>2266</v>
      </c>
      <c r="C1525">
        <v>2282</v>
      </c>
      <c r="D1525">
        <v>2243</v>
      </c>
      <c r="E1525">
        <v>2265.5500000000002</v>
      </c>
      <c r="F1525">
        <v>794351</v>
      </c>
      <c r="G1525" s="4">
        <f t="shared" si="323"/>
        <v>0</v>
      </c>
      <c r="H1525" s="4">
        <f t="shared" si="324"/>
        <v>3.5999999999999091</v>
      </c>
      <c r="I1525" s="6">
        <f t="shared" si="329"/>
        <v>12.714285714285714</v>
      </c>
      <c r="J1525" s="6">
        <f t="shared" si="330"/>
        <v>16.585714285714271</v>
      </c>
      <c r="K1525" s="4">
        <f t="shared" si="331"/>
        <v>0.76658053402239512</v>
      </c>
      <c r="L1525">
        <f t="shared" si="332"/>
        <v>43.393466601657742</v>
      </c>
      <c r="M1525" s="14" t="str">
        <f t="shared" si="325"/>
        <v/>
      </c>
      <c r="N1525" s="7">
        <f t="shared" si="326"/>
        <v>0</v>
      </c>
      <c r="O1525" s="7">
        <f t="shared" si="333"/>
        <v>0</v>
      </c>
      <c r="P1525" s="7">
        <f t="shared" si="334"/>
        <v>-1</v>
      </c>
      <c r="Q1525" s="10" t="e">
        <f t="shared" si="327"/>
        <v>#N/A</v>
      </c>
      <c r="R1525" s="10" t="e">
        <f t="shared" si="328"/>
        <v>#N/A</v>
      </c>
      <c r="S1525" s="7">
        <f t="shared" si="335"/>
        <v>2416.3000000000002</v>
      </c>
      <c r="T1525" s="7">
        <f t="shared" si="336"/>
        <v>0</v>
      </c>
    </row>
    <row r="1526" spans="1:20" x14ac:dyDescent="0.25">
      <c r="A1526" s="1">
        <v>43412</v>
      </c>
      <c r="B1526">
        <v>2265</v>
      </c>
      <c r="C1526">
        <v>2279.65</v>
      </c>
      <c r="D1526">
        <v>2246.4</v>
      </c>
      <c r="E1526">
        <v>2275.5500000000002</v>
      </c>
      <c r="F1526">
        <v>792589</v>
      </c>
      <c r="G1526" s="4">
        <f t="shared" si="323"/>
        <v>10</v>
      </c>
      <c r="H1526" s="4">
        <f t="shared" si="324"/>
        <v>0</v>
      </c>
      <c r="I1526" s="6">
        <f t="shared" si="329"/>
        <v>12.610714285714298</v>
      </c>
      <c r="J1526" s="6">
        <f t="shared" si="330"/>
        <v>16.585714285714271</v>
      </c>
      <c r="K1526" s="4">
        <f t="shared" si="331"/>
        <v>0.76033591731266292</v>
      </c>
      <c r="L1526">
        <f t="shared" si="332"/>
        <v>43.192660550458761</v>
      </c>
      <c r="M1526" s="14" t="str">
        <f t="shared" si="325"/>
        <v/>
      </c>
      <c r="N1526" s="7">
        <f t="shared" si="326"/>
        <v>0</v>
      </c>
      <c r="O1526" s="7">
        <f t="shared" si="333"/>
        <v>0</v>
      </c>
      <c r="P1526" s="7">
        <f t="shared" si="334"/>
        <v>-1</v>
      </c>
      <c r="Q1526" s="10" t="e">
        <f t="shared" si="327"/>
        <v>#N/A</v>
      </c>
      <c r="R1526" s="10" t="e">
        <f t="shared" si="328"/>
        <v>#N/A</v>
      </c>
      <c r="S1526" s="7">
        <f t="shared" si="335"/>
        <v>2416.3000000000002</v>
      </c>
      <c r="T1526" s="7">
        <f t="shared" si="336"/>
        <v>0</v>
      </c>
    </row>
    <row r="1527" spans="1:20" x14ac:dyDescent="0.25">
      <c r="A1527" s="1">
        <v>43413</v>
      </c>
      <c r="B1527">
        <v>2285</v>
      </c>
      <c r="C1527">
        <v>2319.75</v>
      </c>
      <c r="D1527">
        <v>2278</v>
      </c>
      <c r="E1527">
        <v>2315.85</v>
      </c>
      <c r="F1527">
        <v>764570</v>
      </c>
      <c r="G1527" s="4">
        <f t="shared" si="323"/>
        <v>40.299999999999727</v>
      </c>
      <c r="H1527" s="4">
        <f t="shared" si="324"/>
        <v>0</v>
      </c>
      <c r="I1527" s="6">
        <f t="shared" si="329"/>
        <v>11.196428571428539</v>
      </c>
      <c r="J1527" s="6">
        <f t="shared" si="330"/>
        <v>16.585714285714271</v>
      </c>
      <c r="K1527" s="4">
        <f t="shared" si="331"/>
        <v>0.67506459948320274</v>
      </c>
      <c r="L1527">
        <f t="shared" si="332"/>
        <v>40.300809872734234</v>
      </c>
      <c r="M1527" s="14" t="str">
        <f t="shared" si="325"/>
        <v/>
      </c>
      <c r="N1527" s="7">
        <f t="shared" si="326"/>
        <v>0</v>
      </c>
      <c r="O1527" s="7">
        <f t="shared" si="333"/>
        <v>0</v>
      </c>
      <c r="P1527" s="7">
        <f t="shared" si="334"/>
        <v>-1</v>
      </c>
      <c r="Q1527" s="10" t="e">
        <f t="shared" si="327"/>
        <v>#N/A</v>
      </c>
      <c r="R1527" s="10" t="e">
        <f t="shared" si="328"/>
        <v>#N/A</v>
      </c>
      <c r="S1527" s="7">
        <f t="shared" si="335"/>
        <v>2416.3000000000002</v>
      </c>
      <c r="T1527" s="7">
        <f t="shared" si="336"/>
        <v>0</v>
      </c>
    </row>
    <row r="1528" spans="1:20" x14ac:dyDescent="0.25">
      <c r="A1528" s="1">
        <v>43416</v>
      </c>
      <c r="B1528">
        <v>2307.35</v>
      </c>
      <c r="C1528">
        <v>2327</v>
      </c>
      <c r="D1528">
        <v>2305.4499999999998</v>
      </c>
      <c r="E1528">
        <v>2319.65</v>
      </c>
      <c r="F1528">
        <v>439506</v>
      </c>
      <c r="G1528" s="4">
        <f t="shared" si="323"/>
        <v>3.8000000000001819</v>
      </c>
      <c r="H1528" s="4">
        <f t="shared" si="324"/>
        <v>0</v>
      </c>
      <c r="I1528" s="6">
        <f t="shared" si="329"/>
        <v>10.653571428571436</v>
      </c>
      <c r="J1528" s="6">
        <f t="shared" si="330"/>
        <v>16.585714285714271</v>
      </c>
      <c r="K1528" s="4">
        <f t="shared" si="331"/>
        <v>0.64233419465977704</v>
      </c>
      <c r="L1528">
        <f t="shared" si="332"/>
        <v>39.111052838599754</v>
      </c>
      <c r="M1528" s="14" t="str">
        <f t="shared" si="325"/>
        <v/>
      </c>
      <c r="N1528" s="7">
        <f t="shared" si="326"/>
        <v>0</v>
      </c>
      <c r="O1528" s="7">
        <f t="shared" si="333"/>
        <v>0</v>
      </c>
      <c r="P1528" s="7">
        <f t="shared" si="334"/>
        <v>-1</v>
      </c>
      <c r="Q1528" s="10" t="e">
        <f t="shared" si="327"/>
        <v>#N/A</v>
      </c>
      <c r="R1528" s="10" t="e">
        <f t="shared" si="328"/>
        <v>#N/A</v>
      </c>
      <c r="S1528" s="7">
        <f t="shared" si="335"/>
        <v>2416.3000000000002</v>
      </c>
      <c r="T1528" s="7">
        <f t="shared" si="336"/>
        <v>0</v>
      </c>
    </row>
    <row r="1529" spans="1:20" x14ac:dyDescent="0.25">
      <c r="A1529" s="1">
        <v>43417</v>
      </c>
      <c r="B1529">
        <v>2320.25</v>
      </c>
      <c r="C1529">
        <v>2343</v>
      </c>
      <c r="D1529">
        <v>2305</v>
      </c>
      <c r="E1529">
        <v>2315.9</v>
      </c>
      <c r="F1529">
        <v>662442</v>
      </c>
      <c r="G1529" s="4">
        <f t="shared" si="323"/>
        <v>0</v>
      </c>
      <c r="H1529" s="4">
        <f t="shared" si="324"/>
        <v>3.75</v>
      </c>
      <c r="I1529" s="6">
        <f t="shared" si="329"/>
        <v>10.653571428571436</v>
      </c>
      <c r="J1529" s="6">
        <f t="shared" si="330"/>
        <v>16.524999999999995</v>
      </c>
      <c r="K1529" s="4">
        <f t="shared" si="331"/>
        <v>0.64469418629781783</v>
      </c>
      <c r="L1529">
        <f t="shared" si="332"/>
        <v>39.19842312746389</v>
      </c>
      <c r="M1529" s="14" t="str">
        <f t="shared" si="325"/>
        <v/>
      </c>
      <c r="N1529" s="7">
        <f t="shared" si="326"/>
        <v>0</v>
      </c>
      <c r="O1529" s="7">
        <f t="shared" si="333"/>
        <v>0</v>
      </c>
      <c r="P1529" s="7">
        <f t="shared" si="334"/>
        <v>-1</v>
      </c>
      <c r="Q1529" s="10" t="e">
        <f t="shared" si="327"/>
        <v>#N/A</v>
      </c>
      <c r="R1529" s="10" t="e">
        <f t="shared" si="328"/>
        <v>#N/A</v>
      </c>
      <c r="S1529" s="7">
        <f t="shared" si="335"/>
        <v>2416.3000000000002</v>
      </c>
      <c r="T1529" s="7">
        <f t="shared" si="336"/>
        <v>0</v>
      </c>
    </row>
    <row r="1530" spans="1:20" x14ac:dyDescent="0.25">
      <c r="A1530" s="1">
        <v>43418</v>
      </c>
      <c r="B1530">
        <v>2310.25</v>
      </c>
      <c r="C1530">
        <v>2319.9</v>
      </c>
      <c r="D1530">
        <v>2256.75</v>
      </c>
      <c r="E1530">
        <v>2264</v>
      </c>
      <c r="F1530">
        <v>653426</v>
      </c>
      <c r="G1530" s="4">
        <f t="shared" si="323"/>
        <v>0</v>
      </c>
      <c r="H1530" s="4">
        <f t="shared" si="324"/>
        <v>51.900000000000091</v>
      </c>
      <c r="I1530" s="6">
        <f t="shared" si="329"/>
        <v>9.3535714285714153</v>
      </c>
      <c r="J1530" s="6">
        <f t="shared" si="330"/>
        <v>20.232142857142858</v>
      </c>
      <c r="K1530" s="4">
        <f t="shared" si="331"/>
        <v>0.46231244483671602</v>
      </c>
      <c r="L1530">
        <f t="shared" si="332"/>
        <v>31.615161757604994</v>
      </c>
      <c r="M1530" s="14" t="str">
        <f t="shared" si="325"/>
        <v/>
      </c>
      <c r="N1530" s="7">
        <f t="shared" si="326"/>
        <v>0</v>
      </c>
      <c r="O1530" s="7">
        <f t="shared" si="333"/>
        <v>0</v>
      </c>
      <c r="P1530" s="7">
        <f t="shared" si="334"/>
        <v>-1</v>
      </c>
      <c r="Q1530" s="10" t="e">
        <f t="shared" si="327"/>
        <v>#N/A</v>
      </c>
      <c r="R1530" s="10" t="e">
        <f t="shared" si="328"/>
        <v>#N/A</v>
      </c>
      <c r="S1530" s="7">
        <f t="shared" si="335"/>
        <v>2416.3000000000002</v>
      </c>
      <c r="T1530" s="7">
        <f t="shared" si="336"/>
        <v>0</v>
      </c>
    </row>
    <row r="1531" spans="1:20" x14ac:dyDescent="0.25">
      <c r="A1531" s="1">
        <v>43419</v>
      </c>
      <c r="B1531">
        <v>2262.4499999999998</v>
      </c>
      <c r="C1531">
        <v>2262.4499999999998</v>
      </c>
      <c r="D1531">
        <v>2201.1999999999998</v>
      </c>
      <c r="E1531">
        <v>2210.9499999999998</v>
      </c>
      <c r="F1531">
        <v>829664</v>
      </c>
      <c r="G1531" s="4">
        <f t="shared" si="323"/>
        <v>0</v>
      </c>
      <c r="H1531" s="4">
        <f t="shared" si="324"/>
        <v>53.050000000000182</v>
      </c>
      <c r="I1531" s="6">
        <f t="shared" si="329"/>
        <v>9.085714285714273</v>
      </c>
      <c r="J1531" s="6">
        <f t="shared" si="330"/>
        <v>24.021428571428583</v>
      </c>
      <c r="K1531" s="4">
        <f t="shared" si="331"/>
        <v>0.37823371989295201</v>
      </c>
      <c r="L1531">
        <f t="shared" si="332"/>
        <v>27.443365695792835</v>
      </c>
      <c r="M1531" s="14" t="str">
        <f t="shared" si="325"/>
        <v>OVERSOLD</v>
      </c>
      <c r="N1531" s="7" t="str">
        <f t="shared" si="326"/>
        <v>BUY</v>
      </c>
      <c r="O1531" s="7" t="str">
        <f t="shared" si="333"/>
        <v>BUY</v>
      </c>
      <c r="P1531" s="7">
        <f t="shared" si="334"/>
        <v>1</v>
      </c>
      <c r="Q1531" s="10">
        <f t="shared" si="327"/>
        <v>2210.9499999999998</v>
      </c>
      <c r="R1531" s="10" t="e">
        <f t="shared" si="328"/>
        <v>#N/A</v>
      </c>
      <c r="S1531" s="7">
        <f t="shared" si="335"/>
        <v>2210.9499999999998</v>
      </c>
      <c r="T1531" s="7">
        <f t="shared" si="336"/>
        <v>8.4985308115714253E-2</v>
      </c>
    </row>
    <row r="1532" spans="1:20" x14ac:dyDescent="0.25">
      <c r="A1532" s="1">
        <v>43420</v>
      </c>
      <c r="B1532">
        <v>2219.8000000000002</v>
      </c>
      <c r="C1532">
        <v>2228</v>
      </c>
      <c r="D1532">
        <v>2185.65</v>
      </c>
      <c r="E1532">
        <v>2212.85</v>
      </c>
      <c r="F1532">
        <v>915278</v>
      </c>
      <c r="G1532" s="4">
        <f t="shared" si="323"/>
        <v>1.9000000000000909</v>
      </c>
      <c r="H1532" s="4">
        <f t="shared" si="324"/>
        <v>0</v>
      </c>
      <c r="I1532" s="6">
        <f t="shared" si="329"/>
        <v>9.0857142857143049</v>
      </c>
      <c r="J1532" s="6">
        <f t="shared" si="330"/>
        <v>24.021428571428583</v>
      </c>
      <c r="K1532" s="4">
        <f t="shared" si="331"/>
        <v>0.37823371989295335</v>
      </c>
      <c r="L1532">
        <f t="shared" si="332"/>
        <v>27.443365695792906</v>
      </c>
      <c r="M1532" s="14" t="str">
        <f t="shared" si="325"/>
        <v>OVERSOLD</v>
      </c>
      <c r="N1532" s="7" t="str">
        <f t="shared" si="326"/>
        <v>BUY</v>
      </c>
      <c r="O1532" s="7">
        <f t="shared" si="333"/>
        <v>0</v>
      </c>
      <c r="P1532" s="7">
        <f t="shared" si="334"/>
        <v>1</v>
      </c>
      <c r="Q1532" s="10" t="e">
        <f t="shared" si="327"/>
        <v>#N/A</v>
      </c>
      <c r="R1532" s="10" t="e">
        <f t="shared" si="328"/>
        <v>#N/A</v>
      </c>
      <c r="S1532" s="7">
        <f t="shared" si="335"/>
        <v>2210.9499999999998</v>
      </c>
      <c r="T1532" s="7">
        <f t="shared" si="336"/>
        <v>0</v>
      </c>
    </row>
    <row r="1533" spans="1:20" x14ac:dyDescent="0.25">
      <c r="A1533" s="1">
        <v>43423</v>
      </c>
      <c r="B1533">
        <v>2229.6999999999998</v>
      </c>
      <c r="C1533">
        <v>2256.9</v>
      </c>
      <c r="D1533">
        <v>2199.6</v>
      </c>
      <c r="E1533">
        <v>2210.5</v>
      </c>
      <c r="F1533">
        <v>768768</v>
      </c>
      <c r="G1533" s="4">
        <f t="shared" si="323"/>
        <v>0</v>
      </c>
      <c r="H1533" s="4">
        <f t="shared" si="324"/>
        <v>2.3499999999999091</v>
      </c>
      <c r="I1533" s="6">
        <f t="shared" si="329"/>
        <v>9.0857142857143049</v>
      </c>
      <c r="J1533" s="6">
        <f t="shared" si="330"/>
        <v>19.975000000000005</v>
      </c>
      <c r="K1533" s="4">
        <f t="shared" si="331"/>
        <v>0.45485428213838813</v>
      </c>
      <c r="L1533">
        <f t="shared" si="332"/>
        <v>31.264593830650156</v>
      </c>
      <c r="M1533" s="14" t="str">
        <f t="shared" si="325"/>
        <v/>
      </c>
      <c r="N1533" s="7">
        <f t="shared" si="326"/>
        <v>0</v>
      </c>
      <c r="O1533" s="7">
        <f t="shared" si="333"/>
        <v>0</v>
      </c>
      <c r="P1533" s="7">
        <f t="shared" si="334"/>
        <v>1</v>
      </c>
      <c r="Q1533" s="10" t="e">
        <f t="shared" si="327"/>
        <v>#N/A</v>
      </c>
      <c r="R1533" s="10" t="e">
        <f t="shared" si="328"/>
        <v>#N/A</v>
      </c>
      <c r="S1533" s="7">
        <f t="shared" si="335"/>
        <v>2210.9499999999998</v>
      </c>
      <c r="T1533" s="7">
        <f t="shared" si="336"/>
        <v>0</v>
      </c>
    </row>
    <row r="1534" spans="1:20" x14ac:dyDescent="0.25">
      <c r="A1534" s="1">
        <v>43424</v>
      </c>
      <c r="B1534">
        <v>2237</v>
      </c>
      <c r="C1534">
        <v>2237</v>
      </c>
      <c r="D1534">
        <v>2115</v>
      </c>
      <c r="E1534">
        <v>2176.8000000000002</v>
      </c>
      <c r="F1534">
        <v>1095859</v>
      </c>
      <c r="G1534" s="4">
        <f t="shared" si="323"/>
        <v>0</v>
      </c>
      <c r="H1534" s="4">
        <f t="shared" si="324"/>
        <v>33.699999999999818</v>
      </c>
      <c r="I1534" s="6">
        <f t="shared" si="329"/>
        <v>9.0857142857143049</v>
      </c>
      <c r="J1534" s="6">
        <f t="shared" si="330"/>
        <v>16.557142857142871</v>
      </c>
      <c r="K1534" s="4">
        <f t="shared" si="331"/>
        <v>0.54874892148403864</v>
      </c>
      <c r="L1534">
        <f t="shared" si="332"/>
        <v>35.431754874651844</v>
      </c>
      <c r="M1534" s="14" t="str">
        <f t="shared" si="325"/>
        <v/>
      </c>
      <c r="N1534" s="7">
        <f t="shared" si="326"/>
        <v>0</v>
      </c>
      <c r="O1534" s="7">
        <f t="shared" si="333"/>
        <v>0</v>
      </c>
      <c r="P1534" s="7">
        <f t="shared" si="334"/>
        <v>1</v>
      </c>
      <c r="Q1534" s="10" t="e">
        <f t="shared" si="327"/>
        <v>#N/A</v>
      </c>
      <c r="R1534" s="10" t="e">
        <f t="shared" si="328"/>
        <v>#N/A</v>
      </c>
      <c r="S1534" s="7">
        <f t="shared" si="335"/>
        <v>2210.9499999999998</v>
      </c>
      <c r="T1534" s="7">
        <f t="shared" si="336"/>
        <v>0</v>
      </c>
    </row>
    <row r="1535" spans="1:20" x14ac:dyDescent="0.25">
      <c r="A1535" s="1">
        <v>43425</v>
      </c>
      <c r="B1535">
        <v>2193</v>
      </c>
      <c r="C1535">
        <v>2285.1</v>
      </c>
      <c r="D1535">
        <v>2162</v>
      </c>
      <c r="E1535">
        <v>2276.65</v>
      </c>
      <c r="F1535">
        <v>999880</v>
      </c>
      <c r="G1535" s="4">
        <f t="shared" si="323"/>
        <v>99.849999999999909</v>
      </c>
      <c r="H1535" s="4">
        <f t="shared" si="324"/>
        <v>0</v>
      </c>
      <c r="I1535" s="6">
        <f t="shared" si="329"/>
        <v>16.217857142857156</v>
      </c>
      <c r="J1535" s="6">
        <f t="shared" si="330"/>
        <v>15.657142857142876</v>
      </c>
      <c r="K1535" s="4">
        <f t="shared" si="331"/>
        <v>1.03581204379562</v>
      </c>
      <c r="L1535">
        <f t="shared" si="332"/>
        <v>50.879551820728281</v>
      </c>
      <c r="M1535" s="14" t="str">
        <f t="shared" si="325"/>
        <v/>
      </c>
      <c r="N1535" s="7">
        <f t="shared" si="326"/>
        <v>0</v>
      </c>
      <c r="O1535" s="7">
        <f t="shared" si="333"/>
        <v>0</v>
      </c>
      <c r="P1535" s="7">
        <f t="shared" si="334"/>
        <v>1</v>
      </c>
      <c r="Q1535" s="10" t="e">
        <f t="shared" si="327"/>
        <v>#N/A</v>
      </c>
      <c r="R1535" s="10" t="e">
        <f t="shared" si="328"/>
        <v>#N/A</v>
      </c>
      <c r="S1535" s="7">
        <f t="shared" si="335"/>
        <v>2210.9499999999998</v>
      </c>
      <c r="T1535" s="7">
        <f t="shared" si="336"/>
        <v>0</v>
      </c>
    </row>
    <row r="1536" spans="1:20" x14ac:dyDescent="0.25">
      <c r="A1536" s="1">
        <v>43426</v>
      </c>
      <c r="B1536">
        <v>2305</v>
      </c>
      <c r="C1536">
        <v>2330</v>
      </c>
      <c r="D1536">
        <v>2256.25</v>
      </c>
      <c r="E1536">
        <v>2318.85</v>
      </c>
      <c r="F1536">
        <v>763743</v>
      </c>
      <c r="G1536" s="4">
        <f t="shared" si="323"/>
        <v>42.199999999999818</v>
      </c>
      <c r="H1536" s="4">
        <f t="shared" si="324"/>
        <v>0</v>
      </c>
      <c r="I1536" s="6">
        <f t="shared" si="329"/>
        <v>19.232142857142858</v>
      </c>
      <c r="J1536" s="6">
        <f t="shared" si="330"/>
        <v>10.596428571428564</v>
      </c>
      <c r="K1536" s="4">
        <f t="shared" si="331"/>
        <v>1.8149646107178981</v>
      </c>
      <c r="L1536">
        <f t="shared" si="332"/>
        <v>64.475574712643692</v>
      </c>
      <c r="M1536" s="14" t="str">
        <f t="shared" si="325"/>
        <v/>
      </c>
      <c r="N1536" s="7">
        <f t="shared" si="326"/>
        <v>0</v>
      </c>
      <c r="O1536" s="7">
        <f t="shared" si="333"/>
        <v>0</v>
      </c>
      <c r="P1536" s="7">
        <f t="shared" si="334"/>
        <v>1</v>
      </c>
      <c r="Q1536" s="10" t="e">
        <f t="shared" si="327"/>
        <v>#N/A</v>
      </c>
      <c r="R1536" s="10" t="e">
        <f t="shared" si="328"/>
        <v>#N/A</v>
      </c>
      <c r="S1536" s="7">
        <f t="shared" si="335"/>
        <v>2210.9499999999998</v>
      </c>
      <c r="T1536" s="7">
        <f t="shared" si="336"/>
        <v>0</v>
      </c>
    </row>
    <row r="1537" spans="1:20" x14ac:dyDescent="0.25">
      <c r="A1537" s="1">
        <v>43427</v>
      </c>
      <c r="B1537">
        <v>2336</v>
      </c>
      <c r="C1537">
        <v>2391</v>
      </c>
      <c r="D1537">
        <v>2301</v>
      </c>
      <c r="E1537">
        <v>2373.15</v>
      </c>
      <c r="F1537">
        <v>1324142</v>
      </c>
      <c r="G1537" s="4">
        <f t="shared" si="323"/>
        <v>54.300000000000182</v>
      </c>
      <c r="H1537" s="4">
        <f t="shared" si="324"/>
        <v>0</v>
      </c>
      <c r="I1537" s="6">
        <f t="shared" si="329"/>
        <v>21.06428571428572</v>
      </c>
      <c r="J1537" s="6">
        <f t="shared" si="330"/>
        <v>10.596428571428564</v>
      </c>
      <c r="K1537" s="4">
        <f t="shared" si="331"/>
        <v>1.9878665318503557</v>
      </c>
      <c r="L1537">
        <f t="shared" si="332"/>
        <v>66.531302876480567</v>
      </c>
      <c r="M1537" s="14" t="str">
        <f t="shared" si="325"/>
        <v/>
      </c>
      <c r="N1537" s="7">
        <f t="shared" si="326"/>
        <v>0</v>
      </c>
      <c r="O1537" s="7">
        <f t="shared" si="333"/>
        <v>0</v>
      </c>
      <c r="P1537" s="7">
        <f t="shared" si="334"/>
        <v>1</v>
      </c>
      <c r="Q1537" s="10" t="e">
        <f t="shared" si="327"/>
        <v>#N/A</v>
      </c>
      <c r="R1537" s="10" t="e">
        <f t="shared" si="328"/>
        <v>#N/A</v>
      </c>
      <c r="S1537" s="7">
        <f t="shared" si="335"/>
        <v>2210.9499999999998</v>
      </c>
      <c r="T1537" s="7">
        <f t="shared" si="336"/>
        <v>0</v>
      </c>
    </row>
    <row r="1538" spans="1:20" x14ac:dyDescent="0.25">
      <c r="A1538" s="1">
        <v>43430</v>
      </c>
      <c r="B1538">
        <v>2380</v>
      </c>
      <c r="C1538">
        <v>2380</v>
      </c>
      <c r="D1538">
        <v>2349.5500000000002</v>
      </c>
      <c r="E1538">
        <v>2357.5500000000002</v>
      </c>
      <c r="F1538">
        <v>756483</v>
      </c>
      <c r="G1538" s="4">
        <f t="shared" si="323"/>
        <v>0</v>
      </c>
      <c r="H1538" s="4">
        <f t="shared" si="324"/>
        <v>15.599999999999909</v>
      </c>
      <c r="I1538" s="6">
        <f t="shared" si="329"/>
        <v>18.024999999999995</v>
      </c>
      <c r="J1538" s="6">
        <f t="shared" si="330"/>
        <v>11.710714285714273</v>
      </c>
      <c r="K1538" s="4">
        <f t="shared" si="331"/>
        <v>1.5391887770661801</v>
      </c>
      <c r="L1538">
        <f t="shared" si="332"/>
        <v>60.617343262070641</v>
      </c>
      <c r="M1538" s="14" t="str">
        <f t="shared" si="325"/>
        <v/>
      </c>
      <c r="N1538" s="7">
        <f t="shared" si="326"/>
        <v>0</v>
      </c>
      <c r="O1538" s="7">
        <f t="shared" si="333"/>
        <v>0</v>
      </c>
      <c r="P1538" s="7">
        <f t="shared" si="334"/>
        <v>1</v>
      </c>
      <c r="Q1538" s="10" t="e">
        <f t="shared" si="327"/>
        <v>#N/A</v>
      </c>
      <c r="R1538" s="10" t="e">
        <f t="shared" si="328"/>
        <v>#N/A</v>
      </c>
      <c r="S1538" s="7">
        <f t="shared" si="335"/>
        <v>2210.9499999999998</v>
      </c>
      <c r="T1538" s="7">
        <f t="shared" si="336"/>
        <v>0</v>
      </c>
    </row>
    <row r="1539" spans="1:20" x14ac:dyDescent="0.25">
      <c r="A1539" s="1">
        <v>43431</v>
      </c>
      <c r="B1539">
        <v>2342.1</v>
      </c>
      <c r="C1539">
        <v>2367</v>
      </c>
      <c r="D1539">
        <v>2304.1999999999998</v>
      </c>
      <c r="E1539">
        <v>2354.3000000000002</v>
      </c>
      <c r="F1539">
        <v>634076</v>
      </c>
      <c r="G1539" s="4">
        <f t="shared" si="323"/>
        <v>0</v>
      </c>
      <c r="H1539" s="4">
        <f t="shared" si="324"/>
        <v>3.25</v>
      </c>
      <c r="I1539" s="6">
        <f t="shared" si="329"/>
        <v>18.024999999999995</v>
      </c>
      <c r="J1539" s="6">
        <f t="shared" si="330"/>
        <v>11.68571428571428</v>
      </c>
      <c r="K1539" s="4">
        <f t="shared" si="331"/>
        <v>1.5424816625916875</v>
      </c>
      <c r="L1539">
        <f t="shared" si="332"/>
        <v>60.66834956124535</v>
      </c>
      <c r="M1539" s="14" t="str">
        <f t="shared" si="325"/>
        <v/>
      </c>
      <c r="N1539" s="7">
        <f t="shared" si="326"/>
        <v>0</v>
      </c>
      <c r="O1539" s="7">
        <f t="shared" si="333"/>
        <v>0</v>
      </c>
      <c r="P1539" s="7">
        <f t="shared" si="334"/>
        <v>1</v>
      </c>
      <c r="Q1539" s="10" t="e">
        <f t="shared" si="327"/>
        <v>#N/A</v>
      </c>
      <c r="R1539" s="10" t="e">
        <f t="shared" si="328"/>
        <v>#N/A</v>
      </c>
      <c r="S1539" s="7">
        <f t="shared" si="335"/>
        <v>2210.9499999999998</v>
      </c>
      <c r="T1539" s="7">
        <f t="shared" si="336"/>
        <v>0</v>
      </c>
    </row>
    <row r="1540" spans="1:20" x14ac:dyDescent="0.25">
      <c r="A1540" s="1">
        <v>43432</v>
      </c>
      <c r="B1540">
        <v>2341</v>
      </c>
      <c r="C1540">
        <v>2369.4</v>
      </c>
      <c r="D1540">
        <v>2295.15</v>
      </c>
      <c r="E1540">
        <v>2357.25</v>
      </c>
      <c r="F1540">
        <v>1008892</v>
      </c>
      <c r="G1540" s="4">
        <f t="shared" ref="G1540:G1603" si="337">IF(E1540&gt;E1539,E1540-E1539,0)</f>
        <v>2.9499999999998181</v>
      </c>
      <c r="H1540" s="4">
        <f t="shared" ref="H1540:H1603" si="338">IF(E1540&lt;E1539,E1539-E1540,0)</f>
        <v>0</v>
      </c>
      <c r="I1540" s="6">
        <f t="shared" si="329"/>
        <v>17.521428571428551</v>
      </c>
      <c r="J1540" s="6">
        <f t="shared" si="330"/>
        <v>11.68571428571428</v>
      </c>
      <c r="K1540" s="4">
        <f t="shared" si="331"/>
        <v>1.4993887530562338</v>
      </c>
      <c r="L1540">
        <f t="shared" si="332"/>
        <v>59.990217657128873</v>
      </c>
      <c r="M1540" s="14" t="str">
        <f t="shared" si="325"/>
        <v/>
      </c>
      <c r="N1540" s="7">
        <f t="shared" si="326"/>
        <v>0</v>
      </c>
      <c r="O1540" s="7">
        <f t="shared" si="333"/>
        <v>0</v>
      </c>
      <c r="P1540" s="7">
        <f t="shared" si="334"/>
        <v>1</v>
      </c>
      <c r="Q1540" s="10" t="e">
        <f t="shared" si="327"/>
        <v>#N/A</v>
      </c>
      <c r="R1540" s="10" t="e">
        <f t="shared" si="328"/>
        <v>#N/A</v>
      </c>
      <c r="S1540" s="7">
        <f t="shared" si="335"/>
        <v>2210.9499999999998</v>
      </c>
      <c r="T1540" s="7">
        <f t="shared" si="336"/>
        <v>0</v>
      </c>
    </row>
    <row r="1541" spans="1:20" x14ac:dyDescent="0.25">
      <c r="A1541" s="1">
        <v>43433</v>
      </c>
      <c r="B1541">
        <v>2356.0500000000002</v>
      </c>
      <c r="C1541">
        <v>2359.85</v>
      </c>
      <c r="D1541">
        <v>2314.9499999999998</v>
      </c>
      <c r="E1541">
        <v>2348.3000000000002</v>
      </c>
      <c r="F1541">
        <v>830833</v>
      </c>
      <c r="G1541" s="4">
        <f t="shared" si="337"/>
        <v>0</v>
      </c>
      <c r="H1541" s="4">
        <f t="shared" si="338"/>
        <v>8.9499999999998181</v>
      </c>
      <c r="I1541" s="6">
        <f t="shared" si="329"/>
        <v>14.642857142857142</v>
      </c>
      <c r="J1541" s="6">
        <f t="shared" si="330"/>
        <v>12.32499999999998</v>
      </c>
      <c r="K1541" s="4">
        <f t="shared" si="331"/>
        <v>1.1880614314691413</v>
      </c>
      <c r="L1541">
        <f t="shared" si="332"/>
        <v>54.297444047146122</v>
      </c>
      <c r="M1541" s="14" t="str">
        <f t="shared" si="325"/>
        <v/>
      </c>
      <c r="N1541" s="7">
        <f t="shared" si="326"/>
        <v>0</v>
      </c>
      <c r="O1541" s="7">
        <f t="shared" si="333"/>
        <v>0</v>
      </c>
      <c r="P1541" s="7">
        <f t="shared" si="334"/>
        <v>1</v>
      </c>
      <c r="Q1541" s="10" t="e">
        <f t="shared" si="327"/>
        <v>#N/A</v>
      </c>
      <c r="R1541" s="10" t="e">
        <f t="shared" si="328"/>
        <v>#N/A</v>
      </c>
      <c r="S1541" s="7">
        <f t="shared" si="335"/>
        <v>2210.9499999999998</v>
      </c>
      <c r="T1541" s="7">
        <f t="shared" si="336"/>
        <v>0</v>
      </c>
    </row>
    <row r="1542" spans="1:20" x14ac:dyDescent="0.25">
      <c r="A1542" s="1">
        <v>43434</v>
      </c>
      <c r="B1542">
        <v>2340</v>
      </c>
      <c r="C1542">
        <v>2390.85</v>
      </c>
      <c r="D1542">
        <v>2335</v>
      </c>
      <c r="E1542">
        <v>2365.25</v>
      </c>
      <c r="F1542">
        <v>765264</v>
      </c>
      <c r="G1542" s="4">
        <f t="shared" si="337"/>
        <v>16.949999999999818</v>
      </c>
      <c r="H1542" s="4">
        <f t="shared" si="338"/>
        <v>0</v>
      </c>
      <c r="I1542" s="6">
        <f t="shared" si="329"/>
        <v>15.582142857142831</v>
      </c>
      <c r="J1542" s="6">
        <f t="shared" si="330"/>
        <v>12.32499999999998</v>
      </c>
      <c r="K1542" s="4">
        <f t="shared" si="331"/>
        <v>1.2642712257316719</v>
      </c>
      <c r="L1542">
        <f t="shared" si="332"/>
        <v>55.835679549526489</v>
      </c>
      <c r="M1542" s="14" t="str">
        <f t="shared" si="325"/>
        <v/>
      </c>
      <c r="N1542" s="7">
        <f t="shared" si="326"/>
        <v>0</v>
      </c>
      <c r="O1542" s="7">
        <f t="shared" si="333"/>
        <v>0</v>
      </c>
      <c r="P1542" s="7">
        <f t="shared" si="334"/>
        <v>1</v>
      </c>
      <c r="Q1542" s="10" t="e">
        <f t="shared" si="327"/>
        <v>#N/A</v>
      </c>
      <c r="R1542" s="10" t="e">
        <f t="shared" si="328"/>
        <v>#N/A</v>
      </c>
      <c r="S1542" s="7">
        <f t="shared" si="335"/>
        <v>2210.9499999999998</v>
      </c>
      <c r="T1542" s="7">
        <f t="shared" si="336"/>
        <v>0</v>
      </c>
    </row>
    <row r="1543" spans="1:20" x14ac:dyDescent="0.25">
      <c r="A1543" s="1">
        <v>43437</v>
      </c>
      <c r="B1543">
        <v>2362</v>
      </c>
      <c r="C1543">
        <v>2398</v>
      </c>
      <c r="D1543">
        <v>2340</v>
      </c>
      <c r="E1543">
        <v>2355</v>
      </c>
      <c r="F1543">
        <v>818371</v>
      </c>
      <c r="G1543" s="4">
        <f t="shared" si="337"/>
        <v>0</v>
      </c>
      <c r="H1543" s="4">
        <f t="shared" si="338"/>
        <v>10.25</v>
      </c>
      <c r="I1543" s="6">
        <f t="shared" si="329"/>
        <v>15.582142857142831</v>
      </c>
      <c r="J1543" s="6">
        <f t="shared" si="330"/>
        <v>12.789285714285695</v>
      </c>
      <c r="K1543" s="4">
        <f t="shared" si="331"/>
        <v>1.2183747556548448</v>
      </c>
      <c r="L1543">
        <f t="shared" si="332"/>
        <v>54.921953675730109</v>
      </c>
      <c r="M1543" s="14" t="str">
        <f t="shared" si="325"/>
        <v/>
      </c>
      <c r="N1543" s="7">
        <f t="shared" si="326"/>
        <v>0</v>
      </c>
      <c r="O1543" s="7">
        <f t="shared" si="333"/>
        <v>0</v>
      </c>
      <c r="P1543" s="7">
        <f t="shared" si="334"/>
        <v>1</v>
      </c>
      <c r="Q1543" s="10" t="e">
        <f t="shared" si="327"/>
        <v>#N/A</v>
      </c>
      <c r="R1543" s="10" t="e">
        <f t="shared" si="328"/>
        <v>#N/A</v>
      </c>
      <c r="S1543" s="7">
        <f t="shared" si="335"/>
        <v>2210.9499999999998</v>
      </c>
      <c r="T1543" s="7">
        <f t="shared" si="336"/>
        <v>0</v>
      </c>
    </row>
    <row r="1544" spans="1:20" x14ac:dyDescent="0.25">
      <c r="A1544" s="1">
        <v>43438</v>
      </c>
      <c r="B1544">
        <v>2349.0500000000002</v>
      </c>
      <c r="C1544">
        <v>2363.5</v>
      </c>
      <c r="D1544">
        <v>2320.1</v>
      </c>
      <c r="E1544">
        <v>2329.9</v>
      </c>
      <c r="F1544">
        <v>811678</v>
      </c>
      <c r="G1544" s="4">
        <f t="shared" si="337"/>
        <v>0</v>
      </c>
      <c r="H1544" s="4">
        <f t="shared" si="338"/>
        <v>25.099999999999909</v>
      </c>
      <c r="I1544" s="6">
        <f t="shared" si="329"/>
        <v>15.582142857142831</v>
      </c>
      <c r="J1544" s="6">
        <f t="shared" si="330"/>
        <v>10.874999999999968</v>
      </c>
      <c r="K1544" s="4">
        <f t="shared" si="331"/>
        <v>1.4328407224958968</v>
      </c>
      <c r="L1544">
        <f t="shared" si="332"/>
        <v>58.895788336933073</v>
      </c>
      <c r="M1544" s="14" t="str">
        <f t="shared" si="325"/>
        <v/>
      </c>
      <c r="N1544" s="7">
        <f t="shared" si="326"/>
        <v>0</v>
      </c>
      <c r="O1544" s="7">
        <f t="shared" si="333"/>
        <v>0</v>
      </c>
      <c r="P1544" s="7">
        <f t="shared" si="334"/>
        <v>1</v>
      </c>
      <c r="Q1544" s="10" t="e">
        <f t="shared" si="327"/>
        <v>#N/A</v>
      </c>
      <c r="R1544" s="10" t="e">
        <f t="shared" si="328"/>
        <v>#N/A</v>
      </c>
      <c r="S1544" s="7">
        <f t="shared" si="335"/>
        <v>2210.9499999999998</v>
      </c>
      <c r="T1544" s="7">
        <f t="shared" si="336"/>
        <v>0</v>
      </c>
    </row>
    <row r="1545" spans="1:20" x14ac:dyDescent="0.25">
      <c r="A1545" s="1">
        <v>43439</v>
      </c>
      <c r="B1545">
        <v>2315</v>
      </c>
      <c r="C1545">
        <v>2332</v>
      </c>
      <c r="D1545">
        <v>2306.9</v>
      </c>
      <c r="E1545">
        <v>2327.0500000000002</v>
      </c>
      <c r="F1545">
        <v>959123</v>
      </c>
      <c r="G1545" s="4">
        <f t="shared" si="337"/>
        <v>0</v>
      </c>
      <c r="H1545" s="4">
        <f t="shared" si="338"/>
        <v>2.8499999999999091</v>
      </c>
      <c r="I1545" s="6">
        <f t="shared" si="329"/>
        <v>15.582142857142831</v>
      </c>
      <c r="J1545" s="6">
        <f t="shared" si="330"/>
        <v>7.2892857142856622</v>
      </c>
      <c r="K1545" s="4">
        <f t="shared" si="331"/>
        <v>2.1376776090152001</v>
      </c>
      <c r="L1545">
        <f t="shared" si="332"/>
        <v>68.129294191130668</v>
      </c>
      <c r="M1545" s="14" t="str">
        <f t="shared" si="325"/>
        <v/>
      </c>
      <c r="N1545" s="7">
        <f t="shared" si="326"/>
        <v>0</v>
      </c>
      <c r="O1545" s="7">
        <f t="shared" si="333"/>
        <v>0</v>
      </c>
      <c r="P1545" s="7">
        <f t="shared" si="334"/>
        <v>1</v>
      </c>
      <c r="Q1545" s="10" t="e">
        <f t="shared" si="327"/>
        <v>#N/A</v>
      </c>
      <c r="R1545" s="10" t="e">
        <f t="shared" si="328"/>
        <v>#N/A</v>
      </c>
      <c r="S1545" s="7">
        <f t="shared" si="335"/>
        <v>2210.9499999999998</v>
      </c>
      <c r="T1545" s="7">
        <f t="shared" si="336"/>
        <v>0</v>
      </c>
    </row>
    <row r="1546" spans="1:20" x14ac:dyDescent="0.25">
      <c r="A1546" s="1">
        <v>43440</v>
      </c>
      <c r="B1546">
        <v>2334</v>
      </c>
      <c r="C1546">
        <v>2361.8000000000002</v>
      </c>
      <c r="D1546">
        <v>2332</v>
      </c>
      <c r="E1546">
        <v>2352.0500000000002</v>
      </c>
      <c r="F1546">
        <v>1110544</v>
      </c>
      <c r="G1546" s="4">
        <f t="shared" si="337"/>
        <v>25</v>
      </c>
      <c r="H1546" s="4">
        <f t="shared" si="338"/>
        <v>0</v>
      </c>
      <c r="I1546" s="6">
        <f t="shared" si="329"/>
        <v>17.232142857142826</v>
      </c>
      <c r="J1546" s="6">
        <f t="shared" si="330"/>
        <v>7.2892857142856622</v>
      </c>
      <c r="K1546" s="4">
        <f t="shared" si="331"/>
        <v>2.3640372366487141</v>
      </c>
      <c r="L1546">
        <f t="shared" si="332"/>
        <v>70.273812991552688</v>
      </c>
      <c r="M1546" s="14" t="str">
        <f t="shared" si="325"/>
        <v>OVERBOUGHT</v>
      </c>
      <c r="N1546" s="7" t="str">
        <f t="shared" si="326"/>
        <v>SELL</v>
      </c>
      <c r="O1546" s="7" t="str">
        <f t="shared" si="333"/>
        <v>SELL</v>
      </c>
      <c r="P1546" s="7">
        <f t="shared" si="334"/>
        <v>-1</v>
      </c>
      <c r="Q1546" s="10" t="e">
        <f t="shared" si="327"/>
        <v>#N/A</v>
      </c>
      <c r="R1546" s="10">
        <f t="shared" si="328"/>
        <v>2352.0500000000002</v>
      </c>
      <c r="S1546" s="7">
        <f t="shared" si="335"/>
        <v>2352.0500000000002</v>
      </c>
      <c r="T1546" s="7">
        <f t="shared" si="336"/>
        <v>6.3818720459531145E-2</v>
      </c>
    </row>
    <row r="1547" spans="1:20" x14ac:dyDescent="0.25">
      <c r="A1547" s="1">
        <v>43441</v>
      </c>
      <c r="B1547">
        <v>2360</v>
      </c>
      <c r="C1547">
        <v>2430</v>
      </c>
      <c r="D1547">
        <v>2360</v>
      </c>
      <c r="E1547">
        <v>2425.85</v>
      </c>
      <c r="F1547">
        <v>1602035</v>
      </c>
      <c r="G1547" s="4">
        <f t="shared" si="337"/>
        <v>73.799999999999727</v>
      </c>
      <c r="H1547" s="4">
        <f t="shared" si="338"/>
        <v>0</v>
      </c>
      <c r="I1547" s="6">
        <f t="shared" si="329"/>
        <v>22.503571428571377</v>
      </c>
      <c r="J1547" s="6">
        <f t="shared" si="330"/>
        <v>7.1214285714285257</v>
      </c>
      <c r="K1547" s="4">
        <f t="shared" si="331"/>
        <v>3.1599799398194715</v>
      </c>
      <c r="L1547">
        <f t="shared" si="332"/>
        <v>75.961422543701104</v>
      </c>
      <c r="M1547" s="14" t="str">
        <f t="shared" si="325"/>
        <v>OVERBOUGHT</v>
      </c>
      <c r="N1547" s="7" t="str">
        <f t="shared" si="326"/>
        <v>SELL</v>
      </c>
      <c r="O1547" s="7">
        <f t="shared" si="333"/>
        <v>0</v>
      </c>
      <c r="P1547" s="7">
        <f t="shared" si="334"/>
        <v>-1</v>
      </c>
      <c r="Q1547" s="10" t="e">
        <f t="shared" si="327"/>
        <v>#N/A</v>
      </c>
      <c r="R1547" s="10" t="e">
        <f t="shared" si="328"/>
        <v>#N/A</v>
      </c>
      <c r="S1547" s="7">
        <f t="shared" si="335"/>
        <v>2352.0500000000002</v>
      </c>
      <c r="T1547" s="7">
        <f t="shared" si="336"/>
        <v>0</v>
      </c>
    </row>
    <row r="1548" spans="1:20" x14ac:dyDescent="0.25">
      <c r="A1548" s="1">
        <v>43444</v>
      </c>
      <c r="B1548">
        <v>2426</v>
      </c>
      <c r="C1548">
        <v>2454.9499999999998</v>
      </c>
      <c r="D1548">
        <v>2420</v>
      </c>
      <c r="E1548">
        <v>2446.25</v>
      </c>
      <c r="F1548">
        <v>1168491</v>
      </c>
      <c r="G1548" s="4">
        <f t="shared" si="337"/>
        <v>20.400000000000091</v>
      </c>
      <c r="H1548" s="4">
        <f t="shared" si="338"/>
        <v>0</v>
      </c>
      <c r="I1548" s="6">
        <f t="shared" si="329"/>
        <v>23.960714285714239</v>
      </c>
      <c r="J1548" s="6">
        <f t="shared" si="330"/>
        <v>4.7142857142856815</v>
      </c>
      <c r="K1548" s="4">
        <f t="shared" si="331"/>
        <v>5.0825757575757828</v>
      </c>
      <c r="L1548">
        <f t="shared" si="332"/>
        <v>83.559596462822341</v>
      </c>
      <c r="M1548" s="14" t="str">
        <f t="shared" si="325"/>
        <v>OVERBOUGHT</v>
      </c>
      <c r="N1548" s="7" t="str">
        <f t="shared" si="326"/>
        <v>SELL</v>
      </c>
      <c r="O1548" s="7">
        <f t="shared" si="333"/>
        <v>0</v>
      </c>
      <c r="P1548" s="7">
        <f t="shared" si="334"/>
        <v>-1</v>
      </c>
      <c r="Q1548" s="10" t="e">
        <f t="shared" si="327"/>
        <v>#N/A</v>
      </c>
      <c r="R1548" s="10" t="e">
        <f t="shared" si="328"/>
        <v>#N/A</v>
      </c>
      <c r="S1548" s="7">
        <f t="shared" si="335"/>
        <v>2352.0500000000002</v>
      </c>
      <c r="T1548" s="7">
        <f t="shared" si="336"/>
        <v>0</v>
      </c>
    </row>
    <row r="1549" spans="1:20" x14ac:dyDescent="0.25">
      <c r="A1549" s="1">
        <v>43445</v>
      </c>
      <c r="B1549">
        <v>2442</v>
      </c>
      <c r="C1549">
        <v>2485</v>
      </c>
      <c r="D1549">
        <v>2436.5</v>
      </c>
      <c r="E1549">
        <v>2473.1</v>
      </c>
      <c r="F1549">
        <v>975992</v>
      </c>
      <c r="G1549" s="4">
        <f t="shared" si="337"/>
        <v>26.849999999999909</v>
      </c>
      <c r="H1549" s="4">
        <f t="shared" si="338"/>
        <v>0</v>
      </c>
      <c r="I1549" s="6">
        <f t="shared" si="329"/>
        <v>18.746428571428527</v>
      </c>
      <c r="J1549" s="6">
        <f t="shared" si="330"/>
        <v>4.7142857142856815</v>
      </c>
      <c r="K1549" s="4">
        <f t="shared" si="331"/>
        <v>3.9765151515151698</v>
      </c>
      <c r="L1549">
        <f t="shared" si="332"/>
        <v>79.905617293347618</v>
      </c>
      <c r="M1549" s="14" t="str">
        <f t="shared" si="325"/>
        <v>OVERBOUGHT</v>
      </c>
      <c r="N1549" s="7" t="str">
        <f t="shared" si="326"/>
        <v>SELL</v>
      </c>
      <c r="O1549" s="7">
        <f t="shared" si="333"/>
        <v>0</v>
      </c>
      <c r="P1549" s="7">
        <f t="shared" si="334"/>
        <v>-1</v>
      </c>
      <c r="Q1549" s="10" t="e">
        <f t="shared" si="327"/>
        <v>#N/A</v>
      </c>
      <c r="R1549" s="10" t="e">
        <f t="shared" si="328"/>
        <v>#N/A</v>
      </c>
      <c r="S1549" s="7">
        <f t="shared" si="335"/>
        <v>2352.0500000000002</v>
      </c>
      <c r="T1549" s="7">
        <f t="shared" si="336"/>
        <v>0</v>
      </c>
    </row>
    <row r="1550" spans="1:20" x14ac:dyDescent="0.25">
      <c r="A1550" s="1">
        <v>43446</v>
      </c>
      <c r="B1550">
        <v>2487.9</v>
      </c>
      <c r="C1550">
        <v>2487.9</v>
      </c>
      <c r="D1550">
        <v>2457.3000000000002</v>
      </c>
      <c r="E1550">
        <v>2473.8000000000002</v>
      </c>
      <c r="F1550">
        <v>1139217</v>
      </c>
      <c r="G1550" s="4">
        <f t="shared" si="337"/>
        <v>0.70000000000027285</v>
      </c>
      <c r="H1550" s="4">
        <f t="shared" si="338"/>
        <v>0</v>
      </c>
      <c r="I1550" s="6">
        <f t="shared" si="329"/>
        <v>15.782142857142844</v>
      </c>
      <c r="J1550" s="6">
        <f t="shared" si="330"/>
        <v>4.7142857142856815</v>
      </c>
      <c r="K1550" s="4">
        <f t="shared" si="331"/>
        <v>3.3477272727272931</v>
      </c>
      <c r="L1550">
        <f t="shared" si="332"/>
        <v>76.999477260846945</v>
      </c>
      <c r="M1550" s="14" t="str">
        <f t="shared" si="325"/>
        <v>OVERBOUGHT</v>
      </c>
      <c r="N1550" s="7" t="str">
        <f t="shared" si="326"/>
        <v>SELL</v>
      </c>
      <c r="O1550" s="7">
        <f t="shared" si="333"/>
        <v>0</v>
      </c>
      <c r="P1550" s="7">
        <f t="shared" si="334"/>
        <v>-1</v>
      </c>
      <c r="Q1550" s="10" t="e">
        <f t="shared" si="327"/>
        <v>#N/A</v>
      </c>
      <c r="R1550" s="10" t="e">
        <f t="shared" si="328"/>
        <v>#N/A</v>
      </c>
      <c r="S1550" s="7">
        <f t="shared" si="335"/>
        <v>2352.0500000000002</v>
      </c>
      <c r="T1550" s="7">
        <f t="shared" si="336"/>
        <v>0</v>
      </c>
    </row>
    <row r="1551" spans="1:20" x14ac:dyDescent="0.25">
      <c r="A1551" s="1">
        <v>43447</v>
      </c>
      <c r="B1551">
        <v>2491</v>
      </c>
      <c r="C1551">
        <v>2517.15</v>
      </c>
      <c r="D1551">
        <v>2461.5500000000002</v>
      </c>
      <c r="E1551">
        <v>2473.4</v>
      </c>
      <c r="F1551">
        <v>1660441</v>
      </c>
      <c r="G1551" s="4">
        <f t="shared" si="337"/>
        <v>0</v>
      </c>
      <c r="H1551" s="4">
        <f t="shared" si="338"/>
        <v>0.40000000000009095</v>
      </c>
      <c r="I1551" s="6">
        <f t="shared" si="329"/>
        <v>11.903571428571402</v>
      </c>
      <c r="J1551" s="6">
        <f t="shared" si="330"/>
        <v>4.7428571428571171</v>
      </c>
      <c r="K1551" s="4">
        <f t="shared" si="331"/>
        <v>2.509789156626514</v>
      </c>
      <c r="L1551">
        <f t="shared" si="332"/>
        <v>71.508260030036539</v>
      </c>
      <c r="M1551" s="14" t="str">
        <f t="shared" si="325"/>
        <v>OVERBOUGHT</v>
      </c>
      <c r="N1551" s="7" t="str">
        <f t="shared" si="326"/>
        <v>SELL</v>
      </c>
      <c r="O1551" s="7">
        <f t="shared" si="333"/>
        <v>0</v>
      </c>
      <c r="P1551" s="7">
        <f t="shared" si="334"/>
        <v>-1</v>
      </c>
      <c r="Q1551" s="10" t="e">
        <f t="shared" si="327"/>
        <v>#N/A</v>
      </c>
      <c r="R1551" s="10" t="e">
        <f t="shared" si="328"/>
        <v>#N/A</v>
      </c>
      <c r="S1551" s="7">
        <f t="shared" si="335"/>
        <v>2352.0500000000002</v>
      </c>
      <c r="T1551" s="7">
        <f t="shared" si="336"/>
        <v>0</v>
      </c>
    </row>
    <row r="1552" spans="1:20" x14ac:dyDescent="0.25">
      <c r="A1552" s="1">
        <v>43448</v>
      </c>
      <c r="B1552">
        <v>2478</v>
      </c>
      <c r="C1552">
        <v>2486.9499999999998</v>
      </c>
      <c r="D1552">
        <v>2455</v>
      </c>
      <c r="E1552">
        <v>2469.4</v>
      </c>
      <c r="F1552">
        <v>919398</v>
      </c>
      <c r="G1552" s="4">
        <f t="shared" si="337"/>
        <v>0</v>
      </c>
      <c r="H1552" s="4">
        <f t="shared" si="338"/>
        <v>4</v>
      </c>
      <c r="I1552" s="6">
        <f t="shared" si="329"/>
        <v>11.903571428571402</v>
      </c>
      <c r="J1552" s="6">
        <f t="shared" si="330"/>
        <v>3.9142857142856946</v>
      </c>
      <c r="K1552" s="4">
        <f t="shared" si="331"/>
        <v>3.0410583941605922</v>
      </c>
      <c r="L1552">
        <f t="shared" si="332"/>
        <v>75.254007676676494</v>
      </c>
      <c r="M1552" s="14" t="str">
        <f t="shared" ref="M1552:M1615" si="339">IF(L1552&gt;RSI_Overbought,"OVERBOUGHT",IF(L1552&lt;RSI_Oversold,"OVERSOLD",""))</f>
        <v>OVERBOUGHT</v>
      </c>
      <c r="N1552" s="7" t="str">
        <f t="shared" ref="N1552:N1615" si="340">IF(L1552&gt;RSI_Overbought,"SELL",IF(L1552&lt;RSI_Oversold,"BUY",0))</f>
        <v>SELL</v>
      </c>
      <c r="O1552" s="7">
        <f t="shared" si="333"/>
        <v>0</v>
      </c>
      <c r="P1552" s="7">
        <f t="shared" si="334"/>
        <v>-1</v>
      </c>
      <c r="Q1552" s="10" t="e">
        <f t="shared" ref="Q1552:Q1615" si="341">IF($O1552="BUY",$E1552,NA())</f>
        <v>#N/A</v>
      </c>
      <c r="R1552" s="10" t="e">
        <f t="shared" ref="R1552:R1615" si="342">IF($O1552="SELL",$E1552,NA())</f>
        <v>#N/A</v>
      </c>
      <c r="S1552" s="7">
        <f t="shared" si="335"/>
        <v>2352.0500000000002</v>
      </c>
      <c r="T1552" s="7">
        <f t="shared" si="336"/>
        <v>0</v>
      </c>
    </row>
    <row r="1553" spans="1:20" x14ac:dyDescent="0.25">
      <c r="A1553" s="1">
        <v>43451</v>
      </c>
      <c r="B1553">
        <v>2470.9</v>
      </c>
      <c r="C1553">
        <v>2505</v>
      </c>
      <c r="D1553">
        <v>2460</v>
      </c>
      <c r="E1553">
        <v>2489.5</v>
      </c>
      <c r="F1553">
        <v>1068252</v>
      </c>
      <c r="G1553" s="4">
        <f t="shared" si="337"/>
        <v>20.099999999999909</v>
      </c>
      <c r="H1553" s="4">
        <f t="shared" si="338"/>
        <v>0</v>
      </c>
      <c r="I1553" s="6">
        <f t="shared" ref="I1553:I1616" si="343">AVERAGE(G1540:G1553)</f>
        <v>13.339285714285682</v>
      </c>
      <c r="J1553" s="6">
        <f t="shared" ref="J1553:J1616" si="344">AVERAGE(H1540:H1553)</f>
        <v>3.6821428571428378</v>
      </c>
      <c r="K1553" s="4">
        <f t="shared" ref="K1553:K1616" si="345">I1553/J1553</f>
        <v>3.6226964112512223</v>
      </c>
      <c r="L1553">
        <f t="shared" ref="L1553:L1616" si="346">100-(100/(K1553+1))</f>
        <v>78.367603860679864</v>
      </c>
      <c r="M1553" s="14" t="str">
        <f t="shared" si="339"/>
        <v>OVERBOUGHT</v>
      </c>
      <c r="N1553" s="7" t="str">
        <f t="shared" si="340"/>
        <v>SELL</v>
      </c>
      <c r="O1553" s="7">
        <f t="shared" ref="O1553:O1616" si="347">IF(AND(N1553="BUY",P1552&lt;&gt;1),"BUY",IF(AND(N1553="SELL",P1552&lt;&gt;-1),"SELL",0))</f>
        <v>0</v>
      </c>
      <c r="P1553" s="7">
        <f t="shared" ref="P1553:P1616" si="348">IF(O1553="BUY",1,IF(O1553="SELL",-1,P1552))</f>
        <v>-1</v>
      </c>
      <c r="Q1553" s="10" t="e">
        <f t="shared" si="341"/>
        <v>#N/A</v>
      </c>
      <c r="R1553" s="10" t="e">
        <f t="shared" si="342"/>
        <v>#N/A</v>
      </c>
      <c r="S1553" s="7">
        <f t="shared" ref="S1553:S1616" si="349">IF(O1553&lt;&gt;0,E1553,S1552)</f>
        <v>2352.0500000000002</v>
      </c>
      <c r="T1553" s="7">
        <f t="shared" si="336"/>
        <v>0</v>
      </c>
    </row>
    <row r="1554" spans="1:20" x14ac:dyDescent="0.25">
      <c r="A1554" s="1">
        <v>43452</v>
      </c>
      <c r="B1554">
        <v>2478.3000000000002</v>
      </c>
      <c r="C1554">
        <v>2550</v>
      </c>
      <c r="D1554">
        <v>2472.15</v>
      </c>
      <c r="E1554">
        <v>2520.3000000000002</v>
      </c>
      <c r="F1554">
        <v>2181982</v>
      </c>
      <c r="G1554" s="4">
        <f t="shared" si="337"/>
        <v>30.800000000000182</v>
      </c>
      <c r="H1554" s="4">
        <f t="shared" si="338"/>
        <v>0</v>
      </c>
      <c r="I1554" s="6">
        <f t="shared" si="343"/>
        <v>15.328571428571422</v>
      </c>
      <c r="J1554" s="6">
        <f t="shared" si="344"/>
        <v>3.6821428571428378</v>
      </c>
      <c r="K1554" s="4">
        <f t="shared" si="345"/>
        <v>4.1629485935984682</v>
      </c>
      <c r="L1554">
        <f t="shared" si="346"/>
        <v>80.631222994552019</v>
      </c>
      <c r="M1554" s="14" t="str">
        <f t="shared" si="339"/>
        <v>OVERBOUGHT</v>
      </c>
      <c r="N1554" s="7" t="str">
        <f t="shared" si="340"/>
        <v>SELL</v>
      </c>
      <c r="O1554" s="7">
        <f t="shared" si="347"/>
        <v>0</v>
      </c>
      <c r="P1554" s="7">
        <f t="shared" si="348"/>
        <v>-1</v>
      </c>
      <c r="Q1554" s="10" t="e">
        <f t="shared" si="341"/>
        <v>#N/A</v>
      </c>
      <c r="R1554" s="10" t="e">
        <f t="shared" si="342"/>
        <v>#N/A</v>
      </c>
      <c r="S1554" s="7">
        <f t="shared" si="349"/>
        <v>2352.0500000000002</v>
      </c>
      <c r="T1554" s="7">
        <f t="shared" si="336"/>
        <v>0</v>
      </c>
    </row>
    <row r="1555" spans="1:20" x14ac:dyDescent="0.25">
      <c r="A1555" s="1">
        <v>43453</v>
      </c>
      <c r="B1555">
        <v>2505</v>
      </c>
      <c r="C1555">
        <v>2520.85</v>
      </c>
      <c r="D1555">
        <v>2434.1</v>
      </c>
      <c r="E1555">
        <v>2453.9</v>
      </c>
      <c r="F1555">
        <v>1520700</v>
      </c>
      <c r="G1555" s="4">
        <f t="shared" si="337"/>
        <v>0</v>
      </c>
      <c r="H1555" s="4">
        <f t="shared" si="338"/>
        <v>66.400000000000091</v>
      </c>
      <c r="I1555" s="6">
        <f t="shared" si="343"/>
        <v>15.328571428571422</v>
      </c>
      <c r="J1555" s="6">
        <f t="shared" si="344"/>
        <v>7.7857142857142856</v>
      </c>
      <c r="K1555" s="4">
        <f t="shared" si="345"/>
        <v>1.9688073394495405</v>
      </c>
      <c r="L1555">
        <f t="shared" si="346"/>
        <v>66.316440049443742</v>
      </c>
      <c r="M1555" s="14" t="str">
        <f t="shared" si="339"/>
        <v/>
      </c>
      <c r="N1555" s="7">
        <f t="shared" si="340"/>
        <v>0</v>
      </c>
      <c r="O1555" s="7">
        <f t="shared" si="347"/>
        <v>0</v>
      </c>
      <c r="P1555" s="7">
        <f t="shared" si="348"/>
        <v>-1</v>
      </c>
      <c r="Q1555" s="10" t="e">
        <f t="shared" si="341"/>
        <v>#N/A</v>
      </c>
      <c r="R1555" s="10" t="e">
        <f t="shared" si="342"/>
        <v>#N/A</v>
      </c>
      <c r="S1555" s="7">
        <f t="shared" si="349"/>
        <v>2352.0500000000002</v>
      </c>
      <c r="T1555" s="7">
        <f t="shared" si="336"/>
        <v>0</v>
      </c>
    </row>
    <row r="1556" spans="1:20" x14ac:dyDescent="0.25">
      <c r="A1556" s="1">
        <v>43454</v>
      </c>
      <c r="B1556">
        <v>2456</v>
      </c>
      <c r="C1556">
        <v>2488</v>
      </c>
      <c r="D1556">
        <v>2447</v>
      </c>
      <c r="E1556">
        <v>2471.25</v>
      </c>
      <c r="F1556">
        <v>876176</v>
      </c>
      <c r="G1556" s="4">
        <f t="shared" si="337"/>
        <v>17.349999999999909</v>
      </c>
      <c r="H1556" s="4">
        <f t="shared" si="338"/>
        <v>0</v>
      </c>
      <c r="I1556" s="6">
        <f t="shared" si="343"/>
        <v>15.357142857142858</v>
      </c>
      <c r="J1556" s="6">
        <f t="shared" si="344"/>
        <v>7.7857142857142856</v>
      </c>
      <c r="K1556" s="4">
        <f t="shared" si="345"/>
        <v>1.9724770642201837</v>
      </c>
      <c r="L1556">
        <f t="shared" si="346"/>
        <v>66.358024691358025</v>
      </c>
      <c r="M1556" s="14" t="str">
        <f t="shared" si="339"/>
        <v/>
      </c>
      <c r="N1556" s="7">
        <f t="shared" si="340"/>
        <v>0</v>
      </c>
      <c r="O1556" s="7">
        <f t="shared" si="347"/>
        <v>0</v>
      </c>
      <c r="P1556" s="7">
        <f t="shared" si="348"/>
        <v>-1</v>
      </c>
      <c r="Q1556" s="10" t="e">
        <f t="shared" si="341"/>
        <v>#N/A</v>
      </c>
      <c r="R1556" s="10" t="e">
        <f t="shared" si="342"/>
        <v>#N/A</v>
      </c>
      <c r="S1556" s="7">
        <f t="shared" si="349"/>
        <v>2352.0500000000002</v>
      </c>
      <c r="T1556" s="7">
        <f t="shared" si="336"/>
        <v>0</v>
      </c>
    </row>
    <row r="1557" spans="1:20" x14ac:dyDescent="0.25">
      <c r="A1557" s="1">
        <v>43455</v>
      </c>
      <c r="B1557">
        <v>2470.8000000000002</v>
      </c>
      <c r="C1557">
        <v>2484.9</v>
      </c>
      <c r="D1557">
        <v>2442.0500000000002</v>
      </c>
      <c r="E1557">
        <v>2462.75</v>
      </c>
      <c r="F1557">
        <v>745897</v>
      </c>
      <c r="G1557" s="4">
        <f t="shared" si="337"/>
        <v>0</v>
      </c>
      <c r="H1557" s="4">
        <f t="shared" si="338"/>
        <v>8.5</v>
      </c>
      <c r="I1557" s="6">
        <f t="shared" si="343"/>
        <v>15.357142857142858</v>
      </c>
      <c r="J1557" s="6">
        <f t="shared" si="344"/>
        <v>7.6607142857142856</v>
      </c>
      <c r="K1557" s="4">
        <f t="shared" si="345"/>
        <v>2.0046620046620047</v>
      </c>
      <c r="L1557">
        <f t="shared" si="346"/>
        <v>66.71838634600465</v>
      </c>
      <c r="M1557" s="14" t="str">
        <f t="shared" si="339"/>
        <v/>
      </c>
      <c r="N1557" s="7">
        <f t="shared" si="340"/>
        <v>0</v>
      </c>
      <c r="O1557" s="7">
        <f t="shared" si="347"/>
        <v>0</v>
      </c>
      <c r="P1557" s="7">
        <f t="shared" si="348"/>
        <v>-1</v>
      </c>
      <c r="Q1557" s="10" t="e">
        <f t="shared" si="341"/>
        <v>#N/A</v>
      </c>
      <c r="R1557" s="10" t="e">
        <f t="shared" si="342"/>
        <v>#N/A</v>
      </c>
      <c r="S1557" s="7">
        <f t="shared" si="349"/>
        <v>2352.0500000000002</v>
      </c>
      <c r="T1557" s="7">
        <f t="shared" si="336"/>
        <v>0</v>
      </c>
    </row>
    <row r="1558" spans="1:20" x14ac:dyDescent="0.25">
      <c r="A1558" s="1">
        <v>43458</v>
      </c>
      <c r="B1558">
        <v>2470</v>
      </c>
      <c r="C1558">
        <v>2489</v>
      </c>
      <c r="D1558">
        <v>2459.35</v>
      </c>
      <c r="E1558">
        <v>2481.9</v>
      </c>
      <c r="F1558">
        <v>881575</v>
      </c>
      <c r="G1558" s="4">
        <f t="shared" si="337"/>
        <v>19.150000000000091</v>
      </c>
      <c r="H1558" s="4">
        <f t="shared" si="338"/>
        <v>0</v>
      </c>
      <c r="I1558" s="6">
        <f t="shared" si="343"/>
        <v>16.725000000000005</v>
      </c>
      <c r="J1558" s="6">
        <f t="shared" si="344"/>
        <v>5.8678571428571491</v>
      </c>
      <c r="K1558" s="4">
        <f t="shared" si="345"/>
        <v>2.8502738892270214</v>
      </c>
      <c r="L1558">
        <f t="shared" si="346"/>
        <v>74.02782168827062</v>
      </c>
      <c r="M1558" s="14" t="str">
        <f t="shared" si="339"/>
        <v>OVERBOUGHT</v>
      </c>
      <c r="N1558" s="7" t="str">
        <f t="shared" si="340"/>
        <v>SELL</v>
      </c>
      <c r="O1558" s="7">
        <f t="shared" si="347"/>
        <v>0</v>
      </c>
      <c r="P1558" s="7">
        <f t="shared" si="348"/>
        <v>-1</v>
      </c>
      <c r="Q1558" s="10" t="e">
        <f t="shared" si="341"/>
        <v>#N/A</v>
      </c>
      <c r="R1558" s="10" t="e">
        <f t="shared" si="342"/>
        <v>#N/A</v>
      </c>
      <c r="S1558" s="7">
        <f t="shared" si="349"/>
        <v>2352.0500000000002</v>
      </c>
      <c r="T1558" s="7">
        <f t="shared" si="336"/>
        <v>0</v>
      </c>
    </row>
    <row r="1559" spans="1:20" x14ac:dyDescent="0.25">
      <c r="A1559" s="1">
        <v>43459</v>
      </c>
      <c r="B1559">
        <v>2480</v>
      </c>
      <c r="C1559">
        <v>2484.6999999999998</v>
      </c>
      <c r="D1559">
        <v>2457</v>
      </c>
      <c r="E1559">
        <v>2470.8000000000002</v>
      </c>
      <c r="F1559">
        <v>1195471</v>
      </c>
      <c r="G1559" s="4">
        <f t="shared" si="337"/>
        <v>0</v>
      </c>
      <c r="H1559" s="4">
        <f t="shared" si="338"/>
        <v>11.099999999999909</v>
      </c>
      <c r="I1559" s="6">
        <f t="shared" si="343"/>
        <v>16.725000000000005</v>
      </c>
      <c r="J1559" s="6">
        <f t="shared" si="344"/>
        <v>6.4571428571428635</v>
      </c>
      <c r="K1559" s="4">
        <f t="shared" si="345"/>
        <v>2.5901548672566355</v>
      </c>
      <c r="L1559">
        <f t="shared" si="346"/>
        <v>72.146048374672603</v>
      </c>
      <c r="M1559" s="14" t="str">
        <f t="shared" si="339"/>
        <v>OVERBOUGHT</v>
      </c>
      <c r="N1559" s="7" t="str">
        <f t="shared" si="340"/>
        <v>SELL</v>
      </c>
      <c r="O1559" s="7">
        <f t="shared" si="347"/>
        <v>0</v>
      </c>
      <c r="P1559" s="7">
        <f t="shared" si="348"/>
        <v>-1</v>
      </c>
      <c r="Q1559" s="10" t="e">
        <f t="shared" si="341"/>
        <v>#N/A</v>
      </c>
      <c r="R1559" s="10" t="e">
        <f t="shared" si="342"/>
        <v>#N/A</v>
      </c>
      <c r="S1559" s="7">
        <f t="shared" si="349"/>
        <v>2352.0500000000002</v>
      </c>
      <c r="T1559" s="7">
        <f t="shared" si="336"/>
        <v>0</v>
      </c>
    </row>
    <row r="1560" spans="1:20" x14ac:dyDescent="0.25">
      <c r="A1560" s="1">
        <v>43460</v>
      </c>
      <c r="B1560">
        <v>2466</v>
      </c>
      <c r="C1560">
        <v>2473.6999999999998</v>
      </c>
      <c r="D1560">
        <v>2427</v>
      </c>
      <c r="E1560">
        <v>2432.0500000000002</v>
      </c>
      <c r="F1560">
        <v>699750</v>
      </c>
      <c r="G1560" s="4">
        <f t="shared" si="337"/>
        <v>0</v>
      </c>
      <c r="H1560" s="4">
        <f t="shared" si="338"/>
        <v>38.75</v>
      </c>
      <c r="I1560" s="6">
        <f t="shared" si="343"/>
        <v>14.93928571428572</v>
      </c>
      <c r="J1560" s="6">
        <f t="shared" si="344"/>
        <v>9.2250000000000068</v>
      </c>
      <c r="K1560" s="4">
        <f t="shared" si="345"/>
        <v>1.6194347657762287</v>
      </c>
      <c r="L1560">
        <f t="shared" si="346"/>
        <v>61.823825007389885</v>
      </c>
      <c r="M1560" s="14" t="str">
        <f t="shared" si="339"/>
        <v/>
      </c>
      <c r="N1560" s="7">
        <f t="shared" si="340"/>
        <v>0</v>
      </c>
      <c r="O1560" s="7">
        <f t="shared" si="347"/>
        <v>0</v>
      </c>
      <c r="P1560" s="7">
        <f t="shared" si="348"/>
        <v>-1</v>
      </c>
      <c r="Q1560" s="10" t="e">
        <f t="shared" si="341"/>
        <v>#N/A</v>
      </c>
      <c r="R1560" s="10" t="e">
        <f t="shared" si="342"/>
        <v>#N/A</v>
      </c>
      <c r="S1560" s="7">
        <f t="shared" si="349"/>
        <v>2352.0500000000002</v>
      </c>
      <c r="T1560" s="7">
        <f t="shared" si="336"/>
        <v>0</v>
      </c>
    </row>
    <row r="1561" spans="1:20" x14ac:dyDescent="0.25">
      <c r="A1561" s="1">
        <v>43461</v>
      </c>
      <c r="B1561">
        <v>2433</v>
      </c>
      <c r="C1561">
        <v>2517</v>
      </c>
      <c r="D1561">
        <v>2413</v>
      </c>
      <c r="E1561">
        <v>2506.65</v>
      </c>
      <c r="F1561">
        <v>1200324</v>
      </c>
      <c r="G1561" s="4">
        <f t="shared" si="337"/>
        <v>74.599999999999909</v>
      </c>
      <c r="H1561" s="4">
        <f t="shared" si="338"/>
        <v>0</v>
      </c>
      <c r="I1561" s="6">
        <f t="shared" si="343"/>
        <v>14.996428571428591</v>
      </c>
      <c r="J1561" s="6">
        <f t="shared" si="344"/>
        <v>9.2250000000000068</v>
      </c>
      <c r="K1561" s="4">
        <f t="shared" si="345"/>
        <v>1.6256291134339924</v>
      </c>
      <c r="L1561">
        <f t="shared" si="346"/>
        <v>61.913889708050739</v>
      </c>
      <c r="M1561" s="14" t="str">
        <f t="shared" si="339"/>
        <v/>
      </c>
      <c r="N1561" s="7">
        <f t="shared" si="340"/>
        <v>0</v>
      </c>
      <c r="O1561" s="7">
        <f t="shared" si="347"/>
        <v>0</v>
      </c>
      <c r="P1561" s="7">
        <f t="shared" si="348"/>
        <v>-1</v>
      </c>
      <c r="Q1561" s="10" t="e">
        <f t="shared" si="341"/>
        <v>#N/A</v>
      </c>
      <c r="R1561" s="10" t="e">
        <f t="shared" si="342"/>
        <v>#N/A</v>
      </c>
      <c r="S1561" s="7">
        <f t="shared" si="349"/>
        <v>2352.0500000000002</v>
      </c>
      <c r="T1561" s="7">
        <f t="shared" si="336"/>
        <v>0</v>
      </c>
    </row>
    <row r="1562" spans="1:20" x14ac:dyDescent="0.25">
      <c r="A1562" s="1">
        <v>43462</v>
      </c>
      <c r="B1562">
        <v>2498</v>
      </c>
      <c r="C1562">
        <v>2525</v>
      </c>
      <c r="D1562">
        <v>2488.1</v>
      </c>
      <c r="E1562">
        <v>2518.15</v>
      </c>
      <c r="F1562">
        <v>651814</v>
      </c>
      <c r="G1562" s="4">
        <f t="shared" si="337"/>
        <v>11.5</v>
      </c>
      <c r="H1562" s="4">
        <f t="shared" si="338"/>
        <v>0</v>
      </c>
      <c r="I1562" s="6">
        <f t="shared" si="343"/>
        <v>14.360714285714298</v>
      </c>
      <c r="J1562" s="6">
        <f t="shared" si="344"/>
        <v>9.2250000000000068</v>
      </c>
      <c r="K1562" s="4">
        <f t="shared" si="345"/>
        <v>1.5567169957413862</v>
      </c>
      <c r="L1562">
        <f t="shared" si="346"/>
        <v>60.887341005451241</v>
      </c>
      <c r="M1562" s="14" t="str">
        <f t="shared" si="339"/>
        <v/>
      </c>
      <c r="N1562" s="7">
        <f t="shared" si="340"/>
        <v>0</v>
      </c>
      <c r="O1562" s="7">
        <f t="shared" si="347"/>
        <v>0</v>
      </c>
      <c r="P1562" s="7">
        <f t="shared" si="348"/>
        <v>-1</v>
      </c>
      <c r="Q1562" s="10" t="e">
        <f t="shared" si="341"/>
        <v>#N/A</v>
      </c>
      <c r="R1562" s="10" t="e">
        <f t="shared" si="342"/>
        <v>#N/A</v>
      </c>
      <c r="S1562" s="7">
        <f t="shared" si="349"/>
        <v>2352.0500000000002</v>
      </c>
      <c r="T1562" s="7">
        <f t="shared" ref="T1562:T1625" si="350">IF(O1562="BUY",(S1561-S1562)/S1561,IF(O1562="SELL",(S1562-S1561)/S1561,0))</f>
        <v>0</v>
      </c>
    </row>
    <row r="1563" spans="1:20" x14ac:dyDescent="0.25">
      <c r="A1563" s="1">
        <v>43465</v>
      </c>
      <c r="B1563">
        <v>2530</v>
      </c>
      <c r="C1563">
        <v>2545</v>
      </c>
      <c r="D1563">
        <v>2512.5</v>
      </c>
      <c r="E1563">
        <v>2526.1999999999998</v>
      </c>
      <c r="F1563">
        <v>800734</v>
      </c>
      <c r="G1563" s="4">
        <f t="shared" si="337"/>
        <v>8.0499999999997272</v>
      </c>
      <c r="H1563" s="4">
        <f t="shared" si="338"/>
        <v>0</v>
      </c>
      <c r="I1563" s="6">
        <f t="shared" si="343"/>
        <v>13.017857142857142</v>
      </c>
      <c r="J1563" s="6">
        <f t="shared" si="344"/>
        <v>9.2250000000000068</v>
      </c>
      <c r="K1563" s="4">
        <f t="shared" si="345"/>
        <v>1.411149825783971</v>
      </c>
      <c r="L1563">
        <f t="shared" si="346"/>
        <v>58.526011560693618</v>
      </c>
      <c r="M1563" s="14" t="str">
        <f t="shared" si="339"/>
        <v/>
      </c>
      <c r="N1563" s="7">
        <f t="shared" si="340"/>
        <v>0</v>
      </c>
      <c r="O1563" s="7">
        <f t="shared" si="347"/>
        <v>0</v>
      </c>
      <c r="P1563" s="7">
        <f t="shared" si="348"/>
        <v>-1</v>
      </c>
      <c r="Q1563" s="10" t="e">
        <f t="shared" si="341"/>
        <v>#N/A</v>
      </c>
      <c r="R1563" s="10" t="e">
        <f t="shared" si="342"/>
        <v>#N/A</v>
      </c>
      <c r="S1563" s="7">
        <f t="shared" si="349"/>
        <v>2352.0500000000002</v>
      </c>
      <c r="T1563" s="7">
        <f t="shared" si="350"/>
        <v>0</v>
      </c>
    </row>
    <row r="1564" spans="1:20" x14ac:dyDescent="0.25">
      <c r="A1564" s="1">
        <v>43466</v>
      </c>
      <c r="B1564">
        <v>2453</v>
      </c>
      <c r="C1564">
        <v>2553.5</v>
      </c>
      <c r="D1564">
        <v>2440</v>
      </c>
      <c r="E1564">
        <v>2519.75</v>
      </c>
      <c r="F1564">
        <v>3560752</v>
      </c>
      <c r="G1564" s="4">
        <f t="shared" si="337"/>
        <v>0</v>
      </c>
      <c r="H1564" s="4">
        <f t="shared" si="338"/>
        <v>6.4499999999998181</v>
      </c>
      <c r="I1564" s="6">
        <f t="shared" si="343"/>
        <v>12.967857142857124</v>
      </c>
      <c r="J1564" s="6">
        <f t="shared" si="344"/>
        <v>9.6857142857142797</v>
      </c>
      <c r="K1564" s="4">
        <f t="shared" si="345"/>
        <v>1.3388643067846597</v>
      </c>
      <c r="L1564">
        <f t="shared" si="346"/>
        <v>57.244206211571793</v>
      </c>
      <c r="M1564" s="14" t="str">
        <f t="shared" si="339"/>
        <v/>
      </c>
      <c r="N1564" s="7">
        <f t="shared" si="340"/>
        <v>0</v>
      </c>
      <c r="O1564" s="7">
        <f t="shared" si="347"/>
        <v>0</v>
      </c>
      <c r="P1564" s="7">
        <f t="shared" si="348"/>
        <v>-1</v>
      </c>
      <c r="Q1564" s="10" t="e">
        <f t="shared" si="341"/>
        <v>#N/A</v>
      </c>
      <c r="R1564" s="10" t="e">
        <f t="shared" si="342"/>
        <v>#N/A</v>
      </c>
      <c r="S1564" s="7">
        <f t="shared" si="349"/>
        <v>2352.0500000000002</v>
      </c>
      <c r="T1564" s="7">
        <f t="shared" si="350"/>
        <v>0</v>
      </c>
    </row>
    <row r="1565" spans="1:20" x14ac:dyDescent="0.25">
      <c r="A1565" s="1">
        <v>43467</v>
      </c>
      <c r="B1565">
        <v>2534.9</v>
      </c>
      <c r="C1565">
        <v>2534.9</v>
      </c>
      <c r="D1565">
        <v>2440</v>
      </c>
      <c r="E1565">
        <v>2450.35</v>
      </c>
      <c r="F1565">
        <v>3202512</v>
      </c>
      <c r="G1565" s="4">
        <f t="shared" si="337"/>
        <v>0</v>
      </c>
      <c r="H1565" s="4">
        <f t="shared" si="338"/>
        <v>69.400000000000091</v>
      </c>
      <c r="I1565" s="6">
        <f t="shared" si="343"/>
        <v>12.967857142857124</v>
      </c>
      <c r="J1565" s="6">
        <f t="shared" si="344"/>
        <v>14.614285714285709</v>
      </c>
      <c r="K1565" s="4">
        <f t="shared" si="345"/>
        <v>0.88734115347018483</v>
      </c>
      <c r="L1565">
        <f t="shared" si="346"/>
        <v>47.015408520005153</v>
      </c>
      <c r="M1565" s="14" t="str">
        <f t="shared" si="339"/>
        <v/>
      </c>
      <c r="N1565" s="7">
        <f t="shared" si="340"/>
        <v>0</v>
      </c>
      <c r="O1565" s="7">
        <f t="shared" si="347"/>
        <v>0</v>
      </c>
      <c r="P1565" s="7">
        <f t="shared" si="348"/>
        <v>-1</v>
      </c>
      <c r="Q1565" s="10" t="e">
        <f t="shared" si="341"/>
        <v>#N/A</v>
      </c>
      <c r="R1565" s="10" t="e">
        <f t="shared" si="342"/>
        <v>#N/A</v>
      </c>
      <c r="S1565" s="7">
        <f t="shared" si="349"/>
        <v>2352.0500000000002</v>
      </c>
      <c r="T1565" s="7">
        <f t="shared" si="350"/>
        <v>0</v>
      </c>
    </row>
    <row r="1566" spans="1:20" x14ac:dyDescent="0.25">
      <c r="A1566" s="1">
        <v>43468</v>
      </c>
      <c r="B1566">
        <v>2451</v>
      </c>
      <c r="C1566">
        <v>2467.4</v>
      </c>
      <c r="D1566">
        <v>2412.1999999999998</v>
      </c>
      <c r="E1566">
        <v>2424.4</v>
      </c>
      <c r="F1566">
        <v>1262862</v>
      </c>
      <c r="G1566" s="4">
        <f t="shared" si="337"/>
        <v>0</v>
      </c>
      <c r="H1566" s="4">
        <f t="shared" si="338"/>
        <v>25.949999999999818</v>
      </c>
      <c r="I1566" s="6">
        <f t="shared" si="343"/>
        <v>12.967857142857124</v>
      </c>
      <c r="J1566" s="6">
        <f t="shared" si="344"/>
        <v>16.182142857142839</v>
      </c>
      <c r="K1566" s="4">
        <f t="shared" si="345"/>
        <v>0.80136835135731599</v>
      </c>
      <c r="L1566">
        <f t="shared" si="346"/>
        <v>44.486645430041648</v>
      </c>
      <c r="M1566" s="14" t="str">
        <f t="shared" si="339"/>
        <v/>
      </c>
      <c r="N1566" s="7">
        <f t="shared" si="340"/>
        <v>0</v>
      </c>
      <c r="O1566" s="7">
        <f t="shared" si="347"/>
        <v>0</v>
      </c>
      <c r="P1566" s="7">
        <f t="shared" si="348"/>
        <v>-1</v>
      </c>
      <c r="Q1566" s="10" t="e">
        <f t="shared" si="341"/>
        <v>#N/A</v>
      </c>
      <c r="R1566" s="10" t="e">
        <f t="shared" si="342"/>
        <v>#N/A</v>
      </c>
      <c r="S1566" s="7">
        <f t="shared" si="349"/>
        <v>2352.0500000000002</v>
      </c>
      <c r="T1566" s="7">
        <f t="shared" si="350"/>
        <v>0</v>
      </c>
    </row>
    <row r="1567" spans="1:20" x14ac:dyDescent="0.25">
      <c r="A1567" s="1">
        <v>43469</v>
      </c>
      <c r="B1567">
        <v>2419</v>
      </c>
      <c r="C1567">
        <v>2435.4</v>
      </c>
      <c r="D1567">
        <v>2404.1999999999998</v>
      </c>
      <c r="E1567">
        <v>2417.0500000000002</v>
      </c>
      <c r="F1567">
        <v>982063</v>
      </c>
      <c r="G1567" s="4">
        <f t="shared" si="337"/>
        <v>0</v>
      </c>
      <c r="H1567" s="4">
        <f t="shared" si="338"/>
        <v>7.3499999999999091</v>
      </c>
      <c r="I1567" s="6">
        <f t="shared" si="343"/>
        <v>11.532142857142844</v>
      </c>
      <c r="J1567" s="6">
        <f t="shared" si="344"/>
        <v>16.707142857142831</v>
      </c>
      <c r="K1567" s="4">
        <f t="shared" si="345"/>
        <v>0.69025224454895284</v>
      </c>
      <c r="L1567">
        <f t="shared" si="346"/>
        <v>40.837232831668146</v>
      </c>
      <c r="M1567" s="14" t="str">
        <f t="shared" si="339"/>
        <v/>
      </c>
      <c r="N1567" s="7">
        <f t="shared" si="340"/>
        <v>0</v>
      </c>
      <c r="O1567" s="7">
        <f t="shared" si="347"/>
        <v>0</v>
      </c>
      <c r="P1567" s="7">
        <f t="shared" si="348"/>
        <v>-1</v>
      </c>
      <c r="Q1567" s="10" t="e">
        <f t="shared" si="341"/>
        <v>#N/A</v>
      </c>
      <c r="R1567" s="10" t="e">
        <f t="shared" si="342"/>
        <v>#N/A</v>
      </c>
      <c r="S1567" s="7">
        <f t="shared" si="349"/>
        <v>2352.0500000000002</v>
      </c>
      <c r="T1567" s="7">
        <f t="shared" si="350"/>
        <v>0</v>
      </c>
    </row>
    <row r="1568" spans="1:20" x14ac:dyDescent="0.25">
      <c r="A1568" s="1">
        <v>43472</v>
      </c>
      <c r="B1568">
        <v>2402.3000000000002</v>
      </c>
      <c r="C1568">
        <v>2457.0500000000002</v>
      </c>
      <c r="D1568">
        <v>2402.3000000000002</v>
      </c>
      <c r="E1568">
        <v>2451.25</v>
      </c>
      <c r="F1568">
        <v>1133827</v>
      </c>
      <c r="G1568" s="4">
        <f t="shared" si="337"/>
        <v>34.199999999999818</v>
      </c>
      <c r="H1568" s="4">
        <f t="shared" si="338"/>
        <v>0</v>
      </c>
      <c r="I1568" s="6">
        <f t="shared" si="343"/>
        <v>11.774999999999961</v>
      </c>
      <c r="J1568" s="6">
        <f t="shared" si="344"/>
        <v>16.707142857142831</v>
      </c>
      <c r="K1568" s="4">
        <f t="shared" si="345"/>
        <v>0.70478837109875891</v>
      </c>
      <c r="L1568">
        <f t="shared" si="346"/>
        <v>41.341692789968612</v>
      </c>
      <c r="M1568" s="14" t="str">
        <f t="shared" si="339"/>
        <v/>
      </c>
      <c r="N1568" s="7">
        <f t="shared" si="340"/>
        <v>0</v>
      </c>
      <c r="O1568" s="7">
        <f t="shared" si="347"/>
        <v>0</v>
      </c>
      <c r="P1568" s="7">
        <f t="shared" si="348"/>
        <v>-1</v>
      </c>
      <c r="Q1568" s="10" t="e">
        <f t="shared" si="341"/>
        <v>#N/A</v>
      </c>
      <c r="R1568" s="10" t="e">
        <f t="shared" si="342"/>
        <v>#N/A</v>
      </c>
      <c r="S1568" s="7">
        <f t="shared" si="349"/>
        <v>2352.0500000000002</v>
      </c>
      <c r="T1568" s="7">
        <f t="shared" si="350"/>
        <v>0</v>
      </c>
    </row>
    <row r="1569" spans="1:20" x14ac:dyDescent="0.25">
      <c r="A1569" s="1">
        <v>43473</v>
      </c>
      <c r="B1569">
        <v>2449</v>
      </c>
      <c r="C1569">
        <v>2493.5</v>
      </c>
      <c r="D1569">
        <v>2442</v>
      </c>
      <c r="E1569">
        <v>2489.8000000000002</v>
      </c>
      <c r="F1569">
        <v>1277184</v>
      </c>
      <c r="G1569" s="4">
        <f t="shared" si="337"/>
        <v>38.550000000000182</v>
      </c>
      <c r="H1569" s="4">
        <f t="shared" si="338"/>
        <v>0</v>
      </c>
      <c r="I1569" s="6">
        <f t="shared" si="343"/>
        <v>14.528571428571402</v>
      </c>
      <c r="J1569" s="6">
        <f t="shared" si="344"/>
        <v>11.964285714285682</v>
      </c>
      <c r="K1569" s="4">
        <f t="shared" si="345"/>
        <v>1.2143283582089563</v>
      </c>
      <c r="L1569">
        <f t="shared" si="346"/>
        <v>54.839579401455943</v>
      </c>
      <c r="M1569" s="14" t="str">
        <f t="shared" si="339"/>
        <v/>
      </c>
      <c r="N1569" s="7">
        <f t="shared" si="340"/>
        <v>0</v>
      </c>
      <c r="O1569" s="7">
        <f t="shared" si="347"/>
        <v>0</v>
      </c>
      <c r="P1569" s="7">
        <f t="shared" si="348"/>
        <v>-1</v>
      </c>
      <c r="Q1569" s="10" t="e">
        <f t="shared" si="341"/>
        <v>#N/A</v>
      </c>
      <c r="R1569" s="10" t="e">
        <f t="shared" si="342"/>
        <v>#N/A</v>
      </c>
      <c r="S1569" s="7">
        <f t="shared" si="349"/>
        <v>2352.0500000000002</v>
      </c>
      <c r="T1569" s="7">
        <f t="shared" si="350"/>
        <v>0</v>
      </c>
    </row>
    <row r="1570" spans="1:20" x14ac:dyDescent="0.25">
      <c r="A1570" s="1">
        <v>43474</v>
      </c>
      <c r="B1570">
        <v>2480</v>
      </c>
      <c r="C1570">
        <v>2514.6</v>
      </c>
      <c r="D1570">
        <v>2475.9</v>
      </c>
      <c r="E1570">
        <v>2511.1</v>
      </c>
      <c r="F1570">
        <v>924335</v>
      </c>
      <c r="G1570" s="4">
        <f t="shared" si="337"/>
        <v>21.299999999999727</v>
      </c>
      <c r="H1570" s="4">
        <f t="shared" si="338"/>
        <v>0</v>
      </c>
      <c r="I1570" s="6">
        <f t="shared" si="343"/>
        <v>14.810714285714246</v>
      </c>
      <c r="J1570" s="6">
        <f t="shared" si="344"/>
        <v>11.964285714285682</v>
      </c>
      <c r="K1570" s="4">
        <f t="shared" si="345"/>
        <v>1.2379104477611942</v>
      </c>
      <c r="L1570">
        <f t="shared" si="346"/>
        <v>55.315459517140191</v>
      </c>
      <c r="M1570" s="14" t="str">
        <f t="shared" si="339"/>
        <v/>
      </c>
      <c r="N1570" s="7">
        <f t="shared" si="340"/>
        <v>0</v>
      </c>
      <c r="O1570" s="7">
        <f t="shared" si="347"/>
        <v>0</v>
      </c>
      <c r="P1570" s="7">
        <f t="shared" si="348"/>
        <v>-1</v>
      </c>
      <c r="Q1570" s="10" t="e">
        <f t="shared" si="341"/>
        <v>#N/A</v>
      </c>
      <c r="R1570" s="10" t="e">
        <f t="shared" si="342"/>
        <v>#N/A</v>
      </c>
      <c r="S1570" s="7">
        <f t="shared" si="349"/>
        <v>2352.0500000000002</v>
      </c>
      <c r="T1570" s="7">
        <f t="shared" si="350"/>
        <v>0</v>
      </c>
    </row>
    <row r="1571" spans="1:20" x14ac:dyDescent="0.25">
      <c r="A1571" s="1">
        <v>43475</v>
      </c>
      <c r="B1571">
        <v>2501.3000000000002</v>
      </c>
      <c r="C1571">
        <v>2540</v>
      </c>
      <c r="D1571">
        <v>2498.1</v>
      </c>
      <c r="E1571">
        <v>2527.75</v>
      </c>
      <c r="F1571">
        <v>2496372</v>
      </c>
      <c r="G1571" s="4">
        <f t="shared" si="337"/>
        <v>16.650000000000091</v>
      </c>
      <c r="H1571" s="4">
        <f t="shared" si="338"/>
        <v>0</v>
      </c>
      <c r="I1571" s="6">
        <f t="shared" si="343"/>
        <v>15.999999999999968</v>
      </c>
      <c r="J1571" s="6">
        <f t="shared" si="344"/>
        <v>11.357142857142824</v>
      </c>
      <c r="K1571" s="4">
        <f t="shared" si="345"/>
        <v>1.4088050314465421</v>
      </c>
      <c r="L1571">
        <f t="shared" si="346"/>
        <v>58.485639686684095</v>
      </c>
      <c r="M1571" s="14" t="str">
        <f t="shared" si="339"/>
        <v/>
      </c>
      <c r="N1571" s="7">
        <f t="shared" si="340"/>
        <v>0</v>
      </c>
      <c r="O1571" s="7">
        <f t="shared" si="347"/>
        <v>0</v>
      </c>
      <c r="P1571" s="7">
        <f t="shared" si="348"/>
        <v>-1</v>
      </c>
      <c r="Q1571" s="10" t="e">
        <f t="shared" si="341"/>
        <v>#N/A</v>
      </c>
      <c r="R1571" s="10" t="e">
        <f t="shared" si="342"/>
        <v>#N/A</v>
      </c>
      <c r="S1571" s="7">
        <f t="shared" si="349"/>
        <v>2352.0500000000002</v>
      </c>
      <c r="T1571" s="7">
        <f t="shared" si="350"/>
        <v>0</v>
      </c>
    </row>
    <row r="1572" spans="1:20" x14ac:dyDescent="0.25">
      <c r="A1572" s="1">
        <v>43476</v>
      </c>
      <c r="B1572">
        <v>2517</v>
      </c>
      <c r="C1572">
        <v>2542</v>
      </c>
      <c r="D1572">
        <v>2510</v>
      </c>
      <c r="E1572">
        <v>2535.5</v>
      </c>
      <c r="F1572">
        <v>1186089</v>
      </c>
      <c r="G1572" s="4">
        <f t="shared" si="337"/>
        <v>7.75</v>
      </c>
      <c r="H1572" s="4">
        <f t="shared" si="338"/>
        <v>0</v>
      </c>
      <c r="I1572" s="6">
        <f t="shared" si="343"/>
        <v>15.185714285714246</v>
      </c>
      <c r="J1572" s="6">
        <f t="shared" si="344"/>
        <v>11.357142857142824</v>
      </c>
      <c r="K1572" s="4">
        <f t="shared" si="345"/>
        <v>1.3371069182389941</v>
      </c>
      <c r="L1572">
        <f t="shared" si="346"/>
        <v>57.212055974165779</v>
      </c>
      <c r="M1572" s="14" t="str">
        <f t="shared" si="339"/>
        <v/>
      </c>
      <c r="N1572" s="7">
        <f t="shared" si="340"/>
        <v>0</v>
      </c>
      <c r="O1572" s="7">
        <f t="shared" si="347"/>
        <v>0</v>
      </c>
      <c r="P1572" s="7">
        <f t="shared" si="348"/>
        <v>-1</v>
      </c>
      <c r="Q1572" s="10" t="e">
        <f t="shared" si="341"/>
        <v>#N/A</v>
      </c>
      <c r="R1572" s="10" t="e">
        <f t="shared" si="342"/>
        <v>#N/A</v>
      </c>
      <c r="S1572" s="7">
        <f t="shared" si="349"/>
        <v>2352.0500000000002</v>
      </c>
      <c r="T1572" s="7">
        <f t="shared" si="350"/>
        <v>0</v>
      </c>
    </row>
    <row r="1573" spans="1:20" x14ac:dyDescent="0.25">
      <c r="A1573" s="1">
        <v>43479</v>
      </c>
      <c r="B1573">
        <v>2529</v>
      </c>
      <c r="C1573">
        <v>2530</v>
      </c>
      <c r="D1573">
        <v>2500</v>
      </c>
      <c r="E1573">
        <v>2526.6999999999998</v>
      </c>
      <c r="F1573">
        <v>558346</v>
      </c>
      <c r="G1573" s="4">
        <f t="shared" si="337"/>
        <v>0</v>
      </c>
      <c r="H1573" s="4">
        <f t="shared" si="338"/>
        <v>8.8000000000001819</v>
      </c>
      <c r="I1573" s="6">
        <f t="shared" si="343"/>
        <v>15.185714285714246</v>
      </c>
      <c r="J1573" s="6">
        <f t="shared" si="344"/>
        <v>11.192857142857131</v>
      </c>
      <c r="K1573" s="4">
        <f t="shared" si="345"/>
        <v>1.3567326100829591</v>
      </c>
      <c r="L1573">
        <f t="shared" si="346"/>
        <v>57.568372596804736</v>
      </c>
      <c r="M1573" s="14" t="str">
        <f t="shared" si="339"/>
        <v/>
      </c>
      <c r="N1573" s="7">
        <f t="shared" si="340"/>
        <v>0</v>
      </c>
      <c r="O1573" s="7">
        <f t="shared" si="347"/>
        <v>0</v>
      </c>
      <c r="P1573" s="7">
        <f t="shared" si="348"/>
        <v>-1</v>
      </c>
      <c r="Q1573" s="10" t="e">
        <f t="shared" si="341"/>
        <v>#N/A</v>
      </c>
      <c r="R1573" s="10" t="e">
        <f t="shared" si="342"/>
        <v>#N/A</v>
      </c>
      <c r="S1573" s="7">
        <f t="shared" si="349"/>
        <v>2352.0500000000002</v>
      </c>
      <c r="T1573" s="7">
        <f t="shared" si="350"/>
        <v>0</v>
      </c>
    </row>
    <row r="1574" spans="1:20" x14ac:dyDescent="0.25">
      <c r="A1574" s="1">
        <v>43480</v>
      </c>
      <c r="B1574">
        <v>2525</v>
      </c>
      <c r="C1574">
        <v>2530</v>
      </c>
      <c r="D1574">
        <v>2472</v>
      </c>
      <c r="E1574">
        <v>2478.1</v>
      </c>
      <c r="F1574">
        <v>1076559</v>
      </c>
      <c r="G1574" s="4">
        <f t="shared" si="337"/>
        <v>0</v>
      </c>
      <c r="H1574" s="4">
        <f t="shared" si="338"/>
        <v>48.599999999999909</v>
      </c>
      <c r="I1574" s="6">
        <f t="shared" si="343"/>
        <v>15.185714285714246</v>
      </c>
      <c r="J1574" s="6">
        <f t="shared" si="344"/>
        <v>11.896428571428553</v>
      </c>
      <c r="K1574" s="4">
        <f t="shared" si="345"/>
        <v>1.276493545481836</v>
      </c>
      <c r="L1574">
        <f t="shared" si="346"/>
        <v>56.072794408545406</v>
      </c>
      <c r="M1574" s="14" t="str">
        <f t="shared" si="339"/>
        <v/>
      </c>
      <c r="N1574" s="7">
        <f t="shared" si="340"/>
        <v>0</v>
      </c>
      <c r="O1574" s="7">
        <f t="shared" si="347"/>
        <v>0</v>
      </c>
      <c r="P1574" s="7">
        <f t="shared" si="348"/>
        <v>-1</v>
      </c>
      <c r="Q1574" s="10" t="e">
        <f t="shared" si="341"/>
        <v>#N/A</v>
      </c>
      <c r="R1574" s="10" t="e">
        <f t="shared" si="342"/>
        <v>#N/A</v>
      </c>
      <c r="S1574" s="7">
        <f t="shared" si="349"/>
        <v>2352.0500000000002</v>
      </c>
      <c r="T1574" s="7">
        <f t="shared" si="350"/>
        <v>0</v>
      </c>
    </row>
    <row r="1575" spans="1:20" x14ac:dyDescent="0.25">
      <c r="A1575" s="1">
        <v>43481</v>
      </c>
      <c r="B1575">
        <v>2473.9</v>
      </c>
      <c r="C1575">
        <v>2494.0500000000002</v>
      </c>
      <c r="D1575">
        <v>2457</v>
      </c>
      <c r="E1575">
        <v>2478</v>
      </c>
      <c r="F1575">
        <v>682446</v>
      </c>
      <c r="G1575" s="4">
        <f t="shared" si="337"/>
        <v>0</v>
      </c>
      <c r="H1575" s="4">
        <f t="shared" si="338"/>
        <v>9.9999999999909051E-2</v>
      </c>
      <c r="I1575" s="6">
        <f t="shared" si="343"/>
        <v>9.8571428571428239</v>
      </c>
      <c r="J1575" s="6">
        <f t="shared" si="344"/>
        <v>11.903571428571402</v>
      </c>
      <c r="K1575" s="4">
        <f t="shared" si="345"/>
        <v>0.82808280828082714</v>
      </c>
      <c r="L1575">
        <f t="shared" si="346"/>
        <v>45.297882816346601</v>
      </c>
      <c r="M1575" s="14" t="str">
        <f t="shared" si="339"/>
        <v/>
      </c>
      <c r="N1575" s="7">
        <f t="shared" si="340"/>
        <v>0</v>
      </c>
      <c r="O1575" s="7">
        <f t="shared" si="347"/>
        <v>0</v>
      </c>
      <c r="P1575" s="7">
        <f t="shared" si="348"/>
        <v>-1</v>
      </c>
      <c r="Q1575" s="10" t="e">
        <f t="shared" si="341"/>
        <v>#N/A</v>
      </c>
      <c r="R1575" s="10" t="e">
        <f t="shared" si="342"/>
        <v>#N/A</v>
      </c>
      <c r="S1575" s="7">
        <f t="shared" si="349"/>
        <v>2352.0500000000002</v>
      </c>
      <c r="T1575" s="7">
        <f t="shared" si="350"/>
        <v>0</v>
      </c>
    </row>
    <row r="1576" spans="1:20" x14ac:dyDescent="0.25">
      <c r="A1576" s="1">
        <v>43482</v>
      </c>
      <c r="B1576">
        <v>2478</v>
      </c>
      <c r="C1576">
        <v>2489.9499999999998</v>
      </c>
      <c r="D1576">
        <v>2463.5500000000002</v>
      </c>
      <c r="E1576">
        <v>2470.3000000000002</v>
      </c>
      <c r="F1576">
        <v>623283</v>
      </c>
      <c r="G1576" s="4">
        <f t="shared" si="337"/>
        <v>0</v>
      </c>
      <c r="H1576" s="4">
        <f t="shared" si="338"/>
        <v>7.6999999999998181</v>
      </c>
      <c r="I1576" s="6">
        <f t="shared" si="343"/>
        <v>9.0357142857142527</v>
      </c>
      <c r="J1576" s="6">
        <f t="shared" si="344"/>
        <v>12.45357142857139</v>
      </c>
      <c r="K1576" s="4">
        <f t="shared" si="345"/>
        <v>0.72555205047318572</v>
      </c>
      <c r="L1576">
        <f t="shared" si="346"/>
        <v>42.047531992687368</v>
      </c>
      <c r="M1576" s="14" t="str">
        <f t="shared" si="339"/>
        <v/>
      </c>
      <c r="N1576" s="7">
        <f t="shared" si="340"/>
        <v>0</v>
      </c>
      <c r="O1576" s="7">
        <f t="shared" si="347"/>
        <v>0</v>
      </c>
      <c r="P1576" s="7">
        <f t="shared" si="348"/>
        <v>-1</v>
      </c>
      <c r="Q1576" s="10" t="e">
        <f t="shared" si="341"/>
        <v>#N/A</v>
      </c>
      <c r="R1576" s="10" t="e">
        <f t="shared" si="342"/>
        <v>#N/A</v>
      </c>
      <c r="S1576" s="7">
        <f t="shared" si="349"/>
        <v>2352.0500000000002</v>
      </c>
      <c r="T1576" s="7">
        <f t="shared" si="350"/>
        <v>0</v>
      </c>
    </row>
    <row r="1577" spans="1:20" x14ac:dyDescent="0.25">
      <c r="A1577" s="1">
        <v>43483</v>
      </c>
      <c r="B1577">
        <v>2465</v>
      </c>
      <c r="C1577">
        <v>2484.3000000000002</v>
      </c>
      <c r="D1577">
        <v>2431</v>
      </c>
      <c r="E1577">
        <v>2473.4</v>
      </c>
      <c r="F1577">
        <v>442799</v>
      </c>
      <c r="G1577" s="4">
        <f t="shared" si="337"/>
        <v>3.0999999999999091</v>
      </c>
      <c r="H1577" s="4">
        <f t="shared" si="338"/>
        <v>0</v>
      </c>
      <c r="I1577" s="6">
        <f t="shared" si="343"/>
        <v>8.6821428571428374</v>
      </c>
      <c r="J1577" s="6">
        <f t="shared" si="344"/>
        <v>12.45357142857139</v>
      </c>
      <c r="K1577" s="4">
        <f t="shared" si="345"/>
        <v>0.69716088328075765</v>
      </c>
      <c r="L1577">
        <f t="shared" si="346"/>
        <v>41.078066914498159</v>
      </c>
      <c r="M1577" s="14" t="str">
        <f t="shared" si="339"/>
        <v/>
      </c>
      <c r="N1577" s="7">
        <f t="shared" si="340"/>
        <v>0</v>
      </c>
      <c r="O1577" s="7">
        <f t="shared" si="347"/>
        <v>0</v>
      </c>
      <c r="P1577" s="7">
        <f t="shared" si="348"/>
        <v>-1</v>
      </c>
      <c r="Q1577" s="10" t="e">
        <f t="shared" si="341"/>
        <v>#N/A</v>
      </c>
      <c r="R1577" s="10" t="e">
        <f t="shared" si="342"/>
        <v>#N/A</v>
      </c>
      <c r="S1577" s="7">
        <f t="shared" si="349"/>
        <v>2352.0500000000002</v>
      </c>
      <c r="T1577" s="7">
        <f t="shared" si="350"/>
        <v>0</v>
      </c>
    </row>
    <row r="1578" spans="1:20" x14ac:dyDescent="0.25">
      <c r="A1578" s="1">
        <v>43486</v>
      </c>
      <c r="B1578">
        <v>2473.4</v>
      </c>
      <c r="C1578">
        <v>2518</v>
      </c>
      <c r="D1578">
        <v>2456.4</v>
      </c>
      <c r="E1578">
        <v>2512.5500000000002</v>
      </c>
      <c r="F1578">
        <v>910638</v>
      </c>
      <c r="G1578" s="4">
        <f t="shared" si="337"/>
        <v>39.150000000000091</v>
      </c>
      <c r="H1578" s="4">
        <f t="shared" si="338"/>
        <v>0</v>
      </c>
      <c r="I1578" s="6">
        <f t="shared" si="343"/>
        <v>11.478571428571415</v>
      </c>
      <c r="J1578" s="6">
        <f t="shared" si="344"/>
        <v>11.992857142857117</v>
      </c>
      <c r="K1578" s="4">
        <f t="shared" si="345"/>
        <v>0.95711733174508729</v>
      </c>
      <c r="L1578">
        <f t="shared" si="346"/>
        <v>48.904443091905073</v>
      </c>
      <c r="M1578" s="14" t="str">
        <f t="shared" si="339"/>
        <v/>
      </c>
      <c r="N1578" s="7">
        <f t="shared" si="340"/>
        <v>0</v>
      </c>
      <c r="O1578" s="7">
        <f t="shared" si="347"/>
        <v>0</v>
      </c>
      <c r="P1578" s="7">
        <f t="shared" si="348"/>
        <v>-1</v>
      </c>
      <c r="Q1578" s="10" t="e">
        <f t="shared" si="341"/>
        <v>#N/A</v>
      </c>
      <c r="R1578" s="10" t="e">
        <f t="shared" si="342"/>
        <v>#N/A</v>
      </c>
      <c r="S1578" s="7">
        <f t="shared" si="349"/>
        <v>2352.0500000000002</v>
      </c>
      <c r="T1578" s="7">
        <f t="shared" si="350"/>
        <v>0</v>
      </c>
    </row>
    <row r="1579" spans="1:20" x14ac:dyDescent="0.25">
      <c r="A1579" s="1">
        <v>43487</v>
      </c>
      <c r="B1579">
        <v>2515</v>
      </c>
      <c r="C1579">
        <v>2533.9499999999998</v>
      </c>
      <c r="D1579">
        <v>2496</v>
      </c>
      <c r="E1579">
        <v>2522.9</v>
      </c>
      <c r="F1579">
        <v>579267</v>
      </c>
      <c r="G1579" s="4">
        <f t="shared" si="337"/>
        <v>10.349999999999909</v>
      </c>
      <c r="H1579" s="4">
        <f t="shared" si="338"/>
        <v>0</v>
      </c>
      <c r="I1579" s="6">
        <f t="shared" si="343"/>
        <v>12.217857142857124</v>
      </c>
      <c r="J1579" s="6">
        <f t="shared" si="344"/>
        <v>7.0357142857142536</v>
      </c>
      <c r="K1579" s="4">
        <f t="shared" si="345"/>
        <v>1.7365482233502589</v>
      </c>
      <c r="L1579">
        <f t="shared" si="346"/>
        <v>63.457614542756517</v>
      </c>
      <c r="M1579" s="14" t="str">
        <f t="shared" si="339"/>
        <v/>
      </c>
      <c r="N1579" s="7">
        <f t="shared" si="340"/>
        <v>0</v>
      </c>
      <c r="O1579" s="7">
        <f t="shared" si="347"/>
        <v>0</v>
      </c>
      <c r="P1579" s="7">
        <f t="shared" si="348"/>
        <v>-1</v>
      </c>
      <c r="Q1579" s="10" t="e">
        <f t="shared" si="341"/>
        <v>#N/A</v>
      </c>
      <c r="R1579" s="10" t="e">
        <f t="shared" si="342"/>
        <v>#N/A</v>
      </c>
      <c r="S1579" s="7">
        <f t="shared" si="349"/>
        <v>2352.0500000000002</v>
      </c>
      <c r="T1579" s="7">
        <f t="shared" si="350"/>
        <v>0</v>
      </c>
    </row>
    <row r="1580" spans="1:20" x14ac:dyDescent="0.25">
      <c r="A1580" s="1">
        <v>43488</v>
      </c>
      <c r="B1580">
        <v>2500</v>
      </c>
      <c r="C1580">
        <v>2525.6</v>
      </c>
      <c r="D1580">
        <v>2490</v>
      </c>
      <c r="E1580">
        <v>2518.3000000000002</v>
      </c>
      <c r="F1580">
        <v>799358</v>
      </c>
      <c r="G1580" s="4">
        <f t="shared" si="337"/>
        <v>0</v>
      </c>
      <c r="H1580" s="4">
        <f t="shared" si="338"/>
        <v>4.5999999999999091</v>
      </c>
      <c r="I1580" s="6">
        <f t="shared" si="343"/>
        <v>12.217857142857124</v>
      </c>
      <c r="J1580" s="6">
        <f t="shared" si="344"/>
        <v>5.5107142857142595</v>
      </c>
      <c r="K1580" s="4">
        <f t="shared" si="345"/>
        <v>2.2171095268956651</v>
      </c>
      <c r="L1580">
        <f t="shared" si="346"/>
        <v>68.916196615632629</v>
      </c>
      <c r="M1580" s="14" t="str">
        <f t="shared" si="339"/>
        <v/>
      </c>
      <c r="N1580" s="7">
        <f t="shared" si="340"/>
        <v>0</v>
      </c>
      <c r="O1580" s="7">
        <f t="shared" si="347"/>
        <v>0</v>
      </c>
      <c r="P1580" s="7">
        <f t="shared" si="348"/>
        <v>-1</v>
      </c>
      <c r="Q1580" s="10" t="e">
        <f t="shared" si="341"/>
        <v>#N/A</v>
      </c>
      <c r="R1580" s="10" t="e">
        <f t="shared" si="342"/>
        <v>#N/A</v>
      </c>
      <c r="S1580" s="7">
        <f t="shared" si="349"/>
        <v>2352.0500000000002</v>
      </c>
      <c r="T1580" s="7">
        <f t="shared" si="350"/>
        <v>0</v>
      </c>
    </row>
    <row r="1581" spans="1:20" x14ac:dyDescent="0.25">
      <c r="A1581" s="1">
        <v>43489</v>
      </c>
      <c r="B1581">
        <v>2520.5500000000002</v>
      </c>
      <c r="C1581">
        <v>2569.9</v>
      </c>
      <c r="D1581">
        <v>2520.5500000000002</v>
      </c>
      <c r="E1581">
        <v>2566.1999999999998</v>
      </c>
      <c r="F1581">
        <v>756541</v>
      </c>
      <c r="G1581" s="4">
        <f t="shared" si="337"/>
        <v>47.899999999999636</v>
      </c>
      <c r="H1581" s="4">
        <f t="shared" si="338"/>
        <v>0</v>
      </c>
      <c r="I1581" s="6">
        <f t="shared" si="343"/>
        <v>15.639285714285668</v>
      </c>
      <c r="J1581" s="6">
        <f t="shared" si="344"/>
        <v>4.9857142857142662</v>
      </c>
      <c r="K1581" s="4">
        <f t="shared" si="345"/>
        <v>3.1368194842406907</v>
      </c>
      <c r="L1581">
        <f t="shared" si="346"/>
        <v>75.826839826839844</v>
      </c>
      <c r="M1581" s="14" t="str">
        <f t="shared" si="339"/>
        <v>OVERBOUGHT</v>
      </c>
      <c r="N1581" s="7" t="str">
        <f t="shared" si="340"/>
        <v>SELL</v>
      </c>
      <c r="O1581" s="7">
        <f t="shared" si="347"/>
        <v>0</v>
      </c>
      <c r="P1581" s="7">
        <f t="shared" si="348"/>
        <v>-1</v>
      </c>
      <c r="Q1581" s="10" t="e">
        <f t="shared" si="341"/>
        <v>#N/A</v>
      </c>
      <c r="R1581" s="10" t="e">
        <f t="shared" si="342"/>
        <v>#N/A</v>
      </c>
      <c r="S1581" s="7">
        <f t="shared" si="349"/>
        <v>2352.0500000000002</v>
      </c>
      <c r="T1581" s="7">
        <f t="shared" si="350"/>
        <v>0</v>
      </c>
    </row>
    <row r="1582" spans="1:20" x14ac:dyDescent="0.25">
      <c r="A1582" s="1">
        <v>43490</v>
      </c>
      <c r="B1582">
        <v>2565</v>
      </c>
      <c r="C1582">
        <v>2566</v>
      </c>
      <c r="D1582">
        <v>2510.15</v>
      </c>
      <c r="E1582">
        <v>2523.4</v>
      </c>
      <c r="F1582">
        <v>810865</v>
      </c>
      <c r="G1582" s="4">
        <f t="shared" si="337"/>
        <v>0</v>
      </c>
      <c r="H1582" s="4">
        <f t="shared" si="338"/>
        <v>42.799999999999727</v>
      </c>
      <c r="I1582" s="6">
        <f t="shared" si="343"/>
        <v>13.196428571428539</v>
      </c>
      <c r="J1582" s="6">
        <f t="shared" si="344"/>
        <v>8.0428571428571036</v>
      </c>
      <c r="K1582" s="4">
        <f t="shared" si="345"/>
        <v>1.6407637655417446</v>
      </c>
      <c r="L1582">
        <f t="shared" si="346"/>
        <v>62.132167479401431</v>
      </c>
      <c r="M1582" s="14" t="str">
        <f t="shared" si="339"/>
        <v/>
      </c>
      <c r="N1582" s="7">
        <f t="shared" si="340"/>
        <v>0</v>
      </c>
      <c r="O1582" s="7">
        <f t="shared" si="347"/>
        <v>0</v>
      </c>
      <c r="P1582" s="7">
        <f t="shared" si="348"/>
        <v>-1</v>
      </c>
      <c r="Q1582" s="10" t="e">
        <f t="shared" si="341"/>
        <v>#N/A</v>
      </c>
      <c r="R1582" s="10" t="e">
        <f t="shared" si="342"/>
        <v>#N/A</v>
      </c>
      <c r="S1582" s="7">
        <f t="shared" si="349"/>
        <v>2352.0500000000002</v>
      </c>
      <c r="T1582" s="7">
        <f t="shared" si="350"/>
        <v>0</v>
      </c>
    </row>
    <row r="1583" spans="1:20" x14ac:dyDescent="0.25">
      <c r="A1583" s="1">
        <v>43493</v>
      </c>
      <c r="B1583">
        <v>2538</v>
      </c>
      <c r="C1583">
        <v>2564.8000000000002</v>
      </c>
      <c r="D1583">
        <v>2522.5</v>
      </c>
      <c r="E1583">
        <v>2551.15</v>
      </c>
      <c r="F1583">
        <v>555763</v>
      </c>
      <c r="G1583" s="4">
        <f t="shared" si="337"/>
        <v>27.75</v>
      </c>
      <c r="H1583" s="4">
        <f t="shared" si="338"/>
        <v>0</v>
      </c>
      <c r="I1583" s="6">
        <f t="shared" si="343"/>
        <v>12.424999999999955</v>
      </c>
      <c r="J1583" s="6">
        <f t="shared" si="344"/>
        <v>8.0428571428571036</v>
      </c>
      <c r="K1583" s="4">
        <f t="shared" si="345"/>
        <v>1.544849023090588</v>
      </c>
      <c r="L1583">
        <f t="shared" si="346"/>
        <v>60.704938056185689</v>
      </c>
      <c r="M1583" s="14" t="str">
        <f t="shared" si="339"/>
        <v/>
      </c>
      <c r="N1583" s="7">
        <f t="shared" si="340"/>
        <v>0</v>
      </c>
      <c r="O1583" s="7">
        <f t="shared" si="347"/>
        <v>0</v>
      </c>
      <c r="P1583" s="7">
        <f t="shared" si="348"/>
        <v>-1</v>
      </c>
      <c r="Q1583" s="10" t="e">
        <f t="shared" si="341"/>
        <v>#N/A</v>
      </c>
      <c r="R1583" s="10" t="e">
        <f t="shared" si="342"/>
        <v>#N/A</v>
      </c>
      <c r="S1583" s="7">
        <f t="shared" si="349"/>
        <v>2352.0500000000002</v>
      </c>
      <c r="T1583" s="7">
        <f t="shared" si="350"/>
        <v>0</v>
      </c>
    </row>
    <row r="1584" spans="1:20" x14ac:dyDescent="0.25">
      <c r="A1584" s="1">
        <v>43494</v>
      </c>
      <c r="B1584">
        <v>2564.1999999999998</v>
      </c>
      <c r="C1584">
        <v>2591.25</v>
      </c>
      <c r="D1584">
        <v>2552</v>
      </c>
      <c r="E1584">
        <v>2570.1999999999998</v>
      </c>
      <c r="F1584">
        <v>878349</v>
      </c>
      <c r="G1584" s="4">
        <f t="shared" si="337"/>
        <v>19.049999999999727</v>
      </c>
      <c r="H1584" s="4">
        <f t="shared" si="338"/>
        <v>0</v>
      </c>
      <c r="I1584" s="6">
        <f t="shared" si="343"/>
        <v>12.264285714285668</v>
      </c>
      <c r="J1584" s="6">
        <f t="shared" si="344"/>
        <v>8.0428571428571036</v>
      </c>
      <c r="K1584" s="4">
        <f t="shared" si="345"/>
        <v>1.5248667850799307</v>
      </c>
      <c r="L1584">
        <f t="shared" si="346"/>
        <v>60.393950052761198</v>
      </c>
      <c r="M1584" s="14" t="str">
        <f t="shared" si="339"/>
        <v/>
      </c>
      <c r="N1584" s="7">
        <f t="shared" si="340"/>
        <v>0</v>
      </c>
      <c r="O1584" s="7">
        <f t="shared" si="347"/>
        <v>0</v>
      </c>
      <c r="P1584" s="7">
        <f t="shared" si="348"/>
        <v>-1</v>
      </c>
      <c r="Q1584" s="10" t="e">
        <f t="shared" si="341"/>
        <v>#N/A</v>
      </c>
      <c r="R1584" s="10" t="e">
        <f t="shared" si="342"/>
        <v>#N/A</v>
      </c>
      <c r="S1584" s="7">
        <f t="shared" si="349"/>
        <v>2352.0500000000002</v>
      </c>
      <c r="T1584" s="7">
        <f t="shared" si="350"/>
        <v>0</v>
      </c>
    </row>
    <row r="1585" spans="1:20" x14ac:dyDescent="0.25">
      <c r="A1585" s="1">
        <v>43495</v>
      </c>
      <c r="B1585">
        <v>2565.85</v>
      </c>
      <c r="C1585">
        <v>2565.85</v>
      </c>
      <c r="D1585">
        <v>2526.0500000000002</v>
      </c>
      <c r="E1585">
        <v>2551.1</v>
      </c>
      <c r="F1585">
        <v>750370</v>
      </c>
      <c r="G1585" s="4">
        <f t="shared" si="337"/>
        <v>0</v>
      </c>
      <c r="H1585" s="4">
        <f t="shared" si="338"/>
        <v>19.099999999999909</v>
      </c>
      <c r="I1585" s="6">
        <f t="shared" si="343"/>
        <v>11.074999999999948</v>
      </c>
      <c r="J1585" s="6">
        <f t="shared" si="344"/>
        <v>9.4071428571428122</v>
      </c>
      <c r="K1585" s="4">
        <f t="shared" si="345"/>
        <v>1.1772968868640852</v>
      </c>
      <c r="L1585">
        <f t="shared" si="346"/>
        <v>54.071490845684401</v>
      </c>
      <c r="M1585" s="14" t="str">
        <f t="shared" si="339"/>
        <v/>
      </c>
      <c r="N1585" s="7">
        <f t="shared" si="340"/>
        <v>0</v>
      </c>
      <c r="O1585" s="7">
        <f t="shared" si="347"/>
        <v>0</v>
      </c>
      <c r="P1585" s="7">
        <f t="shared" si="348"/>
        <v>-1</v>
      </c>
      <c r="Q1585" s="10" t="e">
        <f t="shared" si="341"/>
        <v>#N/A</v>
      </c>
      <c r="R1585" s="10" t="e">
        <f t="shared" si="342"/>
        <v>#N/A</v>
      </c>
      <c r="S1585" s="7">
        <f t="shared" si="349"/>
        <v>2352.0500000000002</v>
      </c>
      <c r="T1585" s="7">
        <f t="shared" si="350"/>
        <v>0</v>
      </c>
    </row>
    <row r="1586" spans="1:20" x14ac:dyDescent="0.25">
      <c r="A1586" s="1">
        <v>43496</v>
      </c>
      <c r="B1586">
        <v>2555</v>
      </c>
      <c r="C1586">
        <v>2560</v>
      </c>
      <c r="D1586">
        <v>2526.1</v>
      </c>
      <c r="E1586">
        <v>2556.9499999999998</v>
      </c>
      <c r="F1586">
        <v>519396</v>
      </c>
      <c r="G1586" s="4">
        <f t="shared" si="337"/>
        <v>5.8499999999999091</v>
      </c>
      <c r="H1586" s="4">
        <f t="shared" si="338"/>
        <v>0</v>
      </c>
      <c r="I1586" s="6">
        <f t="shared" si="343"/>
        <v>10.939285714285656</v>
      </c>
      <c r="J1586" s="6">
        <f t="shared" si="344"/>
        <v>9.4071428571428122</v>
      </c>
      <c r="K1586" s="4">
        <f t="shared" si="345"/>
        <v>1.1628701594533024</v>
      </c>
      <c r="L1586">
        <f t="shared" si="346"/>
        <v>53.765139547130055</v>
      </c>
      <c r="M1586" s="14" t="str">
        <f t="shared" si="339"/>
        <v/>
      </c>
      <c r="N1586" s="7">
        <f t="shared" si="340"/>
        <v>0</v>
      </c>
      <c r="O1586" s="7">
        <f t="shared" si="347"/>
        <v>0</v>
      </c>
      <c r="P1586" s="7">
        <f t="shared" si="348"/>
        <v>-1</v>
      </c>
      <c r="Q1586" s="10" t="e">
        <f t="shared" si="341"/>
        <v>#N/A</v>
      </c>
      <c r="R1586" s="10" t="e">
        <f t="shared" si="342"/>
        <v>#N/A</v>
      </c>
      <c r="S1586" s="7">
        <f t="shared" si="349"/>
        <v>2352.0500000000002</v>
      </c>
      <c r="T1586" s="7">
        <f t="shared" si="350"/>
        <v>0</v>
      </c>
    </row>
    <row r="1587" spans="1:20" x14ac:dyDescent="0.25">
      <c r="A1587" s="1">
        <v>43497</v>
      </c>
      <c r="B1587">
        <v>2542.3000000000002</v>
      </c>
      <c r="C1587">
        <v>2565.8000000000002</v>
      </c>
      <c r="D1587">
        <v>2522.8000000000002</v>
      </c>
      <c r="E1587">
        <v>2529.3000000000002</v>
      </c>
      <c r="F1587">
        <v>615459</v>
      </c>
      <c r="G1587" s="4">
        <f t="shared" si="337"/>
        <v>0</v>
      </c>
      <c r="H1587" s="4">
        <f t="shared" si="338"/>
        <v>27.649999999999636</v>
      </c>
      <c r="I1587" s="6">
        <f t="shared" si="343"/>
        <v>10.939285714285656</v>
      </c>
      <c r="J1587" s="6">
        <f t="shared" si="344"/>
        <v>10.753571428571345</v>
      </c>
      <c r="K1587" s="4">
        <f t="shared" si="345"/>
        <v>1.0172700099634699</v>
      </c>
      <c r="L1587">
        <f t="shared" si="346"/>
        <v>50.428054000658612</v>
      </c>
      <c r="M1587" s="14" t="str">
        <f t="shared" si="339"/>
        <v/>
      </c>
      <c r="N1587" s="7">
        <f t="shared" si="340"/>
        <v>0</v>
      </c>
      <c r="O1587" s="7">
        <f t="shared" si="347"/>
        <v>0</v>
      </c>
      <c r="P1587" s="7">
        <f t="shared" si="348"/>
        <v>-1</v>
      </c>
      <c r="Q1587" s="10" t="e">
        <f t="shared" si="341"/>
        <v>#N/A</v>
      </c>
      <c r="R1587" s="10" t="e">
        <f t="shared" si="342"/>
        <v>#N/A</v>
      </c>
      <c r="S1587" s="7">
        <f t="shared" si="349"/>
        <v>2352.0500000000002</v>
      </c>
      <c r="T1587" s="7">
        <f t="shared" si="350"/>
        <v>0</v>
      </c>
    </row>
    <row r="1588" spans="1:20" x14ac:dyDescent="0.25">
      <c r="A1588" s="1">
        <v>43500</v>
      </c>
      <c r="B1588">
        <v>2544</v>
      </c>
      <c r="C1588">
        <v>2545.9</v>
      </c>
      <c r="D1588">
        <v>2480.1999999999998</v>
      </c>
      <c r="E1588">
        <v>2491.4499999999998</v>
      </c>
      <c r="F1588">
        <v>766508</v>
      </c>
      <c r="G1588" s="4">
        <f t="shared" si="337"/>
        <v>0</v>
      </c>
      <c r="H1588" s="4">
        <f t="shared" si="338"/>
        <v>37.850000000000364</v>
      </c>
      <c r="I1588" s="6">
        <f t="shared" si="343"/>
        <v>10.939285714285656</v>
      </c>
      <c r="J1588" s="6">
        <f t="shared" si="344"/>
        <v>9.9857142857142343</v>
      </c>
      <c r="K1588" s="4">
        <f t="shared" si="345"/>
        <v>1.0954935622317594</v>
      </c>
      <c r="L1588">
        <f t="shared" si="346"/>
        <v>52.278545826932913</v>
      </c>
      <c r="M1588" s="14" t="str">
        <f t="shared" si="339"/>
        <v/>
      </c>
      <c r="N1588" s="7">
        <f t="shared" si="340"/>
        <v>0</v>
      </c>
      <c r="O1588" s="7">
        <f t="shared" si="347"/>
        <v>0</v>
      </c>
      <c r="P1588" s="7">
        <f t="shared" si="348"/>
        <v>-1</v>
      </c>
      <c r="Q1588" s="10" t="e">
        <f t="shared" si="341"/>
        <v>#N/A</v>
      </c>
      <c r="R1588" s="10" t="e">
        <f t="shared" si="342"/>
        <v>#N/A</v>
      </c>
      <c r="S1588" s="7">
        <f t="shared" si="349"/>
        <v>2352.0500000000002</v>
      </c>
      <c r="T1588" s="7">
        <f t="shared" si="350"/>
        <v>0</v>
      </c>
    </row>
    <row r="1589" spans="1:20" x14ac:dyDescent="0.25">
      <c r="A1589" s="1">
        <v>43501</v>
      </c>
      <c r="B1589">
        <v>2484</v>
      </c>
      <c r="C1589">
        <v>2488.25</v>
      </c>
      <c r="D1589">
        <v>2459.6</v>
      </c>
      <c r="E1589">
        <v>2467.6999999999998</v>
      </c>
      <c r="F1589">
        <v>669579</v>
      </c>
      <c r="G1589" s="4">
        <f t="shared" si="337"/>
        <v>0</v>
      </c>
      <c r="H1589" s="4">
        <f t="shared" si="338"/>
        <v>23.75</v>
      </c>
      <c r="I1589" s="6">
        <f t="shared" si="343"/>
        <v>10.939285714285656</v>
      </c>
      <c r="J1589" s="6">
        <f t="shared" si="344"/>
        <v>11.674999999999955</v>
      </c>
      <c r="K1589" s="4">
        <f t="shared" si="345"/>
        <v>0.93698378709085217</v>
      </c>
      <c r="L1589">
        <f t="shared" si="346"/>
        <v>48.373341756159157</v>
      </c>
      <c r="M1589" s="14" t="str">
        <f t="shared" si="339"/>
        <v/>
      </c>
      <c r="N1589" s="7">
        <f t="shared" si="340"/>
        <v>0</v>
      </c>
      <c r="O1589" s="7">
        <f t="shared" si="347"/>
        <v>0</v>
      </c>
      <c r="P1589" s="7">
        <f t="shared" si="348"/>
        <v>-1</v>
      </c>
      <c r="Q1589" s="10" t="e">
        <f t="shared" si="341"/>
        <v>#N/A</v>
      </c>
      <c r="R1589" s="10" t="e">
        <f t="shared" si="342"/>
        <v>#N/A</v>
      </c>
      <c r="S1589" s="7">
        <f t="shared" si="349"/>
        <v>2352.0500000000002</v>
      </c>
      <c r="T1589" s="7">
        <f t="shared" si="350"/>
        <v>0</v>
      </c>
    </row>
    <row r="1590" spans="1:20" x14ac:dyDescent="0.25">
      <c r="A1590" s="1">
        <v>43502</v>
      </c>
      <c r="B1590">
        <v>2481</v>
      </c>
      <c r="C1590">
        <v>2532.9499999999998</v>
      </c>
      <c r="D1590">
        <v>2481</v>
      </c>
      <c r="E1590">
        <v>2526.4499999999998</v>
      </c>
      <c r="F1590">
        <v>774339</v>
      </c>
      <c r="G1590" s="4">
        <f t="shared" si="337"/>
        <v>58.75</v>
      </c>
      <c r="H1590" s="4">
        <f t="shared" si="338"/>
        <v>0</v>
      </c>
      <c r="I1590" s="6">
        <f t="shared" si="343"/>
        <v>15.135714285714228</v>
      </c>
      <c r="J1590" s="6">
        <f t="shared" si="344"/>
        <v>11.124999999999968</v>
      </c>
      <c r="K1590" s="4">
        <f t="shared" si="345"/>
        <v>1.3605136436597098</v>
      </c>
      <c r="L1590">
        <f t="shared" si="346"/>
        <v>57.636338909288696</v>
      </c>
      <c r="M1590" s="14" t="str">
        <f t="shared" si="339"/>
        <v/>
      </c>
      <c r="N1590" s="7">
        <f t="shared" si="340"/>
        <v>0</v>
      </c>
      <c r="O1590" s="7">
        <f t="shared" si="347"/>
        <v>0</v>
      </c>
      <c r="P1590" s="7">
        <f t="shared" si="348"/>
        <v>-1</v>
      </c>
      <c r="Q1590" s="10" t="e">
        <f t="shared" si="341"/>
        <v>#N/A</v>
      </c>
      <c r="R1590" s="10" t="e">
        <f t="shared" si="342"/>
        <v>#N/A</v>
      </c>
      <c r="S1590" s="7">
        <f t="shared" si="349"/>
        <v>2352.0500000000002</v>
      </c>
      <c r="T1590" s="7">
        <f t="shared" si="350"/>
        <v>0</v>
      </c>
    </row>
    <row r="1591" spans="1:20" x14ac:dyDescent="0.25">
      <c r="A1591" s="1">
        <v>43503</v>
      </c>
      <c r="B1591">
        <v>2530</v>
      </c>
      <c r="C1591">
        <v>2564.9</v>
      </c>
      <c r="D1591">
        <v>2505.1</v>
      </c>
      <c r="E1591">
        <v>2548.6999999999998</v>
      </c>
      <c r="F1591">
        <v>971624</v>
      </c>
      <c r="G1591" s="4">
        <f t="shared" si="337"/>
        <v>22.25</v>
      </c>
      <c r="H1591" s="4">
        <f t="shared" si="338"/>
        <v>0</v>
      </c>
      <c r="I1591" s="6">
        <f t="shared" si="343"/>
        <v>16.503571428571377</v>
      </c>
      <c r="J1591" s="6">
        <f t="shared" si="344"/>
        <v>11.124999999999968</v>
      </c>
      <c r="K1591" s="4">
        <f t="shared" si="345"/>
        <v>1.4834670947030493</v>
      </c>
      <c r="L1591">
        <f t="shared" si="346"/>
        <v>59.733712512926566</v>
      </c>
      <c r="M1591" s="14" t="str">
        <f t="shared" si="339"/>
        <v/>
      </c>
      <c r="N1591" s="7">
        <f t="shared" si="340"/>
        <v>0</v>
      </c>
      <c r="O1591" s="7">
        <f t="shared" si="347"/>
        <v>0</v>
      </c>
      <c r="P1591" s="7">
        <f t="shared" si="348"/>
        <v>-1</v>
      </c>
      <c r="Q1591" s="10" t="e">
        <f t="shared" si="341"/>
        <v>#N/A</v>
      </c>
      <c r="R1591" s="10" t="e">
        <f t="shared" si="342"/>
        <v>#N/A</v>
      </c>
      <c r="S1591" s="7">
        <f t="shared" si="349"/>
        <v>2352.0500000000002</v>
      </c>
      <c r="T1591" s="7">
        <f t="shared" si="350"/>
        <v>0</v>
      </c>
    </row>
    <row r="1592" spans="1:20" x14ac:dyDescent="0.25">
      <c r="A1592" s="1">
        <v>43504</v>
      </c>
      <c r="B1592">
        <v>2553.15</v>
      </c>
      <c r="C1592">
        <v>2579.85</v>
      </c>
      <c r="D1592">
        <v>2550.6</v>
      </c>
      <c r="E1592">
        <v>2572.65</v>
      </c>
      <c r="F1592">
        <v>552338</v>
      </c>
      <c r="G1592" s="4">
        <f t="shared" si="337"/>
        <v>23.950000000000273</v>
      </c>
      <c r="H1592" s="4">
        <f t="shared" si="338"/>
        <v>0</v>
      </c>
      <c r="I1592" s="6">
        <f t="shared" si="343"/>
        <v>15.417857142857104</v>
      </c>
      <c r="J1592" s="6">
        <f t="shared" si="344"/>
        <v>11.124999999999968</v>
      </c>
      <c r="K1592" s="4">
        <f t="shared" si="345"/>
        <v>1.3858747993579459</v>
      </c>
      <c r="L1592">
        <f t="shared" si="346"/>
        <v>58.086652314316474</v>
      </c>
      <c r="M1592" s="14" t="str">
        <f t="shared" si="339"/>
        <v/>
      </c>
      <c r="N1592" s="7">
        <f t="shared" si="340"/>
        <v>0</v>
      </c>
      <c r="O1592" s="7">
        <f t="shared" si="347"/>
        <v>0</v>
      </c>
      <c r="P1592" s="7">
        <f t="shared" si="348"/>
        <v>-1</v>
      </c>
      <c r="Q1592" s="10" t="e">
        <f t="shared" si="341"/>
        <v>#N/A</v>
      </c>
      <c r="R1592" s="10" t="e">
        <f t="shared" si="342"/>
        <v>#N/A</v>
      </c>
      <c r="S1592" s="7">
        <f t="shared" si="349"/>
        <v>2352.0500000000002</v>
      </c>
      <c r="T1592" s="7">
        <f t="shared" si="350"/>
        <v>0</v>
      </c>
    </row>
    <row r="1593" spans="1:20" x14ac:dyDescent="0.25">
      <c r="A1593" s="1">
        <v>43507</v>
      </c>
      <c r="B1593">
        <v>2583</v>
      </c>
      <c r="C1593">
        <v>2641.95</v>
      </c>
      <c r="D1593">
        <v>2582</v>
      </c>
      <c r="E1593">
        <v>2636.4</v>
      </c>
      <c r="F1593">
        <v>674732</v>
      </c>
      <c r="G1593" s="4">
        <f t="shared" si="337"/>
        <v>63.75</v>
      </c>
      <c r="H1593" s="4">
        <f t="shared" si="338"/>
        <v>0</v>
      </c>
      <c r="I1593" s="6">
        <f t="shared" si="343"/>
        <v>19.232142857142826</v>
      </c>
      <c r="J1593" s="6">
        <f t="shared" si="344"/>
        <v>11.124999999999968</v>
      </c>
      <c r="K1593" s="4">
        <f t="shared" si="345"/>
        <v>1.7287319422150904</v>
      </c>
      <c r="L1593">
        <f t="shared" si="346"/>
        <v>63.352941176470623</v>
      </c>
      <c r="M1593" s="14" t="str">
        <f t="shared" si="339"/>
        <v/>
      </c>
      <c r="N1593" s="7">
        <f t="shared" si="340"/>
        <v>0</v>
      </c>
      <c r="O1593" s="7">
        <f t="shared" si="347"/>
        <v>0</v>
      </c>
      <c r="P1593" s="7">
        <f t="shared" si="348"/>
        <v>-1</v>
      </c>
      <c r="Q1593" s="10" t="e">
        <f t="shared" si="341"/>
        <v>#N/A</v>
      </c>
      <c r="R1593" s="10" t="e">
        <f t="shared" si="342"/>
        <v>#N/A</v>
      </c>
      <c r="S1593" s="7">
        <f t="shared" si="349"/>
        <v>2352.0500000000002</v>
      </c>
      <c r="T1593" s="7">
        <f t="shared" si="350"/>
        <v>0</v>
      </c>
    </row>
    <row r="1594" spans="1:20" x14ac:dyDescent="0.25">
      <c r="A1594" s="1">
        <v>43508</v>
      </c>
      <c r="B1594">
        <v>2640</v>
      </c>
      <c r="C1594">
        <v>2647</v>
      </c>
      <c r="D1594">
        <v>2562</v>
      </c>
      <c r="E1594">
        <v>2569.4</v>
      </c>
      <c r="F1594">
        <v>1861304</v>
      </c>
      <c r="G1594" s="4">
        <f t="shared" si="337"/>
        <v>0</v>
      </c>
      <c r="H1594" s="4">
        <f t="shared" si="338"/>
        <v>67</v>
      </c>
      <c r="I1594" s="6">
        <f t="shared" si="343"/>
        <v>19.232142857142826</v>
      </c>
      <c r="J1594" s="6">
        <f t="shared" si="344"/>
        <v>15.582142857142831</v>
      </c>
      <c r="K1594" s="4">
        <f t="shared" si="345"/>
        <v>1.2342424936969976</v>
      </c>
      <c r="L1594">
        <f t="shared" si="346"/>
        <v>55.242100943783342</v>
      </c>
      <c r="M1594" s="14" t="str">
        <f t="shared" si="339"/>
        <v/>
      </c>
      <c r="N1594" s="7">
        <f t="shared" si="340"/>
        <v>0</v>
      </c>
      <c r="O1594" s="7">
        <f t="shared" si="347"/>
        <v>0</v>
      </c>
      <c r="P1594" s="7">
        <f t="shared" si="348"/>
        <v>-1</v>
      </c>
      <c r="Q1594" s="10" t="e">
        <f t="shared" si="341"/>
        <v>#N/A</v>
      </c>
      <c r="R1594" s="10" t="e">
        <f t="shared" si="342"/>
        <v>#N/A</v>
      </c>
      <c r="S1594" s="7">
        <f t="shared" si="349"/>
        <v>2352.0500000000002</v>
      </c>
      <c r="T1594" s="7">
        <f t="shared" si="350"/>
        <v>0</v>
      </c>
    </row>
    <row r="1595" spans="1:20" x14ac:dyDescent="0.25">
      <c r="A1595" s="1">
        <v>43509</v>
      </c>
      <c r="B1595">
        <v>2571.1999999999998</v>
      </c>
      <c r="C1595">
        <v>2645</v>
      </c>
      <c r="D1595">
        <v>2571</v>
      </c>
      <c r="E1595">
        <v>2633.55</v>
      </c>
      <c r="F1595">
        <v>955971</v>
      </c>
      <c r="G1595" s="4">
        <f t="shared" si="337"/>
        <v>64.150000000000091</v>
      </c>
      <c r="H1595" s="4">
        <f t="shared" si="338"/>
        <v>0</v>
      </c>
      <c r="I1595" s="6">
        <f t="shared" si="343"/>
        <v>20.392857142857142</v>
      </c>
      <c r="J1595" s="6">
        <f t="shared" si="344"/>
        <v>15.582142857142831</v>
      </c>
      <c r="K1595" s="4">
        <f t="shared" si="345"/>
        <v>1.3087325234930116</v>
      </c>
      <c r="L1595">
        <f t="shared" si="346"/>
        <v>56.686190807108154</v>
      </c>
      <c r="M1595" s="14" t="str">
        <f t="shared" si="339"/>
        <v/>
      </c>
      <c r="N1595" s="7">
        <f t="shared" si="340"/>
        <v>0</v>
      </c>
      <c r="O1595" s="7">
        <f t="shared" si="347"/>
        <v>0</v>
      </c>
      <c r="P1595" s="7">
        <f t="shared" si="348"/>
        <v>-1</v>
      </c>
      <c r="Q1595" s="10" t="e">
        <f t="shared" si="341"/>
        <v>#N/A</v>
      </c>
      <c r="R1595" s="10" t="e">
        <f t="shared" si="342"/>
        <v>#N/A</v>
      </c>
      <c r="S1595" s="7">
        <f t="shared" si="349"/>
        <v>2352.0500000000002</v>
      </c>
      <c r="T1595" s="7">
        <f t="shared" si="350"/>
        <v>0</v>
      </c>
    </row>
    <row r="1596" spans="1:20" x14ac:dyDescent="0.25">
      <c r="A1596" s="1">
        <v>43510</v>
      </c>
      <c r="B1596">
        <v>2600</v>
      </c>
      <c r="C1596">
        <v>2654.3</v>
      </c>
      <c r="D1596">
        <v>2600</v>
      </c>
      <c r="E1596">
        <v>2650.15</v>
      </c>
      <c r="F1596">
        <v>704378</v>
      </c>
      <c r="G1596" s="4">
        <f t="shared" si="337"/>
        <v>16.599999999999909</v>
      </c>
      <c r="H1596" s="4">
        <f t="shared" si="338"/>
        <v>0</v>
      </c>
      <c r="I1596" s="6">
        <f t="shared" si="343"/>
        <v>21.578571428571422</v>
      </c>
      <c r="J1596" s="6">
        <f t="shared" si="344"/>
        <v>12.524999999999993</v>
      </c>
      <c r="K1596" s="4">
        <f t="shared" si="345"/>
        <v>1.72284003421728</v>
      </c>
      <c r="L1596">
        <f t="shared" si="346"/>
        <v>63.273641218975818</v>
      </c>
      <c r="M1596" s="14" t="str">
        <f t="shared" si="339"/>
        <v/>
      </c>
      <c r="N1596" s="7">
        <f t="shared" si="340"/>
        <v>0</v>
      </c>
      <c r="O1596" s="7">
        <f t="shared" si="347"/>
        <v>0</v>
      </c>
      <c r="P1596" s="7">
        <f t="shared" si="348"/>
        <v>-1</v>
      </c>
      <c r="Q1596" s="10" t="e">
        <f t="shared" si="341"/>
        <v>#N/A</v>
      </c>
      <c r="R1596" s="10" t="e">
        <f t="shared" si="342"/>
        <v>#N/A</v>
      </c>
      <c r="S1596" s="7">
        <f t="shared" si="349"/>
        <v>2352.0500000000002</v>
      </c>
      <c r="T1596" s="7">
        <f t="shared" si="350"/>
        <v>0</v>
      </c>
    </row>
    <row r="1597" spans="1:20" x14ac:dyDescent="0.25">
      <c r="A1597" s="1">
        <v>43511</v>
      </c>
      <c r="B1597">
        <v>2651.4</v>
      </c>
      <c r="C1597">
        <v>2658</v>
      </c>
      <c r="D1597">
        <v>2620.5</v>
      </c>
      <c r="E1597">
        <v>2629.55</v>
      </c>
      <c r="F1597">
        <v>777461</v>
      </c>
      <c r="G1597" s="4">
        <f t="shared" si="337"/>
        <v>0</v>
      </c>
      <c r="H1597" s="4">
        <f t="shared" si="338"/>
        <v>20.599999999999909</v>
      </c>
      <c r="I1597" s="6">
        <f t="shared" si="343"/>
        <v>19.596428571428564</v>
      </c>
      <c r="J1597" s="6">
        <f t="shared" si="344"/>
        <v>13.996428571428558</v>
      </c>
      <c r="K1597" s="4">
        <f t="shared" si="345"/>
        <v>1.40010206685379</v>
      </c>
      <c r="L1597">
        <f t="shared" si="346"/>
        <v>58.335105251966844</v>
      </c>
      <c r="M1597" s="14" t="str">
        <f t="shared" si="339"/>
        <v/>
      </c>
      <c r="N1597" s="7">
        <f t="shared" si="340"/>
        <v>0</v>
      </c>
      <c r="O1597" s="7">
        <f t="shared" si="347"/>
        <v>0</v>
      </c>
      <c r="P1597" s="7">
        <f t="shared" si="348"/>
        <v>-1</v>
      </c>
      <c r="Q1597" s="10" t="e">
        <f t="shared" si="341"/>
        <v>#N/A</v>
      </c>
      <c r="R1597" s="10" t="e">
        <f t="shared" si="342"/>
        <v>#N/A</v>
      </c>
      <c r="S1597" s="7">
        <f t="shared" si="349"/>
        <v>2352.0500000000002</v>
      </c>
      <c r="T1597" s="7">
        <f t="shared" si="350"/>
        <v>0</v>
      </c>
    </row>
    <row r="1598" spans="1:20" x14ac:dyDescent="0.25">
      <c r="A1598" s="1">
        <v>43514</v>
      </c>
      <c r="B1598">
        <v>2620.5</v>
      </c>
      <c r="C1598">
        <v>2639</v>
      </c>
      <c r="D1598">
        <v>2603.1999999999998</v>
      </c>
      <c r="E1598">
        <v>2612.5</v>
      </c>
      <c r="F1598">
        <v>661013</v>
      </c>
      <c r="G1598" s="4">
        <f t="shared" si="337"/>
        <v>0</v>
      </c>
      <c r="H1598" s="4">
        <f t="shared" si="338"/>
        <v>17.050000000000182</v>
      </c>
      <c r="I1598" s="6">
        <f t="shared" si="343"/>
        <v>18.235714285714298</v>
      </c>
      <c r="J1598" s="6">
        <f t="shared" si="344"/>
        <v>15.214285714285714</v>
      </c>
      <c r="K1598" s="4">
        <f t="shared" si="345"/>
        <v>1.1985915492957755</v>
      </c>
      <c r="L1598">
        <f t="shared" si="346"/>
        <v>54.516335682254983</v>
      </c>
      <c r="M1598" s="14" t="str">
        <f t="shared" si="339"/>
        <v/>
      </c>
      <c r="N1598" s="7">
        <f t="shared" si="340"/>
        <v>0</v>
      </c>
      <c r="O1598" s="7">
        <f t="shared" si="347"/>
        <v>0</v>
      </c>
      <c r="P1598" s="7">
        <f t="shared" si="348"/>
        <v>-1</v>
      </c>
      <c r="Q1598" s="10" t="e">
        <f t="shared" si="341"/>
        <v>#N/A</v>
      </c>
      <c r="R1598" s="10" t="e">
        <f t="shared" si="342"/>
        <v>#N/A</v>
      </c>
      <c r="S1598" s="7">
        <f t="shared" si="349"/>
        <v>2352.0500000000002</v>
      </c>
      <c r="T1598" s="7">
        <f t="shared" si="350"/>
        <v>0</v>
      </c>
    </row>
    <row r="1599" spans="1:20" x14ac:dyDescent="0.25">
      <c r="A1599" s="1">
        <v>43515</v>
      </c>
      <c r="B1599">
        <v>2614</v>
      </c>
      <c r="C1599">
        <v>2639</v>
      </c>
      <c r="D1599">
        <v>2613</v>
      </c>
      <c r="E1599">
        <v>2631.15</v>
      </c>
      <c r="F1599">
        <v>601097</v>
      </c>
      <c r="G1599" s="4">
        <f t="shared" si="337"/>
        <v>18.650000000000091</v>
      </c>
      <c r="H1599" s="4">
        <f t="shared" si="338"/>
        <v>0</v>
      </c>
      <c r="I1599" s="6">
        <f t="shared" si="343"/>
        <v>19.567857142857161</v>
      </c>
      <c r="J1599" s="6">
        <f t="shared" si="344"/>
        <v>13.850000000000007</v>
      </c>
      <c r="K1599" s="4">
        <f t="shared" si="345"/>
        <v>1.4128416709644152</v>
      </c>
      <c r="L1599">
        <f t="shared" si="346"/>
        <v>58.555092444159456</v>
      </c>
      <c r="M1599" s="14" t="str">
        <f t="shared" si="339"/>
        <v/>
      </c>
      <c r="N1599" s="7">
        <f t="shared" si="340"/>
        <v>0</v>
      </c>
      <c r="O1599" s="7">
        <f t="shared" si="347"/>
        <v>0</v>
      </c>
      <c r="P1599" s="7">
        <f t="shared" si="348"/>
        <v>-1</v>
      </c>
      <c r="Q1599" s="10" t="e">
        <f t="shared" si="341"/>
        <v>#N/A</v>
      </c>
      <c r="R1599" s="10" t="e">
        <f t="shared" si="342"/>
        <v>#N/A</v>
      </c>
      <c r="S1599" s="7">
        <f t="shared" si="349"/>
        <v>2352.0500000000002</v>
      </c>
      <c r="T1599" s="7">
        <f t="shared" si="350"/>
        <v>0</v>
      </c>
    </row>
    <row r="1600" spans="1:20" x14ac:dyDescent="0.25">
      <c r="A1600" s="1">
        <v>43516</v>
      </c>
      <c r="B1600">
        <v>2617.25</v>
      </c>
      <c r="C1600">
        <v>2628.55</v>
      </c>
      <c r="D1600">
        <v>2605.5</v>
      </c>
      <c r="E1600">
        <v>2613.1</v>
      </c>
      <c r="F1600">
        <v>469133</v>
      </c>
      <c r="G1600" s="4">
        <f t="shared" si="337"/>
        <v>0</v>
      </c>
      <c r="H1600" s="4">
        <f t="shared" si="338"/>
        <v>18.050000000000182</v>
      </c>
      <c r="I1600" s="6">
        <f t="shared" si="343"/>
        <v>19.150000000000027</v>
      </c>
      <c r="J1600" s="6">
        <f t="shared" si="344"/>
        <v>15.139285714285734</v>
      </c>
      <c r="K1600" s="4">
        <f t="shared" si="345"/>
        <v>1.2649209719273415</v>
      </c>
      <c r="L1600">
        <f t="shared" si="346"/>
        <v>55.848349130298928</v>
      </c>
      <c r="M1600" s="14" t="str">
        <f t="shared" si="339"/>
        <v/>
      </c>
      <c r="N1600" s="7">
        <f t="shared" si="340"/>
        <v>0</v>
      </c>
      <c r="O1600" s="7">
        <f t="shared" si="347"/>
        <v>0</v>
      </c>
      <c r="P1600" s="7">
        <f t="shared" si="348"/>
        <v>-1</v>
      </c>
      <c r="Q1600" s="10" t="e">
        <f t="shared" si="341"/>
        <v>#N/A</v>
      </c>
      <c r="R1600" s="10" t="e">
        <f t="shared" si="342"/>
        <v>#N/A</v>
      </c>
      <c r="S1600" s="7">
        <f t="shared" si="349"/>
        <v>2352.0500000000002</v>
      </c>
      <c r="T1600" s="7">
        <f t="shared" si="350"/>
        <v>0</v>
      </c>
    </row>
    <row r="1601" spans="1:20" x14ac:dyDescent="0.25">
      <c r="A1601" s="1">
        <v>43517</v>
      </c>
      <c r="B1601">
        <v>2622.4</v>
      </c>
      <c r="C1601">
        <v>2622.4</v>
      </c>
      <c r="D1601">
        <v>2555.1999999999998</v>
      </c>
      <c r="E1601">
        <v>2577.25</v>
      </c>
      <c r="F1601">
        <v>781069</v>
      </c>
      <c r="G1601" s="4">
        <f t="shared" si="337"/>
        <v>0</v>
      </c>
      <c r="H1601" s="4">
        <f t="shared" si="338"/>
        <v>35.849999999999909</v>
      </c>
      <c r="I1601" s="6">
        <f t="shared" si="343"/>
        <v>19.150000000000027</v>
      </c>
      <c r="J1601" s="6">
        <f t="shared" si="344"/>
        <v>15.725000000000039</v>
      </c>
      <c r="K1601" s="4">
        <f t="shared" si="345"/>
        <v>1.2178060413354519</v>
      </c>
      <c r="L1601">
        <f t="shared" si="346"/>
        <v>54.910394265232952</v>
      </c>
      <c r="M1601" s="14" t="str">
        <f t="shared" si="339"/>
        <v/>
      </c>
      <c r="N1601" s="7">
        <f t="shared" si="340"/>
        <v>0</v>
      </c>
      <c r="O1601" s="7">
        <f t="shared" si="347"/>
        <v>0</v>
      </c>
      <c r="P1601" s="7">
        <f t="shared" si="348"/>
        <v>-1</v>
      </c>
      <c r="Q1601" s="10" t="e">
        <f t="shared" si="341"/>
        <v>#N/A</v>
      </c>
      <c r="R1601" s="10" t="e">
        <f t="shared" si="342"/>
        <v>#N/A</v>
      </c>
      <c r="S1601" s="7">
        <f t="shared" si="349"/>
        <v>2352.0500000000002</v>
      </c>
      <c r="T1601" s="7">
        <f t="shared" si="350"/>
        <v>0</v>
      </c>
    </row>
    <row r="1602" spans="1:20" x14ac:dyDescent="0.25">
      <c r="A1602" s="1">
        <v>43518</v>
      </c>
      <c r="B1602">
        <v>2566</v>
      </c>
      <c r="C1602">
        <v>2603.25</v>
      </c>
      <c r="D1602">
        <v>2553.1999999999998</v>
      </c>
      <c r="E1602">
        <v>2555.75</v>
      </c>
      <c r="F1602">
        <v>698416</v>
      </c>
      <c r="G1602" s="4">
        <f t="shared" si="337"/>
        <v>0</v>
      </c>
      <c r="H1602" s="4">
        <f t="shared" si="338"/>
        <v>21.5</v>
      </c>
      <c r="I1602" s="6">
        <f t="shared" si="343"/>
        <v>19.150000000000027</v>
      </c>
      <c r="J1602" s="6">
        <f t="shared" si="344"/>
        <v>14.557142857142869</v>
      </c>
      <c r="K1602" s="4">
        <f t="shared" si="345"/>
        <v>1.3155053974484796</v>
      </c>
      <c r="L1602">
        <f t="shared" si="346"/>
        <v>56.812884085611365</v>
      </c>
      <c r="M1602" s="14" t="str">
        <f t="shared" si="339"/>
        <v/>
      </c>
      <c r="N1602" s="7">
        <f t="shared" si="340"/>
        <v>0</v>
      </c>
      <c r="O1602" s="7">
        <f t="shared" si="347"/>
        <v>0</v>
      </c>
      <c r="P1602" s="7">
        <f t="shared" si="348"/>
        <v>-1</v>
      </c>
      <c r="Q1602" s="10" t="e">
        <f t="shared" si="341"/>
        <v>#N/A</v>
      </c>
      <c r="R1602" s="10" t="e">
        <f t="shared" si="342"/>
        <v>#N/A</v>
      </c>
      <c r="S1602" s="7">
        <f t="shared" si="349"/>
        <v>2352.0500000000002</v>
      </c>
      <c r="T1602" s="7">
        <f t="shared" si="350"/>
        <v>0</v>
      </c>
    </row>
    <row r="1603" spans="1:20" x14ac:dyDescent="0.25">
      <c r="A1603" s="1">
        <v>43521</v>
      </c>
      <c r="B1603">
        <v>2540</v>
      </c>
      <c r="C1603">
        <v>2553.35</v>
      </c>
      <c r="D1603">
        <v>2518</v>
      </c>
      <c r="E1603">
        <v>2547</v>
      </c>
      <c r="F1603">
        <v>514989</v>
      </c>
      <c r="G1603" s="4">
        <f t="shared" si="337"/>
        <v>0</v>
      </c>
      <c r="H1603" s="4">
        <f t="shared" si="338"/>
        <v>8.75</v>
      </c>
      <c r="I1603" s="6">
        <f t="shared" si="343"/>
        <v>19.150000000000027</v>
      </c>
      <c r="J1603" s="6">
        <f t="shared" si="344"/>
        <v>13.485714285714298</v>
      </c>
      <c r="K1603" s="4">
        <f t="shared" si="345"/>
        <v>1.4200211864406787</v>
      </c>
      <c r="L1603">
        <f t="shared" si="346"/>
        <v>58.678047712847459</v>
      </c>
      <c r="M1603" s="14" t="str">
        <f t="shared" si="339"/>
        <v/>
      </c>
      <c r="N1603" s="7">
        <f t="shared" si="340"/>
        <v>0</v>
      </c>
      <c r="O1603" s="7">
        <f t="shared" si="347"/>
        <v>0</v>
      </c>
      <c r="P1603" s="7">
        <f t="shared" si="348"/>
        <v>-1</v>
      </c>
      <c r="Q1603" s="10" t="e">
        <f t="shared" si="341"/>
        <v>#N/A</v>
      </c>
      <c r="R1603" s="10" t="e">
        <f t="shared" si="342"/>
        <v>#N/A</v>
      </c>
      <c r="S1603" s="7">
        <f t="shared" si="349"/>
        <v>2352.0500000000002</v>
      </c>
      <c r="T1603" s="7">
        <f t="shared" si="350"/>
        <v>0</v>
      </c>
    </row>
    <row r="1604" spans="1:20" x14ac:dyDescent="0.25">
      <c r="A1604" s="1">
        <v>43522</v>
      </c>
      <c r="B1604">
        <v>2558.9499999999998</v>
      </c>
      <c r="C1604">
        <v>2558.9499999999998</v>
      </c>
      <c r="D1604">
        <v>2518.25</v>
      </c>
      <c r="E1604">
        <v>2534.85</v>
      </c>
      <c r="F1604">
        <v>488785</v>
      </c>
      <c r="G1604" s="4">
        <f t="shared" ref="G1604:G1667" si="351">IF(E1604&gt;E1603,E1604-E1603,0)</f>
        <v>0</v>
      </c>
      <c r="H1604" s="4">
        <f t="shared" ref="H1604:H1667" si="352">IF(E1604&lt;E1603,E1603-E1604,0)</f>
        <v>12.150000000000091</v>
      </c>
      <c r="I1604" s="6">
        <f t="shared" si="343"/>
        <v>14.953571428571454</v>
      </c>
      <c r="J1604" s="6">
        <f t="shared" si="344"/>
        <v>14.353571428571447</v>
      </c>
      <c r="K1604" s="4">
        <f t="shared" si="345"/>
        <v>1.0418014431450613</v>
      </c>
      <c r="L1604">
        <f t="shared" si="346"/>
        <v>51.023641238118465</v>
      </c>
      <c r="M1604" s="14" t="str">
        <f t="shared" si="339"/>
        <v/>
      </c>
      <c r="N1604" s="7">
        <f t="shared" si="340"/>
        <v>0</v>
      </c>
      <c r="O1604" s="7">
        <f t="shared" si="347"/>
        <v>0</v>
      </c>
      <c r="P1604" s="7">
        <f t="shared" si="348"/>
        <v>-1</v>
      </c>
      <c r="Q1604" s="10" t="e">
        <f t="shared" si="341"/>
        <v>#N/A</v>
      </c>
      <c r="R1604" s="10" t="e">
        <f t="shared" si="342"/>
        <v>#N/A</v>
      </c>
      <c r="S1604" s="7">
        <f t="shared" si="349"/>
        <v>2352.0500000000002</v>
      </c>
      <c r="T1604" s="7">
        <f t="shared" si="350"/>
        <v>0</v>
      </c>
    </row>
    <row r="1605" spans="1:20" x14ac:dyDescent="0.25">
      <c r="A1605" s="1">
        <v>43523</v>
      </c>
      <c r="B1605">
        <v>2530</v>
      </c>
      <c r="C1605">
        <v>2564.9</v>
      </c>
      <c r="D1605">
        <v>2522</v>
      </c>
      <c r="E1605">
        <v>2556.85</v>
      </c>
      <c r="F1605">
        <v>635422</v>
      </c>
      <c r="G1605" s="4">
        <f t="shared" si="351"/>
        <v>22</v>
      </c>
      <c r="H1605" s="4">
        <f t="shared" si="352"/>
        <v>0</v>
      </c>
      <c r="I1605" s="6">
        <f t="shared" si="343"/>
        <v>14.935714285714312</v>
      </c>
      <c r="J1605" s="6">
        <f t="shared" si="344"/>
        <v>14.353571428571447</v>
      </c>
      <c r="K1605" s="4">
        <f t="shared" si="345"/>
        <v>1.0405573525752678</v>
      </c>
      <c r="L1605">
        <f t="shared" si="346"/>
        <v>50.993781246189499</v>
      </c>
      <c r="M1605" s="14" t="str">
        <f t="shared" si="339"/>
        <v/>
      </c>
      <c r="N1605" s="7">
        <f t="shared" si="340"/>
        <v>0</v>
      </c>
      <c r="O1605" s="7">
        <f t="shared" si="347"/>
        <v>0</v>
      </c>
      <c r="P1605" s="7">
        <f t="shared" si="348"/>
        <v>-1</v>
      </c>
      <c r="Q1605" s="10" t="e">
        <f t="shared" si="341"/>
        <v>#N/A</v>
      </c>
      <c r="R1605" s="10" t="e">
        <f t="shared" si="342"/>
        <v>#N/A</v>
      </c>
      <c r="S1605" s="7">
        <f t="shared" si="349"/>
        <v>2352.0500000000002</v>
      </c>
      <c r="T1605" s="7">
        <f t="shared" si="350"/>
        <v>0</v>
      </c>
    </row>
    <row r="1606" spans="1:20" x14ac:dyDescent="0.25">
      <c r="A1606" s="1">
        <v>43524</v>
      </c>
      <c r="B1606">
        <v>2545.5500000000002</v>
      </c>
      <c r="C1606">
        <v>2564.6999999999998</v>
      </c>
      <c r="D1606">
        <v>2516.4499999999998</v>
      </c>
      <c r="E1606">
        <v>2558.3000000000002</v>
      </c>
      <c r="F1606">
        <v>572535</v>
      </c>
      <c r="G1606" s="4">
        <f t="shared" si="351"/>
        <v>1.4500000000002728</v>
      </c>
      <c r="H1606" s="4">
        <f t="shared" si="352"/>
        <v>0</v>
      </c>
      <c r="I1606" s="6">
        <f t="shared" si="343"/>
        <v>13.328571428571454</v>
      </c>
      <c r="J1606" s="6">
        <f t="shared" si="344"/>
        <v>14.353571428571447</v>
      </c>
      <c r="K1606" s="4">
        <f t="shared" si="345"/>
        <v>0.9285892012938548</v>
      </c>
      <c r="L1606">
        <f t="shared" si="346"/>
        <v>48.148625983744047</v>
      </c>
      <c r="M1606" s="14" t="str">
        <f t="shared" si="339"/>
        <v/>
      </c>
      <c r="N1606" s="7">
        <f t="shared" si="340"/>
        <v>0</v>
      </c>
      <c r="O1606" s="7">
        <f t="shared" si="347"/>
        <v>0</v>
      </c>
      <c r="P1606" s="7">
        <f t="shared" si="348"/>
        <v>-1</v>
      </c>
      <c r="Q1606" s="10" t="e">
        <f t="shared" si="341"/>
        <v>#N/A</v>
      </c>
      <c r="R1606" s="10" t="e">
        <f t="shared" si="342"/>
        <v>#N/A</v>
      </c>
      <c r="S1606" s="7">
        <f t="shared" si="349"/>
        <v>2352.0500000000002</v>
      </c>
      <c r="T1606" s="7">
        <f t="shared" si="350"/>
        <v>0</v>
      </c>
    </row>
    <row r="1607" spans="1:20" x14ac:dyDescent="0.25">
      <c r="A1607" s="1">
        <v>43525</v>
      </c>
      <c r="B1607">
        <v>2559</v>
      </c>
      <c r="C1607">
        <v>2610</v>
      </c>
      <c r="D1607">
        <v>2559</v>
      </c>
      <c r="E1607">
        <v>2602.6</v>
      </c>
      <c r="F1607">
        <v>939494</v>
      </c>
      <c r="G1607" s="4">
        <f t="shared" si="351"/>
        <v>44.299999999999727</v>
      </c>
      <c r="H1607" s="4">
        <f t="shared" si="352"/>
        <v>0</v>
      </c>
      <c r="I1607" s="6">
        <f t="shared" si="343"/>
        <v>11.93928571428572</v>
      </c>
      <c r="J1607" s="6">
        <f t="shared" si="344"/>
        <v>14.353571428571447</v>
      </c>
      <c r="K1607" s="4">
        <f t="shared" si="345"/>
        <v>0.83179895496392076</v>
      </c>
      <c r="L1607">
        <f t="shared" si="346"/>
        <v>45.408856289051876</v>
      </c>
      <c r="M1607" s="14" t="str">
        <f t="shared" si="339"/>
        <v/>
      </c>
      <c r="N1607" s="7">
        <f t="shared" si="340"/>
        <v>0</v>
      </c>
      <c r="O1607" s="7">
        <f t="shared" si="347"/>
        <v>0</v>
      </c>
      <c r="P1607" s="7">
        <f t="shared" si="348"/>
        <v>-1</v>
      </c>
      <c r="Q1607" s="10" t="e">
        <f t="shared" si="341"/>
        <v>#N/A</v>
      </c>
      <c r="R1607" s="10" t="e">
        <f t="shared" si="342"/>
        <v>#N/A</v>
      </c>
      <c r="S1607" s="7">
        <f t="shared" si="349"/>
        <v>2352.0500000000002</v>
      </c>
      <c r="T1607" s="7">
        <f t="shared" si="350"/>
        <v>0</v>
      </c>
    </row>
    <row r="1608" spans="1:20" x14ac:dyDescent="0.25">
      <c r="A1608" s="1">
        <v>43528</v>
      </c>
      <c r="B1608">
        <v>2602.6</v>
      </c>
      <c r="C1608">
        <v>2668</v>
      </c>
      <c r="D1608">
        <v>2591.8000000000002</v>
      </c>
      <c r="E1608">
        <v>2659.3</v>
      </c>
      <c r="F1608">
        <v>936419</v>
      </c>
      <c r="G1608" s="4">
        <f t="shared" si="351"/>
        <v>56.700000000000273</v>
      </c>
      <c r="H1608" s="4">
        <f t="shared" si="352"/>
        <v>0</v>
      </c>
      <c r="I1608" s="6">
        <f t="shared" si="343"/>
        <v>15.989285714285741</v>
      </c>
      <c r="J1608" s="6">
        <f t="shared" si="344"/>
        <v>9.5678571428571626</v>
      </c>
      <c r="K1608" s="4">
        <f t="shared" si="345"/>
        <v>1.6711459499813357</v>
      </c>
      <c r="L1608">
        <f t="shared" si="346"/>
        <v>62.562884292901053</v>
      </c>
      <c r="M1608" s="14" t="str">
        <f t="shared" si="339"/>
        <v/>
      </c>
      <c r="N1608" s="7">
        <f t="shared" si="340"/>
        <v>0</v>
      </c>
      <c r="O1608" s="7">
        <f t="shared" si="347"/>
        <v>0</v>
      </c>
      <c r="P1608" s="7">
        <f t="shared" si="348"/>
        <v>-1</v>
      </c>
      <c r="Q1608" s="10" t="e">
        <f t="shared" si="341"/>
        <v>#N/A</v>
      </c>
      <c r="R1608" s="10" t="e">
        <f t="shared" si="342"/>
        <v>#N/A</v>
      </c>
      <c r="S1608" s="7">
        <f t="shared" si="349"/>
        <v>2352.0500000000002</v>
      </c>
      <c r="T1608" s="7">
        <f t="shared" si="350"/>
        <v>0</v>
      </c>
    </row>
    <row r="1609" spans="1:20" x14ac:dyDescent="0.25">
      <c r="A1609" s="1">
        <v>43529</v>
      </c>
      <c r="B1609">
        <v>2663.5</v>
      </c>
      <c r="C1609">
        <v>2665</v>
      </c>
      <c r="D1609">
        <v>2641.4</v>
      </c>
      <c r="E1609">
        <v>2651.2</v>
      </c>
      <c r="F1609">
        <v>513845</v>
      </c>
      <c r="G1609" s="4">
        <f t="shared" si="351"/>
        <v>0</v>
      </c>
      <c r="H1609" s="4">
        <f t="shared" si="352"/>
        <v>8.1000000000003638</v>
      </c>
      <c r="I1609" s="6">
        <f t="shared" si="343"/>
        <v>11.407142857142876</v>
      </c>
      <c r="J1609" s="6">
        <f t="shared" si="344"/>
        <v>10.146428571428617</v>
      </c>
      <c r="K1609" s="4">
        <f t="shared" si="345"/>
        <v>1.1242520239352309</v>
      </c>
      <c r="L1609">
        <f t="shared" si="346"/>
        <v>52.92460646230316</v>
      </c>
      <c r="M1609" s="14" t="str">
        <f t="shared" si="339"/>
        <v/>
      </c>
      <c r="N1609" s="7">
        <f t="shared" si="340"/>
        <v>0</v>
      </c>
      <c r="O1609" s="7">
        <f t="shared" si="347"/>
        <v>0</v>
      </c>
      <c r="P1609" s="7">
        <f t="shared" si="348"/>
        <v>-1</v>
      </c>
      <c r="Q1609" s="10" t="e">
        <f t="shared" si="341"/>
        <v>#N/A</v>
      </c>
      <c r="R1609" s="10" t="e">
        <f t="shared" si="342"/>
        <v>#N/A</v>
      </c>
      <c r="S1609" s="7">
        <f t="shared" si="349"/>
        <v>2352.0500000000002</v>
      </c>
      <c r="T1609" s="7">
        <f t="shared" si="350"/>
        <v>0</v>
      </c>
    </row>
    <row r="1610" spans="1:20" x14ac:dyDescent="0.25">
      <c r="A1610" s="1">
        <v>43530</v>
      </c>
      <c r="B1610">
        <v>2650</v>
      </c>
      <c r="C1610">
        <v>2677.7</v>
      </c>
      <c r="D1610">
        <v>2631.75</v>
      </c>
      <c r="E1610">
        <v>2667.65</v>
      </c>
      <c r="F1610">
        <v>880856</v>
      </c>
      <c r="G1610" s="4">
        <f t="shared" si="351"/>
        <v>16.450000000000273</v>
      </c>
      <c r="H1610" s="4">
        <f t="shared" si="352"/>
        <v>0</v>
      </c>
      <c r="I1610" s="6">
        <f t="shared" si="343"/>
        <v>11.396428571428617</v>
      </c>
      <c r="J1610" s="6">
        <f t="shared" si="344"/>
        <v>10.146428571428617</v>
      </c>
      <c r="K1610" s="4">
        <f t="shared" si="345"/>
        <v>1.1231960577261522</v>
      </c>
      <c r="L1610">
        <f t="shared" si="346"/>
        <v>52.901193633952239</v>
      </c>
      <c r="M1610" s="14" t="str">
        <f t="shared" si="339"/>
        <v/>
      </c>
      <c r="N1610" s="7">
        <f t="shared" si="340"/>
        <v>0</v>
      </c>
      <c r="O1610" s="7">
        <f t="shared" si="347"/>
        <v>0</v>
      </c>
      <c r="P1610" s="7">
        <f t="shared" si="348"/>
        <v>-1</v>
      </c>
      <c r="Q1610" s="10" t="e">
        <f t="shared" si="341"/>
        <v>#N/A</v>
      </c>
      <c r="R1610" s="10" t="e">
        <f t="shared" si="342"/>
        <v>#N/A</v>
      </c>
      <c r="S1610" s="7">
        <f t="shared" si="349"/>
        <v>2352.0500000000002</v>
      </c>
      <c r="T1610" s="7">
        <f t="shared" si="350"/>
        <v>0</v>
      </c>
    </row>
    <row r="1611" spans="1:20" x14ac:dyDescent="0.25">
      <c r="A1611" s="1">
        <v>43531</v>
      </c>
      <c r="B1611">
        <v>2655</v>
      </c>
      <c r="C1611">
        <v>2659.5</v>
      </c>
      <c r="D1611">
        <v>2625.3</v>
      </c>
      <c r="E1611">
        <v>2645.35</v>
      </c>
      <c r="F1611">
        <v>698507</v>
      </c>
      <c r="G1611" s="4">
        <f t="shared" si="351"/>
        <v>0</v>
      </c>
      <c r="H1611" s="4">
        <f t="shared" si="352"/>
        <v>22.300000000000182</v>
      </c>
      <c r="I1611" s="6">
        <f t="shared" si="343"/>
        <v>11.396428571428617</v>
      </c>
      <c r="J1611" s="6">
        <f t="shared" si="344"/>
        <v>10.267857142857208</v>
      </c>
      <c r="K1611" s="4">
        <f t="shared" si="345"/>
        <v>1.1099130434782583</v>
      </c>
      <c r="L1611">
        <f t="shared" si="346"/>
        <v>52.604681833168414</v>
      </c>
      <c r="M1611" s="14" t="str">
        <f t="shared" si="339"/>
        <v/>
      </c>
      <c r="N1611" s="7">
        <f t="shared" si="340"/>
        <v>0</v>
      </c>
      <c r="O1611" s="7">
        <f t="shared" si="347"/>
        <v>0</v>
      </c>
      <c r="P1611" s="7">
        <f t="shared" si="348"/>
        <v>-1</v>
      </c>
      <c r="Q1611" s="10" t="e">
        <f t="shared" si="341"/>
        <v>#N/A</v>
      </c>
      <c r="R1611" s="10" t="e">
        <f t="shared" si="342"/>
        <v>#N/A</v>
      </c>
      <c r="S1611" s="7">
        <f t="shared" si="349"/>
        <v>2352.0500000000002</v>
      </c>
      <c r="T1611" s="7">
        <f t="shared" si="350"/>
        <v>0</v>
      </c>
    </row>
    <row r="1612" spans="1:20" x14ac:dyDescent="0.25">
      <c r="A1612" s="1">
        <v>43532</v>
      </c>
      <c r="B1612">
        <v>2565.15</v>
      </c>
      <c r="C1612">
        <v>2593.1999999999998</v>
      </c>
      <c r="D1612">
        <v>2514.15</v>
      </c>
      <c r="E1612">
        <v>2573.9499999999998</v>
      </c>
      <c r="F1612">
        <v>1883293</v>
      </c>
      <c r="G1612" s="4">
        <f t="shared" si="351"/>
        <v>0</v>
      </c>
      <c r="H1612" s="4">
        <f t="shared" si="352"/>
        <v>71.400000000000091</v>
      </c>
      <c r="I1612" s="6">
        <f t="shared" si="343"/>
        <v>11.396428571428617</v>
      </c>
      <c r="J1612" s="6">
        <f t="shared" si="344"/>
        <v>14.150000000000059</v>
      </c>
      <c r="K1612" s="4">
        <f t="shared" si="345"/>
        <v>0.80540131246845015</v>
      </c>
      <c r="L1612">
        <f t="shared" si="346"/>
        <v>44.610652872920447</v>
      </c>
      <c r="M1612" s="14" t="str">
        <f t="shared" si="339"/>
        <v/>
      </c>
      <c r="N1612" s="7">
        <f t="shared" si="340"/>
        <v>0</v>
      </c>
      <c r="O1612" s="7">
        <f t="shared" si="347"/>
        <v>0</v>
      </c>
      <c r="P1612" s="7">
        <f t="shared" si="348"/>
        <v>-1</v>
      </c>
      <c r="Q1612" s="10" t="e">
        <f t="shared" si="341"/>
        <v>#N/A</v>
      </c>
      <c r="R1612" s="10" t="e">
        <f t="shared" si="342"/>
        <v>#N/A</v>
      </c>
      <c r="S1612" s="7">
        <f t="shared" si="349"/>
        <v>2352.0500000000002</v>
      </c>
      <c r="T1612" s="7">
        <f t="shared" si="350"/>
        <v>0</v>
      </c>
    </row>
    <row r="1613" spans="1:20" x14ac:dyDescent="0.25">
      <c r="A1613" s="1">
        <v>43535</v>
      </c>
      <c r="B1613">
        <v>2547</v>
      </c>
      <c r="C1613">
        <v>2547</v>
      </c>
      <c r="D1613">
        <v>2482.65</v>
      </c>
      <c r="E1613">
        <v>2495.85</v>
      </c>
      <c r="F1613">
        <v>2136283</v>
      </c>
      <c r="G1613" s="4">
        <f t="shared" si="351"/>
        <v>0</v>
      </c>
      <c r="H1613" s="4">
        <f t="shared" si="352"/>
        <v>78.099999999999909</v>
      </c>
      <c r="I1613" s="6">
        <f t="shared" si="343"/>
        <v>10.064285714285754</v>
      </c>
      <c r="J1613" s="6">
        <f t="shared" si="344"/>
        <v>19.728571428571481</v>
      </c>
      <c r="K1613" s="4">
        <f t="shared" si="345"/>
        <v>0.51013758146270882</v>
      </c>
      <c r="L1613">
        <f t="shared" si="346"/>
        <v>33.780867897386756</v>
      </c>
      <c r="M1613" s="14" t="str">
        <f t="shared" si="339"/>
        <v/>
      </c>
      <c r="N1613" s="7">
        <f t="shared" si="340"/>
        <v>0</v>
      </c>
      <c r="O1613" s="7">
        <f t="shared" si="347"/>
        <v>0</v>
      </c>
      <c r="P1613" s="7">
        <f t="shared" si="348"/>
        <v>-1</v>
      </c>
      <c r="Q1613" s="10" t="e">
        <f t="shared" si="341"/>
        <v>#N/A</v>
      </c>
      <c r="R1613" s="10" t="e">
        <f t="shared" si="342"/>
        <v>#N/A</v>
      </c>
      <c r="S1613" s="7">
        <f t="shared" si="349"/>
        <v>2352.0500000000002</v>
      </c>
      <c r="T1613" s="7">
        <f t="shared" si="350"/>
        <v>0</v>
      </c>
    </row>
    <row r="1614" spans="1:20" x14ac:dyDescent="0.25">
      <c r="A1614" s="1">
        <v>43536</v>
      </c>
      <c r="B1614">
        <v>2495.85</v>
      </c>
      <c r="C1614">
        <v>2502.9</v>
      </c>
      <c r="D1614">
        <v>2458.4</v>
      </c>
      <c r="E1614">
        <v>2463.9499999999998</v>
      </c>
      <c r="F1614">
        <v>2249762</v>
      </c>
      <c r="G1614" s="4">
        <f t="shared" si="351"/>
        <v>0</v>
      </c>
      <c r="H1614" s="4">
        <f t="shared" si="352"/>
        <v>31.900000000000091</v>
      </c>
      <c r="I1614" s="6">
        <f t="shared" si="343"/>
        <v>10.064285714285754</v>
      </c>
      <c r="J1614" s="6">
        <f t="shared" si="344"/>
        <v>20.717857142857188</v>
      </c>
      <c r="K1614" s="4">
        <f t="shared" si="345"/>
        <v>0.48577831408377953</v>
      </c>
      <c r="L1614">
        <f t="shared" si="346"/>
        <v>32.695208260819157</v>
      </c>
      <c r="M1614" s="14" t="str">
        <f t="shared" si="339"/>
        <v/>
      </c>
      <c r="N1614" s="7">
        <f t="shared" si="340"/>
        <v>0</v>
      </c>
      <c r="O1614" s="7">
        <f t="shared" si="347"/>
        <v>0</v>
      </c>
      <c r="P1614" s="7">
        <f t="shared" si="348"/>
        <v>-1</v>
      </c>
      <c r="Q1614" s="10" t="e">
        <f t="shared" si="341"/>
        <v>#N/A</v>
      </c>
      <c r="R1614" s="10" t="e">
        <f t="shared" si="342"/>
        <v>#N/A</v>
      </c>
      <c r="S1614" s="7">
        <f t="shared" si="349"/>
        <v>2352.0500000000002</v>
      </c>
      <c r="T1614" s="7">
        <f t="shared" si="350"/>
        <v>0</v>
      </c>
    </row>
    <row r="1615" spans="1:20" x14ac:dyDescent="0.25">
      <c r="A1615" s="1">
        <v>43537</v>
      </c>
      <c r="B1615">
        <v>2475</v>
      </c>
      <c r="C1615">
        <v>2512.5</v>
      </c>
      <c r="D1615">
        <v>2465.3000000000002</v>
      </c>
      <c r="E1615">
        <v>2502.9</v>
      </c>
      <c r="F1615">
        <v>1265632</v>
      </c>
      <c r="G1615" s="4">
        <f t="shared" si="351"/>
        <v>38.950000000000273</v>
      </c>
      <c r="H1615" s="4">
        <f t="shared" si="352"/>
        <v>0</v>
      </c>
      <c r="I1615" s="6">
        <f t="shared" si="343"/>
        <v>12.84642857142863</v>
      </c>
      <c r="J1615" s="6">
        <f t="shared" si="344"/>
        <v>18.157142857142908</v>
      </c>
      <c r="K1615" s="4">
        <f t="shared" si="345"/>
        <v>0.70751376868607518</v>
      </c>
      <c r="L1615">
        <f t="shared" si="346"/>
        <v>41.435318511692245</v>
      </c>
      <c r="M1615" s="14" t="str">
        <f t="shared" si="339"/>
        <v/>
      </c>
      <c r="N1615" s="7">
        <f t="shared" si="340"/>
        <v>0</v>
      </c>
      <c r="O1615" s="7">
        <f t="shared" si="347"/>
        <v>0</v>
      </c>
      <c r="P1615" s="7">
        <f t="shared" si="348"/>
        <v>-1</v>
      </c>
      <c r="Q1615" s="10" t="e">
        <f t="shared" si="341"/>
        <v>#N/A</v>
      </c>
      <c r="R1615" s="10" t="e">
        <f t="shared" si="342"/>
        <v>#N/A</v>
      </c>
      <c r="S1615" s="7">
        <f t="shared" si="349"/>
        <v>2352.0500000000002</v>
      </c>
      <c r="T1615" s="7">
        <f t="shared" si="350"/>
        <v>0</v>
      </c>
    </row>
    <row r="1616" spans="1:20" x14ac:dyDescent="0.25">
      <c r="A1616" s="1">
        <v>43538</v>
      </c>
      <c r="B1616">
        <v>2522</v>
      </c>
      <c r="C1616">
        <v>2562.9</v>
      </c>
      <c r="D1616">
        <v>2500.35</v>
      </c>
      <c r="E1616">
        <v>2553.1</v>
      </c>
      <c r="F1616">
        <v>2560906</v>
      </c>
      <c r="G1616" s="4">
        <f t="shared" si="351"/>
        <v>50.199999999999818</v>
      </c>
      <c r="H1616" s="4">
        <f t="shared" si="352"/>
        <v>0</v>
      </c>
      <c r="I1616" s="6">
        <f t="shared" si="343"/>
        <v>16.432142857142903</v>
      </c>
      <c r="J1616" s="6">
        <f t="shared" si="344"/>
        <v>16.621428571428623</v>
      </c>
      <c r="K1616" s="4">
        <f t="shared" si="345"/>
        <v>0.98861194671250507</v>
      </c>
      <c r="L1616">
        <f t="shared" si="346"/>
        <v>49.713668287412197</v>
      </c>
      <c r="M1616" s="14" t="str">
        <f t="shared" ref="M1616:M1679" si="353">IF(L1616&gt;RSI_Overbought,"OVERBOUGHT",IF(L1616&lt;RSI_Oversold,"OVERSOLD",""))</f>
        <v/>
      </c>
      <c r="N1616" s="7">
        <f t="shared" ref="N1616:N1679" si="354">IF(L1616&gt;RSI_Overbought,"SELL",IF(L1616&lt;RSI_Oversold,"BUY",0))</f>
        <v>0</v>
      </c>
      <c r="O1616" s="7">
        <f t="shared" si="347"/>
        <v>0</v>
      </c>
      <c r="P1616" s="7">
        <f t="shared" si="348"/>
        <v>-1</v>
      </c>
      <c r="Q1616" s="10" t="e">
        <f t="shared" ref="Q1616:Q1679" si="355">IF($O1616="BUY",$E1616,NA())</f>
        <v>#N/A</v>
      </c>
      <c r="R1616" s="10" t="e">
        <f t="shared" ref="R1616:R1679" si="356">IF($O1616="SELL",$E1616,NA())</f>
        <v>#N/A</v>
      </c>
      <c r="S1616" s="7">
        <f t="shared" si="349"/>
        <v>2352.0500000000002</v>
      </c>
      <c r="T1616" s="7">
        <f t="shared" si="350"/>
        <v>0</v>
      </c>
    </row>
    <row r="1617" spans="1:20" x14ac:dyDescent="0.25">
      <c r="A1617" s="1">
        <v>43539</v>
      </c>
      <c r="B1617">
        <v>2562</v>
      </c>
      <c r="C1617">
        <v>2564.6</v>
      </c>
      <c r="D1617">
        <v>2494.35</v>
      </c>
      <c r="E1617">
        <v>2500.85</v>
      </c>
      <c r="F1617">
        <v>1098648</v>
      </c>
      <c r="G1617" s="4">
        <f t="shared" si="351"/>
        <v>0</v>
      </c>
      <c r="H1617" s="4">
        <f t="shared" si="352"/>
        <v>52.25</v>
      </c>
      <c r="I1617" s="6">
        <f t="shared" ref="I1617:I1680" si="357">AVERAGE(G1604:G1617)</f>
        <v>16.432142857142903</v>
      </c>
      <c r="J1617" s="6">
        <f t="shared" ref="J1617:J1680" si="358">AVERAGE(H1604:H1617)</f>
        <v>19.728571428571481</v>
      </c>
      <c r="K1617" s="4">
        <f t="shared" ref="K1617:K1680" si="359">I1617/J1617</f>
        <v>0.83291093410572059</v>
      </c>
      <c r="L1617">
        <f t="shared" ref="L1617:L1680" si="360">100-(100/(K1617+1))</f>
        <v>45.441975308641979</v>
      </c>
      <c r="M1617" s="14" t="str">
        <f t="shared" si="353"/>
        <v/>
      </c>
      <c r="N1617" s="7">
        <f t="shared" si="354"/>
        <v>0</v>
      </c>
      <c r="O1617" s="7">
        <f t="shared" ref="O1617:O1680" si="361">IF(AND(N1617="BUY",P1616&lt;&gt;1),"BUY",IF(AND(N1617="SELL",P1616&lt;&gt;-1),"SELL",0))</f>
        <v>0</v>
      </c>
      <c r="P1617" s="7">
        <f t="shared" ref="P1617:P1680" si="362">IF(O1617="BUY",1,IF(O1617="SELL",-1,P1616))</f>
        <v>-1</v>
      </c>
      <c r="Q1617" s="10" t="e">
        <f t="shared" si="355"/>
        <v>#N/A</v>
      </c>
      <c r="R1617" s="10" t="e">
        <f t="shared" si="356"/>
        <v>#N/A</v>
      </c>
      <c r="S1617" s="7">
        <f t="shared" ref="S1617:S1680" si="363">IF(O1617&lt;&gt;0,E1617,S1616)</f>
        <v>2352.0500000000002</v>
      </c>
      <c r="T1617" s="7">
        <f t="shared" si="350"/>
        <v>0</v>
      </c>
    </row>
    <row r="1618" spans="1:20" x14ac:dyDescent="0.25">
      <c r="A1618" s="1">
        <v>43542</v>
      </c>
      <c r="B1618">
        <v>2516</v>
      </c>
      <c r="C1618">
        <v>2525.85</v>
      </c>
      <c r="D1618">
        <v>2482</v>
      </c>
      <c r="E1618">
        <v>2494.1999999999998</v>
      </c>
      <c r="F1618">
        <v>941742</v>
      </c>
      <c r="G1618" s="4">
        <f t="shared" si="351"/>
        <v>0</v>
      </c>
      <c r="H1618" s="4">
        <f t="shared" si="352"/>
        <v>6.6500000000000909</v>
      </c>
      <c r="I1618" s="6">
        <f t="shared" si="357"/>
        <v>16.432142857142903</v>
      </c>
      <c r="J1618" s="6">
        <f t="shared" si="358"/>
        <v>19.335714285714339</v>
      </c>
      <c r="K1618" s="4">
        <f t="shared" si="359"/>
        <v>0.84983376431473956</v>
      </c>
      <c r="L1618">
        <f t="shared" si="360"/>
        <v>45.941088367448828</v>
      </c>
      <c r="M1618" s="14" t="str">
        <f t="shared" si="353"/>
        <v/>
      </c>
      <c r="N1618" s="7">
        <f t="shared" si="354"/>
        <v>0</v>
      </c>
      <c r="O1618" s="7">
        <f t="shared" si="361"/>
        <v>0</v>
      </c>
      <c r="P1618" s="7">
        <f t="shared" si="362"/>
        <v>-1</v>
      </c>
      <c r="Q1618" s="10" t="e">
        <f t="shared" si="355"/>
        <v>#N/A</v>
      </c>
      <c r="R1618" s="10" t="e">
        <f t="shared" si="356"/>
        <v>#N/A</v>
      </c>
      <c r="S1618" s="7">
        <f t="shared" si="363"/>
        <v>2352.0500000000002</v>
      </c>
      <c r="T1618" s="7">
        <f t="shared" si="350"/>
        <v>0</v>
      </c>
    </row>
    <row r="1619" spans="1:20" x14ac:dyDescent="0.25">
      <c r="A1619" s="1">
        <v>43543</v>
      </c>
      <c r="B1619">
        <v>2494.1999999999998</v>
      </c>
      <c r="C1619">
        <v>2497.0500000000002</v>
      </c>
      <c r="D1619">
        <v>2477.15</v>
      </c>
      <c r="E1619">
        <v>2485.3000000000002</v>
      </c>
      <c r="F1619">
        <v>779874</v>
      </c>
      <c r="G1619" s="4">
        <f t="shared" si="351"/>
        <v>0</v>
      </c>
      <c r="H1619" s="4">
        <f t="shared" si="352"/>
        <v>8.8999999999996362</v>
      </c>
      <c r="I1619" s="6">
        <f t="shared" si="357"/>
        <v>14.860714285714332</v>
      </c>
      <c r="J1619" s="6">
        <f t="shared" si="358"/>
        <v>19.971428571428596</v>
      </c>
      <c r="K1619" s="4">
        <f t="shared" si="359"/>
        <v>0.74409871244635328</v>
      </c>
      <c r="L1619">
        <f t="shared" si="360"/>
        <v>42.6637957551523</v>
      </c>
      <c r="M1619" s="14" t="str">
        <f t="shared" si="353"/>
        <v/>
      </c>
      <c r="N1619" s="7">
        <f t="shared" si="354"/>
        <v>0</v>
      </c>
      <c r="O1619" s="7">
        <f t="shared" si="361"/>
        <v>0</v>
      </c>
      <c r="P1619" s="7">
        <f t="shared" si="362"/>
        <v>-1</v>
      </c>
      <c r="Q1619" s="10" t="e">
        <f t="shared" si="355"/>
        <v>#N/A</v>
      </c>
      <c r="R1619" s="10" t="e">
        <f t="shared" si="356"/>
        <v>#N/A</v>
      </c>
      <c r="S1619" s="7">
        <f t="shared" si="363"/>
        <v>2352.0500000000002</v>
      </c>
      <c r="T1619" s="7">
        <f t="shared" si="350"/>
        <v>0</v>
      </c>
    </row>
    <row r="1620" spans="1:20" x14ac:dyDescent="0.25">
      <c r="A1620" s="1">
        <v>43544</v>
      </c>
      <c r="B1620">
        <v>2487.6999999999998</v>
      </c>
      <c r="C1620">
        <v>2491.85</v>
      </c>
      <c r="D1620">
        <v>2425</v>
      </c>
      <c r="E1620">
        <v>2429.8000000000002</v>
      </c>
      <c r="F1620">
        <v>1658400</v>
      </c>
      <c r="G1620" s="4">
        <f t="shared" si="351"/>
        <v>0</v>
      </c>
      <c r="H1620" s="4">
        <f t="shared" si="352"/>
        <v>55.5</v>
      </c>
      <c r="I1620" s="6">
        <f t="shared" si="357"/>
        <v>14.757142857142883</v>
      </c>
      <c r="J1620" s="6">
        <f t="shared" si="358"/>
        <v>23.935714285714312</v>
      </c>
      <c r="K1620" s="4">
        <f t="shared" si="359"/>
        <v>0.61653237839450947</v>
      </c>
      <c r="L1620">
        <f t="shared" si="360"/>
        <v>38.139191434373281</v>
      </c>
      <c r="M1620" s="14" t="str">
        <f t="shared" si="353"/>
        <v/>
      </c>
      <c r="N1620" s="7">
        <f t="shared" si="354"/>
        <v>0</v>
      </c>
      <c r="O1620" s="7">
        <f t="shared" si="361"/>
        <v>0</v>
      </c>
      <c r="P1620" s="7">
        <f t="shared" si="362"/>
        <v>-1</v>
      </c>
      <c r="Q1620" s="10" t="e">
        <f t="shared" si="355"/>
        <v>#N/A</v>
      </c>
      <c r="R1620" s="10" t="e">
        <f t="shared" si="356"/>
        <v>#N/A</v>
      </c>
      <c r="S1620" s="7">
        <f t="shared" si="363"/>
        <v>2352.0500000000002</v>
      </c>
      <c r="T1620" s="7">
        <f t="shared" si="350"/>
        <v>0</v>
      </c>
    </row>
    <row r="1621" spans="1:20" x14ac:dyDescent="0.25">
      <c r="A1621" s="1">
        <v>43545</v>
      </c>
      <c r="B1621">
        <v>2435</v>
      </c>
      <c r="C1621">
        <v>2442.0500000000002</v>
      </c>
      <c r="D1621">
        <v>2403.5</v>
      </c>
      <c r="E1621">
        <v>2426.6</v>
      </c>
      <c r="F1621">
        <v>1228178</v>
      </c>
      <c r="G1621" s="4">
        <f t="shared" si="351"/>
        <v>0</v>
      </c>
      <c r="H1621" s="4">
        <f t="shared" si="352"/>
        <v>3.2000000000002728</v>
      </c>
      <c r="I1621" s="6">
        <f t="shared" si="357"/>
        <v>11.592857142857188</v>
      </c>
      <c r="J1621" s="6">
        <f t="shared" si="358"/>
        <v>24.164285714285761</v>
      </c>
      <c r="K1621" s="4">
        <f t="shared" si="359"/>
        <v>0.47975169967484577</v>
      </c>
      <c r="L1621">
        <f t="shared" si="360"/>
        <v>32.421094686376392</v>
      </c>
      <c r="M1621" s="14" t="str">
        <f t="shared" si="353"/>
        <v/>
      </c>
      <c r="N1621" s="7">
        <f t="shared" si="354"/>
        <v>0</v>
      </c>
      <c r="O1621" s="7">
        <f t="shared" si="361"/>
        <v>0</v>
      </c>
      <c r="P1621" s="7">
        <f t="shared" si="362"/>
        <v>-1</v>
      </c>
      <c r="Q1621" s="10" t="e">
        <f t="shared" si="355"/>
        <v>#N/A</v>
      </c>
      <c r="R1621" s="10" t="e">
        <f t="shared" si="356"/>
        <v>#N/A</v>
      </c>
      <c r="S1621" s="7">
        <f t="shared" si="363"/>
        <v>2352.0500000000002</v>
      </c>
      <c r="T1621" s="7">
        <f t="shared" si="350"/>
        <v>0</v>
      </c>
    </row>
    <row r="1622" spans="1:20" x14ac:dyDescent="0.25">
      <c r="A1622" s="1">
        <v>43546</v>
      </c>
      <c r="B1622">
        <v>2430</v>
      </c>
      <c r="C1622">
        <v>2471.8000000000002</v>
      </c>
      <c r="D1622">
        <v>2427</v>
      </c>
      <c r="E1622">
        <v>2464.15</v>
      </c>
      <c r="F1622">
        <v>771816</v>
      </c>
      <c r="G1622" s="4">
        <f t="shared" si="351"/>
        <v>37.550000000000182</v>
      </c>
      <c r="H1622" s="4">
        <f t="shared" si="352"/>
        <v>0</v>
      </c>
      <c r="I1622" s="6">
        <f t="shared" si="357"/>
        <v>10.225000000000039</v>
      </c>
      <c r="J1622" s="6">
        <f t="shared" si="358"/>
        <v>24.164285714285761</v>
      </c>
      <c r="K1622" s="4">
        <f t="shared" si="359"/>
        <v>0.42314513745196652</v>
      </c>
      <c r="L1622">
        <f t="shared" si="360"/>
        <v>29.733097933326448</v>
      </c>
      <c r="M1622" s="14" t="str">
        <f t="shared" si="353"/>
        <v>OVERSOLD</v>
      </c>
      <c r="N1622" s="7" t="str">
        <f t="shared" si="354"/>
        <v>BUY</v>
      </c>
      <c r="O1622" s="7" t="str">
        <f t="shared" si="361"/>
        <v>BUY</v>
      </c>
      <c r="P1622" s="7">
        <f t="shared" si="362"/>
        <v>1</v>
      </c>
      <c r="Q1622" s="10">
        <f t="shared" si="355"/>
        <v>2464.15</v>
      </c>
      <c r="R1622" s="10" t="e">
        <f t="shared" si="356"/>
        <v>#N/A</v>
      </c>
      <c r="S1622" s="7">
        <f t="shared" si="363"/>
        <v>2464.15</v>
      </c>
      <c r="T1622" s="7">
        <f t="shared" si="350"/>
        <v>-4.766055143385553E-2</v>
      </c>
    </row>
    <row r="1623" spans="1:20" x14ac:dyDescent="0.25">
      <c r="A1623" s="1">
        <v>43549</v>
      </c>
      <c r="B1623">
        <v>2471.6999999999998</v>
      </c>
      <c r="C1623">
        <v>2475</v>
      </c>
      <c r="D1623">
        <v>2435.85</v>
      </c>
      <c r="E1623">
        <v>2464.9499999999998</v>
      </c>
      <c r="F1623">
        <v>732768</v>
      </c>
      <c r="G1623" s="4">
        <f t="shared" si="351"/>
        <v>0.79999999999972715</v>
      </c>
      <c r="H1623" s="4">
        <f t="shared" si="352"/>
        <v>0</v>
      </c>
      <c r="I1623" s="6">
        <f t="shared" si="357"/>
        <v>10.282142857142876</v>
      </c>
      <c r="J1623" s="6">
        <f t="shared" si="358"/>
        <v>23.585714285714307</v>
      </c>
      <c r="K1623" s="4">
        <f t="shared" si="359"/>
        <v>0.43594791035735958</v>
      </c>
      <c r="L1623">
        <f t="shared" si="360"/>
        <v>30.35959084677846</v>
      </c>
      <c r="M1623" s="14" t="str">
        <f t="shared" si="353"/>
        <v/>
      </c>
      <c r="N1623" s="7">
        <f t="shared" si="354"/>
        <v>0</v>
      </c>
      <c r="O1623" s="7">
        <f t="shared" si="361"/>
        <v>0</v>
      </c>
      <c r="P1623" s="7">
        <f t="shared" si="362"/>
        <v>1</v>
      </c>
      <c r="Q1623" s="10" t="e">
        <f t="shared" si="355"/>
        <v>#N/A</v>
      </c>
      <c r="R1623" s="10" t="e">
        <f t="shared" si="356"/>
        <v>#N/A</v>
      </c>
      <c r="S1623" s="7">
        <f t="shared" si="363"/>
        <v>2464.15</v>
      </c>
      <c r="T1623" s="7">
        <f t="shared" si="350"/>
        <v>0</v>
      </c>
    </row>
    <row r="1624" spans="1:20" x14ac:dyDescent="0.25">
      <c r="A1624" s="1">
        <v>43550</v>
      </c>
      <c r="B1624">
        <v>2478</v>
      </c>
      <c r="C1624">
        <v>2499.25</v>
      </c>
      <c r="D1624">
        <v>2451.25</v>
      </c>
      <c r="E1624">
        <v>2493.1</v>
      </c>
      <c r="F1624">
        <v>1051150</v>
      </c>
      <c r="G1624" s="4">
        <f t="shared" si="351"/>
        <v>28.150000000000091</v>
      </c>
      <c r="H1624" s="4">
        <f t="shared" si="352"/>
        <v>0</v>
      </c>
      <c r="I1624" s="6">
        <f t="shared" si="357"/>
        <v>11.117857142857149</v>
      </c>
      <c r="J1624" s="6">
        <f t="shared" si="358"/>
        <v>23.585714285714307</v>
      </c>
      <c r="K1624" s="4">
        <f t="shared" si="359"/>
        <v>0.47138098122350075</v>
      </c>
      <c r="L1624">
        <f t="shared" si="360"/>
        <v>32.036636822064423</v>
      </c>
      <c r="M1624" s="14" t="str">
        <f t="shared" si="353"/>
        <v/>
      </c>
      <c r="N1624" s="7">
        <f t="shared" si="354"/>
        <v>0</v>
      </c>
      <c r="O1624" s="7">
        <f t="shared" si="361"/>
        <v>0</v>
      </c>
      <c r="P1624" s="7">
        <f t="shared" si="362"/>
        <v>1</v>
      </c>
      <c r="Q1624" s="10" t="e">
        <f t="shared" si="355"/>
        <v>#N/A</v>
      </c>
      <c r="R1624" s="10" t="e">
        <f t="shared" si="356"/>
        <v>#N/A</v>
      </c>
      <c r="S1624" s="7">
        <f t="shared" si="363"/>
        <v>2464.15</v>
      </c>
      <c r="T1624" s="7">
        <f t="shared" si="350"/>
        <v>0</v>
      </c>
    </row>
    <row r="1625" spans="1:20" x14ac:dyDescent="0.25">
      <c r="A1625" s="1">
        <v>43551</v>
      </c>
      <c r="B1625">
        <v>2486</v>
      </c>
      <c r="C1625">
        <v>2529</v>
      </c>
      <c r="D1625">
        <v>2471</v>
      </c>
      <c r="E1625">
        <v>2521.9</v>
      </c>
      <c r="F1625">
        <v>1349994</v>
      </c>
      <c r="G1625" s="4">
        <f t="shared" si="351"/>
        <v>28.800000000000182</v>
      </c>
      <c r="H1625" s="4">
        <f t="shared" si="352"/>
        <v>0</v>
      </c>
      <c r="I1625" s="6">
        <f t="shared" si="357"/>
        <v>13.17500000000002</v>
      </c>
      <c r="J1625" s="6">
        <f t="shared" si="358"/>
        <v>21.992857142857151</v>
      </c>
      <c r="K1625" s="4">
        <f t="shared" si="359"/>
        <v>0.59905813575836375</v>
      </c>
      <c r="L1625">
        <f t="shared" si="360"/>
        <v>37.463186757388065</v>
      </c>
      <c r="M1625" s="14" t="str">
        <f t="shared" si="353"/>
        <v/>
      </c>
      <c r="N1625" s="7">
        <f t="shared" si="354"/>
        <v>0</v>
      </c>
      <c r="O1625" s="7">
        <f t="shared" si="361"/>
        <v>0</v>
      </c>
      <c r="P1625" s="7">
        <f t="shared" si="362"/>
        <v>1</v>
      </c>
      <c r="Q1625" s="10" t="e">
        <f t="shared" si="355"/>
        <v>#N/A</v>
      </c>
      <c r="R1625" s="10" t="e">
        <f t="shared" si="356"/>
        <v>#N/A</v>
      </c>
      <c r="S1625" s="7">
        <f t="shared" si="363"/>
        <v>2464.15</v>
      </c>
      <c r="T1625" s="7">
        <f t="shared" si="350"/>
        <v>0</v>
      </c>
    </row>
    <row r="1626" spans="1:20" x14ac:dyDescent="0.25">
      <c r="A1626" s="1">
        <v>43552</v>
      </c>
      <c r="B1626">
        <v>2517</v>
      </c>
      <c r="C1626">
        <v>2527.8000000000002</v>
      </c>
      <c r="D1626">
        <v>2426.5500000000002</v>
      </c>
      <c r="E1626">
        <v>2445.35</v>
      </c>
      <c r="F1626">
        <v>4168183</v>
      </c>
      <c r="G1626" s="4">
        <f t="shared" si="351"/>
        <v>0</v>
      </c>
      <c r="H1626" s="4">
        <f t="shared" si="352"/>
        <v>76.550000000000182</v>
      </c>
      <c r="I1626" s="6">
        <f t="shared" si="357"/>
        <v>13.17500000000002</v>
      </c>
      <c r="J1626" s="6">
        <f t="shared" si="358"/>
        <v>22.360714285714298</v>
      </c>
      <c r="K1626" s="4">
        <f t="shared" si="359"/>
        <v>0.58920300271522175</v>
      </c>
      <c r="L1626">
        <f t="shared" si="360"/>
        <v>37.075376884422134</v>
      </c>
      <c r="M1626" s="14" t="str">
        <f t="shared" si="353"/>
        <v/>
      </c>
      <c r="N1626" s="7">
        <f t="shared" si="354"/>
        <v>0</v>
      </c>
      <c r="O1626" s="7">
        <f t="shared" si="361"/>
        <v>0</v>
      </c>
      <c r="P1626" s="7">
        <f t="shared" si="362"/>
        <v>1</v>
      </c>
      <c r="Q1626" s="10" t="e">
        <f t="shared" si="355"/>
        <v>#N/A</v>
      </c>
      <c r="R1626" s="10" t="e">
        <f t="shared" si="356"/>
        <v>#N/A</v>
      </c>
      <c r="S1626" s="7">
        <f t="shared" si="363"/>
        <v>2464.15</v>
      </c>
      <c r="T1626" s="7">
        <f t="shared" ref="T1626:T1689" si="364">IF(O1626="BUY",(S1625-S1626)/S1625,IF(O1626="SELL",(S1626-S1625)/S1625,0))</f>
        <v>0</v>
      </c>
    </row>
    <row r="1627" spans="1:20" x14ac:dyDescent="0.25">
      <c r="A1627" s="1">
        <v>43553</v>
      </c>
      <c r="B1627">
        <v>2447</v>
      </c>
      <c r="C1627">
        <v>2469</v>
      </c>
      <c r="D1627">
        <v>2430.6</v>
      </c>
      <c r="E1627">
        <v>2433.4499999999998</v>
      </c>
      <c r="F1627">
        <v>1299425</v>
      </c>
      <c r="G1627" s="4">
        <f t="shared" si="351"/>
        <v>0</v>
      </c>
      <c r="H1627" s="4">
        <f t="shared" si="352"/>
        <v>11.900000000000091</v>
      </c>
      <c r="I1627" s="6">
        <f t="shared" si="357"/>
        <v>13.17500000000002</v>
      </c>
      <c r="J1627" s="6">
        <f t="shared" si="358"/>
        <v>17.632142857142885</v>
      </c>
      <c r="K1627" s="4">
        <f t="shared" si="359"/>
        <v>0.74721490783876843</v>
      </c>
      <c r="L1627">
        <f t="shared" si="360"/>
        <v>42.766056109436583</v>
      </c>
      <c r="M1627" s="14" t="str">
        <f t="shared" si="353"/>
        <v/>
      </c>
      <c r="N1627" s="7">
        <f t="shared" si="354"/>
        <v>0</v>
      </c>
      <c r="O1627" s="7">
        <f t="shared" si="361"/>
        <v>0</v>
      </c>
      <c r="P1627" s="7">
        <f t="shared" si="362"/>
        <v>1</v>
      </c>
      <c r="Q1627" s="10" t="e">
        <f t="shared" si="355"/>
        <v>#N/A</v>
      </c>
      <c r="R1627" s="10" t="e">
        <f t="shared" si="356"/>
        <v>#N/A</v>
      </c>
      <c r="S1627" s="7">
        <f t="shared" si="363"/>
        <v>2464.15</v>
      </c>
      <c r="T1627" s="7">
        <f t="shared" si="364"/>
        <v>0</v>
      </c>
    </row>
    <row r="1628" spans="1:20" x14ac:dyDescent="0.25">
      <c r="A1628" s="1">
        <v>43556</v>
      </c>
      <c r="B1628">
        <v>2427.5</v>
      </c>
      <c r="C1628">
        <v>2472.8000000000002</v>
      </c>
      <c r="D1628">
        <v>2427.5</v>
      </c>
      <c r="E1628">
        <v>2466.1999999999998</v>
      </c>
      <c r="F1628">
        <v>1181448</v>
      </c>
      <c r="G1628" s="4">
        <f t="shared" si="351"/>
        <v>32.75</v>
      </c>
      <c r="H1628" s="4">
        <f t="shared" si="352"/>
        <v>0</v>
      </c>
      <c r="I1628" s="6">
        <f t="shared" si="357"/>
        <v>15.514285714285734</v>
      </c>
      <c r="J1628" s="6">
        <f t="shared" si="358"/>
        <v>15.353571428571447</v>
      </c>
      <c r="K1628" s="4">
        <f t="shared" si="359"/>
        <v>1.0104675505931613</v>
      </c>
      <c r="L1628">
        <f t="shared" si="360"/>
        <v>50.260326275598757</v>
      </c>
      <c r="M1628" s="14" t="str">
        <f t="shared" si="353"/>
        <v/>
      </c>
      <c r="N1628" s="7">
        <f t="shared" si="354"/>
        <v>0</v>
      </c>
      <c r="O1628" s="7">
        <f t="shared" si="361"/>
        <v>0</v>
      </c>
      <c r="P1628" s="7">
        <f t="shared" si="362"/>
        <v>1</v>
      </c>
      <c r="Q1628" s="10" t="e">
        <f t="shared" si="355"/>
        <v>#N/A</v>
      </c>
      <c r="R1628" s="10" t="e">
        <f t="shared" si="356"/>
        <v>#N/A</v>
      </c>
      <c r="S1628" s="7">
        <f t="shared" si="363"/>
        <v>2464.15</v>
      </c>
      <c r="T1628" s="7">
        <f t="shared" si="364"/>
        <v>0</v>
      </c>
    </row>
    <row r="1629" spans="1:20" x14ac:dyDescent="0.25">
      <c r="A1629" s="1">
        <v>43557</v>
      </c>
      <c r="B1629">
        <v>2450</v>
      </c>
      <c r="C1629">
        <v>2502.5</v>
      </c>
      <c r="D1629">
        <v>2448.15</v>
      </c>
      <c r="E1629">
        <v>2494.9499999999998</v>
      </c>
      <c r="F1629">
        <v>1407626</v>
      </c>
      <c r="G1629" s="4">
        <f t="shared" si="351"/>
        <v>28.75</v>
      </c>
      <c r="H1629" s="4">
        <f t="shared" si="352"/>
        <v>0</v>
      </c>
      <c r="I1629" s="6">
        <f t="shared" si="357"/>
        <v>14.785714285714286</v>
      </c>
      <c r="J1629" s="6">
        <f t="shared" si="358"/>
        <v>15.353571428571447</v>
      </c>
      <c r="K1629" s="4">
        <f t="shared" si="359"/>
        <v>0.96301465457082935</v>
      </c>
      <c r="L1629">
        <f t="shared" si="360"/>
        <v>49.057945254177007</v>
      </c>
      <c r="M1629" s="14" t="str">
        <f t="shared" si="353"/>
        <v/>
      </c>
      <c r="N1629" s="7">
        <f t="shared" si="354"/>
        <v>0</v>
      </c>
      <c r="O1629" s="7">
        <f t="shared" si="361"/>
        <v>0</v>
      </c>
      <c r="P1629" s="7">
        <f t="shared" si="362"/>
        <v>1</v>
      </c>
      <c r="Q1629" s="10" t="e">
        <f t="shared" si="355"/>
        <v>#N/A</v>
      </c>
      <c r="R1629" s="10" t="e">
        <f t="shared" si="356"/>
        <v>#N/A</v>
      </c>
      <c r="S1629" s="7">
        <f t="shared" si="363"/>
        <v>2464.15</v>
      </c>
      <c r="T1629" s="7">
        <f t="shared" si="364"/>
        <v>0</v>
      </c>
    </row>
    <row r="1630" spans="1:20" x14ac:dyDescent="0.25">
      <c r="A1630" s="1">
        <v>43558</v>
      </c>
      <c r="B1630">
        <v>2489.5</v>
      </c>
      <c r="C1630">
        <v>2519.5</v>
      </c>
      <c r="D1630">
        <v>2464.4499999999998</v>
      </c>
      <c r="E1630">
        <v>2506.0500000000002</v>
      </c>
      <c r="F1630">
        <v>1263574</v>
      </c>
      <c r="G1630" s="4">
        <f t="shared" si="351"/>
        <v>11.100000000000364</v>
      </c>
      <c r="H1630" s="4">
        <f t="shared" si="352"/>
        <v>0</v>
      </c>
      <c r="I1630" s="6">
        <f t="shared" si="357"/>
        <v>11.992857142857181</v>
      </c>
      <c r="J1630" s="6">
        <f t="shared" si="358"/>
        <v>15.353571428571447</v>
      </c>
      <c r="K1630" s="4">
        <f t="shared" si="359"/>
        <v>0.78111188648523067</v>
      </c>
      <c r="L1630">
        <f t="shared" si="360"/>
        <v>43.855295807757656</v>
      </c>
      <c r="M1630" s="14" t="str">
        <f t="shared" si="353"/>
        <v/>
      </c>
      <c r="N1630" s="7">
        <f t="shared" si="354"/>
        <v>0</v>
      </c>
      <c r="O1630" s="7">
        <f t="shared" si="361"/>
        <v>0</v>
      </c>
      <c r="P1630" s="7">
        <f t="shared" si="362"/>
        <v>1</v>
      </c>
      <c r="Q1630" s="10" t="e">
        <f t="shared" si="355"/>
        <v>#N/A</v>
      </c>
      <c r="R1630" s="10" t="e">
        <f t="shared" si="356"/>
        <v>#N/A</v>
      </c>
      <c r="S1630" s="7">
        <f t="shared" si="363"/>
        <v>2464.15</v>
      </c>
      <c r="T1630" s="7">
        <f t="shared" si="364"/>
        <v>0</v>
      </c>
    </row>
    <row r="1631" spans="1:20" x14ac:dyDescent="0.25">
      <c r="A1631" s="1">
        <v>43559</v>
      </c>
      <c r="B1631">
        <v>2498.9</v>
      </c>
      <c r="C1631">
        <v>2524</v>
      </c>
      <c r="D1631">
        <v>2492</v>
      </c>
      <c r="E1631">
        <v>2515.1</v>
      </c>
      <c r="F1631">
        <v>758608</v>
      </c>
      <c r="G1631" s="4">
        <f t="shared" si="351"/>
        <v>9.0499999999997272</v>
      </c>
      <c r="H1631" s="4">
        <f t="shared" si="352"/>
        <v>0</v>
      </c>
      <c r="I1631" s="6">
        <f t="shared" si="357"/>
        <v>12.639285714285734</v>
      </c>
      <c r="J1631" s="6">
        <f t="shared" si="358"/>
        <v>11.621428571428591</v>
      </c>
      <c r="K1631" s="4">
        <f t="shared" si="359"/>
        <v>1.0875845113706206</v>
      </c>
      <c r="L1631">
        <f t="shared" si="360"/>
        <v>52.097747681436772</v>
      </c>
      <c r="M1631" s="14" t="str">
        <f t="shared" si="353"/>
        <v/>
      </c>
      <c r="N1631" s="7">
        <f t="shared" si="354"/>
        <v>0</v>
      </c>
      <c r="O1631" s="7">
        <f t="shared" si="361"/>
        <v>0</v>
      </c>
      <c r="P1631" s="7">
        <f t="shared" si="362"/>
        <v>1</v>
      </c>
      <c r="Q1631" s="10" t="e">
        <f t="shared" si="355"/>
        <v>#N/A</v>
      </c>
      <c r="R1631" s="10" t="e">
        <f t="shared" si="356"/>
        <v>#N/A</v>
      </c>
      <c r="S1631" s="7">
        <f t="shared" si="363"/>
        <v>2464.15</v>
      </c>
      <c r="T1631" s="7">
        <f t="shared" si="364"/>
        <v>0</v>
      </c>
    </row>
    <row r="1632" spans="1:20" x14ac:dyDescent="0.25">
      <c r="A1632" s="1">
        <v>43560</v>
      </c>
      <c r="B1632">
        <v>2512</v>
      </c>
      <c r="C1632">
        <v>2563.1999999999998</v>
      </c>
      <c r="D1632">
        <v>2505.8000000000002</v>
      </c>
      <c r="E1632">
        <v>2558.9499999999998</v>
      </c>
      <c r="F1632">
        <v>844398</v>
      </c>
      <c r="G1632" s="4">
        <f t="shared" si="351"/>
        <v>43.849999999999909</v>
      </c>
      <c r="H1632" s="4">
        <f t="shared" si="352"/>
        <v>0</v>
      </c>
      <c r="I1632" s="6">
        <f t="shared" si="357"/>
        <v>15.771428571428585</v>
      </c>
      <c r="J1632" s="6">
        <f t="shared" si="358"/>
        <v>11.146428571428585</v>
      </c>
      <c r="K1632" s="4">
        <f t="shared" si="359"/>
        <v>1.4149311118231331</v>
      </c>
      <c r="L1632">
        <f t="shared" si="360"/>
        <v>58.590951306886019</v>
      </c>
      <c r="M1632" s="14" t="str">
        <f t="shared" si="353"/>
        <v/>
      </c>
      <c r="N1632" s="7">
        <f t="shared" si="354"/>
        <v>0</v>
      </c>
      <c r="O1632" s="7">
        <f t="shared" si="361"/>
        <v>0</v>
      </c>
      <c r="P1632" s="7">
        <f t="shared" si="362"/>
        <v>1</v>
      </c>
      <c r="Q1632" s="10" t="e">
        <f t="shared" si="355"/>
        <v>#N/A</v>
      </c>
      <c r="R1632" s="10" t="e">
        <f t="shared" si="356"/>
        <v>#N/A</v>
      </c>
      <c r="S1632" s="7">
        <f t="shared" si="363"/>
        <v>2464.15</v>
      </c>
      <c r="T1632" s="7">
        <f t="shared" si="364"/>
        <v>0</v>
      </c>
    </row>
    <row r="1633" spans="1:20" x14ac:dyDescent="0.25">
      <c r="A1633" s="1">
        <v>43563</v>
      </c>
      <c r="B1633">
        <v>2558.9499999999998</v>
      </c>
      <c r="C1633">
        <v>2568</v>
      </c>
      <c r="D1633">
        <v>2533</v>
      </c>
      <c r="E1633">
        <v>2552.6</v>
      </c>
      <c r="F1633">
        <v>1155645</v>
      </c>
      <c r="G1633" s="4">
        <f t="shared" si="351"/>
        <v>0</v>
      </c>
      <c r="H1633" s="4">
        <f t="shared" si="352"/>
        <v>6.3499999999999091</v>
      </c>
      <c r="I1633" s="6">
        <f t="shared" si="357"/>
        <v>15.771428571428585</v>
      </c>
      <c r="J1633" s="6">
        <f t="shared" si="358"/>
        <v>10.964285714285747</v>
      </c>
      <c r="K1633" s="4">
        <f t="shared" si="359"/>
        <v>1.4384364820846873</v>
      </c>
      <c r="L1633">
        <f t="shared" si="360"/>
        <v>58.990114881111353</v>
      </c>
      <c r="M1633" s="14" t="str">
        <f t="shared" si="353"/>
        <v/>
      </c>
      <c r="N1633" s="7">
        <f t="shared" si="354"/>
        <v>0</v>
      </c>
      <c r="O1633" s="7">
        <f t="shared" si="361"/>
        <v>0</v>
      </c>
      <c r="P1633" s="7">
        <f t="shared" si="362"/>
        <v>1</v>
      </c>
      <c r="Q1633" s="10" t="e">
        <f t="shared" si="355"/>
        <v>#N/A</v>
      </c>
      <c r="R1633" s="10" t="e">
        <f t="shared" si="356"/>
        <v>#N/A</v>
      </c>
      <c r="S1633" s="7">
        <f t="shared" si="363"/>
        <v>2464.15</v>
      </c>
      <c r="T1633" s="7">
        <f t="shared" si="364"/>
        <v>0</v>
      </c>
    </row>
    <row r="1634" spans="1:20" x14ac:dyDescent="0.25">
      <c r="A1634" s="1">
        <v>43564</v>
      </c>
      <c r="B1634">
        <v>2555</v>
      </c>
      <c r="C1634">
        <v>2580.4</v>
      </c>
      <c r="D1634">
        <v>2545</v>
      </c>
      <c r="E1634">
        <v>2577.5500000000002</v>
      </c>
      <c r="F1634">
        <v>875255</v>
      </c>
      <c r="G1634" s="4">
        <f t="shared" si="351"/>
        <v>24.950000000000273</v>
      </c>
      <c r="H1634" s="4">
        <f t="shared" si="352"/>
        <v>0</v>
      </c>
      <c r="I1634" s="6">
        <f t="shared" si="357"/>
        <v>17.553571428571463</v>
      </c>
      <c r="J1634" s="6">
        <f t="shared" si="358"/>
        <v>7.0000000000000329</v>
      </c>
      <c r="K1634" s="4">
        <f t="shared" si="359"/>
        <v>2.5076530612244827</v>
      </c>
      <c r="L1634">
        <f t="shared" si="360"/>
        <v>71.490909090909042</v>
      </c>
      <c r="M1634" s="14" t="str">
        <f t="shared" si="353"/>
        <v>OVERBOUGHT</v>
      </c>
      <c r="N1634" s="7" t="str">
        <f t="shared" si="354"/>
        <v>SELL</v>
      </c>
      <c r="O1634" s="7" t="str">
        <f t="shared" si="361"/>
        <v>SELL</v>
      </c>
      <c r="P1634" s="7">
        <f t="shared" si="362"/>
        <v>-1</v>
      </c>
      <c r="Q1634" s="10" t="e">
        <f t="shared" si="355"/>
        <v>#N/A</v>
      </c>
      <c r="R1634" s="10">
        <f t="shared" si="356"/>
        <v>2577.5500000000002</v>
      </c>
      <c r="S1634" s="7">
        <f t="shared" si="363"/>
        <v>2577.5500000000002</v>
      </c>
      <c r="T1634" s="7">
        <f t="shared" si="364"/>
        <v>4.6019925735040518E-2</v>
      </c>
    </row>
    <row r="1635" spans="1:20" x14ac:dyDescent="0.25">
      <c r="A1635" s="1">
        <v>43565</v>
      </c>
      <c r="B1635">
        <v>2580.5</v>
      </c>
      <c r="C1635">
        <v>2629.55</v>
      </c>
      <c r="D1635">
        <v>2577.0500000000002</v>
      </c>
      <c r="E1635">
        <v>2619.25</v>
      </c>
      <c r="F1635">
        <v>2316040</v>
      </c>
      <c r="G1635" s="4">
        <f t="shared" si="351"/>
        <v>41.699999999999818</v>
      </c>
      <c r="H1635" s="4">
        <f t="shared" si="352"/>
        <v>0</v>
      </c>
      <c r="I1635" s="6">
        <f t="shared" si="357"/>
        <v>20.532142857142876</v>
      </c>
      <c r="J1635" s="6">
        <f t="shared" si="358"/>
        <v>6.7714285714285847</v>
      </c>
      <c r="K1635" s="4">
        <f t="shared" si="359"/>
        <v>3.0321729957805874</v>
      </c>
      <c r="L1635">
        <f t="shared" si="360"/>
        <v>75.199476782210581</v>
      </c>
      <c r="M1635" s="14" t="str">
        <f t="shared" si="353"/>
        <v>OVERBOUGHT</v>
      </c>
      <c r="N1635" s="7" t="str">
        <f t="shared" si="354"/>
        <v>SELL</v>
      </c>
      <c r="O1635" s="7">
        <f t="shared" si="361"/>
        <v>0</v>
      </c>
      <c r="P1635" s="7">
        <f t="shared" si="362"/>
        <v>-1</v>
      </c>
      <c r="Q1635" s="10" t="e">
        <f t="shared" si="355"/>
        <v>#N/A</v>
      </c>
      <c r="R1635" s="10" t="e">
        <f t="shared" si="356"/>
        <v>#N/A</v>
      </c>
      <c r="S1635" s="7">
        <f t="shared" si="363"/>
        <v>2577.5500000000002</v>
      </c>
      <c r="T1635" s="7">
        <f t="shared" si="364"/>
        <v>0</v>
      </c>
    </row>
    <row r="1636" spans="1:20" x14ac:dyDescent="0.25">
      <c r="A1636" s="1">
        <v>43566</v>
      </c>
      <c r="B1636">
        <v>2614</v>
      </c>
      <c r="C1636">
        <v>2634.9</v>
      </c>
      <c r="D1636">
        <v>2599</v>
      </c>
      <c r="E1636">
        <v>2619.3000000000002</v>
      </c>
      <c r="F1636">
        <v>1244042</v>
      </c>
      <c r="G1636" s="4">
        <f t="shared" si="351"/>
        <v>5.0000000000181899E-2</v>
      </c>
      <c r="H1636" s="4">
        <f t="shared" si="352"/>
        <v>0</v>
      </c>
      <c r="I1636" s="6">
        <f t="shared" si="357"/>
        <v>17.853571428571449</v>
      </c>
      <c r="J1636" s="6">
        <f t="shared" si="358"/>
        <v>6.7714285714285847</v>
      </c>
      <c r="K1636" s="4">
        <f t="shared" si="359"/>
        <v>2.6366033755274239</v>
      </c>
      <c r="L1636">
        <f t="shared" si="360"/>
        <v>72.501812907904252</v>
      </c>
      <c r="M1636" s="14" t="str">
        <f t="shared" si="353"/>
        <v>OVERBOUGHT</v>
      </c>
      <c r="N1636" s="7" t="str">
        <f t="shared" si="354"/>
        <v>SELL</v>
      </c>
      <c r="O1636" s="7">
        <f t="shared" si="361"/>
        <v>0</v>
      </c>
      <c r="P1636" s="7">
        <f t="shared" si="362"/>
        <v>-1</v>
      </c>
      <c r="Q1636" s="10" t="e">
        <f t="shared" si="355"/>
        <v>#N/A</v>
      </c>
      <c r="R1636" s="10" t="e">
        <f t="shared" si="356"/>
        <v>#N/A</v>
      </c>
      <c r="S1636" s="7">
        <f t="shared" si="363"/>
        <v>2577.5500000000002</v>
      </c>
      <c r="T1636" s="7">
        <f t="shared" si="364"/>
        <v>0</v>
      </c>
    </row>
    <row r="1637" spans="1:20" x14ac:dyDescent="0.25">
      <c r="A1637" s="1">
        <v>43567</v>
      </c>
      <c r="B1637">
        <v>2632</v>
      </c>
      <c r="C1637">
        <v>2725</v>
      </c>
      <c r="D1637">
        <v>2632</v>
      </c>
      <c r="E1637">
        <v>2708.25</v>
      </c>
      <c r="F1637">
        <v>1980852</v>
      </c>
      <c r="G1637" s="4">
        <f t="shared" si="351"/>
        <v>88.949999999999818</v>
      </c>
      <c r="H1637" s="4">
        <f t="shared" si="352"/>
        <v>0</v>
      </c>
      <c r="I1637" s="6">
        <f t="shared" si="357"/>
        <v>24.150000000000027</v>
      </c>
      <c r="J1637" s="6">
        <f t="shared" si="358"/>
        <v>6.7714285714285847</v>
      </c>
      <c r="K1637" s="4">
        <f t="shared" si="359"/>
        <v>3.5664556962025284</v>
      </c>
      <c r="L1637">
        <f t="shared" si="360"/>
        <v>78.101178101178078</v>
      </c>
      <c r="M1637" s="14" t="str">
        <f t="shared" si="353"/>
        <v>OVERBOUGHT</v>
      </c>
      <c r="N1637" s="7" t="str">
        <f t="shared" si="354"/>
        <v>SELL</v>
      </c>
      <c r="O1637" s="7">
        <f t="shared" si="361"/>
        <v>0</v>
      </c>
      <c r="P1637" s="7">
        <f t="shared" si="362"/>
        <v>-1</v>
      </c>
      <c r="Q1637" s="10" t="e">
        <f t="shared" si="355"/>
        <v>#N/A</v>
      </c>
      <c r="R1637" s="10" t="e">
        <f t="shared" si="356"/>
        <v>#N/A</v>
      </c>
      <c r="S1637" s="7">
        <f t="shared" si="363"/>
        <v>2577.5500000000002</v>
      </c>
      <c r="T1637" s="7">
        <f t="shared" si="364"/>
        <v>0</v>
      </c>
    </row>
    <row r="1638" spans="1:20" x14ac:dyDescent="0.25">
      <c r="A1638" s="1">
        <v>43570</v>
      </c>
      <c r="B1638">
        <v>2702.9</v>
      </c>
      <c r="C1638">
        <v>2715.7</v>
      </c>
      <c r="D1638">
        <v>2689.8</v>
      </c>
      <c r="E1638">
        <v>2699.2</v>
      </c>
      <c r="F1638">
        <v>1289081</v>
      </c>
      <c r="G1638" s="4">
        <f t="shared" si="351"/>
        <v>0</v>
      </c>
      <c r="H1638" s="4">
        <f t="shared" si="352"/>
        <v>9.0500000000001819</v>
      </c>
      <c r="I1638" s="6">
        <f t="shared" si="357"/>
        <v>22.139285714285734</v>
      </c>
      <c r="J1638" s="6">
        <f t="shared" si="358"/>
        <v>7.4178571428571685</v>
      </c>
      <c r="K1638" s="4">
        <f t="shared" si="359"/>
        <v>2.9845931632161693</v>
      </c>
      <c r="L1638">
        <f t="shared" si="360"/>
        <v>74.903334944417537</v>
      </c>
      <c r="M1638" s="14" t="str">
        <f t="shared" si="353"/>
        <v>OVERBOUGHT</v>
      </c>
      <c r="N1638" s="7" t="str">
        <f t="shared" si="354"/>
        <v>SELL</v>
      </c>
      <c r="O1638" s="7">
        <f t="shared" si="361"/>
        <v>0</v>
      </c>
      <c r="P1638" s="7">
        <f t="shared" si="362"/>
        <v>-1</v>
      </c>
      <c r="Q1638" s="10" t="e">
        <f t="shared" si="355"/>
        <v>#N/A</v>
      </c>
      <c r="R1638" s="10" t="e">
        <f t="shared" si="356"/>
        <v>#N/A</v>
      </c>
      <c r="S1638" s="7">
        <f t="shared" si="363"/>
        <v>2577.5500000000002</v>
      </c>
      <c r="T1638" s="7">
        <f t="shared" si="364"/>
        <v>0</v>
      </c>
    </row>
    <row r="1639" spans="1:20" x14ac:dyDescent="0.25">
      <c r="A1639" s="1">
        <v>43571</v>
      </c>
      <c r="B1639">
        <v>2686</v>
      </c>
      <c r="C1639">
        <v>2699</v>
      </c>
      <c r="D1639">
        <v>2649.05</v>
      </c>
      <c r="E1639">
        <v>2656.3</v>
      </c>
      <c r="F1639">
        <v>1147351</v>
      </c>
      <c r="G1639" s="4">
        <f t="shared" si="351"/>
        <v>0</v>
      </c>
      <c r="H1639" s="4">
        <f t="shared" si="352"/>
        <v>42.899999999999636</v>
      </c>
      <c r="I1639" s="6">
        <f t="shared" si="357"/>
        <v>20.082142857142863</v>
      </c>
      <c r="J1639" s="6">
        <f t="shared" si="358"/>
        <v>10.482142857142858</v>
      </c>
      <c r="K1639" s="4">
        <f t="shared" si="359"/>
        <v>1.9158432708688249</v>
      </c>
      <c r="L1639">
        <f t="shared" si="360"/>
        <v>65.704603879411081</v>
      </c>
      <c r="M1639" s="14" t="str">
        <f t="shared" si="353"/>
        <v/>
      </c>
      <c r="N1639" s="7">
        <f t="shared" si="354"/>
        <v>0</v>
      </c>
      <c r="O1639" s="7">
        <f t="shared" si="361"/>
        <v>0</v>
      </c>
      <c r="P1639" s="7">
        <f t="shared" si="362"/>
        <v>-1</v>
      </c>
      <c r="Q1639" s="10" t="e">
        <f t="shared" si="355"/>
        <v>#N/A</v>
      </c>
      <c r="R1639" s="10" t="e">
        <f t="shared" si="356"/>
        <v>#N/A</v>
      </c>
      <c r="S1639" s="7">
        <f t="shared" si="363"/>
        <v>2577.5500000000002</v>
      </c>
      <c r="T1639" s="7">
        <f t="shared" si="364"/>
        <v>0</v>
      </c>
    </row>
    <row r="1640" spans="1:20" x14ac:dyDescent="0.25">
      <c r="A1640" s="1">
        <v>43572</v>
      </c>
      <c r="B1640">
        <v>2670</v>
      </c>
      <c r="C1640">
        <v>2682.95</v>
      </c>
      <c r="D1640">
        <v>2636.25</v>
      </c>
      <c r="E1640">
        <v>2652</v>
      </c>
      <c r="F1640">
        <v>707708</v>
      </c>
      <c r="G1640" s="4">
        <f t="shared" si="351"/>
        <v>0</v>
      </c>
      <c r="H1640" s="4">
        <f t="shared" si="352"/>
        <v>4.3000000000001819</v>
      </c>
      <c r="I1640" s="6">
        <f t="shared" si="357"/>
        <v>20.082142857142863</v>
      </c>
      <c r="J1640" s="6">
        <f t="shared" si="358"/>
        <v>5.3214285714285712</v>
      </c>
      <c r="K1640" s="4">
        <f t="shared" si="359"/>
        <v>3.773825503355706</v>
      </c>
      <c r="L1640">
        <f t="shared" si="360"/>
        <v>79.052439195838616</v>
      </c>
      <c r="M1640" s="14" t="str">
        <f t="shared" si="353"/>
        <v>OVERBOUGHT</v>
      </c>
      <c r="N1640" s="7" t="str">
        <f t="shared" si="354"/>
        <v>SELL</v>
      </c>
      <c r="O1640" s="7">
        <f t="shared" si="361"/>
        <v>0</v>
      </c>
      <c r="P1640" s="7">
        <f t="shared" si="362"/>
        <v>-1</v>
      </c>
      <c r="Q1640" s="10" t="e">
        <f t="shared" si="355"/>
        <v>#N/A</v>
      </c>
      <c r="R1640" s="10" t="e">
        <f t="shared" si="356"/>
        <v>#N/A</v>
      </c>
      <c r="S1640" s="7">
        <f t="shared" si="363"/>
        <v>2577.5500000000002</v>
      </c>
      <c r="T1640" s="7">
        <f t="shared" si="364"/>
        <v>0</v>
      </c>
    </row>
    <row r="1641" spans="1:20" x14ac:dyDescent="0.25">
      <c r="A1641" s="1">
        <v>43573</v>
      </c>
      <c r="B1641">
        <v>2673.9</v>
      </c>
      <c r="C1641">
        <v>2684.3</v>
      </c>
      <c r="D1641">
        <v>2632</v>
      </c>
      <c r="E1641">
        <v>2649.1</v>
      </c>
      <c r="F1641">
        <v>934242</v>
      </c>
      <c r="G1641" s="4">
        <f t="shared" si="351"/>
        <v>0</v>
      </c>
      <c r="H1641" s="4">
        <f t="shared" si="352"/>
        <v>2.9000000000000909</v>
      </c>
      <c r="I1641" s="6">
        <f t="shared" si="357"/>
        <v>20.082142857142863</v>
      </c>
      <c r="J1641" s="6">
        <f t="shared" si="358"/>
        <v>4.6785714285714288</v>
      </c>
      <c r="K1641" s="4">
        <f t="shared" si="359"/>
        <v>4.2923664122137417</v>
      </c>
      <c r="L1641">
        <f t="shared" si="360"/>
        <v>81.104860810615904</v>
      </c>
      <c r="M1641" s="14" t="str">
        <f t="shared" si="353"/>
        <v>OVERBOUGHT</v>
      </c>
      <c r="N1641" s="7" t="str">
        <f t="shared" si="354"/>
        <v>SELL</v>
      </c>
      <c r="O1641" s="7">
        <f t="shared" si="361"/>
        <v>0</v>
      </c>
      <c r="P1641" s="7">
        <f t="shared" si="362"/>
        <v>-1</v>
      </c>
      <c r="Q1641" s="10" t="e">
        <f t="shared" si="355"/>
        <v>#N/A</v>
      </c>
      <c r="R1641" s="10" t="e">
        <f t="shared" si="356"/>
        <v>#N/A</v>
      </c>
      <c r="S1641" s="7">
        <f t="shared" si="363"/>
        <v>2577.5500000000002</v>
      </c>
      <c r="T1641" s="7">
        <f t="shared" si="364"/>
        <v>0</v>
      </c>
    </row>
    <row r="1642" spans="1:20" x14ac:dyDescent="0.25">
      <c r="A1642" s="1">
        <v>43574</v>
      </c>
      <c r="B1642">
        <v>2640</v>
      </c>
      <c r="C1642">
        <v>2668</v>
      </c>
      <c r="D1642">
        <v>2629.05</v>
      </c>
      <c r="E1642">
        <v>2649.5</v>
      </c>
      <c r="F1642">
        <v>1029122</v>
      </c>
      <c r="G1642" s="4">
        <f t="shared" si="351"/>
        <v>0.40000000000009095</v>
      </c>
      <c r="H1642" s="4">
        <f t="shared" si="352"/>
        <v>0</v>
      </c>
      <c r="I1642" s="6">
        <f t="shared" si="357"/>
        <v>17.771428571428583</v>
      </c>
      <c r="J1642" s="6">
        <f t="shared" si="358"/>
        <v>4.6785714285714288</v>
      </c>
      <c r="K1642" s="4">
        <f t="shared" si="359"/>
        <v>3.7984732824427505</v>
      </c>
      <c r="L1642">
        <f t="shared" si="360"/>
        <v>79.160038180082736</v>
      </c>
      <c r="M1642" s="14" t="str">
        <f t="shared" si="353"/>
        <v>OVERBOUGHT</v>
      </c>
      <c r="N1642" s="7" t="str">
        <f t="shared" si="354"/>
        <v>SELL</v>
      </c>
      <c r="O1642" s="7">
        <f t="shared" si="361"/>
        <v>0</v>
      </c>
      <c r="P1642" s="7">
        <f t="shared" si="362"/>
        <v>-1</v>
      </c>
      <c r="Q1642" s="10" t="e">
        <f t="shared" si="355"/>
        <v>#N/A</v>
      </c>
      <c r="R1642" s="10" t="e">
        <f t="shared" si="356"/>
        <v>#N/A</v>
      </c>
      <c r="S1642" s="7">
        <f t="shared" si="363"/>
        <v>2577.5500000000002</v>
      </c>
      <c r="T1642" s="7">
        <f t="shared" si="364"/>
        <v>0</v>
      </c>
    </row>
    <row r="1643" spans="1:20" x14ac:dyDescent="0.25">
      <c r="A1643" s="1">
        <v>43577</v>
      </c>
      <c r="B1643">
        <v>2658</v>
      </c>
      <c r="C1643">
        <v>2659.8</v>
      </c>
      <c r="D1643">
        <v>2578.85</v>
      </c>
      <c r="E1643">
        <v>2650.2</v>
      </c>
      <c r="F1643">
        <v>1130957</v>
      </c>
      <c r="G1643" s="4">
        <f t="shared" si="351"/>
        <v>0.6999999999998181</v>
      </c>
      <c r="H1643" s="4">
        <f t="shared" si="352"/>
        <v>0</v>
      </c>
      <c r="I1643" s="6">
        <f t="shared" si="357"/>
        <v>15.767857142857142</v>
      </c>
      <c r="J1643" s="6">
        <f t="shared" si="358"/>
        <v>4.6785714285714288</v>
      </c>
      <c r="K1643" s="4">
        <f t="shared" si="359"/>
        <v>3.3702290076335877</v>
      </c>
      <c r="L1643">
        <f t="shared" si="360"/>
        <v>77.117903930131007</v>
      </c>
      <c r="M1643" s="14" t="str">
        <f t="shared" si="353"/>
        <v>OVERBOUGHT</v>
      </c>
      <c r="N1643" s="7" t="str">
        <f t="shared" si="354"/>
        <v>SELL</v>
      </c>
      <c r="O1643" s="7">
        <f t="shared" si="361"/>
        <v>0</v>
      </c>
      <c r="P1643" s="7">
        <f t="shared" si="362"/>
        <v>-1</v>
      </c>
      <c r="Q1643" s="10" t="e">
        <f t="shared" si="355"/>
        <v>#N/A</v>
      </c>
      <c r="R1643" s="10" t="e">
        <f t="shared" si="356"/>
        <v>#N/A</v>
      </c>
      <c r="S1643" s="7">
        <f t="shared" si="363"/>
        <v>2577.5500000000002</v>
      </c>
      <c r="T1643" s="7">
        <f t="shared" si="364"/>
        <v>0</v>
      </c>
    </row>
    <row r="1644" spans="1:20" x14ac:dyDescent="0.25">
      <c r="A1644" s="1">
        <v>43578</v>
      </c>
      <c r="B1644">
        <v>2651</v>
      </c>
      <c r="C1644">
        <v>2682</v>
      </c>
      <c r="D1644">
        <v>2648</v>
      </c>
      <c r="E1644">
        <v>2675.4</v>
      </c>
      <c r="F1644">
        <v>1031039</v>
      </c>
      <c r="G1644" s="4">
        <f t="shared" si="351"/>
        <v>25.200000000000273</v>
      </c>
      <c r="H1644" s="4">
        <f t="shared" si="352"/>
        <v>0</v>
      </c>
      <c r="I1644" s="6">
        <f t="shared" si="357"/>
        <v>16.774999999999995</v>
      </c>
      <c r="J1644" s="6">
        <f t="shared" si="358"/>
        <v>4.6785714285714288</v>
      </c>
      <c r="K1644" s="4">
        <f t="shared" si="359"/>
        <v>3.5854961832061054</v>
      </c>
      <c r="L1644">
        <f t="shared" si="360"/>
        <v>78.192109205926414</v>
      </c>
      <c r="M1644" s="14" t="str">
        <f t="shared" si="353"/>
        <v>OVERBOUGHT</v>
      </c>
      <c r="N1644" s="7" t="str">
        <f t="shared" si="354"/>
        <v>SELL</v>
      </c>
      <c r="O1644" s="7">
        <f t="shared" si="361"/>
        <v>0</v>
      </c>
      <c r="P1644" s="7">
        <f t="shared" si="362"/>
        <v>-1</v>
      </c>
      <c r="Q1644" s="10" t="e">
        <f t="shared" si="355"/>
        <v>#N/A</v>
      </c>
      <c r="R1644" s="10" t="e">
        <f t="shared" si="356"/>
        <v>#N/A</v>
      </c>
      <c r="S1644" s="7">
        <f t="shared" si="363"/>
        <v>2577.5500000000002</v>
      </c>
      <c r="T1644" s="7">
        <f t="shared" si="364"/>
        <v>0</v>
      </c>
    </row>
    <row r="1645" spans="1:20" x14ac:dyDescent="0.25">
      <c r="A1645" s="1">
        <v>43579</v>
      </c>
      <c r="B1645">
        <v>2665.55</v>
      </c>
      <c r="C1645">
        <v>2715</v>
      </c>
      <c r="D1645">
        <v>2665.55</v>
      </c>
      <c r="E1645">
        <v>2709.9</v>
      </c>
      <c r="F1645">
        <v>1116569</v>
      </c>
      <c r="G1645" s="4">
        <f t="shared" si="351"/>
        <v>34.5</v>
      </c>
      <c r="H1645" s="4">
        <f t="shared" si="352"/>
        <v>0</v>
      </c>
      <c r="I1645" s="6">
        <f t="shared" si="357"/>
        <v>18.592857142857156</v>
      </c>
      <c r="J1645" s="6">
        <f t="shared" si="358"/>
        <v>4.6785714285714288</v>
      </c>
      <c r="K1645" s="4">
        <f t="shared" si="359"/>
        <v>3.9740458015267199</v>
      </c>
      <c r="L1645">
        <f t="shared" si="360"/>
        <v>79.895641497851457</v>
      </c>
      <c r="M1645" s="14" t="str">
        <f t="shared" si="353"/>
        <v>OVERBOUGHT</v>
      </c>
      <c r="N1645" s="7" t="str">
        <f t="shared" si="354"/>
        <v>SELL</v>
      </c>
      <c r="O1645" s="7">
        <f t="shared" si="361"/>
        <v>0</v>
      </c>
      <c r="P1645" s="7">
        <f t="shared" si="362"/>
        <v>-1</v>
      </c>
      <c r="Q1645" s="10" t="e">
        <f t="shared" si="355"/>
        <v>#N/A</v>
      </c>
      <c r="R1645" s="10" t="e">
        <f t="shared" si="356"/>
        <v>#N/A</v>
      </c>
      <c r="S1645" s="7">
        <f t="shared" si="363"/>
        <v>2577.5500000000002</v>
      </c>
      <c r="T1645" s="7">
        <f t="shared" si="364"/>
        <v>0</v>
      </c>
    </row>
    <row r="1646" spans="1:20" x14ac:dyDescent="0.25">
      <c r="A1646" s="1">
        <v>43580</v>
      </c>
      <c r="B1646">
        <v>2705</v>
      </c>
      <c r="C1646">
        <v>2744.8</v>
      </c>
      <c r="D1646">
        <v>2702.05</v>
      </c>
      <c r="E1646">
        <v>2738.45</v>
      </c>
      <c r="F1646">
        <v>1163679</v>
      </c>
      <c r="G1646" s="4">
        <f t="shared" si="351"/>
        <v>28.549999999999727</v>
      </c>
      <c r="H1646" s="4">
        <f t="shared" si="352"/>
        <v>0</v>
      </c>
      <c r="I1646" s="6">
        <f t="shared" si="357"/>
        <v>17.5</v>
      </c>
      <c r="J1646" s="6">
        <f t="shared" si="358"/>
        <v>4.6785714285714288</v>
      </c>
      <c r="K1646" s="4">
        <f t="shared" si="359"/>
        <v>3.7404580152671754</v>
      </c>
      <c r="L1646">
        <f t="shared" si="360"/>
        <v>78.904991948470212</v>
      </c>
      <c r="M1646" s="14" t="str">
        <f t="shared" si="353"/>
        <v>OVERBOUGHT</v>
      </c>
      <c r="N1646" s="7" t="str">
        <f t="shared" si="354"/>
        <v>SELL</v>
      </c>
      <c r="O1646" s="7">
        <f t="shared" si="361"/>
        <v>0</v>
      </c>
      <c r="P1646" s="7">
        <f t="shared" si="362"/>
        <v>-1</v>
      </c>
      <c r="Q1646" s="10" t="e">
        <f t="shared" si="355"/>
        <v>#N/A</v>
      </c>
      <c r="R1646" s="10" t="e">
        <f t="shared" si="356"/>
        <v>#N/A</v>
      </c>
      <c r="S1646" s="7">
        <f t="shared" si="363"/>
        <v>2577.5500000000002</v>
      </c>
      <c r="T1646" s="7">
        <f t="shared" si="364"/>
        <v>0</v>
      </c>
    </row>
    <row r="1647" spans="1:20" x14ac:dyDescent="0.25">
      <c r="A1647" s="1">
        <v>43581</v>
      </c>
      <c r="B1647">
        <v>2738</v>
      </c>
      <c r="C1647">
        <v>2740</v>
      </c>
      <c r="D1647">
        <v>2673.85</v>
      </c>
      <c r="E1647">
        <v>2691.7</v>
      </c>
      <c r="F1647">
        <v>1591877</v>
      </c>
      <c r="G1647" s="4">
        <f t="shared" si="351"/>
        <v>0</v>
      </c>
      <c r="H1647" s="4">
        <f t="shared" si="352"/>
        <v>46.75</v>
      </c>
      <c r="I1647" s="6">
        <f t="shared" si="357"/>
        <v>17.5</v>
      </c>
      <c r="J1647" s="6">
        <f t="shared" si="358"/>
        <v>7.5642857142857212</v>
      </c>
      <c r="K1647" s="4">
        <f t="shared" si="359"/>
        <v>2.3135033050047191</v>
      </c>
      <c r="L1647">
        <f t="shared" si="360"/>
        <v>69.820461669991431</v>
      </c>
      <c r="M1647" s="14" t="str">
        <f t="shared" si="353"/>
        <v/>
      </c>
      <c r="N1647" s="7">
        <f t="shared" si="354"/>
        <v>0</v>
      </c>
      <c r="O1647" s="7">
        <f t="shared" si="361"/>
        <v>0</v>
      </c>
      <c r="P1647" s="7">
        <f t="shared" si="362"/>
        <v>-1</v>
      </c>
      <c r="Q1647" s="10" t="e">
        <f t="shared" si="355"/>
        <v>#N/A</v>
      </c>
      <c r="R1647" s="10" t="e">
        <f t="shared" si="356"/>
        <v>#N/A</v>
      </c>
      <c r="S1647" s="7">
        <f t="shared" si="363"/>
        <v>2577.5500000000002</v>
      </c>
      <c r="T1647" s="7">
        <f t="shared" si="364"/>
        <v>0</v>
      </c>
    </row>
    <row r="1648" spans="1:20" x14ac:dyDescent="0.25">
      <c r="A1648" s="1">
        <v>43584</v>
      </c>
      <c r="B1648">
        <v>2699</v>
      </c>
      <c r="C1648">
        <v>2699</v>
      </c>
      <c r="D1648">
        <v>2618</v>
      </c>
      <c r="E1648">
        <v>2624.55</v>
      </c>
      <c r="F1648">
        <v>924283</v>
      </c>
      <c r="G1648" s="4">
        <f t="shared" si="351"/>
        <v>0</v>
      </c>
      <c r="H1648" s="4">
        <f t="shared" si="352"/>
        <v>67.149999999999636</v>
      </c>
      <c r="I1648" s="6">
        <f t="shared" si="357"/>
        <v>15.717857142857124</v>
      </c>
      <c r="J1648" s="6">
        <f t="shared" si="358"/>
        <v>12.360714285714266</v>
      </c>
      <c r="K1648" s="4">
        <f t="shared" si="359"/>
        <v>1.2715978041028608</v>
      </c>
      <c r="L1648">
        <f t="shared" si="360"/>
        <v>55.978122615110664</v>
      </c>
      <c r="M1648" s="14" t="str">
        <f t="shared" si="353"/>
        <v/>
      </c>
      <c r="N1648" s="7">
        <f t="shared" si="354"/>
        <v>0</v>
      </c>
      <c r="O1648" s="7">
        <f t="shared" si="361"/>
        <v>0</v>
      </c>
      <c r="P1648" s="7">
        <f t="shared" si="362"/>
        <v>-1</v>
      </c>
      <c r="Q1648" s="10" t="e">
        <f t="shared" si="355"/>
        <v>#N/A</v>
      </c>
      <c r="R1648" s="10" t="e">
        <f t="shared" si="356"/>
        <v>#N/A</v>
      </c>
      <c r="S1648" s="7">
        <f t="shared" si="363"/>
        <v>2577.5500000000002</v>
      </c>
      <c r="T1648" s="7">
        <f t="shared" si="364"/>
        <v>0</v>
      </c>
    </row>
    <row r="1649" spans="1:20" x14ac:dyDescent="0.25">
      <c r="A1649" s="1">
        <v>43585</v>
      </c>
      <c r="B1649">
        <v>2635</v>
      </c>
      <c r="C1649">
        <v>2657.55</v>
      </c>
      <c r="D1649">
        <v>2630.1</v>
      </c>
      <c r="E1649">
        <v>2638.55</v>
      </c>
      <c r="F1649">
        <v>646032</v>
      </c>
      <c r="G1649" s="4">
        <f t="shared" si="351"/>
        <v>14</v>
      </c>
      <c r="H1649" s="4">
        <f t="shared" si="352"/>
        <v>0</v>
      </c>
      <c r="I1649" s="6">
        <f t="shared" si="357"/>
        <v>13.739285714285709</v>
      </c>
      <c r="J1649" s="6">
        <f t="shared" si="358"/>
        <v>12.360714285714266</v>
      </c>
      <c r="K1649" s="4">
        <f t="shared" si="359"/>
        <v>1.1115284599826654</v>
      </c>
      <c r="L1649">
        <f t="shared" si="360"/>
        <v>52.640941434044912</v>
      </c>
      <c r="M1649" s="14" t="str">
        <f t="shared" si="353"/>
        <v/>
      </c>
      <c r="N1649" s="7">
        <f t="shared" si="354"/>
        <v>0</v>
      </c>
      <c r="O1649" s="7">
        <f t="shared" si="361"/>
        <v>0</v>
      </c>
      <c r="P1649" s="7">
        <f t="shared" si="362"/>
        <v>-1</v>
      </c>
      <c r="Q1649" s="10" t="e">
        <f t="shared" si="355"/>
        <v>#N/A</v>
      </c>
      <c r="R1649" s="10" t="e">
        <f t="shared" si="356"/>
        <v>#N/A</v>
      </c>
      <c r="S1649" s="7">
        <f t="shared" si="363"/>
        <v>2577.5500000000002</v>
      </c>
      <c r="T1649" s="7">
        <f t="shared" si="364"/>
        <v>0</v>
      </c>
    </row>
    <row r="1650" spans="1:20" x14ac:dyDescent="0.25">
      <c r="A1650" s="1">
        <v>43586</v>
      </c>
      <c r="B1650">
        <v>2640</v>
      </c>
      <c r="C1650">
        <v>2646.45</v>
      </c>
      <c r="D1650">
        <v>2600</v>
      </c>
      <c r="E1650">
        <v>2603.5</v>
      </c>
      <c r="F1650">
        <v>1208122</v>
      </c>
      <c r="G1650" s="4">
        <f t="shared" si="351"/>
        <v>0</v>
      </c>
      <c r="H1650" s="4">
        <f t="shared" si="352"/>
        <v>35.050000000000182</v>
      </c>
      <c r="I1650" s="6">
        <f t="shared" si="357"/>
        <v>13.735714285714266</v>
      </c>
      <c r="J1650" s="6">
        <f t="shared" si="358"/>
        <v>14.864285714285709</v>
      </c>
      <c r="K1650" s="4">
        <f t="shared" si="359"/>
        <v>0.92407496395963384</v>
      </c>
      <c r="L1650">
        <f t="shared" si="360"/>
        <v>48.026973026973003</v>
      </c>
      <c r="M1650" s="14" t="str">
        <f t="shared" si="353"/>
        <v/>
      </c>
      <c r="N1650" s="7">
        <f t="shared" si="354"/>
        <v>0</v>
      </c>
      <c r="O1650" s="7">
        <f t="shared" si="361"/>
        <v>0</v>
      </c>
      <c r="P1650" s="7">
        <f t="shared" si="362"/>
        <v>-1</v>
      </c>
      <c r="Q1650" s="10" t="e">
        <f t="shared" si="355"/>
        <v>#N/A</v>
      </c>
      <c r="R1650" s="10" t="e">
        <f t="shared" si="356"/>
        <v>#N/A</v>
      </c>
      <c r="S1650" s="7">
        <f t="shared" si="363"/>
        <v>2577.5500000000002</v>
      </c>
      <c r="T1650" s="7">
        <f t="shared" si="364"/>
        <v>0</v>
      </c>
    </row>
    <row r="1651" spans="1:20" x14ac:dyDescent="0.25">
      <c r="A1651" s="1">
        <v>43587</v>
      </c>
      <c r="B1651">
        <v>2588</v>
      </c>
      <c r="C1651">
        <v>2594.4499999999998</v>
      </c>
      <c r="D1651">
        <v>2536.3000000000002</v>
      </c>
      <c r="E1651">
        <v>2548.6999999999998</v>
      </c>
      <c r="F1651">
        <v>1132637</v>
      </c>
      <c r="G1651" s="4">
        <f t="shared" si="351"/>
        <v>0</v>
      </c>
      <c r="H1651" s="4">
        <f t="shared" si="352"/>
        <v>54.800000000000182</v>
      </c>
      <c r="I1651" s="6">
        <f t="shared" si="357"/>
        <v>7.3821428571428509</v>
      </c>
      <c r="J1651" s="6">
        <f t="shared" si="358"/>
        <v>18.778571428571436</v>
      </c>
      <c r="K1651" s="4">
        <f t="shared" si="359"/>
        <v>0.39311525294788846</v>
      </c>
      <c r="L1651">
        <f t="shared" si="360"/>
        <v>28.218430034129668</v>
      </c>
      <c r="M1651" s="14" t="str">
        <f t="shared" si="353"/>
        <v>OVERSOLD</v>
      </c>
      <c r="N1651" s="7" t="str">
        <f t="shared" si="354"/>
        <v>BUY</v>
      </c>
      <c r="O1651" s="7" t="str">
        <f t="shared" si="361"/>
        <v>BUY</v>
      </c>
      <c r="P1651" s="7">
        <f t="shared" si="362"/>
        <v>1</v>
      </c>
      <c r="Q1651" s="10">
        <f t="shared" si="355"/>
        <v>2548.6999999999998</v>
      </c>
      <c r="R1651" s="10" t="e">
        <f t="shared" si="356"/>
        <v>#N/A</v>
      </c>
      <c r="S1651" s="7">
        <f t="shared" si="363"/>
        <v>2548.6999999999998</v>
      </c>
      <c r="T1651" s="7">
        <f t="shared" si="364"/>
        <v>1.1192799363737023E-2</v>
      </c>
    </row>
    <row r="1652" spans="1:20" x14ac:dyDescent="0.25">
      <c r="A1652" s="1">
        <v>43588</v>
      </c>
      <c r="B1652">
        <v>2544.9499999999998</v>
      </c>
      <c r="C1652">
        <v>2604.9499999999998</v>
      </c>
      <c r="D1652">
        <v>2540.1999999999998</v>
      </c>
      <c r="E1652">
        <v>2601.0500000000002</v>
      </c>
      <c r="F1652">
        <v>751687</v>
      </c>
      <c r="G1652" s="4">
        <f t="shared" si="351"/>
        <v>52.350000000000364</v>
      </c>
      <c r="H1652" s="4">
        <f t="shared" si="352"/>
        <v>0</v>
      </c>
      <c r="I1652" s="6">
        <f t="shared" si="357"/>
        <v>11.121428571428591</v>
      </c>
      <c r="J1652" s="6">
        <f t="shared" si="358"/>
        <v>18.132142857142849</v>
      </c>
      <c r="K1652" s="4">
        <f t="shared" si="359"/>
        <v>0.61335434311601478</v>
      </c>
      <c r="L1652">
        <f t="shared" si="360"/>
        <v>38.017336100598278</v>
      </c>
      <c r="M1652" s="14" t="str">
        <f t="shared" si="353"/>
        <v/>
      </c>
      <c r="N1652" s="7">
        <f t="shared" si="354"/>
        <v>0</v>
      </c>
      <c r="O1652" s="7">
        <f t="shared" si="361"/>
        <v>0</v>
      </c>
      <c r="P1652" s="7">
        <f t="shared" si="362"/>
        <v>1</v>
      </c>
      <c r="Q1652" s="10" t="e">
        <f t="shared" si="355"/>
        <v>#N/A</v>
      </c>
      <c r="R1652" s="10" t="e">
        <f t="shared" si="356"/>
        <v>#N/A</v>
      </c>
      <c r="S1652" s="7">
        <f t="shared" si="363"/>
        <v>2548.6999999999998</v>
      </c>
      <c r="T1652" s="7">
        <f t="shared" si="364"/>
        <v>0</v>
      </c>
    </row>
    <row r="1653" spans="1:20" x14ac:dyDescent="0.25">
      <c r="A1653" s="1">
        <v>43591</v>
      </c>
      <c r="B1653">
        <v>2589.8000000000002</v>
      </c>
      <c r="C1653">
        <v>2602</v>
      </c>
      <c r="D1653">
        <v>2569.0500000000002</v>
      </c>
      <c r="E1653">
        <v>2572.0500000000002</v>
      </c>
      <c r="F1653">
        <v>558439</v>
      </c>
      <c r="G1653" s="4">
        <f t="shared" si="351"/>
        <v>0</v>
      </c>
      <c r="H1653" s="4">
        <f t="shared" si="352"/>
        <v>29</v>
      </c>
      <c r="I1653" s="6">
        <f t="shared" si="357"/>
        <v>11.121428571428591</v>
      </c>
      <c r="J1653" s="6">
        <f t="shared" si="358"/>
        <v>17.139285714285734</v>
      </c>
      <c r="K1653" s="4">
        <f t="shared" si="359"/>
        <v>0.64888518441341991</v>
      </c>
      <c r="L1653">
        <f t="shared" si="360"/>
        <v>39.352963477821326</v>
      </c>
      <c r="M1653" s="14" t="str">
        <f t="shared" si="353"/>
        <v/>
      </c>
      <c r="N1653" s="7">
        <f t="shared" si="354"/>
        <v>0</v>
      </c>
      <c r="O1653" s="7">
        <f t="shared" si="361"/>
        <v>0</v>
      </c>
      <c r="P1653" s="7">
        <f t="shared" si="362"/>
        <v>1</v>
      </c>
      <c r="Q1653" s="10" t="e">
        <f t="shared" si="355"/>
        <v>#N/A</v>
      </c>
      <c r="R1653" s="10" t="e">
        <f t="shared" si="356"/>
        <v>#N/A</v>
      </c>
      <c r="S1653" s="7">
        <f t="shared" si="363"/>
        <v>2548.6999999999998</v>
      </c>
      <c r="T1653" s="7">
        <f t="shared" si="364"/>
        <v>0</v>
      </c>
    </row>
    <row r="1654" spans="1:20" x14ac:dyDescent="0.25">
      <c r="A1654" s="1">
        <v>43592</v>
      </c>
      <c r="B1654">
        <v>2580</v>
      </c>
      <c r="C1654">
        <v>2589.6999999999998</v>
      </c>
      <c r="D1654">
        <v>2526</v>
      </c>
      <c r="E1654">
        <v>2551.0500000000002</v>
      </c>
      <c r="F1654">
        <v>969845</v>
      </c>
      <c r="G1654" s="4">
        <f t="shared" si="351"/>
        <v>0</v>
      </c>
      <c r="H1654" s="4">
        <f t="shared" si="352"/>
        <v>21</v>
      </c>
      <c r="I1654" s="6">
        <f t="shared" si="357"/>
        <v>11.121428571428591</v>
      </c>
      <c r="J1654" s="6">
        <f t="shared" si="358"/>
        <v>18.332142857142863</v>
      </c>
      <c r="K1654" s="4">
        <f t="shared" si="359"/>
        <v>0.60666277030976123</v>
      </c>
      <c r="L1654">
        <f t="shared" si="360"/>
        <v>37.759185158239397</v>
      </c>
      <c r="M1654" s="14" t="str">
        <f t="shared" si="353"/>
        <v/>
      </c>
      <c r="N1654" s="7">
        <f t="shared" si="354"/>
        <v>0</v>
      </c>
      <c r="O1654" s="7">
        <f t="shared" si="361"/>
        <v>0</v>
      </c>
      <c r="P1654" s="7">
        <f t="shared" si="362"/>
        <v>1</v>
      </c>
      <c r="Q1654" s="10" t="e">
        <f t="shared" si="355"/>
        <v>#N/A</v>
      </c>
      <c r="R1654" s="10" t="e">
        <f t="shared" si="356"/>
        <v>#N/A</v>
      </c>
      <c r="S1654" s="7">
        <f t="shared" si="363"/>
        <v>2548.6999999999998</v>
      </c>
      <c r="T1654" s="7">
        <f t="shared" si="364"/>
        <v>0</v>
      </c>
    </row>
    <row r="1655" spans="1:20" x14ac:dyDescent="0.25">
      <c r="A1655" s="1">
        <v>43593</v>
      </c>
      <c r="B1655">
        <v>2559.8000000000002</v>
      </c>
      <c r="C1655">
        <v>2572.5500000000002</v>
      </c>
      <c r="D1655">
        <v>2517.1999999999998</v>
      </c>
      <c r="E1655">
        <v>2524.9499999999998</v>
      </c>
      <c r="F1655">
        <v>625157</v>
      </c>
      <c r="G1655" s="4">
        <f t="shared" si="351"/>
        <v>0</v>
      </c>
      <c r="H1655" s="4">
        <f t="shared" si="352"/>
        <v>26.100000000000364</v>
      </c>
      <c r="I1655" s="6">
        <f t="shared" si="357"/>
        <v>11.121428571428591</v>
      </c>
      <c r="J1655" s="6">
        <f t="shared" si="358"/>
        <v>19.989285714285739</v>
      </c>
      <c r="K1655" s="4">
        <f t="shared" si="359"/>
        <v>0.55636948365195671</v>
      </c>
      <c r="L1655">
        <f t="shared" si="360"/>
        <v>35.747904947767211</v>
      </c>
      <c r="M1655" s="14" t="str">
        <f t="shared" si="353"/>
        <v/>
      </c>
      <c r="N1655" s="7">
        <f t="shared" si="354"/>
        <v>0</v>
      </c>
      <c r="O1655" s="7">
        <f t="shared" si="361"/>
        <v>0</v>
      </c>
      <c r="P1655" s="7">
        <f t="shared" si="362"/>
        <v>1</v>
      </c>
      <c r="Q1655" s="10" t="e">
        <f t="shared" si="355"/>
        <v>#N/A</v>
      </c>
      <c r="R1655" s="10" t="e">
        <f t="shared" si="356"/>
        <v>#N/A</v>
      </c>
      <c r="S1655" s="7">
        <f t="shared" si="363"/>
        <v>2548.6999999999998</v>
      </c>
      <c r="T1655" s="7">
        <f t="shared" si="364"/>
        <v>0</v>
      </c>
    </row>
    <row r="1656" spans="1:20" x14ac:dyDescent="0.25">
      <c r="A1656" s="1">
        <v>43594</v>
      </c>
      <c r="B1656">
        <v>2534.9499999999998</v>
      </c>
      <c r="C1656">
        <v>2534.9499999999998</v>
      </c>
      <c r="D1656">
        <v>2466.75</v>
      </c>
      <c r="E1656">
        <v>2500.5500000000002</v>
      </c>
      <c r="F1656">
        <v>744364</v>
      </c>
      <c r="G1656" s="4">
        <f t="shared" si="351"/>
        <v>0</v>
      </c>
      <c r="H1656" s="4">
        <f t="shared" si="352"/>
        <v>24.399999999999636</v>
      </c>
      <c r="I1656" s="6">
        <f t="shared" si="357"/>
        <v>11.092857142857156</v>
      </c>
      <c r="J1656" s="6">
        <f t="shared" si="358"/>
        <v>21.732142857142858</v>
      </c>
      <c r="K1656" s="4">
        <f t="shared" si="359"/>
        <v>0.51043549712407621</v>
      </c>
      <c r="L1656">
        <f t="shared" si="360"/>
        <v>33.793928843433832</v>
      </c>
      <c r="M1656" s="14" t="str">
        <f t="shared" si="353"/>
        <v/>
      </c>
      <c r="N1656" s="7">
        <f t="shared" si="354"/>
        <v>0</v>
      </c>
      <c r="O1656" s="7">
        <f t="shared" si="361"/>
        <v>0</v>
      </c>
      <c r="P1656" s="7">
        <f t="shared" si="362"/>
        <v>1</v>
      </c>
      <c r="Q1656" s="10" t="e">
        <f t="shared" si="355"/>
        <v>#N/A</v>
      </c>
      <c r="R1656" s="10" t="e">
        <f t="shared" si="356"/>
        <v>#N/A</v>
      </c>
      <c r="S1656" s="7">
        <f t="shared" si="363"/>
        <v>2548.6999999999998</v>
      </c>
      <c r="T1656" s="7">
        <f t="shared" si="364"/>
        <v>0</v>
      </c>
    </row>
    <row r="1657" spans="1:20" x14ac:dyDescent="0.25">
      <c r="A1657" s="1">
        <v>43595</v>
      </c>
      <c r="B1657">
        <v>2510</v>
      </c>
      <c r="C1657">
        <v>2549.8000000000002</v>
      </c>
      <c r="D1657">
        <v>2501.25</v>
      </c>
      <c r="E1657">
        <v>2544.15</v>
      </c>
      <c r="F1657">
        <v>722013</v>
      </c>
      <c r="G1657" s="4">
        <f t="shared" si="351"/>
        <v>43.599999999999909</v>
      </c>
      <c r="H1657" s="4">
        <f t="shared" si="352"/>
        <v>0</v>
      </c>
      <c r="I1657" s="6">
        <f t="shared" si="357"/>
        <v>14.157142857142876</v>
      </c>
      <c r="J1657" s="6">
        <f t="shared" si="358"/>
        <v>21.732142857142858</v>
      </c>
      <c r="K1657" s="4">
        <f t="shared" si="359"/>
        <v>0.65143796220213723</v>
      </c>
      <c r="L1657">
        <f t="shared" si="360"/>
        <v>39.446711115533908</v>
      </c>
      <c r="M1657" s="14" t="str">
        <f t="shared" si="353"/>
        <v/>
      </c>
      <c r="N1657" s="7">
        <f t="shared" si="354"/>
        <v>0</v>
      </c>
      <c r="O1657" s="7">
        <f t="shared" si="361"/>
        <v>0</v>
      </c>
      <c r="P1657" s="7">
        <f t="shared" si="362"/>
        <v>1</v>
      </c>
      <c r="Q1657" s="10" t="e">
        <f t="shared" si="355"/>
        <v>#N/A</v>
      </c>
      <c r="R1657" s="10" t="e">
        <f t="shared" si="356"/>
        <v>#N/A</v>
      </c>
      <c r="S1657" s="7">
        <f t="shared" si="363"/>
        <v>2548.6999999999998</v>
      </c>
      <c r="T1657" s="7">
        <f t="shared" si="364"/>
        <v>0</v>
      </c>
    </row>
    <row r="1658" spans="1:20" x14ac:dyDescent="0.25">
      <c r="A1658" s="1">
        <v>43598</v>
      </c>
      <c r="B1658">
        <v>2550</v>
      </c>
      <c r="C1658">
        <v>2550</v>
      </c>
      <c r="D1658">
        <v>2500.85</v>
      </c>
      <c r="E1658">
        <v>2511.3000000000002</v>
      </c>
      <c r="F1658">
        <v>1615834</v>
      </c>
      <c r="G1658" s="4">
        <f t="shared" si="351"/>
        <v>0</v>
      </c>
      <c r="H1658" s="4">
        <f t="shared" si="352"/>
        <v>32.849999999999909</v>
      </c>
      <c r="I1658" s="6">
        <f t="shared" si="357"/>
        <v>12.357142857142858</v>
      </c>
      <c r="J1658" s="6">
        <f t="shared" si="358"/>
        <v>24.078571428571422</v>
      </c>
      <c r="K1658" s="4">
        <f t="shared" si="359"/>
        <v>0.5132008306140613</v>
      </c>
      <c r="L1658">
        <f t="shared" si="360"/>
        <v>33.914918643403269</v>
      </c>
      <c r="M1658" s="14" t="str">
        <f t="shared" si="353"/>
        <v/>
      </c>
      <c r="N1658" s="7">
        <f t="shared" si="354"/>
        <v>0</v>
      </c>
      <c r="O1658" s="7">
        <f t="shared" si="361"/>
        <v>0</v>
      </c>
      <c r="P1658" s="7">
        <f t="shared" si="362"/>
        <v>1</v>
      </c>
      <c r="Q1658" s="10" t="e">
        <f t="shared" si="355"/>
        <v>#N/A</v>
      </c>
      <c r="R1658" s="10" t="e">
        <f t="shared" si="356"/>
        <v>#N/A</v>
      </c>
      <c r="S1658" s="7">
        <f t="shared" si="363"/>
        <v>2548.6999999999998</v>
      </c>
      <c r="T1658" s="7">
        <f t="shared" si="364"/>
        <v>0</v>
      </c>
    </row>
    <row r="1659" spans="1:20" x14ac:dyDescent="0.25">
      <c r="A1659" s="1">
        <v>43599</v>
      </c>
      <c r="B1659">
        <v>2524.9</v>
      </c>
      <c r="C1659">
        <v>2534.9499999999998</v>
      </c>
      <c r="D1659">
        <v>2487.0500000000002</v>
      </c>
      <c r="E1659">
        <v>2507.5</v>
      </c>
      <c r="F1659">
        <v>672868</v>
      </c>
      <c r="G1659" s="4">
        <f t="shared" si="351"/>
        <v>0</v>
      </c>
      <c r="H1659" s="4">
        <f t="shared" si="352"/>
        <v>3.8000000000001819</v>
      </c>
      <c r="I1659" s="6">
        <f t="shared" si="357"/>
        <v>9.8928571428571423</v>
      </c>
      <c r="J1659" s="6">
        <f t="shared" si="358"/>
        <v>24.350000000000005</v>
      </c>
      <c r="K1659" s="4">
        <f t="shared" si="359"/>
        <v>0.40627750073335278</v>
      </c>
      <c r="L1659">
        <f t="shared" si="360"/>
        <v>28.890279516061739</v>
      </c>
      <c r="M1659" s="14" t="str">
        <f t="shared" si="353"/>
        <v>OVERSOLD</v>
      </c>
      <c r="N1659" s="7" t="str">
        <f t="shared" si="354"/>
        <v>BUY</v>
      </c>
      <c r="O1659" s="7">
        <f t="shared" si="361"/>
        <v>0</v>
      </c>
      <c r="P1659" s="7">
        <f t="shared" si="362"/>
        <v>1</v>
      </c>
      <c r="Q1659" s="10" t="e">
        <f t="shared" si="355"/>
        <v>#N/A</v>
      </c>
      <c r="R1659" s="10" t="e">
        <f t="shared" si="356"/>
        <v>#N/A</v>
      </c>
      <c r="S1659" s="7">
        <f t="shared" si="363"/>
        <v>2548.6999999999998</v>
      </c>
      <c r="T1659" s="7">
        <f t="shared" si="364"/>
        <v>0</v>
      </c>
    </row>
    <row r="1660" spans="1:20" x14ac:dyDescent="0.25">
      <c r="A1660" s="1">
        <v>43600</v>
      </c>
      <c r="B1660">
        <v>2512</v>
      </c>
      <c r="C1660">
        <v>2519.4</v>
      </c>
      <c r="D1660">
        <v>2496.0500000000002</v>
      </c>
      <c r="E1660">
        <v>2514.8000000000002</v>
      </c>
      <c r="F1660">
        <v>871165</v>
      </c>
      <c r="G1660" s="4">
        <f t="shared" si="351"/>
        <v>7.3000000000001819</v>
      </c>
      <c r="H1660" s="4">
        <f t="shared" si="352"/>
        <v>0</v>
      </c>
      <c r="I1660" s="6">
        <f t="shared" si="357"/>
        <v>8.375000000000032</v>
      </c>
      <c r="J1660" s="6">
        <f t="shared" si="358"/>
        <v>24.350000000000005</v>
      </c>
      <c r="K1660" s="4">
        <f t="shared" si="359"/>
        <v>0.34394250513347147</v>
      </c>
      <c r="L1660">
        <f t="shared" si="360"/>
        <v>25.59205500381978</v>
      </c>
      <c r="M1660" s="14" t="str">
        <f t="shared" si="353"/>
        <v>OVERSOLD</v>
      </c>
      <c r="N1660" s="7" t="str">
        <f t="shared" si="354"/>
        <v>BUY</v>
      </c>
      <c r="O1660" s="7">
        <f t="shared" si="361"/>
        <v>0</v>
      </c>
      <c r="P1660" s="7">
        <f t="shared" si="362"/>
        <v>1</v>
      </c>
      <c r="Q1660" s="10" t="e">
        <f t="shared" si="355"/>
        <v>#N/A</v>
      </c>
      <c r="R1660" s="10" t="e">
        <f t="shared" si="356"/>
        <v>#N/A</v>
      </c>
      <c r="S1660" s="7">
        <f t="shared" si="363"/>
        <v>2548.6999999999998</v>
      </c>
      <c r="T1660" s="7">
        <f t="shared" si="364"/>
        <v>0</v>
      </c>
    </row>
    <row r="1661" spans="1:20" x14ac:dyDescent="0.25">
      <c r="A1661" s="1">
        <v>43601</v>
      </c>
      <c r="B1661">
        <v>2519.9</v>
      </c>
      <c r="C1661">
        <v>2520.15</v>
      </c>
      <c r="D1661">
        <v>2480</v>
      </c>
      <c r="E1661">
        <v>2484.0500000000002</v>
      </c>
      <c r="F1661">
        <v>1119533</v>
      </c>
      <c r="G1661" s="4">
        <f t="shared" si="351"/>
        <v>0</v>
      </c>
      <c r="H1661" s="4">
        <f t="shared" si="352"/>
        <v>30.75</v>
      </c>
      <c r="I1661" s="6">
        <f t="shared" si="357"/>
        <v>8.375000000000032</v>
      </c>
      <c r="J1661" s="6">
        <f t="shared" si="358"/>
        <v>23.207142857142863</v>
      </c>
      <c r="K1661" s="4">
        <f t="shared" si="359"/>
        <v>0.36088027085257129</v>
      </c>
      <c r="L1661">
        <f t="shared" si="360"/>
        <v>26.51814994911237</v>
      </c>
      <c r="M1661" s="14" t="str">
        <f t="shared" si="353"/>
        <v>OVERSOLD</v>
      </c>
      <c r="N1661" s="7" t="str">
        <f t="shared" si="354"/>
        <v>BUY</v>
      </c>
      <c r="O1661" s="7">
        <f t="shared" si="361"/>
        <v>0</v>
      </c>
      <c r="P1661" s="7">
        <f t="shared" si="362"/>
        <v>1</v>
      </c>
      <c r="Q1661" s="10" t="e">
        <f t="shared" si="355"/>
        <v>#N/A</v>
      </c>
      <c r="R1661" s="10" t="e">
        <f t="shared" si="356"/>
        <v>#N/A</v>
      </c>
      <c r="S1661" s="7">
        <f t="shared" si="363"/>
        <v>2548.6999999999998</v>
      </c>
      <c r="T1661" s="7">
        <f t="shared" si="364"/>
        <v>0</v>
      </c>
    </row>
    <row r="1662" spans="1:20" x14ac:dyDescent="0.25">
      <c r="A1662" s="1">
        <v>43602</v>
      </c>
      <c r="B1662">
        <v>2499.6999999999998</v>
      </c>
      <c r="C1662">
        <v>2499.6999999999998</v>
      </c>
      <c r="D1662">
        <v>2423</v>
      </c>
      <c r="E1662">
        <v>2440.5500000000002</v>
      </c>
      <c r="F1662">
        <v>1927020</v>
      </c>
      <c r="G1662" s="4">
        <f t="shared" si="351"/>
        <v>0</v>
      </c>
      <c r="H1662" s="4">
        <f t="shared" si="352"/>
        <v>43.5</v>
      </c>
      <c r="I1662" s="6">
        <f t="shared" si="357"/>
        <v>8.375000000000032</v>
      </c>
      <c r="J1662" s="6">
        <f t="shared" si="358"/>
        <v>21.517857142857174</v>
      </c>
      <c r="K1662" s="4">
        <f t="shared" si="359"/>
        <v>0.3892116182572623</v>
      </c>
      <c r="L1662">
        <f t="shared" si="360"/>
        <v>28.016726403823228</v>
      </c>
      <c r="M1662" s="14" t="str">
        <f t="shared" si="353"/>
        <v>OVERSOLD</v>
      </c>
      <c r="N1662" s="7" t="str">
        <f t="shared" si="354"/>
        <v>BUY</v>
      </c>
      <c r="O1662" s="7">
        <f t="shared" si="361"/>
        <v>0</v>
      </c>
      <c r="P1662" s="7">
        <f t="shared" si="362"/>
        <v>1</v>
      </c>
      <c r="Q1662" s="10" t="e">
        <f t="shared" si="355"/>
        <v>#N/A</v>
      </c>
      <c r="R1662" s="10" t="e">
        <f t="shared" si="356"/>
        <v>#N/A</v>
      </c>
      <c r="S1662" s="7">
        <f t="shared" si="363"/>
        <v>2548.6999999999998</v>
      </c>
      <c r="T1662" s="7">
        <f t="shared" si="364"/>
        <v>0</v>
      </c>
    </row>
    <row r="1663" spans="1:20" x14ac:dyDescent="0.25">
      <c r="A1663" s="1">
        <v>43605</v>
      </c>
      <c r="B1663">
        <v>2360</v>
      </c>
      <c r="C1663">
        <v>2360</v>
      </c>
      <c r="D1663">
        <v>2284.75</v>
      </c>
      <c r="E1663">
        <v>2322.1</v>
      </c>
      <c r="F1663">
        <v>3510758</v>
      </c>
      <c r="G1663" s="4">
        <f t="shared" si="351"/>
        <v>0</v>
      </c>
      <c r="H1663" s="4">
        <f t="shared" si="352"/>
        <v>118.45000000000027</v>
      </c>
      <c r="I1663" s="6">
        <f t="shared" si="357"/>
        <v>7.3750000000000329</v>
      </c>
      <c r="J1663" s="6">
        <f t="shared" si="358"/>
        <v>29.978571428571481</v>
      </c>
      <c r="K1663" s="4">
        <f t="shared" si="359"/>
        <v>0.24600905408625276</v>
      </c>
      <c r="L1663">
        <f t="shared" si="360"/>
        <v>19.743761353857963</v>
      </c>
      <c r="M1663" s="14" t="str">
        <f t="shared" si="353"/>
        <v>OVERSOLD</v>
      </c>
      <c r="N1663" s="7" t="str">
        <f t="shared" si="354"/>
        <v>BUY</v>
      </c>
      <c r="O1663" s="7">
        <f t="shared" si="361"/>
        <v>0</v>
      </c>
      <c r="P1663" s="7">
        <f t="shared" si="362"/>
        <v>1</v>
      </c>
      <c r="Q1663" s="10" t="e">
        <f t="shared" si="355"/>
        <v>#N/A</v>
      </c>
      <c r="R1663" s="10" t="e">
        <f t="shared" si="356"/>
        <v>#N/A</v>
      </c>
      <c r="S1663" s="7">
        <f t="shared" si="363"/>
        <v>2548.6999999999998</v>
      </c>
      <c r="T1663" s="7">
        <f t="shared" si="364"/>
        <v>0</v>
      </c>
    </row>
    <row r="1664" spans="1:20" x14ac:dyDescent="0.25">
      <c r="A1664" s="1">
        <v>43606</v>
      </c>
      <c r="B1664">
        <v>2329.6999999999998</v>
      </c>
      <c r="C1664">
        <v>2366.65</v>
      </c>
      <c r="D1664">
        <v>2320.0500000000002</v>
      </c>
      <c r="E1664">
        <v>2352.4499999999998</v>
      </c>
      <c r="F1664">
        <v>1371219</v>
      </c>
      <c r="G1664" s="4">
        <f t="shared" si="351"/>
        <v>30.349999999999909</v>
      </c>
      <c r="H1664" s="4">
        <f t="shared" si="352"/>
        <v>0</v>
      </c>
      <c r="I1664" s="6">
        <f t="shared" si="357"/>
        <v>9.5428571428571694</v>
      </c>
      <c r="J1664" s="6">
        <f t="shared" si="358"/>
        <v>27.475000000000041</v>
      </c>
      <c r="K1664" s="4">
        <f t="shared" si="359"/>
        <v>0.34732874041336326</v>
      </c>
      <c r="L1664">
        <f t="shared" si="360"/>
        <v>25.779064158224813</v>
      </c>
      <c r="M1664" s="14" t="str">
        <f t="shared" si="353"/>
        <v>OVERSOLD</v>
      </c>
      <c r="N1664" s="7" t="str">
        <f t="shared" si="354"/>
        <v>BUY</v>
      </c>
      <c r="O1664" s="7">
        <f t="shared" si="361"/>
        <v>0</v>
      </c>
      <c r="P1664" s="7">
        <f t="shared" si="362"/>
        <v>1</v>
      </c>
      <c r="Q1664" s="10" t="e">
        <f t="shared" si="355"/>
        <v>#N/A</v>
      </c>
      <c r="R1664" s="10" t="e">
        <f t="shared" si="356"/>
        <v>#N/A</v>
      </c>
      <c r="S1664" s="7">
        <f t="shared" si="363"/>
        <v>2548.6999999999998</v>
      </c>
      <c r="T1664" s="7">
        <f t="shared" si="364"/>
        <v>0</v>
      </c>
    </row>
    <row r="1665" spans="1:20" x14ac:dyDescent="0.25">
      <c r="A1665" s="1">
        <v>43607</v>
      </c>
      <c r="B1665">
        <v>2337</v>
      </c>
      <c r="C1665">
        <v>2363.9499999999998</v>
      </c>
      <c r="D1665">
        <v>2324</v>
      </c>
      <c r="E1665">
        <v>2359.0500000000002</v>
      </c>
      <c r="F1665">
        <v>1012227</v>
      </c>
      <c r="G1665" s="4">
        <f t="shared" si="351"/>
        <v>6.6000000000003638</v>
      </c>
      <c r="H1665" s="4">
        <f t="shared" si="352"/>
        <v>0</v>
      </c>
      <c r="I1665" s="6">
        <f t="shared" si="357"/>
        <v>10.014285714285766</v>
      </c>
      <c r="J1665" s="6">
        <f t="shared" si="358"/>
        <v>23.560714285714312</v>
      </c>
      <c r="K1665" s="4">
        <f t="shared" si="359"/>
        <v>0.42504168561467504</v>
      </c>
      <c r="L1665">
        <f t="shared" si="360"/>
        <v>29.826614189979878</v>
      </c>
      <c r="M1665" s="14" t="str">
        <f t="shared" si="353"/>
        <v>OVERSOLD</v>
      </c>
      <c r="N1665" s="7" t="str">
        <f t="shared" si="354"/>
        <v>BUY</v>
      </c>
      <c r="O1665" s="7">
        <f t="shared" si="361"/>
        <v>0</v>
      </c>
      <c r="P1665" s="7">
        <f t="shared" si="362"/>
        <v>1</v>
      </c>
      <c r="Q1665" s="10" t="e">
        <f t="shared" si="355"/>
        <v>#N/A</v>
      </c>
      <c r="R1665" s="10" t="e">
        <f t="shared" si="356"/>
        <v>#N/A</v>
      </c>
      <c r="S1665" s="7">
        <f t="shared" si="363"/>
        <v>2548.6999999999998</v>
      </c>
      <c r="T1665" s="7">
        <f t="shared" si="364"/>
        <v>0</v>
      </c>
    </row>
    <row r="1666" spans="1:20" x14ac:dyDescent="0.25">
      <c r="A1666" s="1">
        <v>43608</v>
      </c>
      <c r="B1666">
        <v>2362</v>
      </c>
      <c r="C1666">
        <v>2377.6</v>
      </c>
      <c r="D1666">
        <v>2310</v>
      </c>
      <c r="E1666">
        <v>2328.4499999999998</v>
      </c>
      <c r="F1666">
        <v>1034929</v>
      </c>
      <c r="G1666" s="4">
        <f t="shared" si="351"/>
        <v>0</v>
      </c>
      <c r="H1666" s="4">
        <f t="shared" si="352"/>
        <v>30.600000000000364</v>
      </c>
      <c r="I1666" s="6">
        <f t="shared" si="357"/>
        <v>6.2750000000000261</v>
      </c>
      <c r="J1666" s="6">
        <f t="shared" si="358"/>
        <v>25.746428571428623</v>
      </c>
      <c r="K1666" s="4">
        <f t="shared" si="359"/>
        <v>0.24372312387293713</v>
      </c>
      <c r="L1666">
        <f t="shared" si="360"/>
        <v>19.596252509480294</v>
      </c>
      <c r="M1666" s="14" t="str">
        <f t="shared" si="353"/>
        <v>OVERSOLD</v>
      </c>
      <c r="N1666" s="7" t="str">
        <f t="shared" si="354"/>
        <v>BUY</v>
      </c>
      <c r="O1666" s="7">
        <f t="shared" si="361"/>
        <v>0</v>
      </c>
      <c r="P1666" s="7">
        <f t="shared" si="362"/>
        <v>1</v>
      </c>
      <c r="Q1666" s="10" t="e">
        <f t="shared" si="355"/>
        <v>#N/A</v>
      </c>
      <c r="R1666" s="10" t="e">
        <f t="shared" si="356"/>
        <v>#N/A</v>
      </c>
      <c r="S1666" s="7">
        <f t="shared" si="363"/>
        <v>2548.6999999999998</v>
      </c>
      <c r="T1666" s="7">
        <f t="shared" si="364"/>
        <v>0</v>
      </c>
    </row>
    <row r="1667" spans="1:20" x14ac:dyDescent="0.25">
      <c r="A1667" s="1">
        <v>43609</v>
      </c>
      <c r="B1667">
        <v>2339.9499999999998</v>
      </c>
      <c r="C1667">
        <v>2342.1</v>
      </c>
      <c r="D1667">
        <v>2316.75</v>
      </c>
      <c r="E1667">
        <v>2326.9499999999998</v>
      </c>
      <c r="F1667">
        <v>1409482</v>
      </c>
      <c r="G1667" s="4">
        <f t="shared" si="351"/>
        <v>0</v>
      </c>
      <c r="H1667" s="4">
        <f t="shared" si="352"/>
        <v>1.5</v>
      </c>
      <c r="I1667" s="6">
        <f t="shared" si="357"/>
        <v>6.2750000000000261</v>
      </c>
      <c r="J1667" s="6">
        <f t="shared" si="358"/>
        <v>23.782142857142908</v>
      </c>
      <c r="K1667" s="4">
        <f t="shared" si="359"/>
        <v>0.26385343144616363</v>
      </c>
      <c r="L1667">
        <f t="shared" si="360"/>
        <v>20.876901140684438</v>
      </c>
      <c r="M1667" s="14" t="str">
        <f t="shared" si="353"/>
        <v>OVERSOLD</v>
      </c>
      <c r="N1667" s="7" t="str">
        <f t="shared" si="354"/>
        <v>BUY</v>
      </c>
      <c r="O1667" s="7">
        <f t="shared" si="361"/>
        <v>0</v>
      </c>
      <c r="P1667" s="7">
        <f t="shared" si="362"/>
        <v>1</v>
      </c>
      <c r="Q1667" s="10" t="e">
        <f t="shared" si="355"/>
        <v>#N/A</v>
      </c>
      <c r="R1667" s="10" t="e">
        <f t="shared" si="356"/>
        <v>#N/A</v>
      </c>
      <c r="S1667" s="7">
        <f t="shared" si="363"/>
        <v>2548.6999999999998</v>
      </c>
      <c r="T1667" s="7">
        <f t="shared" si="364"/>
        <v>0</v>
      </c>
    </row>
    <row r="1668" spans="1:20" x14ac:dyDescent="0.25">
      <c r="A1668" s="1">
        <v>43612</v>
      </c>
      <c r="B1668">
        <v>2336.6999999999998</v>
      </c>
      <c r="C1668">
        <v>2376</v>
      </c>
      <c r="D1668">
        <v>2320</v>
      </c>
      <c r="E1668">
        <v>2361.6999999999998</v>
      </c>
      <c r="F1668">
        <v>2179002</v>
      </c>
      <c r="G1668" s="4">
        <f t="shared" ref="G1668:G1731" si="365">IF(E1668&gt;E1667,E1668-E1667,0)</f>
        <v>34.75</v>
      </c>
      <c r="H1668" s="4">
        <f t="shared" ref="H1668:H1731" si="366">IF(E1668&lt;E1667,E1667-E1668,0)</f>
        <v>0</v>
      </c>
      <c r="I1668" s="6">
        <f t="shared" si="357"/>
        <v>8.7571428571428829</v>
      </c>
      <c r="J1668" s="6">
        <f t="shared" si="358"/>
        <v>22.282142857142908</v>
      </c>
      <c r="K1668" s="4">
        <f t="shared" si="359"/>
        <v>0.39301170059304402</v>
      </c>
      <c r="L1668">
        <f t="shared" si="360"/>
        <v>28.213094005292845</v>
      </c>
      <c r="M1668" s="14" t="str">
        <f t="shared" si="353"/>
        <v>OVERSOLD</v>
      </c>
      <c r="N1668" s="7" t="str">
        <f t="shared" si="354"/>
        <v>BUY</v>
      </c>
      <c r="O1668" s="7">
        <f t="shared" si="361"/>
        <v>0</v>
      </c>
      <c r="P1668" s="7">
        <f t="shared" si="362"/>
        <v>1</v>
      </c>
      <c r="Q1668" s="10" t="e">
        <f t="shared" si="355"/>
        <v>#N/A</v>
      </c>
      <c r="R1668" s="10" t="e">
        <f t="shared" si="356"/>
        <v>#N/A</v>
      </c>
      <c r="S1668" s="7">
        <f t="shared" si="363"/>
        <v>2548.6999999999998</v>
      </c>
      <c r="T1668" s="7">
        <f t="shared" si="364"/>
        <v>0</v>
      </c>
    </row>
    <row r="1669" spans="1:20" x14ac:dyDescent="0.25">
      <c r="A1669" s="1">
        <v>43613</v>
      </c>
      <c r="B1669">
        <v>2365</v>
      </c>
      <c r="C1669">
        <v>2427</v>
      </c>
      <c r="D1669">
        <v>2350</v>
      </c>
      <c r="E1669">
        <v>2411.4499999999998</v>
      </c>
      <c r="F1669">
        <v>1401273</v>
      </c>
      <c r="G1669" s="4">
        <f t="shared" si="365"/>
        <v>49.75</v>
      </c>
      <c r="H1669" s="4">
        <f t="shared" si="366"/>
        <v>0</v>
      </c>
      <c r="I1669" s="6">
        <f t="shared" si="357"/>
        <v>12.310714285714312</v>
      </c>
      <c r="J1669" s="6">
        <f t="shared" si="358"/>
        <v>20.417857142857169</v>
      </c>
      <c r="K1669" s="4">
        <f t="shared" si="359"/>
        <v>0.60293860416302303</v>
      </c>
      <c r="L1669">
        <f t="shared" si="360"/>
        <v>37.614578786556109</v>
      </c>
      <c r="M1669" s="14" t="str">
        <f t="shared" si="353"/>
        <v/>
      </c>
      <c r="N1669" s="7">
        <f t="shared" si="354"/>
        <v>0</v>
      </c>
      <c r="O1669" s="7">
        <f t="shared" si="361"/>
        <v>0</v>
      </c>
      <c r="P1669" s="7">
        <f t="shared" si="362"/>
        <v>1</v>
      </c>
      <c r="Q1669" s="10" t="e">
        <f t="shared" si="355"/>
        <v>#N/A</v>
      </c>
      <c r="R1669" s="10" t="e">
        <f t="shared" si="356"/>
        <v>#N/A</v>
      </c>
      <c r="S1669" s="7">
        <f t="shared" si="363"/>
        <v>2548.6999999999998</v>
      </c>
      <c r="T1669" s="7">
        <f t="shared" si="364"/>
        <v>0</v>
      </c>
    </row>
    <row r="1670" spans="1:20" x14ac:dyDescent="0.25">
      <c r="A1670" s="1">
        <v>43614</v>
      </c>
      <c r="B1670">
        <v>2411</v>
      </c>
      <c r="C1670">
        <v>2416.9</v>
      </c>
      <c r="D1670">
        <v>2385.4</v>
      </c>
      <c r="E1670">
        <v>2406.5</v>
      </c>
      <c r="F1670">
        <v>592276</v>
      </c>
      <c r="G1670" s="4">
        <f t="shared" si="365"/>
        <v>0</v>
      </c>
      <c r="H1670" s="4">
        <f t="shared" si="366"/>
        <v>4.9499999999998181</v>
      </c>
      <c r="I1670" s="6">
        <f t="shared" si="357"/>
        <v>12.310714285714312</v>
      </c>
      <c r="J1670" s="6">
        <f t="shared" si="358"/>
        <v>19.028571428571468</v>
      </c>
      <c r="K1670" s="4">
        <f t="shared" si="359"/>
        <v>0.64695945945945954</v>
      </c>
      <c r="L1670">
        <f t="shared" si="360"/>
        <v>39.282051282051292</v>
      </c>
      <c r="M1670" s="14" t="str">
        <f t="shared" si="353"/>
        <v/>
      </c>
      <c r="N1670" s="7">
        <f t="shared" si="354"/>
        <v>0</v>
      </c>
      <c r="O1670" s="7">
        <f t="shared" si="361"/>
        <v>0</v>
      </c>
      <c r="P1670" s="7">
        <f t="shared" si="362"/>
        <v>1</v>
      </c>
      <c r="Q1670" s="10" t="e">
        <f t="shared" si="355"/>
        <v>#N/A</v>
      </c>
      <c r="R1670" s="10" t="e">
        <f t="shared" si="356"/>
        <v>#N/A</v>
      </c>
      <c r="S1670" s="7">
        <f t="shared" si="363"/>
        <v>2548.6999999999998</v>
      </c>
      <c r="T1670" s="7">
        <f t="shared" si="364"/>
        <v>0</v>
      </c>
    </row>
    <row r="1671" spans="1:20" x14ac:dyDescent="0.25">
      <c r="A1671" s="1">
        <v>43615</v>
      </c>
      <c r="B1671">
        <v>2407.6999999999998</v>
      </c>
      <c r="C1671">
        <v>2424</v>
      </c>
      <c r="D1671">
        <v>2400.6999999999998</v>
      </c>
      <c r="E1671">
        <v>2413.4</v>
      </c>
      <c r="F1671">
        <v>839010</v>
      </c>
      <c r="G1671" s="4">
        <f t="shared" si="365"/>
        <v>6.9000000000000909</v>
      </c>
      <c r="H1671" s="4">
        <f t="shared" si="366"/>
        <v>0</v>
      </c>
      <c r="I1671" s="6">
        <f t="shared" si="357"/>
        <v>9.689285714285754</v>
      </c>
      <c r="J1671" s="6">
        <f t="shared" si="358"/>
        <v>19.028571428571468</v>
      </c>
      <c r="K1671" s="4">
        <f t="shared" si="359"/>
        <v>0.50919669669669776</v>
      </c>
      <c r="L1671">
        <f t="shared" si="360"/>
        <v>33.739584628777564</v>
      </c>
      <c r="M1671" s="14" t="str">
        <f t="shared" si="353"/>
        <v/>
      </c>
      <c r="N1671" s="7">
        <f t="shared" si="354"/>
        <v>0</v>
      </c>
      <c r="O1671" s="7">
        <f t="shared" si="361"/>
        <v>0</v>
      </c>
      <c r="P1671" s="7">
        <f t="shared" si="362"/>
        <v>1</v>
      </c>
      <c r="Q1671" s="10" t="e">
        <f t="shared" si="355"/>
        <v>#N/A</v>
      </c>
      <c r="R1671" s="10" t="e">
        <f t="shared" si="356"/>
        <v>#N/A</v>
      </c>
      <c r="S1671" s="7">
        <f t="shared" si="363"/>
        <v>2548.6999999999998</v>
      </c>
      <c r="T1671" s="7">
        <f t="shared" si="364"/>
        <v>0</v>
      </c>
    </row>
    <row r="1672" spans="1:20" x14ac:dyDescent="0.25">
      <c r="A1672" s="1">
        <v>43616</v>
      </c>
      <c r="B1672">
        <v>2425.25</v>
      </c>
      <c r="C1672">
        <v>2428</v>
      </c>
      <c r="D1672">
        <v>2371.1</v>
      </c>
      <c r="E1672">
        <v>2378</v>
      </c>
      <c r="F1672">
        <v>1428787</v>
      </c>
      <c r="G1672" s="4">
        <f t="shared" si="365"/>
        <v>0</v>
      </c>
      <c r="H1672" s="4">
        <f t="shared" si="366"/>
        <v>35.400000000000091</v>
      </c>
      <c r="I1672" s="6">
        <f t="shared" si="357"/>
        <v>9.689285714285754</v>
      </c>
      <c r="J1672" s="6">
        <f t="shared" si="358"/>
        <v>19.210714285714339</v>
      </c>
      <c r="K1672" s="4">
        <f t="shared" si="359"/>
        <v>0.50436884179215535</v>
      </c>
      <c r="L1672">
        <f t="shared" si="360"/>
        <v>33.52694018783987</v>
      </c>
      <c r="M1672" s="14" t="str">
        <f t="shared" si="353"/>
        <v/>
      </c>
      <c r="N1672" s="7">
        <f t="shared" si="354"/>
        <v>0</v>
      </c>
      <c r="O1672" s="7">
        <f t="shared" si="361"/>
        <v>0</v>
      </c>
      <c r="P1672" s="7">
        <f t="shared" si="362"/>
        <v>1</v>
      </c>
      <c r="Q1672" s="10" t="e">
        <f t="shared" si="355"/>
        <v>#N/A</v>
      </c>
      <c r="R1672" s="10" t="e">
        <f t="shared" si="356"/>
        <v>#N/A</v>
      </c>
      <c r="S1672" s="7">
        <f t="shared" si="363"/>
        <v>2548.6999999999998</v>
      </c>
      <c r="T1672" s="7">
        <f t="shared" si="364"/>
        <v>0</v>
      </c>
    </row>
    <row r="1673" spans="1:20" x14ac:dyDescent="0.25">
      <c r="A1673" s="1">
        <v>43619</v>
      </c>
      <c r="B1673">
        <v>2382</v>
      </c>
      <c r="C1673">
        <v>2403.85</v>
      </c>
      <c r="D1673">
        <v>2371.15</v>
      </c>
      <c r="E1673">
        <v>2398.1</v>
      </c>
      <c r="F1673">
        <v>900363</v>
      </c>
      <c r="G1673" s="4">
        <f t="shared" si="365"/>
        <v>20.099999999999909</v>
      </c>
      <c r="H1673" s="4">
        <f t="shared" si="366"/>
        <v>0</v>
      </c>
      <c r="I1673" s="6">
        <f t="shared" si="357"/>
        <v>11.125000000000032</v>
      </c>
      <c r="J1673" s="6">
        <f t="shared" si="358"/>
        <v>18.939285714285752</v>
      </c>
      <c r="K1673" s="4">
        <f t="shared" si="359"/>
        <v>0.5874033565906096</v>
      </c>
      <c r="L1673">
        <f t="shared" si="360"/>
        <v>37.004038964124518</v>
      </c>
      <c r="M1673" s="14" t="str">
        <f t="shared" si="353"/>
        <v/>
      </c>
      <c r="N1673" s="7">
        <f t="shared" si="354"/>
        <v>0</v>
      </c>
      <c r="O1673" s="7">
        <f t="shared" si="361"/>
        <v>0</v>
      </c>
      <c r="P1673" s="7">
        <f t="shared" si="362"/>
        <v>1</v>
      </c>
      <c r="Q1673" s="10" t="e">
        <f t="shared" si="355"/>
        <v>#N/A</v>
      </c>
      <c r="R1673" s="10" t="e">
        <f t="shared" si="356"/>
        <v>#N/A</v>
      </c>
      <c r="S1673" s="7">
        <f t="shared" si="363"/>
        <v>2548.6999999999998</v>
      </c>
      <c r="T1673" s="7">
        <f t="shared" si="364"/>
        <v>0</v>
      </c>
    </row>
    <row r="1674" spans="1:20" x14ac:dyDescent="0.25">
      <c r="A1674" s="1">
        <v>43620</v>
      </c>
      <c r="B1674">
        <v>2401.1</v>
      </c>
      <c r="C1674">
        <v>2419.1</v>
      </c>
      <c r="D1674">
        <v>2395</v>
      </c>
      <c r="E1674">
        <v>2401.1</v>
      </c>
      <c r="F1674">
        <v>876738</v>
      </c>
      <c r="G1674" s="4">
        <f t="shared" si="365"/>
        <v>3</v>
      </c>
      <c r="H1674" s="4">
        <f t="shared" si="366"/>
        <v>0</v>
      </c>
      <c r="I1674" s="6">
        <f t="shared" si="357"/>
        <v>10.817857142857163</v>
      </c>
      <c r="J1674" s="6">
        <f t="shared" si="358"/>
        <v>18.939285714285752</v>
      </c>
      <c r="K1674" s="4">
        <f t="shared" si="359"/>
        <v>0.57118612106354882</v>
      </c>
      <c r="L1674">
        <f t="shared" si="360"/>
        <v>36.353816610657702</v>
      </c>
      <c r="M1674" s="14" t="str">
        <f t="shared" si="353"/>
        <v/>
      </c>
      <c r="N1674" s="7">
        <f t="shared" si="354"/>
        <v>0</v>
      </c>
      <c r="O1674" s="7">
        <f t="shared" si="361"/>
        <v>0</v>
      </c>
      <c r="P1674" s="7">
        <f t="shared" si="362"/>
        <v>1</v>
      </c>
      <c r="Q1674" s="10" t="e">
        <f t="shared" si="355"/>
        <v>#N/A</v>
      </c>
      <c r="R1674" s="10" t="e">
        <f t="shared" si="356"/>
        <v>#N/A</v>
      </c>
      <c r="S1674" s="7">
        <f t="shared" si="363"/>
        <v>2548.6999999999998</v>
      </c>
      <c r="T1674" s="7">
        <f t="shared" si="364"/>
        <v>0</v>
      </c>
    </row>
    <row r="1675" spans="1:20" x14ac:dyDescent="0.25">
      <c r="A1675" s="1">
        <v>43621</v>
      </c>
      <c r="B1675">
        <v>2401.1</v>
      </c>
      <c r="C1675">
        <v>2448</v>
      </c>
      <c r="D1675">
        <v>2401.1</v>
      </c>
      <c r="E1675">
        <v>2436.1</v>
      </c>
      <c r="F1675">
        <v>1019396</v>
      </c>
      <c r="G1675" s="4">
        <f t="shared" si="365"/>
        <v>35</v>
      </c>
      <c r="H1675" s="4">
        <f t="shared" si="366"/>
        <v>0</v>
      </c>
      <c r="I1675" s="6">
        <f t="shared" si="357"/>
        <v>13.317857142857163</v>
      </c>
      <c r="J1675" s="6">
        <f t="shared" si="358"/>
        <v>16.742857142857183</v>
      </c>
      <c r="K1675" s="4">
        <f t="shared" si="359"/>
        <v>0.79543515358361705</v>
      </c>
      <c r="L1675">
        <f t="shared" si="360"/>
        <v>44.303195913033129</v>
      </c>
      <c r="M1675" s="14" t="str">
        <f t="shared" si="353"/>
        <v/>
      </c>
      <c r="N1675" s="7">
        <f t="shared" si="354"/>
        <v>0</v>
      </c>
      <c r="O1675" s="7">
        <f t="shared" si="361"/>
        <v>0</v>
      </c>
      <c r="P1675" s="7">
        <f t="shared" si="362"/>
        <v>1</v>
      </c>
      <c r="Q1675" s="10" t="e">
        <f t="shared" si="355"/>
        <v>#N/A</v>
      </c>
      <c r="R1675" s="10" t="e">
        <f t="shared" si="356"/>
        <v>#N/A</v>
      </c>
      <c r="S1675" s="7">
        <f t="shared" si="363"/>
        <v>2548.6999999999998</v>
      </c>
      <c r="T1675" s="7">
        <f t="shared" si="364"/>
        <v>0</v>
      </c>
    </row>
    <row r="1676" spans="1:20" x14ac:dyDescent="0.25">
      <c r="A1676" s="1">
        <v>43622</v>
      </c>
      <c r="B1676">
        <v>2431</v>
      </c>
      <c r="C1676">
        <v>2437.5</v>
      </c>
      <c r="D1676">
        <v>2415.1999999999998</v>
      </c>
      <c r="E1676">
        <v>2423.0500000000002</v>
      </c>
      <c r="F1676">
        <v>865664</v>
      </c>
      <c r="G1676" s="4">
        <f t="shared" si="365"/>
        <v>0</v>
      </c>
      <c r="H1676" s="4">
        <f t="shared" si="366"/>
        <v>13.049999999999727</v>
      </c>
      <c r="I1676" s="6">
        <f t="shared" si="357"/>
        <v>13.317857142857163</v>
      </c>
      <c r="J1676" s="6">
        <f t="shared" si="358"/>
        <v>14.567857142857163</v>
      </c>
      <c r="K1676" s="4">
        <f t="shared" si="359"/>
        <v>0.91419465555283175</v>
      </c>
      <c r="L1676">
        <f t="shared" si="360"/>
        <v>47.758709016393446</v>
      </c>
      <c r="M1676" s="14" t="str">
        <f t="shared" si="353"/>
        <v/>
      </c>
      <c r="N1676" s="7">
        <f t="shared" si="354"/>
        <v>0</v>
      </c>
      <c r="O1676" s="7">
        <f t="shared" si="361"/>
        <v>0</v>
      </c>
      <c r="P1676" s="7">
        <f t="shared" si="362"/>
        <v>1</v>
      </c>
      <c r="Q1676" s="10" t="e">
        <f t="shared" si="355"/>
        <v>#N/A</v>
      </c>
      <c r="R1676" s="10" t="e">
        <f t="shared" si="356"/>
        <v>#N/A</v>
      </c>
      <c r="S1676" s="7">
        <f t="shared" si="363"/>
        <v>2548.6999999999998</v>
      </c>
      <c r="T1676" s="7">
        <f t="shared" si="364"/>
        <v>0</v>
      </c>
    </row>
    <row r="1677" spans="1:20" x14ac:dyDescent="0.25">
      <c r="A1677" s="1">
        <v>43623</v>
      </c>
      <c r="B1677">
        <v>2435</v>
      </c>
      <c r="C1677">
        <v>2456.5</v>
      </c>
      <c r="D1677">
        <v>2419.6</v>
      </c>
      <c r="E1677">
        <v>2437.8000000000002</v>
      </c>
      <c r="F1677">
        <v>1801979</v>
      </c>
      <c r="G1677" s="4">
        <f t="shared" si="365"/>
        <v>14.75</v>
      </c>
      <c r="H1677" s="4">
        <f t="shared" si="366"/>
        <v>0</v>
      </c>
      <c r="I1677" s="6">
        <f t="shared" si="357"/>
        <v>14.371428571428591</v>
      </c>
      <c r="J1677" s="6">
        <f t="shared" si="358"/>
        <v>6.1071428571428568</v>
      </c>
      <c r="K1677" s="4">
        <f t="shared" si="359"/>
        <v>2.3532163742690093</v>
      </c>
      <c r="L1677">
        <f t="shared" si="360"/>
        <v>70.177886292291618</v>
      </c>
      <c r="M1677" s="14" t="str">
        <f t="shared" si="353"/>
        <v>OVERBOUGHT</v>
      </c>
      <c r="N1677" s="7" t="str">
        <f t="shared" si="354"/>
        <v>SELL</v>
      </c>
      <c r="O1677" s="7" t="str">
        <f t="shared" si="361"/>
        <v>SELL</v>
      </c>
      <c r="P1677" s="7">
        <f t="shared" si="362"/>
        <v>-1</v>
      </c>
      <c r="Q1677" s="10" t="e">
        <f t="shared" si="355"/>
        <v>#N/A</v>
      </c>
      <c r="R1677" s="10">
        <f t="shared" si="356"/>
        <v>2437.8000000000002</v>
      </c>
      <c r="S1677" s="7">
        <f t="shared" si="363"/>
        <v>2437.8000000000002</v>
      </c>
      <c r="T1677" s="7">
        <f t="shared" si="364"/>
        <v>-4.3512378859810748E-2</v>
      </c>
    </row>
    <row r="1678" spans="1:20" x14ac:dyDescent="0.25">
      <c r="A1678" s="1">
        <v>43626</v>
      </c>
      <c r="B1678">
        <v>2437.0500000000002</v>
      </c>
      <c r="C1678">
        <v>2449.8000000000002</v>
      </c>
      <c r="D1678">
        <v>2423.1</v>
      </c>
      <c r="E1678">
        <v>2430.8000000000002</v>
      </c>
      <c r="F1678">
        <v>1087682</v>
      </c>
      <c r="G1678" s="4">
        <f t="shared" si="365"/>
        <v>0</v>
      </c>
      <c r="H1678" s="4">
        <f t="shared" si="366"/>
        <v>7</v>
      </c>
      <c r="I1678" s="6">
        <f t="shared" si="357"/>
        <v>12.203571428571454</v>
      </c>
      <c r="J1678" s="6">
        <f t="shared" si="358"/>
        <v>6.6071428571428568</v>
      </c>
      <c r="K1678" s="4">
        <f t="shared" si="359"/>
        <v>1.847027027027031</v>
      </c>
      <c r="L1678">
        <f t="shared" si="360"/>
        <v>64.875640782229027</v>
      </c>
      <c r="M1678" s="14" t="str">
        <f t="shared" si="353"/>
        <v/>
      </c>
      <c r="N1678" s="7">
        <f t="shared" si="354"/>
        <v>0</v>
      </c>
      <c r="O1678" s="7">
        <f t="shared" si="361"/>
        <v>0</v>
      </c>
      <c r="P1678" s="7">
        <f t="shared" si="362"/>
        <v>-1</v>
      </c>
      <c r="Q1678" s="10" t="e">
        <f t="shared" si="355"/>
        <v>#N/A</v>
      </c>
      <c r="R1678" s="10" t="e">
        <f t="shared" si="356"/>
        <v>#N/A</v>
      </c>
      <c r="S1678" s="7">
        <f t="shared" si="363"/>
        <v>2437.8000000000002</v>
      </c>
      <c r="T1678" s="7">
        <f t="shared" si="364"/>
        <v>0</v>
      </c>
    </row>
    <row r="1679" spans="1:20" x14ac:dyDescent="0.25">
      <c r="A1679" s="1">
        <v>43627</v>
      </c>
      <c r="B1679">
        <v>2450</v>
      </c>
      <c r="C1679">
        <v>2457.65</v>
      </c>
      <c r="D1679">
        <v>2401.1</v>
      </c>
      <c r="E1679">
        <v>2411.6999999999998</v>
      </c>
      <c r="F1679">
        <v>909440</v>
      </c>
      <c r="G1679" s="4">
        <f t="shared" si="365"/>
        <v>0</v>
      </c>
      <c r="H1679" s="4">
        <f t="shared" si="366"/>
        <v>19.100000000000364</v>
      </c>
      <c r="I1679" s="6">
        <f t="shared" si="357"/>
        <v>11.732142857142858</v>
      </c>
      <c r="J1679" s="6">
        <f t="shared" si="358"/>
        <v>7.9714285714285973</v>
      </c>
      <c r="K1679" s="4">
        <f t="shared" si="359"/>
        <v>1.4717741935483823</v>
      </c>
      <c r="L1679">
        <f t="shared" si="360"/>
        <v>59.543230016313139</v>
      </c>
      <c r="M1679" s="14" t="str">
        <f t="shared" si="353"/>
        <v/>
      </c>
      <c r="N1679" s="7">
        <f t="shared" si="354"/>
        <v>0</v>
      </c>
      <c r="O1679" s="7">
        <f t="shared" si="361"/>
        <v>0</v>
      </c>
      <c r="P1679" s="7">
        <f t="shared" si="362"/>
        <v>-1</v>
      </c>
      <c r="Q1679" s="10" t="e">
        <f t="shared" si="355"/>
        <v>#N/A</v>
      </c>
      <c r="R1679" s="10" t="e">
        <f t="shared" si="356"/>
        <v>#N/A</v>
      </c>
      <c r="S1679" s="7">
        <f t="shared" si="363"/>
        <v>2437.8000000000002</v>
      </c>
      <c r="T1679" s="7">
        <f t="shared" si="364"/>
        <v>0</v>
      </c>
    </row>
    <row r="1680" spans="1:20" x14ac:dyDescent="0.25">
      <c r="A1680" s="1">
        <v>43628</v>
      </c>
      <c r="B1680">
        <v>2420</v>
      </c>
      <c r="C1680">
        <v>2425.0500000000002</v>
      </c>
      <c r="D1680">
        <v>2398</v>
      </c>
      <c r="E1680">
        <v>2405.15</v>
      </c>
      <c r="F1680">
        <v>890359</v>
      </c>
      <c r="G1680" s="4">
        <f t="shared" si="365"/>
        <v>0</v>
      </c>
      <c r="H1680" s="4">
        <f t="shared" si="366"/>
        <v>6.5499999999997272</v>
      </c>
      <c r="I1680" s="6">
        <f t="shared" si="357"/>
        <v>11.732142857142858</v>
      </c>
      <c r="J1680" s="6">
        <f t="shared" si="358"/>
        <v>6.2535714285714095</v>
      </c>
      <c r="K1680" s="4">
        <f t="shared" si="359"/>
        <v>1.8760708166761908</v>
      </c>
      <c r="L1680">
        <f t="shared" si="360"/>
        <v>65.230341540905556</v>
      </c>
      <c r="M1680" s="14" t="str">
        <f t="shared" ref="M1680:M1743" si="367">IF(L1680&gt;RSI_Overbought,"OVERBOUGHT",IF(L1680&lt;RSI_Oversold,"OVERSOLD",""))</f>
        <v/>
      </c>
      <c r="N1680" s="7">
        <f t="shared" ref="N1680:N1743" si="368">IF(L1680&gt;RSI_Overbought,"SELL",IF(L1680&lt;RSI_Oversold,"BUY",0))</f>
        <v>0</v>
      </c>
      <c r="O1680" s="7">
        <f t="shared" si="361"/>
        <v>0</v>
      </c>
      <c r="P1680" s="7">
        <f t="shared" si="362"/>
        <v>-1</v>
      </c>
      <c r="Q1680" s="10" t="e">
        <f t="shared" ref="Q1680:Q1743" si="369">IF($O1680="BUY",$E1680,NA())</f>
        <v>#N/A</v>
      </c>
      <c r="R1680" s="10" t="e">
        <f t="shared" ref="R1680:R1743" si="370">IF($O1680="SELL",$E1680,NA())</f>
        <v>#N/A</v>
      </c>
      <c r="S1680" s="7">
        <f t="shared" si="363"/>
        <v>2437.8000000000002</v>
      </c>
      <c r="T1680" s="7">
        <f t="shared" si="364"/>
        <v>0</v>
      </c>
    </row>
    <row r="1681" spans="1:20" x14ac:dyDescent="0.25">
      <c r="A1681" s="1">
        <v>43629</v>
      </c>
      <c r="B1681">
        <v>2408</v>
      </c>
      <c r="C1681">
        <v>2415.4</v>
      </c>
      <c r="D1681">
        <v>2376.1</v>
      </c>
      <c r="E1681">
        <v>2386.35</v>
      </c>
      <c r="F1681">
        <v>588177</v>
      </c>
      <c r="G1681" s="4">
        <f t="shared" si="365"/>
        <v>0</v>
      </c>
      <c r="H1681" s="4">
        <f t="shared" si="366"/>
        <v>18.800000000000182</v>
      </c>
      <c r="I1681" s="6">
        <f t="shared" ref="I1681:I1744" si="371">AVERAGE(G1668:G1681)</f>
        <v>11.732142857142858</v>
      </c>
      <c r="J1681" s="6">
        <f t="shared" ref="J1681:J1744" si="372">AVERAGE(H1668:H1681)</f>
        <v>7.4892857142857077</v>
      </c>
      <c r="K1681" s="4">
        <f t="shared" ref="K1681:K1744" si="373">I1681/J1681</f>
        <v>1.566523605150216</v>
      </c>
      <c r="L1681">
        <f t="shared" ref="L1681:L1744" si="374">100-(100/(K1681+1))</f>
        <v>61.036789297658885</v>
      </c>
      <c r="M1681" s="14" t="str">
        <f t="shared" si="367"/>
        <v/>
      </c>
      <c r="N1681" s="7">
        <f t="shared" si="368"/>
        <v>0</v>
      </c>
      <c r="O1681" s="7">
        <f t="shared" ref="O1681:O1744" si="375">IF(AND(N1681="BUY",P1680&lt;&gt;1),"BUY",IF(AND(N1681="SELL",P1680&lt;&gt;-1),"SELL",0))</f>
        <v>0</v>
      </c>
      <c r="P1681" s="7">
        <f t="shared" ref="P1681:P1744" si="376">IF(O1681="BUY",1,IF(O1681="SELL",-1,P1680))</f>
        <v>-1</v>
      </c>
      <c r="Q1681" s="10" t="e">
        <f t="shared" si="369"/>
        <v>#N/A</v>
      </c>
      <c r="R1681" s="10" t="e">
        <f t="shared" si="370"/>
        <v>#N/A</v>
      </c>
      <c r="S1681" s="7">
        <f t="shared" ref="S1681:S1744" si="377">IF(O1681&lt;&gt;0,E1681,S1680)</f>
        <v>2437.8000000000002</v>
      </c>
      <c r="T1681" s="7">
        <f t="shared" si="364"/>
        <v>0</v>
      </c>
    </row>
    <row r="1682" spans="1:20" x14ac:dyDescent="0.25">
      <c r="A1682" s="1">
        <v>43630</v>
      </c>
      <c r="B1682">
        <v>2395</v>
      </c>
      <c r="C1682">
        <v>2402.4</v>
      </c>
      <c r="D1682">
        <v>2372.75</v>
      </c>
      <c r="E1682">
        <v>2388.75</v>
      </c>
      <c r="F1682">
        <v>1133786</v>
      </c>
      <c r="G1682" s="4">
        <f t="shared" si="365"/>
        <v>2.4000000000000909</v>
      </c>
      <c r="H1682" s="4">
        <f t="shared" si="366"/>
        <v>0</v>
      </c>
      <c r="I1682" s="6">
        <f t="shared" si="371"/>
        <v>9.4214285714285779</v>
      </c>
      <c r="J1682" s="6">
        <f t="shared" si="372"/>
        <v>7.4892857142857077</v>
      </c>
      <c r="K1682" s="4">
        <f t="shared" si="373"/>
        <v>1.2579876013352429</v>
      </c>
      <c r="L1682">
        <f t="shared" si="374"/>
        <v>55.712777191129923</v>
      </c>
      <c r="M1682" s="14" t="str">
        <f t="shared" si="367"/>
        <v/>
      </c>
      <c r="N1682" s="7">
        <f t="shared" si="368"/>
        <v>0</v>
      </c>
      <c r="O1682" s="7">
        <f t="shared" si="375"/>
        <v>0</v>
      </c>
      <c r="P1682" s="7">
        <f t="shared" si="376"/>
        <v>-1</v>
      </c>
      <c r="Q1682" s="10" t="e">
        <f t="shared" si="369"/>
        <v>#N/A</v>
      </c>
      <c r="R1682" s="10" t="e">
        <f t="shared" si="370"/>
        <v>#N/A</v>
      </c>
      <c r="S1682" s="7">
        <f t="shared" si="377"/>
        <v>2437.8000000000002</v>
      </c>
      <c r="T1682" s="7">
        <f t="shared" si="364"/>
        <v>0</v>
      </c>
    </row>
    <row r="1683" spans="1:20" x14ac:dyDescent="0.25">
      <c r="A1683" s="1">
        <v>43633</v>
      </c>
      <c r="B1683">
        <v>2388</v>
      </c>
      <c r="C1683">
        <v>2388</v>
      </c>
      <c r="D1683">
        <v>2358.1999999999998</v>
      </c>
      <c r="E1683">
        <v>2367.8000000000002</v>
      </c>
      <c r="F1683">
        <v>908256</v>
      </c>
      <c r="G1683" s="4">
        <f t="shared" si="365"/>
        <v>0</v>
      </c>
      <c r="H1683" s="4">
        <f t="shared" si="366"/>
        <v>20.949999999999818</v>
      </c>
      <c r="I1683" s="6">
        <f t="shared" si="371"/>
        <v>5.8678571428571491</v>
      </c>
      <c r="J1683" s="6">
        <f t="shared" si="372"/>
        <v>8.9857142857142662</v>
      </c>
      <c r="K1683" s="4">
        <f t="shared" si="373"/>
        <v>0.65302066772655221</v>
      </c>
      <c r="L1683">
        <f t="shared" si="374"/>
        <v>39.504688627073897</v>
      </c>
      <c r="M1683" s="14" t="str">
        <f t="shared" si="367"/>
        <v/>
      </c>
      <c r="N1683" s="7">
        <f t="shared" si="368"/>
        <v>0</v>
      </c>
      <c r="O1683" s="7">
        <f t="shared" si="375"/>
        <v>0</v>
      </c>
      <c r="P1683" s="7">
        <f t="shared" si="376"/>
        <v>-1</v>
      </c>
      <c r="Q1683" s="10" t="e">
        <f t="shared" si="369"/>
        <v>#N/A</v>
      </c>
      <c r="R1683" s="10" t="e">
        <f t="shared" si="370"/>
        <v>#N/A</v>
      </c>
      <c r="S1683" s="7">
        <f t="shared" si="377"/>
        <v>2437.8000000000002</v>
      </c>
      <c r="T1683" s="7">
        <f t="shared" si="364"/>
        <v>0</v>
      </c>
    </row>
    <row r="1684" spans="1:20" x14ac:dyDescent="0.25">
      <c r="A1684" s="1">
        <v>43634</v>
      </c>
      <c r="B1684">
        <v>2369.9</v>
      </c>
      <c r="C1684">
        <v>2386.9</v>
      </c>
      <c r="D1684">
        <v>2355.0500000000002</v>
      </c>
      <c r="E1684">
        <v>2380.3000000000002</v>
      </c>
      <c r="F1684">
        <v>601071</v>
      </c>
      <c r="G1684" s="4">
        <f t="shared" si="365"/>
        <v>12.5</v>
      </c>
      <c r="H1684" s="4">
        <f t="shared" si="366"/>
        <v>0</v>
      </c>
      <c r="I1684" s="6">
        <f t="shared" si="371"/>
        <v>6.7607142857142923</v>
      </c>
      <c r="J1684" s="6">
        <f t="shared" si="372"/>
        <v>8.6321428571428509</v>
      </c>
      <c r="K1684" s="4">
        <f t="shared" si="373"/>
        <v>0.7832023169218052</v>
      </c>
      <c r="L1684">
        <f t="shared" si="374"/>
        <v>43.921113689095172</v>
      </c>
      <c r="M1684" s="14" t="str">
        <f t="shared" si="367"/>
        <v/>
      </c>
      <c r="N1684" s="7">
        <f t="shared" si="368"/>
        <v>0</v>
      </c>
      <c r="O1684" s="7">
        <f t="shared" si="375"/>
        <v>0</v>
      </c>
      <c r="P1684" s="7">
        <f t="shared" si="376"/>
        <v>-1</v>
      </c>
      <c r="Q1684" s="10" t="e">
        <f t="shared" si="369"/>
        <v>#N/A</v>
      </c>
      <c r="R1684" s="10" t="e">
        <f t="shared" si="370"/>
        <v>#N/A</v>
      </c>
      <c r="S1684" s="7">
        <f t="shared" si="377"/>
        <v>2437.8000000000002</v>
      </c>
      <c r="T1684" s="7">
        <f t="shared" si="364"/>
        <v>0</v>
      </c>
    </row>
    <row r="1685" spans="1:20" x14ac:dyDescent="0.25">
      <c r="A1685" s="1">
        <v>43635</v>
      </c>
      <c r="B1685">
        <v>2363.3000000000002</v>
      </c>
      <c r="C1685">
        <v>2369.9</v>
      </c>
      <c r="D1685">
        <v>2320.9</v>
      </c>
      <c r="E1685">
        <v>2328.9</v>
      </c>
      <c r="F1685">
        <v>2586667</v>
      </c>
      <c r="G1685" s="4">
        <f t="shared" si="365"/>
        <v>0</v>
      </c>
      <c r="H1685" s="4">
        <f t="shared" si="366"/>
        <v>51.400000000000091</v>
      </c>
      <c r="I1685" s="6">
        <f t="shared" si="371"/>
        <v>6.2678571428571432</v>
      </c>
      <c r="J1685" s="6">
        <f t="shared" si="372"/>
        <v>12.303571428571429</v>
      </c>
      <c r="K1685" s="4">
        <f t="shared" si="373"/>
        <v>0.50943396226415094</v>
      </c>
      <c r="L1685">
        <f t="shared" si="374"/>
        <v>33.75</v>
      </c>
      <c r="M1685" s="14" t="str">
        <f t="shared" si="367"/>
        <v/>
      </c>
      <c r="N1685" s="7">
        <f t="shared" si="368"/>
        <v>0</v>
      </c>
      <c r="O1685" s="7">
        <f t="shared" si="375"/>
        <v>0</v>
      </c>
      <c r="P1685" s="7">
        <f t="shared" si="376"/>
        <v>-1</v>
      </c>
      <c r="Q1685" s="10" t="e">
        <f t="shared" si="369"/>
        <v>#N/A</v>
      </c>
      <c r="R1685" s="10" t="e">
        <f t="shared" si="370"/>
        <v>#N/A</v>
      </c>
      <c r="S1685" s="7">
        <f t="shared" si="377"/>
        <v>2437.8000000000002</v>
      </c>
      <c r="T1685" s="7">
        <f t="shared" si="364"/>
        <v>0</v>
      </c>
    </row>
    <row r="1686" spans="1:20" x14ac:dyDescent="0.25">
      <c r="A1686" s="1">
        <v>43636</v>
      </c>
      <c r="B1686">
        <v>2315</v>
      </c>
      <c r="C1686">
        <v>2387</v>
      </c>
      <c r="D1686">
        <v>2291</v>
      </c>
      <c r="E1686">
        <v>2366.1999999999998</v>
      </c>
      <c r="F1686">
        <v>3870607</v>
      </c>
      <c r="G1686" s="4">
        <f t="shared" si="365"/>
        <v>37.299999999999727</v>
      </c>
      <c r="H1686" s="4">
        <f t="shared" si="366"/>
        <v>0</v>
      </c>
      <c r="I1686" s="6">
        <f t="shared" si="371"/>
        <v>8.9321428571428374</v>
      </c>
      <c r="J1686" s="6">
        <f t="shared" si="372"/>
        <v>9.7749999999999932</v>
      </c>
      <c r="K1686" s="4">
        <f t="shared" si="373"/>
        <v>0.9137742053343062</v>
      </c>
      <c r="L1686">
        <f t="shared" si="374"/>
        <v>47.74723176785028</v>
      </c>
      <c r="M1686" s="14" t="str">
        <f t="shared" si="367"/>
        <v/>
      </c>
      <c r="N1686" s="7">
        <f t="shared" si="368"/>
        <v>0</v>
      </c>
      <c r="O1686" s="7">
        <f t="shared" si="375"/>
        <v>0</v>
      </c>
      <c r="P1686" s="7">
        <f t="shared" si="376"/>
        <v>-1</v>
      </c>
      <c r="Q1686" s="10" t="e">
        <f t="shared" si="369"/>
        <v>#N/A</v>
      </c>
      <c r="R1686" s="10" t="e">
        <f t="shared" si="370"/>
        <v>#N/A</v>
      </c>
      <c r="S1686" s="7">
        <f t="shared" si="377"/>
        <v>2437.8000000000002</v>
      </c>
      <c r="T1686" s="7">
        <f t="shared" si="364"/>
        <v>0</v>
      </c>
    </row>
    <row r="1687" spans="1:20" x14ac:dyDescent="0.25">
      <c r="A1687" s="1">
        <v>43637</v>
      </c>
      <c r="B1687">
        <v>2368.9</v>
      </c>
      <c r="C1687">
        <v>2375.8000000000002</v>
      </c>
      <c r="D1687">
        <v>2344.4</v>
      </c>
      <c r="E1687">
        <v>2362.4499999999998</v>
      </c>
      <c r="F1687">
        <v>1364173</v>
      </c>
      <c r="G1687" s="4">
        <f t="shared" si="365"/>
        <v>0</v>
      </c>
      <c r="H1687" s="4">
        <f t="shared" si="366"/>
        <v>3.75</v>
      </c>
      <c r="I1687" s="6">
        <f t="shared" si="371"/>
        <v>7.4964285714285586</v>
      </c>
      <c r="J1687" s="6">
        <f t="shared" si="372"/>
        <v>10.042857142857136</v>
      </c>
      <c r="K1687" s="4">
        <f t="shared" si="373"/>
        <v>0.74644381223328515</v>
      </c>
      <c r="L1687">
        <f t="shared" si="374"/>
        <v>42.740785990633249</v>
      </c>
      <c r="M1687" s="14" t="str">
        <f t="shared" si="367"/>
        <v/>
      </c>
      <c r="N1687" s="7">
        <f t="shared" si="368"/>
        <v>0</v>
      </c>
      <c r="O1687" s="7">
        <f t="shared" si="375"/>
        <v>0</v>
      </c>
      <c r="P1687" s="7">
        <f t="shared" si="376"/>
        <v>-1</v>
      </c>
      <c r="Q1687" s="10" t="e">
        <f t="shared" si="369"/>
        <v>#N/A</v>
      </c>
      <c r="R1687" s="10" t="e">
        <f t="shared" si="370"/>
        <v>#N/A</v>
      </c>
      <c r="S1687" s="7">
        <f t="shared" si="377"/>
        <v>2437.8000000000002</v>
      </c>
      <c r="T1687" s="7">
        <f t="shared" si="364"/>
        <v>0</v>
      </c>
    </row>
    <row r="1688" spans="1:20" x14ac:dyDescent="0.25">
      <c r="A1688" s="1">
        <v>43640</v>
      </c>
      <c r="B1688">
        <v>2376</v>
      </c>
      <c r="C1688">
        <v>2415.6999999999998</v>
      </c>
      <c r="D1688">
        <v>2354.8000000000002</v>
      </c>
      <c r="E1688">
        <v>2400.1999999999998</v>
      </c>
      <c r="F1688">
        <v>1064316</v>
      </c>
      <c r="G1688" s="4">
        <f t="shared" si="365"/>
        <v>37.75</v>
      </c>
      <c r="H1688" s="4">
        <f t="shared" si="366"/>
        <v>0</v>
      </c>
      <c r="I1688" s="6">
        <f t="shared" si="371"/>
        <v>9.9785714285714153</v>
      </c>
      <c r="J1688" s="6">
        <f t="shared" si="372"/>
        <v>10.042857142857136</v>
      </c>
      <c r="K1688" s="4">
        <f t="shared" si="373"/>
        <v>0.9935988620199141</v>
      </c>
      <c r="L1688">
        <f t="shared" si="374"/>
        <v>49.83945772386727</v>
      </c>
      <c r="M1688" s="14" t="str">
        <f t="shared" si="367"/>
        <v/>
      </c>
      <c r="N1688" s="7">
        <f t="shared" si="368"/>
        <v>0</v>
      </c>
      <c r="O1688" s="7">
        <f t="shared" si="375"/>
        <v>0</v>
      </c>
      <c r="P1688" s="7">
        <f t="shared" si="376"/>
        <v>-1</v>
      </c>
      <c r="Q1688" s="10" t="e">
        <f t="shared" si="369"/>
        <v>#N/A</v>
      </c>
      <c r="R1688" s="10" t="e">
        <f t="shared" si="370"/>
        <v>#N/A</v>
      </c>
      <c r="S1688" s="7">
        <f t="shared" si="377"/>
        <v>2437.8000000000002</v>
      </c>
      <c r="T1688" s="7">
        <f t="shared" si="364"/>
        <v>0</v>
      </c>
    </row>
    <row r="1689" spans="1:20" x14ac:dyDescent="0.25">
      <c r="A1689" s="1">
        <v>43641</v>
      </c>
      <c r="B1689">
        <v>2401</v>
      </c>
      <c r="C1689">
        <v>2410</v>
      </c>
      <c r="D1689">
        <v>2370.3000000000002</v>
      </c>
      <c r="E1689">
        <v>2395.1</v>
      </c>
      <c r="F1689">
        <v>992529</v>
      </c>
      <c r="G1689" s="4">
        <f t="shared" si="365"/>
        <v>0</v>
      </c>
      <c r="H1689" s="4">
        <f t="shared" si="366"/>
        <v>5.0999999999999091</v>
      </c>
      <c r="I1689" s="6">
        <f t="shared" si="371"/>
        <v>7.4785714285714153</v>
      </c>
      <c r="J1689" s="6">
        <f t="shared" si="372"/>
        <v>10.407142857142844</v>
      </c>
      <c r="K1689" s="4">
        <f t="shared" si="373"/>
        <v>0.71859986273164</v>
      </c>
      <c r="L1689">
        <f t="shared" si="374"/>
        <v>41.81309904153354</v>
      </c>
      <c r="M1689" s="14" t="str">
        <f t="shared" si="367"/>
        <v/>
      </c>
      <c r="N1689" s="7">
        <f t="shared" si="368"/>
        <v>0</v>
      </c>
      <c r="O1689" s="7">
        <f t="shared" si="375"/>
        <v>0</v>
      </c>
      <c r="P1689" s="7">
        <f t="shared" si="376"/>
        <v>-1</v>
      </c>
      <c r="Q1689" s="10" t="e">
        <f t="shared" si="369"/>
        <v>#N/A</v>
      </c>
      <c r="R1689" s="10" t="e">
        <f t="shared" si="370"/>
        <v>#N/A</v>
      </c>
      <c r="S1689" s="7">
        <f t="shared" si="377"/>
        <v>2437.8000000000002</v>
      </c>
      <c r="T1689" s="7">
        <f t="shared" si="364"/>
        <v>0</v>
      </c>
    </row>
    <row r="1690" spans="1:20" x14ac:dyDescent="0.25">
      <c r="A1690" s="1">
        <v>43642</v>
      </c>
      <c r="B1690">
        <v>2396.9</v>
      </c>
      <c r="C1690">
        <v>2409.35</v>
      </c>
      <c r="D1690">
        <v>2386</v>
      </c>
      <c r="E1690">
        <v>2401.15</v>
      </c>
      <c r="F1690">
        <v>632927</v>
      </c>
      <c r="G1690" s="4">
        <f t="shared" si="365"/>
        <v>6.0500000000001819</v>
      </c>
      <c r="H1690" s="4">
        <f t="shared" si="366"/>
        <v>0</v>
      </c>
      <c r="I1690" s="6">
        <f t="shared" si="371"/>
        <v>7.9107142857142856</v>
      </c>
      <c r="J1690" s="6">
        <f t="shared" si="372"/>
        <v>9.4750000000000068</v>
      </c>
      <c r="K1690" s="4">
        <f t="shared" si="373"/>
        <v>0.83490388239728552</v>
      </c>
      <c r="L1690">
        <f t="shared" si="374"/>
        <v>45.50123253903039</v>
      </c>
      <c r="M1690" s="14" t="str">
        <f t="shared" si="367"/>
        <v/>
      </c>
      <c r="N1690" s="7">
        <f t="shared" si="368"/>
        <v>0</v>
      </c>
      <c r="O1690" s="7">
        <f t="shared" si="375"/>
        <v>0</v>
      </c>
      <c r="P1690" s="7">
        <f t="shared" si="376"/>
        <v>-1</v>
      </c>
      <c r="Q1690" s="10" t="e">
        <f t="shared" si="369"/>
        <v>#N/A</v>
      </c>
      <c r="R1690" s="10" t="e">
        <f t="shared" si="370"/>
        <v>#N/A</v>
      </c>
      <c r="S1690" s="7">
        <f t="shared" si="377"/>
        <v>2437.8000000000002</v>
      </c>
      <c r="T1690" s="7">
        <f t="shared" ref="T1690:T1753" si="378">IF(O1690="BUY",(S1689-S1690)/S1689,IF(O1690="SELL",(S1690-S1689)/S1689,0))</f>
        <v>0</v>
      </c>
    </row>
    <row r="1691" spans="1:20" x14ac:dyDescent="0.25">
      <c r="A1691" s="1">
        <v>43643</v>
      </c>
      <c r="B1691">
        <v>2400</v>
      </c>
      <c r="C1691">
        <v>2431.9</v>
      </c>
      <c r="D1691">
        <v>2398.25</v>
      </c>
      <c r="E1691">
        <v>2428.65</v>
      </c>
      <c r="F1691">
        <v>629830</v>
      </c>
      <c r="G1691" s="4">
        <f t="shared" si="365"/>
        <v>27.5</v>
      </c>
      <c r="H1691" s="4">
        <f t="shared" si="366"/>
        <v>0</v>
      </c>
      <c r="I1691" s="6">
        <f t="shared" si="371"/>
        <v>8.8214285714285712</v>
      </c>
      <c r="J1691" s="6">
        <f t="shared" si="372"/>
        <v>9.4750000000000068</v>
      </c>
      <c r="K1691" s="4">
        <f t="shared" si="373"/>
        <v>0.9310214851111942</v>
      </c>
      <c r="L1691">
        <f t="shared" si="374"/>
        <v>48.213937146203378</v>
      </c>
      <c r="M1691" s="14" t="str">
        <f t="shared" si="367"/>
        <v/>
      </c>
      <c r="N1691" s="7">
        <f t="shared" si="368"/>
        <v>0</v>
      </c>
      <c r="O1691" s="7">
        <f t="shared" si="375"/>
        <v>0</v>
      </c>
      <c r="P1691" s="7">
        <f t="shared" si="376"/>
        <v>-1</v>
      </c>
      <c r="Q1691" s="10" t="e">
        <f t="shared" si="369"/>
        <v>#N/A</v>
      </c>
      <c r="R1691" s="10" t="e">
        <f t="shared" si="370"/>
        <v>#N/A</v>
      </c>
      <c r="S1691" s="7">
        <f t="shared" si="377"/>
        <v>2437.8000000000002</v>
      </c>
      <c r="T1691" s="7">
        <f t="shared" si="378"/>
        <v>0</v>
      </c>
    </row>
    <row r="1692" spans="1:20" x14ac:dyDescent="0.25">
      <c r="A1692" s="1">
        <v>43644</v>
      </c>
      <c r="B1692">
        <v>2428.1999999999998</v>
      </c>
      <c r="C1692">
        <v>2434.9</v>
      </c>
      <c r="D1692">
        <v>2402.5500000000002</v>
      </c>
      <c r="E1692">
        <v>2427.6999999999998</v>
      </c>
      <c r="F1692">
        <v>626595</v>
      </c>
      <c r="G1692" s="4">
        <f t="shared" si="365"/>
        <v>0</v>
      </c>
      <c r="H1692" s="4">
        <f t="shared" si="366"/>
        <v>0.95000000000027285</v>
      </c>
      <c r="I1692" s="6">
        <f t="shared" si="371"/>
        <v>8.8214285714285712</v>
      </c>
      <c r="J1692" s="6">
        <f t="shared" si="372"/>
        <v>9.0428571428571694</v>
      </c>
      <c r="K1692" s="4">
        <f t="shared" si="373"/>
        <v>0.97551342812006026</v>
      </c>
      <c r="L1692">
        <f t="shared" si="374"/>
        <v>49.380247900839585</v>
      </c>
      <c r="M1692" s="14" t="str">
        <f t="shared" si="367"/>
        <v/>
      </c>
      <c r="N1692" s="7">
        <f t="shared" si="368"/>
        <v>0</v>
      </c>
      <c r="O1692" s="7">
        <f t="shared" si="375"/>
        <v>0</v>
      </c>
      <c r="P1692" s="7">
        <f t="shared" si="376"/>
        <v>-1</v>
      </c>
      <c r="Q1692" s="10" t="e">
        <f t="shared" si="369"/>
        <v>#N/A</v>
      </c>
      <c r="R1692" s="10" t="e">
        <f t="shared" si="370"/>
        <v>#N/A</v>
      </c>
      <c r="S1692" s="7">
        <f t="shared" si="377"/>
        <v>2437.8000000000002</v>
      </c>
      <c r="T1692" s="7">
        <f t="shared" si="378"/>
        <v>0</v>
      </c>
    </row>
    <row r="1693" spans="1:20" x14ac:dyDescent="0.25">
      <c r="A1693" s="1">
        <v>43647</v>
      </c>
      <c r="B1693">
        <v>2405</v>
      </c>
      <c r="C1693">
        <v>2414.6</v>
      </c>
      <c r="D1693">
        <v>2381</v>
      </c>
      <c r="E1693">
        <v>2398.4499999999998</v>
      </c>
      <c r="F1693">
        <v>886233</v>
      </c>
      <c r="G1693" s="4">
        <f t="shared" si="365"/>
        <v>0</v>
      </c>
      <c r="H1693" s="4">
        <f t="shared" si="366"/>
        <v>29.25</v>
      </c>
      <c r="I1693" s="6">
        <f t="shared" si="371"/>
        <v>8.8214285714285712</v>
      </c>
      <c r="J1693" s="6">
        <f t="shared" si="372"/>
        <v>9.7678571428571423</v>
      </c>
      <c r="K1693" s="4">
        <f t="shared" si="373"/>
        <v>0.90310786106032914</v>
      </c>
      <c r="L1693">
        <f t="shared" si="374"/>
        <v>47.454370797310283</v>
      </c>
      <c r="M1693" s="14" t="str">
        <f t="shared" si="367"/>
        <v/>
      </c>
      <c r="N1693" s="7">
        <f t="shared" si="368"/>
        <v>0</v>
      </c>
      <c r="O1693" s="7">
        <f t="shared" si="375"/>
        <v>0</v>
      </c>
      <c r="P1693" s="7">
        <f t="shared" si="376"/>
        <v>-1</v>
      </c>
      <c r="Q1693" s="10" t="e">
        <f t="shared" si="369"/>
        <v>#N/A</v>
      </c>
      <c r="R1693" s="10" t="e">
        <f t="shared" si="370"/>
        <v>#N/A</v>
      </c>
      <c r="S1693" s="7">
        <f t="shared" si="377"/>
        <v>2437.8000000000002</v>
      </c>
      <c r="T1693" s="7">
        <f t="shared" si="378"/>
        <v>0</v>
      </c>
    </row>
    <row r="1694" spans="1:20" x14ac:dyDescent="0.25">
      <c r="A1694" s="1">
        <v>43648</v>
      </c>
      <c r="B1694">
        <v>2398.6</v>
      </c>
      <c r="C1694">
        <v>2402.75</v>
      </c>
      <c r="D1694">
        <v>2372.5</v>
      </c>
      <c r="E1694">
        <v>2396.25</v>
      </c>
      <c r="F1694">
        <v>718565</v>
      </c>
      <c r="G1694" s="4">
        <f t="shared" si="365"/>
        <v>0</v>
      </c>
      <c r="H1694" s="4">
        <f t="shared" si="366"/>
        <v>2.1999999999998181</v>
      </c>
      <c r="I1694" s="6">
        <f t="shared" si="371"/>
        <v>8.8214285714285712</v>
      </c>
      <c r="J1694" s="6">
        <f t="shared" si="372"/>
        <v>9.4571428571428644</v>
      </c>
      <c r="K1694" s="4">
        <f t="shared" si="373"/>
        <v>0.93277945619335279</v>
      </c>
      <c r="L1694">
        <f t="shared" si="374"/>
        <v>48.261039468542386</v>
      </c>
      <c r="M1694" s="14" t="str">
        <f t="shared" si="367"/>
        <v/>
      </c>
      <c r="N1694" s="7">
        <f t="shared" si="368"/>
        <v>0</v>
      </c>
      <c r="O1694" s="7">
        <f t="shared" si="375"/>
        <v>0</v>
      </c>
      <c r="P1694" s="7">
        <f t="shared" si="376"/>
        <v>-1</v>
      </c>
      <c r="Q1694" s="10" t="e">
        <f t="shared" si="369"/>
        <v>#N/A</v>
      </c>
      <c r="R1694" s="10" t="e">
        <f t="shared" si="370"/>
        <v>#N/A</v>
      </c>
      <c r="S1694" s="7">
        <f t="shared" si="377"/>
        <v>2437.8000000000002</v>
      </c>
      <c r="T1694" s="7">
        <f t="shared" si="378"/>
        <v>0</v>
      </c>
    </row>
    <row r="1695" spans="1:20" x14ac:dyDescent="0.25">
      <c r="A1695" s="1">
        <v>43649</v>
      </c>
      <c r="B1695">
        <v>2379.6999999999998</v>
      </c>
      <c r="C1695">
        <v>2429.5</v>
      </c>
      <c r="D1695">
        <v>2365.5</v>
      </c>
      <c r="E1695">
        <v>2418.1</v>
      </c>
      <c r="F1695">
        <v>1470801</v>
      </c>
      <c r="G1695" s="4">
        <f t="shared" si="365"/>
        <v>21.849999999999909</v>
      </c>
      <c r="H1695" s="4">
        <f t="shared" si="366"/>
        <v>0</v>
      </c>
      <c r="I1695" s="6">
        <f t="shared" si="371"/>
        <v>10.382142857142851</v>
      </c>
      <c r="J1695" s="6">
        <f t="shared" si="372"/>
        <v>8.1142857142857086</v>
      </c>
      <c r="K1695" s="4">
        <f t="shared" si="373"/>
        <v>1.2794894366197185</v>
      </c>
      <c r="L1695">
        <f t="shared" si="374"/>
        <v>56.130527128789346</v>
      </c>
      <c r="M1695" s="14" t="str">
        <f t="shared" si="367"/>
        <v/>
      </c>
      <c r="N1695" s="7">
        <f t="shared" si="368"/>
        <v>0</v>
      </c>
      <c r="O1695" s="7">
        <f t="shared" si="375"/>
        <v>0</v>
      </c>
      <c r="P1695" s="7">
        <f t="shared" si="376"/>
        <v>-1</v>
      </c>
      <c r="Q1695" s="10" t="e">
        <f t="shared" si="369"/>
        <v>#N/A</v>
      </c>
      <c r="R1695" s="10" t="e">
        <f t="shared" si="370"/>
        <v>#N/A</v>
      </c>
      <c r="S1695" s="7">
        <f t="shared" si="377"/>
        <v>2437.8000000000002</v>
      </c>
      <c r="T1695" s="7">
        <f t="shared" si="378"/>
        <v>0</v>
      </c>
    </row>
    <row r="1696" spans="1:20" x14ac:dyDescent="0.25">
      <c r="A1696" s="1">
        <v>43650</v>
      </c>
      <c r="B1696">
        <v>2410</v>
      </c>
      <c r="C1696">
        <v>2415.1</v>
      </c>
      <c r="D1696">
        <v>2388</v>
      </c>
      <c r="E1696">
        <v>2398.6999999999998</v>
      </c>
      <c r="F1696">
        <v>876051</v>
      </c>
      <c r="G1696" s="4">
        <f t="shared" si="365"/>
        <v>0</v>
      </c>
      <c r="H1696" s="4">
        <f t="shared" si="366"/>
        <v>19.400000000000091</v>
      </c>
      <c r="I1696" s="6">
        <f t="shared" si="371"/>
        <v>10.210714285714273</v>
      </c>
      <c r="J1696" s="6">
        <f t="shared" si="372"/>
        <v>9.5</v>
      </c>
      <c r="K1696" s="4">
        <f t="shared" si="373"/>
        <v>1.0748120300751867</v>
      </c>
      <c r="L1696">
        <f t="shared" si="374"/>
        <v>51.802862837470521</v>
      </c>
      <c r="M1696" s="14" t="str">
        <f t="shared" si="367"/>
        <v/>
      </c>
      <c r="N1696" s="7">
        <f t="shared" si="368"/>
        <v>0</v>
      </c>
      <c r="O1696" s="7">
        <f t="shared" si="375"/>
        <v>0</v>
      </c>
      <c r="P1696" s="7">
        <f t="shared" si="376"/>
        <v>-1</v>
      </c>
      <c r="Q1696" s="10" t="e">
        <f t="shared" si="369"/>
        <v>#N/A</v>
      </c>
      <c r="R1696" s="10" t="e">
        <f t="shared" si="370"/>
        <v>#N/A</v>
      </c>
      <c r="S1696" s="7">
        <f t="shared" si="377"/>
        <v>2437.8000000000002</v>
      </c>
      <c r="T1696" s="7">
        <f t="shared" si="378"/>
        <v>0</v>
      </c>
    </row>
    <row r="1697" spans="1:20" x14ac:dyDescent="0.25">
      <c r="A1697" s="1">
        <v>43651</v>
      </c>
      <c r="B1697">
        <v>2398.6999999999998</v>
      </c>
      <c r="C1697">
        <v>2408.9499999999998</v>
      </c>
      <c r="D1697">
        <v>2382</v>
      </c>
      <c r="E1697">
        <v>2391.0500000000002</v>
      </c>
      <c r="F1697">
        <v>42676</v>
      </c>
      <c r="G1697" s="4">
        <f t="shared" si="365"/>
        <v>0</v>
      </c>
      <c r="H1697" s="4">
        <f t="shared" si="366"/>
        <v>7.6499999999996362</v>
      </c>
      <c r="I1697" s="6">
        <f t="shared" si="371"/>
        <v>10.210714285714273</v>
      </c>
      <c r="J1697" s="6">
        <f t="shared" si="372"/>
        <v>8.5499999999999865</v>
      </c>
      <c r="K1697" s="4">
        <f t="shared" si="373"/>
        <v>1.1942355889724314</v>
      </c>
      <c r="L1697">
        <f t="shared" si="374"/>
        <v>54.426042261564831</v>
      </c>
      <c r="M1697" s="14" t="str">
        <f t="shared" si="367"/>
        <v/>
      </c>
      <c r="N1697" s="7">
        <f t="shared" si="368"/>
        <v>0</v>
      </c>
      <c r="O1697" s="7">
        <f t="shared" si="375"/>
        <v>0</v>
      </c>
      <c r="P1697" s="7">
        <f t="shared" si="376"/>
        <v>-1</v>
      </c>
      <c r="Q1697" s="10" t="e">
        <f t="shared" si="369"/>
        <v>#N/A</v>
      </c>
      <c r="R1697" s="10" t="e">
        <f t="shared" si="370"/>
        <v>#N/A</v>
      </c>
      <c r="S1697" s="7">
        <f t="shared" si="377"/>
        <v>2437.8000000000002</v>
      </c>
      <c r="T1697" s="7">
        <f t="shared" si="378"/>
        <v>0</v>
      </c>
    </row>
    <row r="1698" spans="1:20" x14ac:dyDescent="0.25">
      <c r="A1698" s="1">
        <v>43654</v>
      </c>
      <c r="B1698">
        <v>2399.6999999999998</v>
      </c>
      <c r="C1698">
        <v>2399.6999999999998</v>
      </c>
      <c r="D1698">
        <v>2334.15</v>
      </c>
      <c r="E1698">
        <v>2350</v>
      </c>
      <c r="F1698">
        <v>1467388</v>
      </c>
      <c r="G1698" s="4">
        <f t="shared" si="365"/>
        <v>0</v>
      </c>
      <c r="H1698" s="4">
        <f t="shared" si="366"/>
        <v>41.050000000000182</v>
      </c>
      <c r="I1698" s="6">
        <f t="shared" si="371"/>
        <v>9.3178571428571306</v>
      </c>
      <c r="J1698" s="6">
        <f t="shared" si="372"/>
        <v>11.482142857142858</v>
      </c>
      <c r="K1698" s="4">
        <f t="shared" si="373"/>
        <v>0.81150855365474228</v>
      </c>
      <c r="L1698">
        <f t="shared" si="374"/>
        <v>44.797390109890081</v>
      </c>
      <c r="M1698" s="14" t="str">
        <f t="shared" si="367"/>
        <v/>
      </c>
      <c r="N1698" s="7">
        <f t="shared" si="368"/>
        <v>0</v>
      </c>
      <c r="O1698" s="7">
        <f t="shared" si="375"/>
        <v>0</v>
      </c>
      <c r="P1698" s="7">
        <f t="shared" si="376"/>
        <v>-1</v>
      </c>
      <c r="Q1698" s="10" t="e">
        <f t="shared" si="369"/>
        <v>#N/A</v>
      </c>
      <c r="R1698" s="10" t="e">
        <f t="shared" si="370"/>
        <v>#N/A</v>
      </c>
      <c r="S1698" s="7">
        <f t="shared" si="377"/>
        <v>2437.8000000000002</v>
      </c>
      <c r="T1698" s="7">
        <f t="shared" si="378"/>
        <v>0</v>
      </c>
    </row>
    <row r="1699" spans="1:20" x14ac:dyDescent="0.25">
      <c r="A1699" s="1">
        <v>43655</v>
      </c>
      <c r="B1699">
        <v>2341</v>
      </c>
      <c r="C1699">
        <v>2344</v>
      </c>
      <c r="D1699">
        <v>2295</v>
      </c>
      <c r="E1699">
        <v>2304.0500000000002</v>
      </c>
      <c r="F1699">
        <v>1162538</v>
      </c>
      <c r="G1699" s="4">
        <f t="shared" si="365"/>
        <v>0</v>
      </c>
      <c r="H1699" s="4">
        <f t="shared" si="366"/>
        <v>45.949999999999818</v>
      </c>
      <c r="I1699" s="6">
        <f t="shared" si="371"/>
        <v>9.3178571428571306</v>
      </c>
      <c r="J1699" s="6">
        <f t="shared" si="372"/>
        <v>11.092857142857124</v>
      </c>
      <c r="K1699" s="4">
        <f t="shared" si="373"/>
        <v>0.83998712169993595</v>
      </c>
      <c r="L1699">
        <f t="shared" si="374"/>
        <v>45.651793525809282</v>
      </c>
      <c r="M1699" s="14" t="str">
        <f t="shared" si="367"/>
        <v/>
      </c>
      <c r="N1699" s="7">
        <f t="shared" si="368"/>
        <v>0</v>
      </c>
      <c r="O1699" s="7">
        <f t="shared" si="375"/>
        <v>0</v>
      </c>
      <c r="P1699" s="7">
        <f t="shared" si="376"/>
        <v>-1</v>
      </c>
      <c r="Q1699" s="10" t="e">
        <f t="shared" si="369"/>
        <v>#N/A</v>
      </c>
      <c r="R1699" s="10" t="e">
        <f t="shared" si="370"/>
        <v>#N/A</v>
      </c>
      <c r="S1699" s="7">
        <f t="shared" si="377"/>
        <v>2437.8000000000002</v>
      </c>
      <c r="T1699" s="7">
        <f t="shared" si="378"/>
        <v>0</v>
      </c>
    </row>
    <row r="1700" spans="1:20" x14ac:dyDescent="0.25">
      <c r="A1700" s="1">
        <v>43656</v>
      </c>
      <c r="B1700">
        <v>2294</v>
      </c>
      <c r="C1700">
        <v>2335</v>
      </c>
      <c r="D1700">
        <v>2284.5</v>
      </c>
      <c r="E1700">
        <v>2319.4499999999998</v>
      </c>
      <c r="F1700">
        <v>731655</v>
      </c>
      <c r="G1700" s="4">
        <f t="shared" si="365"/>
        <v>15.399999999999636</v>
      </c>
      <c r="H1700" s="4">
        <f t="shared" si="366"/>
        <v>0</v>
      </c>
      <c r="I1700" s="6">
        <f t="shared" si="371"/>
        <v>7.7535714285714095</v>
      </c>
      <c r="J1700" s="6">
        <f t="shared" si="372"/>
        <v>11.092857142857124</v>
      </c>
      <c r="K1700" s="4">
        <f t="shared" si="373"/>
        <v>0.69896973599484813</v>
      </c>
      <c r="L1700">
        <f t="shared" si="374"/>
        <v>41.140799696797401</v>
      </c>
      <c r="M1700" s="14" t="str">
        <f t="shared" si="367"/>
        <v/>
      </c>
      <c r="N1700" s="7">
        <f t="shared" si="368"/>
        <v>0</v>
      </c>
      <c r="O1700" s="7">
        <f t="shared" si="375"/>
        <v>0</v>
      </c>
      <c r="P1700" s="7">
        <f t="shared" si="376"/>
        <v>-1</v>
      </c>
      <c r="Q1700" s="10" t="e">
        <f t="shared" si="369"/>
        <v>#N/A</v>
      </c>
      <c r="R1700" s="10" t="e">
        <f t="shared" si="370"/>
        <v>#N/A</v>
      </c>
      <c r="S1700" s="7">
        <f t="shared" si="377"/>
        <v>2437.8000000000002</v>
      </c>
      <c r="T1700" s="7">
        <f t="shared" si="378"/>
        <v>0</v>
      </c>
    </row>
    <row r="1701" spans="1:20" x14ac:dyDescent="0.25">
      <c r="A1701" s="1">
        <v>43657</v>
      </c>
      <c r="B1701">
        <v>2320</v>
      </c>
      <c r="C1701">
        <v>2336.15</v>
      </c>
      <c r="D1701">
        <v>2294</v>
      </c>
      <c r="E1701">
        <v>2330.5500000000002</v>
      </c>
      <c r="F1701">
        <v>591876</v>
      </c>
      <c r="G1701" s="4">
        <f t="shared" si="365"/>
        <v>11.100000000000364</v>
      </c>
      <c r="H1701" s="4">
        <f t="shared" si="366"/>
        <v>0</v>
      </c>
      <c r="I1701" s="6">
        <f t="shared" si="371"/>
        <v>8.5464285714285779</v>
      </c>
      <c r="J1701" s="6">
        <f t="shared" si="372"/>
        <v>10.82499999999998</v>
      </c>
      <c r="K1701" s="4">
        <f t="shared" si="373"/>
        <v>0.78950841306499708</v>
      </c>
      <c r="L1701">
        <f t="shared" si="374"/>
        <v>44.118731563421889</v>
      </c>
      <c r="M1701" s="14" t="str">
        <f t="shared" si="367"/>
        <v/>
      </c>
      <c r="N1701" s="7">
        <f t="shared" si="368"/>
        <v>0</v>
      </c>
      <c r="O1701" s="7">
        <f t="shared" si="375"/>
        <v>0</v>
      </c>
      <c r="P1701" s="7">
        <f t="shared" si="376"/>
        <v>-1</v>
      </c>
      <c r="Q1701" s="10" t="e">
        <f t="shared" si="369"/>
        <v>#N/A</v>
      </c>
      <c r="R1701" s="10" t="e">
        <f t="shared" si="370"/>
        <v>#N/A</v>
      </c>
      <c r="S1701" s="7">
        <f t="shared" si="377"/>
        <v>2437.8000000000002</v>
      </c>
      <c r="T1701" s="7">
        <f t="shared" si="378"/>
        <v>0</v>
      </c>
    </row>
    <row r="1702" spans="1:20" x14ac:dyDescent="0.25">
      <c r="A1702" s="1">
        <v>43658</v>
      </c>
      <c r="B1702">
        <v>2337.9</v>
      </c>
      <c r="C1702">
        <v>2344.9</v>
      </c>
      <c r="D1702">
        <v>2260.0500000000002</v>
      </c>
      <c r="E1702">
        <v>2277.0500000000002</v>
      </c>
      <c r="F1702">
        <v>1024026</v>
      </c>
      <c r="G1702" s="4">
        <f t="shared" si="365"/>
        <v>0</v>
      </c>
      <c r="H1702" s="4">
        <f t="shared" si="366"/>
        <v>53.5</v>
      </c>
      <c r="I1702" s="6">
        <f t="shared" si="371"/>
        <v>5.8500000000000068</v>
      </c>
      <c r="J1702" s="6">
        <f t="shared" si="372"/>
        <v>14.646428571428553</v>
      </c>
      <c r="K1702" s="4">
        <f t="shared" si="373"/>
        <v>0.39941477688368787</v>
      </c>
      <c r="L1702">
        <f t="shared" si="374"/>
        <v>28.541557762676462</v>
      </c>
      <c r="M1702" s="14" t="str">
        <f t="shared" si="367"/>
        <v>OVERSOLD</v>
      </c>
      <c r="N1702" s="7" t="str">
        <f t="shared" si="368"/>
        <v>BUY</v>
      </c>
      <c r="O1702" s="7" t="str">
        <f t="shared" si="375"/>
        <v>BUY</v>
      </c>
      <c r="P1702" s="7">
        <f t="shared" si="376"/>
        <v>1</v>
      </c>
      <c r="Q1702" s="10">
        <f t="shared" si="369"/>
        <v>2277.0500000000002</v>
      </c>
      <c r="R1702" s="10" t="e">
        <f t="shared" si="370"/>
        <v>#N/A</v>
      </c>
      <c r="S1702" s="7">
        <f t="shared" si="377"/>
        <v>2277.0500000000002</v>
      </c>
      <c r="T1702" s="7">
        <f t="shared" si="378"/>
        <v>6.5940602182295513E-2</v>
      </c>
    </row>
    <row r="1703" spans="1:20" x14ac:dyDescent="0.25">
      <c r="A1703" s="1">
        <v>43661</v>
      </c>
      <c r="B1703">
        <v>2280.4499999999998</v>
      </c>
      <c r="C1703">
        <v>2307</v>
      </c>
      <c r="D1703">
        <v>2260</v>
      </c>
      <c r="E1703">
        <v>2283.1999999999998</v>
      </c>
      <c r="F1703">
        <v>966817</v>
      </c>
      <c r="G1703" s="4">
        <f t="shared" si="365"/>
        <v>6.1499999999996362</v>
      </c>
      <c r="H1703" s="4">
        <f t="shared" si="366"/>
        <v>0</v>
      </c>
      <c r="I1703" s="6">
        <f t="shared" si="371"/>
        <v>6.2892857142856951</v>
      </c>
      <c r="J1703" s="6">
        <f t="shared" si="372"/>
        <v>14.282142857142844</v>
      </c>
      <c r="K1703" s="4">
        <f t="shared" si="373"/>
        <v>0.4403600900225047</v>
      </c>
      <c r="L1703">
        <f t="shared" si="374"/>
        <v>30.572916666666615</v>
      </c>
      <c r="M1703" s="14" t="str">
        <f t="shared" si="367"/>
        <v/>
      </c>
      <c r="N1703" s="7">
        <f t="shared" si="368"/>
        <v>0</v>
      </c>
      <c r="O1703" s="7">
        <f t="shared" si="375"/>
        <v>0</v>
      </c>
      <c r="P1703" s="7">
        <f t="shared" si="376"/>
        <v>1</v>
      </c>
      <c r="Q1703" s="10" t="e">
        <f t="shared" si="369"/>
        <v>#N/A</v>
      </c>
      <c r="R1703" s="10" t="e">
        <f t="shared" si="370"/>
        <v>#N/A</v>
      </c>
      <c r="S1703" s="7">
        <f t="shared" si="377"/>
        <v>2277.0500000000002</v>
      </c>
      <c r="T1703" s="7">
        <f t="shared" si="378"/>
        <v>0</v>
      </c>
    </row>
    <row r="1704" spans="1:20" x14ac:dyDescent="0.25">
      <c r="A1704" s="1">
        <v>43662</v>
      </c>
      <c r="B1704">
        <v>2180</v>
      </c>
      <c r="C1704">
        <v>2275</v>
      </c>
      <c r="D1704">
        <v>2142.85</v>
      </c>
      <c r="E1704">
        <v>2169.85</v>
      </c>
      <c r="F1704">
        <v>2250113</v>
      </c>
      <c r="G1704" s="4">
        <f t="shared" si="365"/>
        <v>0</v>
      </c>
      <c r="H1704" s="4">
        <f t="shared" si="366"/>
        <v>113.34999999999991</v>
      </c>
      <c r="I1704" s="6">
        <f t="shared" si="371"/>
        <v>5.8571428571428248</v>
      </c>
      <c r="J1704" s="6">
        <f t="shared" si="372"/>
        <v>22.378571428571409</v>
      </c>
      <c r="K1704" s="4">
        <f t="shared" si="373"/>
        <v>0.26172997127353853</v>
      </c>
      <c r="L1704">
        <f t="shared" si="374"/>
        <v>20.743738932456296</v>
      </c>
      <c r="M1704" s="14" t="str">
        <f t="shared" si="367"/>
        <v>OVERSOLD</v>
      </c>
      <c r="N1704" s="7" t="str">
        <f t="shared" si="368"/>
        <v>BUY</v>
      </c>
      <c r="O1704" s="7">
        <f t="shared" si="375"/>
        <v>0</v>
      </c>
      <c r="P1704" s="7">
        <f t="shared" si="376"/>
        <v>1</v>
      </c>
      <c r="Q1704" s="10" t="e">
        <f t="shared" si="369"/>
        <v>#N/A</v>
      </c>
      <c r="R1704" s="10" t="e">
        <f t="shared" si="370"/>
        <v>#N/A</v>
      </c>
      <c r="S1704" s="7">
        <f t="shared" si="377"/>
        <v>2277.0500000000002</v>
      </c>
      <c r="T1704" s="7">
        <f t="shared" si="378"/>
        <v>0</v>
      </c>
    </row>
    <row r="1705" spans="1:20" x14ac:dyDescent="0.25">
      <c r="A1705" s="1">
        <v>43663</v>
      </c>
      <c r="B1705">
        <v>2204.8000000000002</v>
      </c>
      <c r="C1705">
        <v>2217.5</v>
      </c>
      <c r="D1705">
        <v>2140.8000000000002</v>
      </c>
      <c r="E1705">
        <v>2155.4499999999998</v>
      </c>
      <c r="F1705">
        <v>1086213</v>
      </c>
      <c r="G1705" s="4">
        <f t="shared" si="365"/>
        <v>0</v>
      </c>
      <c r="H1705" s="4">
        <f t="shared" si="366"/>
        <v>14.400000000000091</v>
      </c>
      <c r="I1705" s="6">
        <f t="shared" si="371"/>
        <v>3.8928571428571104</v>
      </c>
      <c r="J1705" s="6">
        <f t="shared" si="372"/>
        <v>23.407142857142844</v>
      </c>
      <c r="K1705" s="4">
        <f t="shared" si="373"/>
        <v>0.16631064998474085</v>
      </c>
      <c r="L1705">
        <f t="shared" si="374"/>
        <v>14.25954997383559</v>
      </c>
      <c r="M1705" s="14" t="str">
        <f t="shared" si="367"/>
        <v>OVERSOLD</v>
      </c>
      <c r="N1705" s="7" t="str">
        <f t="shared" si="368"/>
        <v>BUY</v>
      </c>
      <c r="O1705" s="7">
        <f t="shared" si="375"/>
        <v>0</v>
      </c>
      <c r="P1705" s="7">
        <f t="shared" si="376"/>
        <v>1</v>
      </c>
      <c r="Q1705" s="10" t="e">
        <f t="shared" si="369"/>
        <v>#N/A</v>
      </c>
      <c r="R1705" s="10" t="e">
        <f t="shared" si="370"/>
        <v>#N/A</v>
      </c>
      <c r="S1705" s="7">
        <f t="shared" si="377"/>
        <v>2277.0500000000002</v>
      </c>
      <c r="T1705" s="7">
        <f t="shared" si="378"/>
        <v>0</v>
      </c>
    </row>
    <row r="1706" spans="1:20" x14ac:dyDescent="0.25">
      <c r="A1706" s="1">
        <v>43664</v>
      </c>
      <c r="B1706">
        <v>2147.0500000000002</v>
      </c>
      <c r="C1706">
        <v>2147.0500000000002</v>
      </c>
      <c r="D1706">
        <v>2086.1999999999998</v>
      </c>
      <c r="E1706">
        <v>2101.15</v>
      </c>
      <c r="F1706">
        <v>1199212</v>
      </c>
      <c r="G1706" s="4">
        <f t="shared" si="365"/>
        <v>0</v>
      </c>
      <c r="H1706" s="4">
        <f t="shared" si="366"/>
        <v>54.299999999999727</v>
      </c>
      <c r="I1706" s="6">
        <f t="shared" si="371"/>
        <v>3.8928571428571104</v>
      </c>
      <c r="J1706" s="6">
        <f t="shared" si="372"/>
        <v>27.217857142857092</v>
      </c>
      <c r="K1706" s="4">
        <f t="shared" si="373"/>
        <v>0.1430258496260324</v>
      </c>
      <c r="L1706">
        <f t="shared" si="374"/>
        <v>12.512914705544645</v>
      </c>
      <c r="M1706" s="14" t="str">
        <f t="shared" si="367"/>
        <v>OVERSOLD</v>
      </c>
      <c r="N1706" s="7" t="str">
        <f t="shared" si="368"/>
        <v>BUY</v>
      </c>
      <c r="O1706" s="7">
        <f t="shared" si="375"/>
        <v>0</v>
      </c>
      <c r="P1706" s="7">
        <f t="shared" si="376"/>
        <v>1</v>
      </c>
      <c r="Q1706" s="10" t="e">
        <f t="shared" si="369"/>
        <v>#N/A</v>
      </c>
      <c r="R1706" s="10" t="e">
        <f t="shared" si="370"/>
        <v>#N/A</v>
      </c>
      <c r="S1706" s="7">
        <f t="shared" si="377"/>
        <v>2277.0500000000002</v>
      </c>
      <c r="T1706" s="7">
        <f t="shared" si="378"/>
        <v>0</v>
      </c>
    </row>
    <row r="1707" spans="1:20" x14ac:dyDescent="0.25">
      <c r="A1707" s="1">
        <v>43665</v>
      </c>
      <c r="B1707">
        <v>2116.9</v>
      </c>
      <c r="C1707">
        <v>2157.5500000000002</v>
      </c>
      <c r="D1707">
        <v>2051.9</v>
      </c>
      <c r="E1707">
        <v>2121.3000000000002</v>
      </c>
      <c r="F1707">
        <v>3145162</v>
      </c>
      <c r="G1707" s="4">
        <f t="shared" si="365"/>
        <v>20.150000000000091</v>
      </c>
      <c r="H1707" s="4">
        <f t="shared" si="366"/>
        <v>0</v>
      </c>
      <c r="I1707" s="6">
        <f t="shared" si="371"/>
        <v>5.3321428571428315</v>
      </c>
      <c r="J1707" s="6">
        <f t="shared" si="372"/>
        <v>25.128571428571377</v>
      </c>
      <c r="K1707" s="4">
        <f t="shared" si="373"/>
        <v>0.21219442865264296</v>
      </c>
      <c r="L1707">
        <f t="shared" si="374"/>
        <v>17.504982999179234</v>
      </c>
      <c r="M1707" s="14" t="str">
        <f t="shared" si="367"/>
        <v>OVERSOLD</v>
      </c>
      <c r="N1707" s="7" t="str">
        <f t="shared" si="368"/>
        <v>BUY</v>
      </c>
      <c r="O1707" s="7">
        <f t="shared" si="375"/>
        <v>0</v>
      </c>
      <c r="P1707" s="7">
        <f t="shared" si="376"/>
        <v>1</v>
      </c>
      <c r="Q1707" s="10" t="e">
        <f t="shared" si="369"/>
        <v>#N/A</v>
      </c>
      <c r="R1707" s="10" t="e">
        <f t="shared" si="370"/>
        <v>#N/A</v>
      </c>
      <c r="S1707" s="7">
        <f t="shared" si="377"/>
        <v>2277.0500000000002</v>
      </c>
      <c r="T1707" s="7">
        <f t="shared" si="378"/>
        <v>0</v>
      </c>
    </row>
    <row r="1708" spans="1:20" x14ac:dyDescent="0.25">
      <c r="A1708" s="1">
        <v>43668</v>
      </c>
      <c r="B1708">
        <v>2145.1</v>
      </c>
      <c r="C1708">
        <v>2208.9</v>
      </c>
      <c r="D1708">
        <v>2138</v>
      </c>
      <c r="E1708">
        <v>2189.6</v>
      </c>
      <c r="F1708">
        <v>2009979</v>
      </c>
      <c r="G1708" s="4">
        <f t="shared" si="365"/>
        <v>68.299999999999727</v>
      </c>
      <c r="H1708" s="4">
        <f t="shared" si="366"/>
        <v>0</v>
      </c>
      <c r="I1708" s="6">
        <f t="shared" si="371"/>
        <v>10.210714285714241</v>
      </c>
      <c r="J1708" s="6">
        <f t="shared" si="372"/>
        <v>24.971428571428532</v>
      </c>
      <c r="K1708" s="4">
        <f t="shared" si="373"/>
        <v>0.40889588100686386</v>
      </c>
      <c r="L1708">
        <f t="shared" si="374"/>
        <v>29.022434270632374</v>
      </c>
      <c r="M1708" s="14" t="str">
        <f t="shared" si="367"/>
        <v>OVERSOLD</v>
      </c>
      <c r="N1708" s="7" t="str">
        <f t="shared" si="368"/>
        <v>BUY</v>
      </c>
      <c r="O1708" s="7">
        <f t="shared" si="375"/>
        <v>0</v>
      </c>
      <c r="P1708" s="7">
        <f t="shared" si="376"/>
        <v>1</v>
      </c>
      <c r="Q1708" s="10" t="e">
        <f t="shared" si="369"/>
        <v>#N/A</v>
      </c>
      <c r="R1708" s="10" t="e">
        <f t="shared" si="370"/>
        <v>#N/A</v>
      </c>
      <c r="S1708" s="7">
        <f t="shared" si="377"/>
        <v>2277.0500000000002</v>
      </c>
      <c r="T1708" s="7">
        <f t="shared" si="378"/>
        <v>0</v>
      </c>
    </row>
    <row r="1709" spans="1:20" x14ac:dyDescent="0.25">
      <c r="A1709" s="1">
        <v>43669</v>
      </c>
      <c r="B1709">
        <v>2185</v>
      </c>
      <c r="C1709">
        <v>2208.6</v>
      </c>
      <c r="D1709">
        <v>2130.15</v>
      </c>
      <c r="E1709">
        <v>2137.1999999999998</v>
      </c>
      <c r="F1709">
        <v>1252344</v>
      </c>
      <c r="G1709" s="4">
        <f t="shared" si="365"/>
        <v>0</v>
      </c>
      <c r="H1709" s="4">
        <f t="shared" si="366"/>
        <v>52.400000000000091</v>
      </c>
      <c r="I1709" s="6">
        <f t="shared" si="371"/>
        <v>8.6499999999999613</v>
      </c>
      <c r="J1709" s="6">
        <f t="shared" si="372"/>
        <v>28.714285714285683</v>
      </c>
      <c r="K1709" s="4">
        <f t="shared" si="373"/>
        <v>0.30124378109452632</v>
      </c>
      <c r="L1709">
        <f t="shared" si="374"/>
        <v>23.15044924488619</v>
      </c>
      <c r="M1709" s="14" t="str">
        <f t="shared" si="367"/>
        <v>OVERSOLD</v>
      </c>
      <c r="N1709" s="7" t="str">
        <f t="shared" si="368"/>
        <v>BUY</v>
      </c>
      <c r="O1709" s="7">
        <f t="shared" si="375"/>
        <v>0</v>
      </c>
      <c r="P1709" s="7">
        <f t="shared" si="376"/>
        <v>1</v>
      </c>
      <c r="Q1709" s="10" t="e">
        <f t="shared" si="369"/>
        <v>#N/A</v>
      </c>
      <c r="R1709" s="10" t="e">
        <f t="shared" si="370"/>
        <v>#N/A</v>
      </c>
      <c r="S1709" s="7">
        <f t="shared" si="377"/>
        <v>2277.0500000000002</v>
      </c>
      <c r="T1709" s="7">
        <f t="shared" si="378"/>
        <v>0</v>
      </c>
    </row>
    <row r="1710" spans="1:20" x14ac:dyDescent="0.25">
      <c r="A1710" s="1">
        <v>43670</v>
      </c>
      <c r="B1710">
        <v>2142</v>
      </c>
      <c r="C1710">
        <v>2150</v>
      </c>
      <c r="D1710">
        <v>2104.1999999999998</v>
      </c>
      <c r="E1710">
        <v>2125.1</v>
      </c>
      <c r="F1710">
        <v>1070267</v>
      </c>
      <c r="G1710" s="4">
        <f t="shared" si="365"/>
        <v>0</v>
      </c>
      <c r="H1710" s="4">
        <f t="shared" si="366"/>
        <v>12.099999999999909</v>
      </c>
      <c r="I1710" s="6">
        <f t="shared" si="371"/>
        <v>8.6499999999999613</v>
      </c>
      <c r="J1710" s="6">
        <f t="shared" si="372"/>
        <v>28.192857142857097</v>
      </c>
      <c r="K1710" s="4">
        <f t="shared" si="373"/>
        <v>0.30681530276159019</v>
      </c>
      <c r="L1710">
        <f t="shared" si="374"/>
        <v>23.47809228383089</v>
      </c>
      <c r="M1710" s="14" t="str">
        <f t="shared" si="367"/>
        <v>OVERSOLD</v>
      </c>
      <c r="N1710" s="7" t="str">
        <f t="shared" si="368"/>
        <v>BUY</v>
      </c>
      <c r="O1710" s="7">
        <f t="shared" si="375"/>
        <v>0</v>
      </c>
      <c r="P1710" s="7">
        <f t="shared" si="376"/>
        <v>1</v>
      </c>
      <c r="Q1710" s="10" t="e">
        <f t="shared" si="369"/>
        <v>#N/A</v>
      </c>
      <c r="R1710" s="10" t="e">
        <f t="shared" si="370"/>
        <v>#N/A</v>
      </c>
      <c r="S1710" s="7">
        <f t="shared" si="377"/>
        <v>2277.0500000000002</v>
      </c>
      <c r="T1710" s="7">
        <f t="shared" si="378"/>
        <v>0</v>
      </c>
    </row>
    <row r="1711" spans="1:20" x14ac:dyDescent="0.25">
      <c r="A1711" s="1">
        <v>43671</v>
      </c>
      <c r="B1711">
        <v>2126.1999999999998</v>
      </c>
      <c r="C1711">
        <v>2140</v>
      </c>
      <c r="D1711">
        <v>2105</v>
      </c>
      <c r="E1711">
        <v>2132.9</v>
      </c>
      <c r="F1711">
        <v>896683</v>
      </c>
      <c r="G1711" s="4">
        <f t="shared" si="365"/>
        <v>7.8000000000001819</v>
      </c>
      <c r="H1711" s="4">
        <f t="shared" si="366"/>
        <v>0</v>
      </c>
      <c r="I1711" s="6">
        <f t="shared" si="371"/>
        <v>9.2071428571428306</v>
      </c>
      <c r="J1711" s="6">
        <f t="shared" si="372"/>
        <v>27.646428571428551</v>
      </c>
      <c r="K1711" s="4">
        <f t="shared" si="373"/>
        <v>0.33303190802221866</v>
      </c>
      <c r="L1711">
        <f t="shared" si="374"/>
        <v>24.983040992344172</v>
      </c>
      <c r="M1711" s="14" t="str">
        <f t="shared" si="367"/>
        <v>OVERSOLD</v>
      </c>
      <c r="N1711" s="7" t="str">
        <f t="shared" si="368"/>
        <v>BUY</v>
      </c>
      <c r="O1711" s="7">
        <f t="shared" si="375"/>
        <v>0</v>
      </c>
      <c r="P1711" s="7">
        <f t="shared" si="376"/>
        <v>1</v>
      </c>
      <c r="Q1711" s="10" t="e">
        <f t="shared" si="369"/>
        <v>#N/A</v>
      </c>
      <c r="R1711" s="10" t="e">
        <f t="shared" si="370"/>
        <v>#N/A</v>
      </c>
      <c r="S1711" s="7">
        <f t="shared" si="377"/>
        <v>2277.0500000000002</v>
      </c>
      <c r="T1711" s="7">
        <f t="shared" si="378"/>
        <v>0</v>
      </c>
    </row>
    <row r="1712" spans="1:20" x14ac:dyDescent="0.25">
      <c r="A1712" s="1">
        <v>43672</v>
      </c>
      <c r="B1712">
        <v>2132</v>
      </c>
      <c r="C1712">
        <v>2177.4499999999998</v>
      </c>
      <c r="D1712">
        <v>2122.0500000000002</v>
      </c>
      <c r="E1712">
        <v>2135</v>
      </c>
      <c r="F1712">
        <v>659430</v>
      </c>
      <c r="G1712" s="4">
        <f t="shared" si="365"/>
        <v>2.0999999999999091</v>
      </c>
      <c r="H1712" s="4">
        <f t="shared" si="366"/>
        <v>0</v>
      </c>
      <c r="I1712" s="6">
        <f t="shared" si="371"/>
        <v>9.3571428571428239</v>
      </c>
      <c r="J1712" s="6">
        <f t="shared" si="372"/>
        <v>24.714285714285683</v>
      </c>
      <c r="K1712" s="4">
        <f t="shared" si="373"/>
        <v>0.3786127167630049</v>
      </c>
      <c r="L1712">
        <f t="shared" si="374"/>
        <v>27.463312368972694</v>
      </c>
      <c r="M1712" s="14" t="str">
        <f t="shared" si="367"/>
        <v>OVERSOLD</v>
      </c>
      <c r="N1712" s="7" t="str">
        <f t="shared" si="368"/>
        <v>BUY</v>
      </c>
      <c r="O1712" s="7">
        <f t="shared" si="375"/>
        <v>0</v>
      </c>
      <c r="P1712" s="7">
        <f t="shared" si="376"/>
        <v>1</v>
      </c>
      <c r="Q1712" s="10" t="e">
        <f t="shared" si="369"/>
        <v>#N/A</v>
      </c>
      <c r="R1712" s="10" t="e">
        <f t="shared" si="370"/>
        <v>#N/A</v>
      </c>
      <c r="S1712" s="7">
        <f t="shared" si="377"/>
        <v>2277.0500000000002</v>
      </c>
      <c r="T1712" s="7">
        <f t="shared" si="378"/>
        <v>0</v>
      </c>
    </row>
    <row r="1713" spans="1:20" x14ac:dyDescent="0.25">
      <c r="A1713" s="1">
        <v>43675</v>
      </c>
      <c r="B1713">
        <v>2149</v>
      </c>
      <c r="C1713">
        <v>2162.9499999999998</v>
      </c>
      <c r="D1713">
        <v>2127.1999999999998</v>
      </c>
      <c r="E1713">
        <v>2156.35</v>
      </c>
      <c r="F1713">
        <v>637904</v>
      </c>
      <c r="G1713" s="4">
        <f t="shared" si="365"/>
        <v>21.349999999999909</v>
      </c>
      <c r="H1713" s="4">
        <f t="shared" si="366"/>
        <v>0</v>
      </c>
      <c r="I1713" s="6">
        <f t="shared" si="371"/>
        <v>10.882142857142819</v>
      </c>
      <c r="J1713" s="6">
        <f t="shared" si="372"/>
        <v>21.432142857142839</v>
      </c>
      <c r="K1713" s="4">
        <f t="shared" si="373"/>
        <v>0.5077487085485739</v>
      </c>
      <c r="L1713">
        <f t="shared" si="374"/>
        <v>33.67595048629525</v>
      </c>
      <c r="M1713" s="14" t="str">
        <f t="shared" si="367"/>
        <v/>
      </c>
      <c r="N1713" s="7">
        <f t="shared" si="368"/>
        <v>0</v>
      </c>
      <c r="O1713" s="7">
        <f t="shared" si="375"/>
        <v>0</v>
      </c>
      <c r="P1713" s="7">
        <f t="shared" si="376"/>
        <v>1</v>
      </c>
      <c r="Q1713" s="10" t="e">
        <f t="shared" si="369"/>
        <v>#N/A</v>
      </c>
      <c r="R1713" s="10" t="e">
        <f t="shared" si="370"/>
        <v>#N/A</v>
      </c>
      <c r="S1713" s="7">
        <f t="shared" si="377"/>
        <v>2277.0500000000002</v>
      </c>
      <c r="T1713" s="7">
        <f t="shared" si="378"/>
        <v>0</v>
      </c>
    </row>
    <row r="1714" spans="1:20" x14ac:dyDescent="0.25">
      <c r="A1714" s="1">
        <v>43676</v>
      </c>
      <c r="B1714">
        <v>2154.9</v>
      </c>
      <c r="C1714">
        <v>2207.6</v>
      </c>
      <c r="D1714">
        <v>2137</v>
      </c>
      <c r="E1714">
        <v>2188.4499999999998</v>
      </c>
      <c r="F1714">
        <v>1513117</v>
      </c>
      <c r="G1714" s="4">
        <f t="shared" si="365"/>
        <v>32.099999999999909</v>
      </c>
      <c r="H1714" s="4">
        <f t="shared" si="366"/>
        <v>0</v>
      </c>
      <c r="I1714" s="6">
        <f t="shared" si="371"/>
        <v>12.07499999999998</v>
      </c>
      <c r="J1714" s="6">
        <f t="shared" si="372"/>
        <v>21.432142857142839</v>
      </c>
      <c r="K1714" s="4">
        <f t="shared" si="373"/>
        <v>0.56340609898350225</v>
      </c>
      <c r="L1714">
        <f t="shared" si="374"/>
        <v>36.037092304412688</v>
      </c>
      <c r="M1714" s="14" t="str">
        <f t="shared" si="367"/>
        <v/>
      </c>
      <c r="N1714" s="7">
        <f t="shared" si="368"/>
        <v>0</v>
      </c>
      <c r="O1714" s="7">
        <f t="shared" si="375"/>
        <v>0</v>
      </c>
      <c r="P1714" s="7">
        <f t="shared" si="376"/>
        <v>1</v>
      </c>
      <c r="Q1714" s="10" t="e">
        <f t="shared" si="369"/>
        <v>#N/A</v>
      </c>
      <c r="R1714" s="10" t="e">
        <f t="shared" si="370"/>
        <v>#N/A</v>
      </c>
      <c r="S1714" s="7">
        <f t="shared" si="377"/>
        <v>2277.0500000000002</v>
      </c>
      <c r="T1714" s="7">
        <f t="shared" si="378"/>
        <v>0</v>
      </c>
    </row>
    <row r="1715" spans="1:20" x14ac:dyDescent="0.25">
      <c r="A1715" s="1">
        <v>43677</v>
      </c>
      <c r="B1715">
        <v>2212</v>
      </c>
      <c r="C1715">
        <v>2307.25</v>
      </c>
      <c r="D1715">
        <v>2192.1999999999998</v>
      </c>
      <c r="E1715">
        <v>2300.35</v>
      </c>
      <c r="F1715">
        <v>2138074</v>
      </c>
      <c r="G1715" s="4">
        <f t="shared" si="365"/>
        <v>111.90000000000009</v>
      </c>
      <c r="H1715" s="4">
        <f t="shared" si="366"/>
        <v>0</v>
      </c>
      <c r="I1715" s="6">
        <f t="shared" si="371"/>
        <v>19.274999999999959</v>
      </c>
      <c r="J1715" s="6">
        <f t="shared" si="372"/>
        <v>21.432142857142839</v>
      </c>
      <c r="K1715" s="4">
        <f t="shared" si="373"/>
        <v>0.89935010831527962</v>
      </c>
      <c r="L1715">
        <f t="shared" si="374"/>
        <v>47.350412353044355</v>
      </c>
      <c r="M1715" s="14" t="str">
        <f t="shared" si="367"/>
        <v/>
      </c>
      <c r="N1715" s="7">
        <f t="shared" si="368"/>
        <v>0</v>
      </c>
      <c r="O1715" s="7">
        <f t="shared" si="375"/>
        <v>0</v>
      </c>
      <c r="P1715" s="7">
        <f t="shared" si="376"/>
        <v>1</v>
      </c>
      <c r="Q1715" s="10" t="e">
        <f t="shared" si="369"/>
        <v>#N/A</v>
      </c>
      <c r="R1715" s="10" t="e">
        <f t="shared" si="370"/>
        <v>#N/A</v>
      </c>
      <c r="S1715" s="7">
        <f t="shared" si="377"/>
        <v>2277.0500000000002</v>
      </c>
      <c r="T1715" s="7">
        <f t="shared" si="378"/>
        <v>0</v>
      </c>
    </row>
    <row r="1716" spans="1:20" x14ac:dyDescent="0.25">
      <c r="A1716" s="1">
        <v>43678</v>
      </c>
      <c r="B1716">
        <v>2294</v>
      </c>
      <c r="C1716">
        <v>2319.4499999999998</v>
      </c>
      <c r="D1716">
        <v>2251.9</v>
      </c>
      <c r="E1716">
        <v>2282.6</v>
      </c>
      <c r="F1716">
        <v>962148</v>
      </c>
      <c r="G1716" s="4">
        <f t="shared" si="365"/>
        <v>0</v>
      </c>
      <c r="H1716" s="4">
        <f t="shared" si="366"/>
        <v>17.75</v>
      </c>
      <c r="I1716" s="6">
        <f t="shared" si="371"/>
        <v>19.274999999999959</v>
      </c>
      <c r="J1716" s="6">
        <f t="shared" si="372"/>
        <v>18.878571428571409</v>
      </c>
      <c r="K1716" s="4">
        <f t="shared" si="373"/>
        <v>1.0209988649262192</v>
      </c>
      <c r="L1716">
        <f t="shared" si="374"/>
        <v>50.519516989609635</v>
      </c>
      <c r="M1716" s="14" t="str">
        <f t="shared" si="367"/>
        <v/>
      </c>
      <c r="N1716" s="7">
        <f t="shared" si="368"/>
        <v>0</v>
      </c>
      <c r="O1716" s="7">
        <f t="shared" si="375"/>
        <v>0</v>
      </c>
      <c r="P1716" s="7">
        <f t="shared" si="376"/>
        <v>1</v>
      </c>
      <c r="Q1716" s="10" t="e">
        <f t="shared" si="369"/>
        <v>#N/A</v>
      </c>
      <c r="R1716" s="10" t="e">
        <f t="shared" si="370"/>
        <v>#N/A</v>
      </c>
      <c r="S1716" s="7">
        <f t="shared" si="377"/>
        <v>2277.0500000000002</v>
      </c>
      <c r="T1716" s="7">
        <f t="shared" si="378"/>
        <v>0</v>
      </c>
    </row>
    <row r="1717" spans="1:20" x14ac:dyDescent="0.25">
      <c r="A1717" s="1">
        <v>43679</v>
      </c>
      <c r="B1717">
        <v>2275</v>
      </c>
      <c r="C1717">
        <v>2292</v>
      </c>
      <c r="D1717">
        <v>2252.5500000000002</v>
      </c>
      <c r="E1717">
        <v>2259.85</v>
      </c>
      <c r="F1717">
        <v>721148</v>
      </c>
      <c r="G1717" s="4">
        <f t="shared" si="365"/>
        <v>0</v>
      </c>
      <c r="H1717" s="4">
        <f t="shared" si="366"/>
        <v>22.75</v>
      </c>
      <c r="I1717" s="6">
        <f t="shared" si="371"/>
        <v>18.835714285714271</v>
      </c>
      <c r="J1717" s="6">
        <f t="shared" si="372"/>
        <v>20.503571428571409</v>
      </c>
      <c r="K1717" s="4">
        <f t="shared" si="373"/>
        <v>0.91865528653544692</v>
      </c>
      <c r="L1717">
        <f t="shared" si="374"/>
        <v>47.880163413527015</v>
      </c>
      <c r="M1717" s="14" t="str">
        <f t="shared" si="367"/>
        <v/>
      </c>
      <c r="N1717" s="7">
        <f t="shared" si="368"/>
        <v>0</v>
      </c>
      <c r="O1717" s="7">
        <f t="shared" si="375"/>
        <v>0</v>
      </c>
      <c r="P1717" s="7">
        <f t="shared" si="376"/>
        <v>1</v>
      </c>
      <c r="Q1717" s="10" t="e">
        <f t="shared" si="369"/>
        <v>#N/A</v>
      </c>
      <c r="R1717" s="10" t="e">
        <f t="shared" si="370"/>
        <v>#N/A</v>
      </c>
      <c r="S1717" s="7">
        <f t="shared" si="377"/>
        <v>2277.0500000000002</v>
      </c>
      <c r="T1717" s="7">
        <f t="shared" si="378"/>
        <v>0</v>
      </c>
    </row>
    <row r="1718" spans="1:20" x14ac:dyDescent="0.25">
      <c r="A1718" s="1">
        <v>43682</v>
      </c>
      <c r="B1718">
        <v>2265</v>
      </c>
      <c r="C1718">
        <v>2294.75</v>
      </c>
      <c r="D1718">
        <v>2242.3000000000002</v>
      </c>
      <c r="E1718">
        <v>2276.0500000000002</v>
      </c>
      <c r="F1718">
        <v>1722916</v>
      </c>
      <c r="G1718" s="4">
        <f t="shared" si="365"/>
        <v>16.200000000000273</v>
      </c>
      <c r="H1718" s="4">
        <f t="shared" si="366"/>
        <v>0</v>
      </c>
      <c r="I1718" s="6">
        <f t="shared" si="371"/>
        <v>19.992857142857151</v>
      </c>
      <c r="J1718" s="6">
        <f t="shared" si="372"/>
        <v>12.407142857142844</v>
      </c>
      <c r="K1718" s="4">
        <f t="shared" si="373"/>
        <v>1.6113989637305723</v>
      </c>
      <c r="L1718">
        <f t="shared" si="374"/>
        <v>61.706349206349238</v>
      </c>
      <c r="M1718" s="14" t="str">
        <f t="shared" si="367"/>
        <v/>
      </c>
      <c r="N1718" s="7">
        <f t="shared" si="368"/>
        <v>0</v>
      </c>
      <c r="O1718" s="7">
        <f t="shared" si="375"/>
        <v>0</v>
      </c>
      <c r="P1718" s="7">
        <f t="shared" si="376"/>
        <v>1</v>
      </c>
      <c r="Q1718" s="10" t="e">
        <f t="shared" si="369"/>
        <v>#N/A</v>
      </c>
      <c r="R1718" s="10" t="e">
        <f t="shared" si="370"/>
        <v>#N/A</v>
      </c>
      <c r="S1718" s="7">
        <f t="shared" si="377"/>
        <v>2277.0500000000002</v>
      </c>
      <c r="T1718" s="7">
        <f t="shared" si="378"/>
        <v>0</v>
      </c>
    </row>
    <row r="1719" spans="1:20" x14ac:dyDescent="0.25">
      <c r="A1719" s="1">
        <v>43683</v>
      </c>
      <c r="B1719">
        <v>2277</v>
      </c>
      <c r="C1719">
        <v>2290</v>
      </c>
      <c r="D1719">
        <v>2254.0500000000002</v>
      </c>
      <c r="E1719">
        <v>2263.4499999999998</v>
      </c>
      <c r="F1719">
        <v>561526</v>
      </c>
      <c r="G1719" s="4">
        <f t="shared" si="365"/>
        <v>0</v>
      </c>
      <c r="H1719" s="4">
        <f t="shared" si="366"/>
        <v>12.600000000000364</v>
      </c>
      <c r="I1719" s="6">
        <f t="shared" si="371"/>
        <v>19.992857142857151</v>
      </c>
      <c r="J1719" s="6">
        <f t="shared" si="372"/>
        <v>12.278571428571436</v>
      </c>
      <c r="K1719" s="4">
        <f t="shared" si="373"/>
        <v>1.6282722513089003</v>
      </c>
      <c r="L1719">
        <f t="shared" si="374"/>
        <v>61.952191235059757</v>
      </c>
      <c r="M1719" s="14" t="str">
        <f t="shared" si="367"/>
        <v/>
      </c>
      <c r="N1719" s="7">
        <f t="shared" si="368"/>
        <v>0</v>
      </c>
      <c r="O1719" s="7">
        <f t="shared" si="375"/>
        <v>0</v>
      </c>
      <c r="P1719" s="7">
        <f t="shared" si="376"/>
        <v>1</v>
      </c>
      <c r="Q1719" s="10" t="e">
        <f t="shared" si="369"/>
        <v>#N/A</v>
      </c>
      <c r="R1719" s="10" t="e">
        <f t="shared" si="370"/>
        <v>#N/A</v>
      </c>
      <c r="S1719" s="7">
        <f t="shared" si="377"/>
        <v>2277.0500000000002</v>
      </c>
      <c r="T1719" s="7">
        <f t="shared" si="378"/>
        <v>0</v>
      </c>
    </row>
    <row r="1720" spans="1:20" x14ac:dyDescent="0.25">
      <c r="A1720" s="1">
        <v>43684</v>
      </c>
      <c r="B1720">
        <v>2258</v>
      </c>
      <c r="C1720">
        <v>2270.8000000000002</v>
      </c>
      <c r="D1720">
        <v>2205.1999999999998</v>
      </c>
      <c r="E1720">
        <v>2221.85</v>
      </c>
      <c r="F1720">
        <v>999016</v>
      </c>
      <c r="G1720" s="4">
        <f t="shared" si="365"/>
        <v>0</v>
      </c>
      <c r="H1720" s="4">
        <f t="shared" si="366"/>
        <v>41.599999999999909</v>
      </c>
      <c r="I1720" s="6">
        <f t="shared" si="371"/>
        <v>19.992857142857151</v>
      </c>
      <c r="J1720" s="6">
        <f t="shared" si="372"/>
        <v>11.371428571428591</v>
      </c>
      <c r="K1720" s="4">
        <f t="shared" si="373"/>
        <v>1.7581658291457263</v>
      </c>
      <c r="L1720">
        <f t="shared" si="374"/>
        <v>63.744021862901356</v>
      </c>
      <c r="M1720" s="14" t="str">
        <f t="shared" si="367"/>
        <v/>
      </c>
      <c r="N1720" s="7">
        <f t="shared" si="368"/>
        <v>0</v>
      </c>
      <c r="O1720" s="7">
        <f t="shared" si="375"/>
        <v>0</v>
      </c>
      <c r="P1720" s="7">
        <f t="shared" si="376"/>
        <v>1</v>
      </c>
      <c r="Q1720" s="10" t="e">
        <f t="shared" si="369"/>
        <v>#N/A</v>
      </c>
      <c r="R1720" s="10" t="e">
        <f t="shared" si="370"/>
        <v>#N/A</v>
      </c>
      <c r="S1720" s="7">
        <f t="shared" si="377"/>
        <v>2277.0500000000002</v>
      </c>
      <c r="T1720" s="7">
        <f t="shared" si="378"/>
        <v>0</v>
      </c>
    </row>
    <row r="1721" spans="1:20" x14ac:dyDescent="0.25">
      <c r="A1721" s="1">
        <v>43685</v>
      </c>
      <c r="B1721">
        <v>2229</v>
      </c>
      <c r="C1721">
        <v>2237.85</v>
      </c>
      <c r="D1721">
        <v>2170</v>
      </c>
      <c r="E1721">
        <v>2186</v>
      </c>
      <c r="F1721">
        <v>1124763</v>
      </c>
      <c r="G1721" s="4">
        <f t="shared" si="365"/>
        <v>0</v>
      </c>
      <c r="H1721" s="4">
        <f t="shared" si="366"/>
        <v>35.849999999999909</v>
      </c>
      <c r="I1721" s="6">
        <f t="shared" si="371"/>
        <v>18.553571428571427</v>
      </c>
      <c r="J1721" s="6">
        <f t="shared" si="372"/>
        <v>13.932142857142869</v>
      </c>
      <c r="K1721" s="4">
        <f t="shared" si="373"/>
        <v>1.3317098179953846</v>
      </c>
      <c r="L1721">
        <f t="shared" si="374"/>
        <v>57.113016710642015</v>
      </c>
      <c r="M1721" s="14" t="str">
        <f t="shared" si="367"/>
        <v/>
      </c>
      <c r="N1721" s="7">
        <f t="shared" si="368"/>
        <v>0</v>
      </c>
      <c r="O1721" s="7">
        <f t="shared" si="375"/>
        <v>0</v>
      </c>
      <c r="P1721" s="7">
        <f t="shared" si="376"/>
        <v>1</v>
      </c>
      <c r="Q1721" s="10" t="e">
        <f t="shared" si="369"/>
        <v>#N/A</v>
      </c>
      <c r="R1721" s="10" t="e">
        <f t="shared" si="370"/>
        <v>#N/A</v>
      </c>
      <c r="S1721" s="7">
        <f t="shared" si="377"/>
        <v>2277.0500000000002</v>
      </c>
      <c r="T1721" s="7">
        <f t="shared" si="378"/>
        <v>0</v>
      </c>
    </row>
    <row r="1722" spans="1:20" x14ac:dyDescent="0.25">
      <c r="A1722" s="1">
        <v>43686</v>
      </c>
      <c r="B1722">
        <v>2190</v>
      </c>
      <c r="C1722">
        <v>2203.9499999999998</v>
      </c>
      <c r="D1722">
        <v>2169.9</v>
      </c>
      <c r="E1722">
        <v>2182.35</v>
      </c>
      <c r="F1722">
        <v>796722</v>
      </c>
      <c r="G1722" s="4">
        <f t="shared" si="365"/>
        <v>0</v>
      </c>
      <c r="H1722" s="4">
        <f t="shared" si="366"/>
        <v>3.6500000000000909</v>
      </c>
      <c r="I1722" s="6">
        <f t="shared" si="371"/>
        <v>13.67500000000002</v>
      </c>
      <c r="J1722" s="6">
        <f t="shared" si="372"/>
        <v>14.192857142857163</v>
      </c>
      <c r="K1722" s="4">
        <f t="shared" si="373"/>
        <v>0.96351283341721194</v>
      </c>
      <c r="L1722">
        <f t="shared" si="374"/>
        <v>49.070870178136616</v>
      </c>
      <c r="M1722" s="14" t="str">
        <f t="shared" si="367"/>
        <v/>
      </c>
      <c r="N1722" s="7">
        <f t="shared" si="368"/>
        <v>0</v>
      </c>
      <c r="O1722" s="7">
        <f t="shared" si="375"/>
        <v>0</v>
      </c>
      <c r="P1722" s="7">
        <f t="shared" si="376"/>
        <v>1</v>
      </c>
      <c r="Q1722" s="10" t="e">
        <f t="shared" si="369"/>
        <v>#N/A</v>
      </c>
      <c r="R1722" s="10" t="e">
        <f t="shared" si="370"/>
        <v>#N/A</v>
      </c>
      <c r="S1722" s="7">
        <f t="shared" si="377"/>
        <v>2277.0500000000002</v>
      </c>
      <c r="T1722" s="7">
        <f t="shared" si="378"/>
        <v>0</v>
      </c>
    </row>
    <row r="1723" spans="1:20" x14ac:dyDescent="0.25">
      <c r="A1723" s="1">
        <v>43689</v>
      </c>
      <c r="B1723">
        <v>2182.1999999999998</v>
      </c>
      <c r="C1723">
        <v>2184.4499999999998</v>
      </c>
      <c r="D1723">
        <v>2145.65</v>
      </c>
      <c r="E1723">
        <v>2154.5500000000002</v>
      </c>
      <c r="F1723">
        <v>1032853</v>
      </c>
      <c r="G1723" s="4">
        <f t="shared" si="365"/>
        <v>0</v>
      </c>
      <c r="H1723" s="4">
        <f t="shared" si="366"/>
        <v>27.799999999999727</v>
      </c>
      <c r="I1723" s="6">
        <f t="shared" si="371"/>
        <v>13.67500000000002</v>
      </c>
      <c r="J1723" s="6">
        <f t="shared" si="372"/>
        <v>12.43571428571428</v>
      </c>
      <c r="K1723" s="4">
        <f t="shared" si="373"/>
        <v>1.0996553704767396</v>
      </c>
      <c r="L1723">
        <f t="shared" si="374"/>
        <v>52.37313636985369</v>
      </c>
      <c r="M1723" s="14" t="str">
        <f t="shared" si="367"/>
        <v/>
      </c>
      <c r="N1723" s="7">
        <f t="shared" si="368"/>
        <v>0</v>
      </c>
      <c r="O1723" s="7">
        <f t="shared" si="375"/>
        <v>0</v>
      </c>
      <c r="P1723" s="7">
        <f t="shared" si="376"/>
        <v>1</v>
      </c>
      <c r="Q1723" s="10" t="e">
        <f t="shared" si="369"/>
        <v>#N/A</v>
      </c>
      <c r="R1723" s="10" t="e">
        <f t="shared" si="370"/>
        <v>#N/A</v>
      </c>
      <c r="S1723" s="7">
        <f t="shared" si="377"/>
        <v>2277.0500000000002</v>
      </c>
      <c r="T1723" s="7">
        <f t="shared" si="378"/>
        <v>0</v>
      </c>
    </row>
    <row r="1724" spans="1:20" x14ac:dyDescent="0.25">
      <c r="A1724" s="1">
        <v>43690</v>
      </c>
      <c r="B1724">
        <v>2160.5</v>
      </c>
      <c r="C1724">
        <v>2199</v>
      </c>
      <c r="D1724">
        <v>2160</v>
      </c>
      <c r="E1724">
        <v>2195.75</v>
      </c>
      <c r="F1724">
        <v>1619773</v>
      </c>
      <c r="G1724" s="4">
        <f t="shared" si="365"/>
        <v>41.199999999999818</v>
      </c>
      <c r="H1724" s="4">
        <f t="shared" si="366"/>
        <v>0</v>
      </c>
      <c r="I1724" s="6">
        <f t="shared" si="371"/>
        <v>16.617857142857151</v>
      </c>
      <c r="J1724" s="6">
        <f t="shared" si="372"/>
        <v>11.571428571428571</v>
      </c>
      <c r="K1724" s="4">
        <f t="shared" si="373"/>
        <v>1.4361111111111118</v>
      </c>
      <c r="L1724">
        <f t="shared" si="374"/>
        <v>58.950969213226919</v>
      </c>
      <c r="M1724" s="14" t="str">
        <f t="shared" si="367"/>
        <v/>
      </c>
      <c r="N1724" s="7">
        <f t="shared" si="368"/>
        <v>0</v>
      </c>
      <c r="O1724" s="7">
        <f t="shared" si="375"/>
        <v>0</v>
      </c>
      <c r="P1724" s="7">
        <f t="shared" si="376"/>
        <v>1</v>
      </c>
      <c r="Q1724" s="10" t="e">
        <f t="shared" si="369"/>
        <v>#N/A</v>
      </c>
      <c r="R1724" s="10" t="e">
        <f t="shared" si="370"/>
        <v>#N/A</v>
      </c>
      <c r="S1724" s="7">
        <f t="shared" si="377"/>
        <v>2277.0500000000002</v>
      </c>
      <c r="T1724" s="7">
        <f t="shared" si="378"/>
        <v>0</v>
      </c>
    </row>
    <row r="1725" spans="1:20" x14ac:dyDescent="0.25">
      <c r="A1725" s="1">
        <v>43691</v>
      </c>
      <c r="B1725">
        <v>2205</v>
      </c>
      <c r="C1725">
        <v>2219.9</v>
      </c>
      <c r="D1725">
        <v>2173.3000000000002</v>
      </c>
      <c r="E1725">
        <v>2195.25</v>
      </c>
      <c r="F1725">
        <v>794359</v>
      </c>
      <c r="G1725" s="4">
        <f t="shared" si="365"/>
        <v>0</v>
      </c>
      <c r="H1725" s="4">
        <f t="shared" si="366"/>
        <v>0.5</v>
      </c>
      <c r="I1725" s="6">
        <f t="shared" si="371"/>
        <v>16.06071428571428</v>
      </c>
      <c r="J1725" s="6">
        <f t="shared" si="372"/>
        <v>11.607142857142858</v>
      </c>
      <c r="K1725" s="4">
        <f t="shared" si="373"/>
        <v>1.3836923076923071</v>
      </c>
      <c r="L1725">
        <f t="shared" si="374"/>
        <v>58.048276752291201</v>
      </c>
      <c r="M1725" s="14" t="str">
        <f t="shared" si="367"/>
        <v/>
      </c>
      <c r="N1725" s="7">
        <f t="shared" si="368"/>
        <v>0</v>
      </c>
      <c r="O1725" s="7">
        <f t="shared" si="375"/>
        <v>0</v>
      </c>
      <c r="P1725" s="7">
        <f t="shared" si="376"/>
        <v>1</v>
      </c>
      <c r="Q1725" s="10" t="e">
        <f t="shared" si="369"/>
        <v>#N/A</v>
      </c>
      <c r="R1725" s="10" t="e">
        <f t="shared" si="370"/>
        <v>#N/A</v>
      </c>
      <c r="S1725" s="7">
        <f t="shared" si="377"/>
        <v>2277.0500000000002</v>
      </c>
      <c r="T1725" s="7">
        <f t="shared" si="378"/>
        <v>0</v>
      </c>
    </row>
    <row r="1726" spans="1:20" x14ac:dyDescent="0.25">
      <c r="A1726" s="1">
        <v>43692</v>
      </c>
      <c r="B1726">
        <v>2194.8000000000002</v>
      </c>
      <c r="C1726">
        <v>2217.6</v>
      </c>
      <c r="D1726">
        <v>2163</v>
      </c>
      <c r="E1726">
        <v>2208.1999999999998</v>
      </c>
      <c r="F1726">
        <v>655879</v>
      </c>
      <c r="G1726" s="4">
        <f t="shared" si="365"/>
        <v>12.949999999999818</v>
      </c>
      <c r="H1726" s="4">
        <f t="shared" si="366"/>
        <v>0</v>
      </c>
      <c r="I1726" s="6">
        <f t="shared" si="371"/>
        <v>16.835714285714271</v>
      </c>
      <c r="J1726" s="6">
        <f t="shared" si="372"/>
        <v>11.607142857142858</v>
      </c>
      <c r="K1726" s="4">
        <f t="shared" si="373"/>
        <v>1.4504615384615371</v>
      </c>
      <c r="L1726">
        <f t="shared" si="374"/>
        <v>59.191361125062762</v>
      </c>
      <c r="M1726" s="14" t="str">
        <f t="shared" si="367"/>
        <v/>
      </c>
      <c r="N1726" s="7">
        <f t="shared" si="368"/>
        <v>0</v>
      </c>
      <c r="O1726" s="7">
        <f t="shared" si="375"/>
        <v>0</v>
      </c>
      <c r="P1726" s="7">
        <f t="shared" si="376"/>
        <v>1</v>
      </c>
      <c r="Q1726" s="10" t="e">
        <f t="shared" si="369"/>
        <v>#N/A</v>
      </c>
      <c r="R1726" s="10" t="e">
        <f t="shared" si="370"/>
        <v>#N/A</v>
      </c>
      <c r="S1726" s="7">
        <f t="shared" si="377"/>
        <v>2277.0500000000002</v>
      </c>
      <c r="T1726" s="7">
        <f t="shared" si="378"/>
        <v>0</v>
      </c>
    </row>
    <row r="1727" spans="1:20" x14ac:dyDescent="0.25">
      <c r="A1727" s="1">
        <v>43693</v>
      </c>
      <c r="B1727">
        <v>2218</v>
      </c>
      <c r="C1727">
        <v>2218</v>
      </c>
      <c r="D1727">
        <v>2183</v>
      </c>
      <c r="E1727">
        <v>2200.3000000000002</v>
      </c>
      <c r="F1727">
        <v>1073767</v>
      </c>
      <c r="G1727" s="4">
        <f t="shared" si="365"/>
        <v>0</v>
      </c>
      <c r="H1727" s="4">
        <f t="shared" si="366"/>
        <v>7.8999999999996362</v>
      </c>
      <c r="I1727" s="6">
        <f t="shared" si="371"/>
        <v>15.31071428571428</v>
      </c>
      <c r="J1727" s="6">
        <f t="shared" si="372"/>
        <v>12.171428571428546</v>
      </c>
      <c r="K1727" s="4">
        <f t="shared" si="373"/>
        <v>1.2579225352112697</v>
      </c>
      <c r="L1727">
        <f t="shared" si="374"/>
        <v>55.711500974658911</v>
      </c>
      <c r="M1727" s="14" t="str">
        <f t="shared" si="367"/>
        <v/>
      </c>
      <c r="N1727" s="7">
        <f t="shared" si="368"/>
        <v>0</v>
      </c>
      <c r="O1727" s="7">
        <f t="shared" si="375"/>
        <v>0</v>
      </c>
      <c r="P1727" s="7">
        <f t="shared" si="376"/>
        <v>1</v>
      </c>
      <c r="Q1727" s="10" t="e">
        <f t="shared" si="369"/>
        <v>#N/A</v>
      </c>
      <c r="R1727" s="10" t="e">
        <f t="shared" si="370"/>
        <v>#N/A</v>
      </c>
      <c r="S1727" s="7">
        <f t="shared" si="377"/>
        <v>2277.0500000000002</v>
      </c>
      <c r="T1727" s="7">
        <f t="shared" si="378"/>
        <v>0</v>
      </c>
    </row>
    <row r="1728" spans="1:20" x14ac:dyDescent="0.25">
      <c r="A1728" s="1">
        <v>43696</v>
      </c>
      <c r="B1728">
        <v>2214</v>
      </c>
      <c r="C1728">
        <v>2224.6999999999998</v>
      </c>
      <c r="D1728">
        <v>2189</v>
      </c>
      <c r="E1728">
        <v>2207.6</v>
      </c>
      <c r="F1728">
        <v>935183</v>
      </c>
      <c r="G1728" s="4">
        <f t="shared" si="365"/>
        <v>7.2999999999997272</v>
      </c>
      <c r="H1728" s="4">
        <f t="shared" si="366"/>
        <v>0</v>
      </c>
      <c r="I1728" s="6">
        <f t="shared" si="371"/>
        <v>13.539285714285695</v>
      </c>
      <c r="J1728" s="6">
        <f t="shared" si="372"/>
        <v>12.171428571428546</v>
      </c>
      <c r="K1728" s="4">
        <f t="shared" si="373"/>
        <v>1.1123826291079819</v>
      </c>
      <c r="L1728">
        <f t="shared" si="374"/>
        <v>52.660091679399933</v>
      </c>
      <c r="M1728" s="14" t="str">
        <f t="shared" si="367"/>
        <v/>
      </c>
      <c r="N1728" s="7">
        <f t="shared" si="368"/>
        <v>0</v>
      </c>
      <c r="O1728" s="7">
        <f t="shared" si="375"/>
        <v>0</v>
      </c>
      <c r="P1728" s="7">
        <f t="shared" si="376"/>
        <v>1</v>
      </c>
      <c r="Q1728" s="10" t="e">
        <f t="shared" si="369"/>
        <v>#N/A</v>
      </c>
      <c r="R1728" s="10" t="e">
        <f t="shared" si="370"/>
        <v>#N/A</v>
      </c>
      <c r="S1728" s="7">
        <f t="shared" si="377"/>
        <v>2277.0500000000002</v>
      </c>
      <c r="T1728" s="7">
        <f t="shared" si="378"/>
        <v>0</v>
      </c>
    </row>
    <row r="1729" spans="1:20" x14ac:dyDescent="0.25">
      <c r="A1729" s="1">
        <v>43697</v>
      </c>
      <c r="B1729">
        <v>2202</v>
      </c>
      <c r="C1729">
        <v>2272.1</v>
      </c>
      <c r="D1729">
        <v>2202</v>
      </c>
      <c r="E1729">
        <v>2259.3000000000002</v>
      </c>
      <c r="F1729">
        <v>2147705</v>
      </c>
      <c r="G1729" s="4">
        <f t="shared" si="365"/>
        <v>51.700000000000273</v>
      </c>
      <c r="H1729" s="4">
        <f t="shared" si="366"/>
        <v>0</v>
      </c>
      <c r="I1729" s="6">
        <f t="shared" si="371"/>
        <v>9.2392857142857086</v>
      </c>
      <c r="J1729" s="6">
        <f t="shared" si="372"/>
        <v>12.171428571428546</v>
      </c>
      <c r="K1729" s="4">
        <f t="shared" si="373"/>
        <v>0.75909624413145649</v>
      </c>
      <c r="L1729">
        <f t="shared" si="374"/>
        <v>43.15262718932447</v>
      </c>
      <c r="M1729" s="14" t="str">
        <f t="shared" si="367"/>
        <v/>
      </c>
      <c r="N1729" s="7">
        <f t="shared" si="368"/>
        <v>0</v>
      </c>
      <c r="O1729" s="7">
        <f t="shared" si="375"/>
        <v>0</v>
      </c>
      <c r="P1729" s="7">
        <f t="shared" si="376"/>
        <v>1</v>
      </c>
      <c r="Q1729" s="10" t="e">
        <f t="shared" si="369"/>
        <v>#N/A</v>
      </c>
      <c r="R1729" s="10" t="e">
        <f t="shared" si="370"/>
        <v>#N/A</v>
      </c>
      <c r="S1729" s="7">
        <f t="shared" si="377"/>
        <v>2277.0500000000002</v>
      </c>
      <c r="T1729" s="7">
        <f t="shared" si="378"/>
        <v>0</v>
      </c>
    </row>
    <row r="1730" spans="1:20" x14ac:dyDescent="0.25">
      <c r="A1730" s="1">
        <v>43698</v>
      </c>
      <c r="B1730">
        <v>2277</v>
      </c>
      <c r="C1730">
        <v>2290</v>
      </c>
      <c r="D1730">
        <v>2252</v>
      </c>
      <c r="E1730">
        <v>2282.65</v>
      </c>
      <c r="F1730">
        <v>993615</v>
      </c>
      <c r="G1730" s="4">
        <f t="shared" si="365"/>
        <v>23.349999999999909</v>
      </c>
      <c r="H1730" s="4">
        <f t="shared" si="366"/>
        <v>0</v>
      </c>
      <c r="I1730" s="6">
        <f t="shared" si="371"/>
        <v>10.907142857142844</v>
      </c>
      <c r="J1730" s="6">
        <f t="shared" si="372"/>
        <v>10.903571428571402</v>
      </c>
      <c r="K1730" s="4">
        <f t="shared" si="373"/>
        <v>1.0003275466754025</v>
      </c>
      <c r="L1730">
        <f t="shared" si="374"/>
        <v>50.008187326019346</v>
      </c>
      <c r="M1730" s="14" t="str">
        <f t="shared" si="367"/>
        <v/>
      </c>
      <c r="N1730" s="7">
        <f t="shared" si="368"/>
        <v>0</v>
      </c>
      <c r="O1730" s="7">
        <f t="shared" si="375"/>
        <v>0</v>
      </c>
      <c r="P1730" s="7">
        <f t="shared" si="376"/>
        <v>1</v>
      </c>
      <c r="Q1730" s="10" t="e">
        <f t="shared" si="369"/>
        <v>#N/A</v>
      </c>
      <c r="R1730" s="10" t="e">
        <f t="shared" si="370"/>
        <v>#N/A</v>
      </c>
      <c r="S1730" s="7">
        <f t="shared" si="377"/>
        <v>2277.0500000000002</v>
      </c>
      <c r="T1730" s="7">
        <f t="shared" si="378"/>
        <v>0</v>
      </c>
    </row>
    <row r="1731" spans="1:20" x14ac:dyDescent="0.25">
      <c r="A1731" s="1">
        <v>43699</v>
      </c>
      <c r="B1731">
        <v>2280</v>
      </c>
      <c r="C1731">
        <v>2297.6999999999998</v>
      </c>
      <c r="D1731">
        <v>2261.3000000000002</v>
      </c>
      <c r="E1731">
        <v>2288.9</v>
      </c>
      <c r="F1731">
        <v>667105</v>
      </c>
      <c r="G1731" s="4">
        <f t="shared" si="365"/>
        <v>6.25</v>
      </c>
      <c r="H1731" s="4">
        <f t="shared" si="366"/>
        <v>0</v>
      </c>
      <c r="I1731" s="6">
        <f t="shared" si="371"/>
        <v>11.353571428571415</v>
      </c>
      <c r="J1731" s="6">
        <f t="shared" si="372"/>
        <v>9.2785714285714018</v>
      </c>
      <c r="K1731" s="4">
        <f t="shared" si="373"/>
        <v>1.2236335642802176</v>
      </c>
      <c r="L1731">
        <f t="shared" si="374"/>
        <v>55.028561537130038</v>
      </c>
      <c r="M1731" s="14" t="str">
        <f t="shared" si="367"/>
        <v/>
      </c>
      <c r="N1731" s="7">
        <f t="shared" si="368"/>
        <v>0</v>
      </c>
      <c r="O1731" s="7">
        <f t="shared" si="375"/>
        <v>0</v>
      </c>
      <c r="P1731" s="7">
        <f t="shared" si="376"/>
        <v>1</v>
      </c>
      <c r="Q1731" s="10" t="e">
        <f t="shared" si="369"/>
        <v>#N/A</v>
      </c>
      <c r="R1731" s="10" t="e">
        <f t="shared" si="370"/>
        <v>#N/A</v>
      </c>
      <c r="S1731" s="7">
        <f t="shared" si="377"/>
        <v>2277.0500000000002</v>
      </c>
      <c r="T1731" s="7">
        <f t="shared" si="378"/>
        <v>0</v>
      </c>
    </row>
    <row r="1732" spans="1:20" x14ac:dyDescent="0.25">
      <c r="A1732" s="1">
        <v>43700</v>
      </c>
      <c r="B1732">
        <v>2292</v>
      </c>
      <c r="C1732">
        <v>2345</v>
      </c>
      <c r="D1732">
        <v>2287.0500000000002</v>
      </c>
      <c r="E1732">
        <v>2339.3000000000002</v>
      </c>
      <c r="F1732">
        <v>1461380</v>
      </c>
      <c r="G1732" s="4">
        <f t="shared" ref="G1732:G1795" si="379">IF(E1732&gt;E1731,E1732-E1731,0)</f>
        <v>50.400000000000091</v>
      </c>
      <c r="H1732" s="4">
        <f t="shared" ref="H1732:H1795" si="380">IF(E1732&lt;E1731,E1731-E1732,0)</f>
        <v>0</v>
      </c>
      <c r="I1732" s="6">
        <f t="shared" si="371"/>
        <v>13.796428571428546</v>
      </c>
      <c r="J1732" s="6">
        <f t="shared" si="372"/>
        <v>9.2785714285714018</v>
      </c>
      <c r="K1732" s="4">
        <f t="shared" si="373"/>
        <v>1.4869130100076997</v>
      </c>
      <c r="L1732">
        <f t="shared" si="374"/>
        <v>59.789506268379533</v>
      </c>
      <c r="M1732" s="14" t="str">
        <f t="shared" si="367"/>
        <v/>
      </c>
      <c r="N1732" s="7">
        <f t="shared" si="368"/>
        <v>0</v>
      </c>
      <c r="O1732" s="7">
        <f t="shared" si="375"/>
        <v>0</v>
      </c>
      <c r="P1732" s="7">
        <f t="shared" si="376"/>
        <v>1</v>
      </c>
      <c r="Q1732" s="10" t="e">
        <f t="shared" si="369"/>
        <v>#N/A</v>
      </c>
      <c r="R1732" s="10" t="e">
        <f t="shared" si="370"/>
        <v>#N/A</v>
      </c>
      <c r="S1732" s="7">
        <f t="shared" si="377"/>
        <v>2277.0500000000002</v>
      </c>
      <c r="T1732" s="7">
        <f t="shared" si="378"/>
        <v>0</v>
      </c>
    </row>
    <row r="1733" spans="1:20" x14ac:dyDescent="0.25">
      <c r="A1733" s="1">
        <v>43703</v>
      </c>
      <c r="B1733">
        <v>2343.8000000000002</v>
      </c>
      <c r="C1733">
        <v>2343.8000000000002</v>
      </c>
      <c r="D1733">
        <v>2305.6</v>
      </c>
      <c r="E1733">
        <v>2313.6</v>
      </c>
      <c r="F1733">
        <v>1017451</v>
      </c>
      <c r="G1733" s="4">
        <f t="shared" si="379"/>
        <v>0</v>
      </c>
      <c r="H1733" s="4">
        <f t="shared" si="380"/>
        <v>25.700000000000273</v>
      </c>
      <c r="I1733" s="6">
        <f t="shared" si="371"/>
        <v>13.796428571428546</v>
      </c>
      <c r="J1733" s="6">
        <f t="shared" si="372"/>
        <v>10.214285714285682</v>
      </c>
      <c r="K1733" s="4">
        <f t="shared" si="373"/>
        <v>1.3506993006993024</v>
      </c>
      <c r="L1733">
        <f t="shared" si="374"/>
        <v>57.459467499628175</v>
      </c>
      <c r="M1733" s="14" t="str">
        <f t="shared" si="367"/>
        <v/>
      </c>
      <c r="N1733" s="7">
        <f t="shared" si="368"/>
        <v>0</v>
      </c>
      <c r="O1733" s="7">
        <f t="shared" si="375"/>
        <v>0</v>
      </c>
      <c r="P1733" s="7">
        <f t="shared" si="376"/>
        <v>1</v>
      </c>
      <c r="Q1733" s="10" t="e">
        <f t="shared" si="369"/>
        <v>#N/A</v>
      </c>
      <c r="R1733" s="10" t="e">
        <f t="shared" si="370"/>
        <v>#N/A</v>
      </c>
      <c r="S1733" s="7">
        <f t="shared" si="377"/>
        <v>2277.0500000000002</v>
      </c>
      <c r="T1733" s="7">
        <f t="shared" si="378"/>
        <v>0</v>
      </c>
    </row>
    <row r="1734" spans="1:20" x14ac:dyDescent="0.25">
      <c r="A1734" s="1">
        <v>43704</v>
      </c>
      <c r="B1734">
        <v>2306</v>
      </c>
      <c r="C1734">
        <v>2325</v>
      </c>
      <c r="D1734">
        <v>2286.1999999999998</v>
      </c>
      <c r="E1734">
        <v>2307.6999999999998</v>
      </c>
      <c r="F1734">
        <v>934150</v>
      </c>
      <c r="G1734" s="4">
        <f t="shared" si="379"/>
        <v>0</v>
      </c>
      <c r="H1734" s="4">
        <f t="shared" si="380"/>
        <v>5.9000000000000909</v>
      </c>
      <c r="I1734" s="6">
        <f t="shared" si="371"/>
        <v>13.796428571428546</v>
      </c>
      <c r="J1734" s="6">
        <f t="shared" si="372"/>
        <v>7.6642857142856951</v>
      </c>
      <c r="K1734" s="4">
        <f t="shared" si="373"/>
        <v>1.8000931966449221</v>
      </c>
      <c r="L1734">
        <f t="shared" si="374"/>
        <v>64.286902978865044</v>
      </c>
      <c r="M1734" s="14" t="str">
        <f t="shared" si="367"/>
        <v/>
      </c>
      <c r="N1734" s="7">
        <f t="shared" si="368"/>
        <v>0</v>
      </c>
      <c r="O1734" s="7">
        <f t="shared" si="375"/>
        <v>0</v>
      </c>
      <c r="P1734" s="7">
        <f t="shared" si="376"/>
        <v>1</v>
      </c>
      <c r="Q1734" s="10" t="e">
        <f t="shared" si="369"/>
        <v>#N/A</v>
      </c>
      <c r="R1734" s="10" t="e">
        <f t="shared" si="370"/>
        <v>#N/A</v>
      </c>
      <c r="S1734" s="7">
        <f t="shared" si="377"/>
        <v>2277.0500000000002</v>
      </c>
      <c r="T1734" s="7">
        <f t="shared" si="378"/>
        <v>0</v>
      </c>
    </row>
    <row r="1735" spans="1:20" x14ac:dyDescent="0.25">
      <c r="A1735" s="1">
        <v>43705</v>
      </c>
      <c r="B1735">
        <v>2300</v>
      </c>
      <c r="C1735">
        <v>2317.75</v>
      </c>
      <c r="D1735">
        <v>2278.8000000000002</v>
      </c>
      <c r="E1735">
        <v>2288.1</v>
      </c>
      <c r="F1735">
        <v>559477</v>
      </c>
      <c r="G1735" s="4">
        <f t="shared" si="379"/>
        <v>0</v>
      </c>
      <c r="H1735" s="4">
        <f t="shared" si="380"/>
        <v>19.599999999999909</v>
      </c>
      <c r="I1735" s="6">
        <f t="shared" si="371"/>
        <v>13.796428571428546</v>
      </c>
      <c r="J1735" s="6">
        <f t="shared" si="372"/>
        <v>6.5035714285714095</v>
      </c>
      <c r="K1735" s="4">
        <f t="shared" si="373"/>
        <v>2.1213618890719408</v>
      </c>
      <c r="L1735">
        <f t="shared" si="374"/>
        <v>67.96270232230826</v>
      </c>
      <c r="M1735" s="14" t="str">
        <f t="shared" si="367"/>
        <v/>
      </c>
      <c r="N1735" s="7">
        <f t="shared" si="368"/>
        <v>0</v>
      </c>
      <c r="O1735" s="7">
        <f t="shared" si="375"/>
        <v>0</v>
      </c>
      <c r="P1735" s="7">
        <f t="shared" si="376"/>
        <v>1</v>
      </c>
      <c r="Q1735" s="10" t="e">
        <f t="shared" si="369"/>
        <v>#N/A</v>
      </c>
      <c r="R1735" s="10" t="e">
        <f t="shared" si="370"/>
        <v>#N/A</v>
      </c>
      <c r="S1735" s="7">
        <f t="shared" si="377"/>
        <v>2277.0500000000002</v>
      </c>
      <c r="T1735" s="7">
        <f t="shared" si="378"/>
        <v>0</v>
      </c>
    </row>
    <row r="1736" spans="1:20" x14ac:dyDescent="0.25">
      <c r="A1736" s="1">
        <v>43706</v>
      </c>
      <c r="B1736">
        <v>2266</v>
      </c>
      <c r="C1736">
        <v>2301.6</v>
      </c>
      <c r="D1736">
        <v>2266</v>
      </c>
      <c r="E1736">
        <v>2293.1</v>
      </c>
      <c r="F1736">
        <v>448704</v>
      </c>
      <c r="G1736" s="4">
        <f t="shared" si="379"/>
        <v>5</v>
      </c>
      <c r="H1736" s="4">
        <f t="shared" si="380"/>
        <v>0</v>
      </c>
      <c r="I1736" s="6">
        <f t="shared" si="371"/>
        <v>14.153571428571402</v>
      </c>
      <c r="J1736" s="6">
        <f t="shared" si="372"/>
        <v>6.2428571428571171</v>
      </c>
      <c r="K1736" s="4">
        <f t="shared" si="373"/>
        <v>2.2671624713958862</v>
      </c>
      <c r="L1736">
        <f t="shared" si="374"/>
        <v>69.392400630362502</v>
      </c>
      <c r="M1736" s="14" t="str">
        <f t="shared" si="367"/>
        <v/>
      </c>
      <c r="N1736" s="7">
        <f t="shared" si="368"/>
        <v>0</v>
      </c>
      <c r="O1736" s="7">
        <f t="shared" si="375"/>
        <v>0</v>
      </c>
      <c r="P1736" s="7">
        <f t="shared" si="376"/>
        <v>1</v>
      </c>
      <c r="Q1736" s="10" t="e">
        <f t="shared" si="369"/>
        <v>#N/A</v>
      </c>
      <c r="R1736" s="10" t="e">
        <f t="shared" si="370"/>
        <v>#N/A</v>
      </c>
      <c r="S1736" s="7">
        <f t="shared" si="377"/>
        <v>2277.0500000000002</v>
      </c>
      <c r="T1736" s="7">
        <f t="shared" si="378"/>
        <v>0</v>
      </c>
    </row>
    <row r="1737" spans="1:20" x14ac:dyDescent="0.25">
      <c r="A1737" s="1">
        <v>43707</v>
      </c>
      <c r="B1737">
        <v>2281.5</v>
      </c>
      <c r="C1737">
        <v>2330</v>
      </c>
      <c r="D1737">
        <v>2281.5</v>
      </c>
      <c r="E1737">
        <v>2323.4</v>
      </c>
      <c r="F1737">
        <v>647346</v>
      </c>
      <c r="G1737" s="4">
        <f t="shared" si="379"/>
        <v>30.300000000000182</v>
      </c>
      <c r="H1737" s="4">
        <f t="shared" si="380"/>
        <v>0</v>
      </c>
      <c r="I1737" s="6">
        <f t="shared" si="371"/>
        <v>16.317857142857129</v>
      </c>
      <c r="J1737" s="6">
        <f t="shared" si="372"/>
        <v>4.2571428571428509</v>
      </c>
      <c r="K1737" s="4">
        <f t="shared" si="373"/>
        <v>3.83305369127517</v>
      </c>
      <c r="L1737">
        <f t="shared" si="374"/>
        <v>79.309147717410184</v>
      </c>
      <c r="M1737" s="14" t="str">
        <f t="shared" si="367"/>
        <v>OVERBOUGHT</v>
      </c>
      <c r="N1737" s="7" t="str">
        <f t="shared" si="368"/>
        <v>SELL</v>
      </c>
      <c r="O1737" s="7" t="str">
        <f t="shared" si="375"/>
        <v>SELL</v>
      </c>
      <c r="P1737" s="7">
        <f t="shared" si="376"/>
        <v>-1</v>
      </c>
      <c r="Q1737" s="10" t="e">
        <f t="shared" si="369"/>
        <v>#N/A</v>
      </c>
      <c r="R1737" s="10">
        <f t="shared" si="370"/>
        <v>2323.4</v>
      </c>
      <c r="S1737" s="7">
        <f t="shared" si="377"/>
        <v>2323.4</v>
      </c>
      <c r="T1737" s="7">
        <f t="shared" si="378"/>
        <v>2.0355284249357682E-2</v>
      </c>
    </row>
    <row r="1738" spans="1:20" x14ac:dyDescent="0.25">
      <c r="A1738" s="1">
        <v>43710</v>
      </c>
      <c r="B1738">
        <v>2326.6999999999998</v>
      </c>
      <c r="C1738">
        <v>2349.9</v>
      </c>
      <c r="D1738">
        <v>2303.15</v>
      </c>
      <c r="E1738">
        <v>2313.4</v>
      </c>
      <c r="F1738">
        <v>675209</v>
      </c>
      <c r="G1738" s="4">
        <f t="shared" si="379"/>
        <v>0</v>
      </c>
      <c r="H1738" s="4">
        <f t="shared" si="380"/>
        <v>10</v>
      </c>
      <c r="I1738" s="6">
        <f t="shared" si="371"/>
        <v>13.375</v>
      </c>
      <c r="J1738" s="6">
        <f t="shared" si="372"/>
        <v>4.9714285714285653</v>
      </c>
      <c r="K1738" s="4">
        <f t="shared" si="373"/>
        <v>2.6903735632183943</v>
      </c>
      <c r="L1738">
        <f t="shared" si="374"/>
        <v>72.902472260074006</v>
      </c>
      <c r="M1738" s="14" t="str">
        <f t="shared" si="367"/>
        <v>OVERBOUGHT</v>
      </c>
      <c r="N1738" s="7" t="str">
        <f t="shared" si="368"/>
        <v>SELL</v>
      </c>
      <c r="O1738" s="7">
        <f t="shared" si="375"/>
        <v>0</v>
      </c>
      <c r="P1738" s="7">
        <f t="shared" si="376"/>
        <v>-1</v>
      </c>
      <c r="Q1738" s="10" t="e">
        <f t="shared" si="369"/>
        <v>#N/A</v>
      </c>
      <c r="R1738" s="10" t="e">
        <f t="shared" si="370"/>
        <v>#N/A</v>
      </c>
      <c r="S1738" s="7">
        <f t="shared" si="377"/>
        <v>2323.4</v>
      </c>
      <c r="T1738" s="7">
        <f t="shared" si="378"/>
        <v>0</v>
      </c>
    </row>
    <row r="1739" spans="1:20" x14ac:dyDescent="0.25">
      <c r="A1739" s="1">
        <v>43711</v>
      </c>
      <c r="B1739">
        <v>2303</v>
      </c>
      <c r="C1739">
        <v>2359.9</v>
      </c>
      <c r="D1739">
        <v>2303</v>
      </c>
      <c r="E1739">
        <v>2351.6999999999998</v>
      </c>
      <c r="F1739">
        <v>981758</v>
      </c>
      <c r="G1739" s="4">
        <f t="shared" si="379"/>
        <v>38.299999999999727</v>
      </c>
      <c r="H1739" s="4">
        <f t="shared" si="380"/>
        <v>0</v>
      </c>
      <c r="I1739" s="6">
        <f t="shared" si="371"/>
        <v>16.110714285714266</v>
      </c>
      <c r="J1739" s="6">
        <f t="shared" si="372"/>
        <v>4.9357142857142788</v>
      </c>
      <c r="K1739" s="4">
        <f t="shared" si="373"/>
        <v>3.2641099855282207</v>
      </c>
      <c r="L1739">
        <f t="shared" si="374"/>
        <v>76.548447310368232</v>
      </c>
      <c r="M1739" s="14" t="str">
        <f t="shared" si="367"/>
        <v>OVERBOUGHT</v>
      </c>
      <c r="N1739" s="7" t="str">
        <f t="shared" si="368"/>
        <v>SELL</v>
      </c>
      <c r="O1739" s="7">
        <f t="shared" si="375"/>
        <v>0</v>
      </c>
      <c r="P1739" s="7">
        <f t="shared" si="376"/>
        <v>-1</v>
      </c>
      <c r="Q1739" s="10" t="e">
        <f t="shared" si="369"/>
        <v>#N/A</v>
      </c>
      <c r="R1739" s="10" t="e">
        <f t="shared" si="370"/>
        <v>#N/A</v>
      </c>
      <c r="S1739" s="7">
        <f t="shared" si="377"/>
        <v>2323.4</v>
      </c>
      <c r="T1739" s="7">
        <f t="shared" si="378"/>
        <v>0</v>
      </c>
    </row>
    <row r="1740" spans="1:20" x14ac:dyDescent="0.25">
      <c r="A1740" s="1">
        <v>43712</v>
      </c>
      <c r="B1740">
        <v>2354.9</v>
      </c>
      <c r="C1740">
        <v>2378.6</v>
      </c>
      <c r="D1740">
        <v>2345.65</v>
      </c>
      <c r="E1740">
        <v>2365.5500000000002</v>
      </c>
      <c r="F1740">
        <v>702874</v>
      </c>
      <c r="G1740" s="4">
        <f t="shared" si="379"/>
        <v>13.850000000000364</v>
      </c>
      <c r="H1740" s="4">
        <f t="shared" si="380"/>
        <v>0</v>
      </c>
      <c r="I1740" s="6">
        <f t="shared" si="371"/>
        <v>16.175000000000018</v>
      </c>
      <c r="J1740" s="6">
        <f t="shared" si="372"/>
        <v>4.9357142857142788</v>
      </c>
      <c r="K1740" s="4">
        <f t="shared" si="373"/>
        <v>3.2771345875542774</v>
      </c>
      <c r="L1740">
        <f t="shared" si="374"/>
        <v>76.619861275587937</v>
      </c>
      <c r="M1740" s="14" t="str">
        <f t="shared" si="367"/>
        <v>OVERBOUGHT</v>
      </c>
      <c r="N1740" s="7" t="str">
        <f t="shared" si="368"/>
        <v>SELL</v>
      </c>
      <c r="O1740" s="7">
        <f t="shared" si="375"/>
        <v>0</v>
      </c>
      <c r="P1740" s="7">
        <f t="shared" si="376"/>
        <v>-1</v>
      </c>
      <c r="Q1740" s="10" t="e">
        <f t="shared" si="369"/>
        <v>#N/A</v>
      </c>
      <c r="R1740" s="10" t="e">
        <f t="shared" si="370"/>
        <v>#N/A</v>
      </c>
      <c r="S1740" s="7">
        <f t="shared" si="377"/>
        <v>2323.4</v>
      </c>
      <c r="T1740" s="7">
        <f t="shared" si="378"/>
        <v>0</v>
      </c>
    </row>
    <row r="1741" spans="1:20" x14ac:dyDescent="0.25">
      <c r="A1741" s="1">
        <v>43713</v>
      </c>
      <c r="B1741">
        <v>2366.6</v>
      </c>
      <c r="C1741">
        <v>2375.1</v>
      </c>
      <c r="D1741">
        <v>2352.4</v>
      </c>
      <c r="E1741">
        <v>2361.35</v>
      </c>
      <c r="F1741">
        <v>411566</v>
      </c>
      <c r="G1741" s="4">
        <f t="shared" si="379"/>
        <v>0</v>
      </c>
      <c r="H1741" s="4">
        <f t="shared" si="380"/>
        <v>4.2000000000002728</v>
      </c>
      <c r="I1741" s="6">
        <f t="shared" si="371"/>
        <v>16.175000000000018</v>
      </c>
      <c r="J1741" s="6">
        <f t="shared" si="372"/>
        <v>4.6714285714286108</v>
      </c>
      <c r="K1741" s="4">
        <f t="shared" si="373"/>
        <v>3.4625382262996691</v>
      </c>
      <c r="L1741">
        <f t="shared" si="374"/>
        <v>77.591228370738264</v>
      </c>
      <c r="M1741" s="14" t="str">
        <f t="shared" si="367"/>
        <v>OVERBOUGHT</v>
      </c>
      <c r="N1741" s="7" t="str">
        <f t="shared" si="368"/>
        <v>SELL</v>
      </c>
      <c r="O1741" s="7">
        <f t="shared" si="375"/>
        <v>0</v>
      </c>
      <c r="P1741" s="7">
        <f t="shared" si="376"/>
        <v>-1</v>
      </c>
      <c r="Q1741" s="10" t="e">
        <f t="shared" si="369"/>
        <v>#N/A</v>
      </c>
      <c r="R1741" s="10" t="e">
        <f t="shared" si="370"/>
        <v>#N/A</v>
      </c>
      <c r="S1741" s="7">
        <f t="shared" si="377"/>
        <v>2323.4</v>
      </c>
      <c r="T1741" s="7">
        <f t="shared" si="378"/>
        <v>0</v>
      </c>
    </row>
    <row r="1742" spans="1:20" x14ac:dyDescent="0.25">
      <c r="A1742" s="1">
        <v>43714</v>
      </c>
      <c r="B1742">
        <v>2361.25</v>
      </c>
      <c r="C1742">
        <v>2371.6999999999998</v>
      </c>
      <c r="D1742">
        <v>2343.3000000000002</v>
      </c>
      <c r="E1742">
        <v>2368.25</v>
      </c>
      <c r="F1742">
        <v>737662</v>
      </c>
      <c r="G1742" s="4">
        <f t="shared" si="379"/>
        <v>6.9000000000000909</v>
      </c>
      <c r="H1742" s="4">
        <f t="shared" si="380"/>
        <v>0</v>
      </c>
      <c r="I1742" s="6">
        <f t="shared" si="371"/>
        <v>16.146428571428618</v>
      </c>
      <c r="J1742" s="6">
        <f t="shared" si="372"/>
        <v>4.6714285714286108</v>
      </c>
      <c r="K1742" s="4">
        <f t="shared" si="373"/>
        <v>3.4564220183486047</v>
      </c>
      <c r="L1742">
        <f t="shared" si="374"/>
        <v>77.560473494595882</v>
      </c>
      <c r="M1742" s="14" t="str">
        <f t="shared" si="367"/>
        <v>OVERBOUGHT</v>
      </c>
      <c r="N1742" s="7" t="str">
        <f t="shared" si="368"/>
        <v>SELL</v>
      </c>
      <c r="O1742" s="7">
        <f t="shared" si="375"/>
        <v>0</v>
      </c>
      <c r="P1742" s="7">
        <f t="shared" si="376"/>
        <v>-1</v>
      </c>
      <c r="Q1742" s="10" t="e">
        <f t="shared" si="369"/>
        <v>#N/A</v>
      </c>
      <c r="R1742" s="10" t="e">
        <f t="shared" si="370"/>
        <v>#N/A</v>
      </c>
      <c r="S1742" s="7">
        <f t="shared" si="377"/>
        <v>2323.4</v>
      </c>
      <c r="T1742" s="7">
        <f t="shared" si="378"/>
        <v>0</v>
      </c>
    </row>
    <row r="1743" spans="1:20" x14ac:dyDescent="0.25">
      <c r="A1743" s="1">
        <v>43717</v>
      </c>
      <c r="B1743">
        <v>2369.6999999999998</v>
      </c>
      <c r="C1743">
        <v>2388.85</v>
      </c>
      <c r="D1743">
        <v>2358.3000000000002</v>
      </c>
      <c r="E1743">
        <v>2379.5</v>
      </c>
      <c r="F1743">
        <v>710033</v>
      </c>
      <c r="G1743" s="4">
        <f t="shared" si="379"/>
        <v>11.25</v>
      </c>
      <c r="H1743" s="4">
        <f t="shared" si="380"/>
        <v>0</v>
      </c>
      <c r="I1743" s="6">
        <f t="shared" si="371"/>
        <v>13.257142857142883</v>
      </c>
      <c r="J1743" s="6">
        <f t="shared" si="372"/>
        <v>4.6714285714286108</v>
      </c>
      <c r="K1743" s="4">
        <f t="shared" si="373"/>
        <v>2.8379204892966179</v>
      </c>
      <c r="L1743">
        <f t="shared" si="374"/>
        <v>73.944223107569599</v>
      </c>
      <c r="M1743" s="14" t="str">
        <f t="shared" si="367"/>
        <v>OVERBOUGHT</v>
      </c>
      <c r="N1743" s="7" t="str">
        <f t="shared" si="368"/>
        <v>SELL</v>
      </c>
      <c r="O1743" s="7">
        <f t="shared" si="375"/>
        <v>0</v>
      </c>
      <c r="P1743" s="7">
        <f t="shared" si="376"/>
        <v>-1</v>
      </c>
      <c r="Q1743" s="10" t="e">
        <f t="shared" si="369"/>
        <v>#N/A</v>
      </c>
      <c r="R1743" s="10" t="e">
        <f t="shared" si="370"/>
        <v>#N/A</v>
      </c>
      <c r="S1743" s="7">
        <f t="shared" si="377"/>
        <v>2323.4</v>
      </c>
      <c r="T1743" s="7">
        <f t="shared" si="378"/>
        <v>0</v>
      </c>
    </row>
    <row r="1744" spans="1:20" x14ac:dyDescent="0.25">
      <c r="A1744" s="1">
        <v>43718</v>
      </c>
      <c r="B1744">
        <v>2384</v>
      </c>
      <c r="C1744">
        <v>2389.9499999999998</v>
      </c>
      <c r="D1744">
        <v>2320.4</v>
      </c>
      <c r="E1744">
        <v>2334.4</v>
      </c>
      <c r="F1744">
        <v>1108202</v>
      </c>
      <c r="G1744" s="4">
        <f t="shared" si="379"/>
        <v>0</v>
      </c>
      <c r="H1744" s="4">
        <f t="shared" si="380"/>
        <v>45.099999999999909</v>
      </c>
      <c r="I1744" s="6">
        <f t="shared" si="371"/>
        <v>11.589285714285747</v>
      </c>
      <c r="J1744" s="6">
        <f t="shared" si="372"/>
        <v>7.8928571428571752</v>
      </c>
      <c r="K1744" s="4">
        <f t="shared" si="373"/>
        <v>1.4683257918552017</v>
      </c>
      <c r="L1744">
        <f t="shared" si="374"/>
        <v>59.486709440879899</v>
      </c>
      <c r="M1744" s="14" t="str">
        <f t="shared" ref="M1744:M1807" si="381">IF(L1744&gt;RSI_Overbought,"OVERBOUGHT",IF(L1744&lt;RSI_Oversold,"OVERSOLD",""))</f>
        <v/>
      </c>
      <c r="N1744" s="7">
        <f t="shared" ref="N1744:N1807" si="382">IF(L1744&gt;RSI_Overbought,"SELL",IF(L1744&lt;RSI_Oversold,"BUY",0))</f>
        <v>0</v>
      </c>
      <c r="O1744" s="7">
        <f t="shared" si="375"/>
        <v>0</v>
      </c>
      <c r="P1744" s="7">
        <f t="shared" si="376"/>
        <v>-1</v>
      </c>
      <c r="Q1744" s="10" t="e">
        <f t="shared" ref="Q1744:Q1807" si="383">IF($O1744="BUY",$E1744,NA())</f>
        <v>#N/A</v>
      </c>
      <c r="R1744" s="10" t="e">
        <f t="shared" ref="R1744:R1807" si="384">IF($O1744="SELL",$E1744,NA())</f>
        <v>#N/A</v>
      </c>
      <c r="S1744" s="7">
        <f t="shared" si="377"/>
        <v>2323.4</v>
      </c>
      <c r="T1744" s="7">
        <f t="shared" si="378"/>
        <v>0</v>
      </c>
    </row>
    <row r="1745" spans="1:20" x14ac:dyDescent="0.25">
      <c r="A1745" s="1">
        <v>43719</v>
      </c>
      <c r="B1745">
        <v>2321</v>
      </c>
      <c r="C1745">
        <v>2329.35</v>
      </c>
      <c r="D1745">
        <v>2257.1</v>
      </c>
      <c r="E1745">
        <v>2281.4</v>
      </c>
      <c r="F1745">
        <v>1504948</v>
      </c>
      <c r="G1745" s="4">
        <f t="shared" si="379"/>
        <v>0</v>
      </c>
      <c r="H1745" s="4">
        <f t="shared" si="380"/>
        <v>53</v>
      </c>
      <c r="I1745" s="6">
        <f t="shared" ref="I1745:I1808" si="385">AVERAGE(G1732:G1745)</f>
        <v>11.142857142857176</v>
      </c>
      <c r="J1745" s="6">
        <f t="shared" ref="J1745:J1808" si="386">AVERAGE(H1732:H1745)</f>
        <v>11.678571428571461</v>
      </c>
      <c r="K1745" s="4">
        <f t="shared" ref="K1745:K1808" si="387">I1745/J1745</f>
        <v>0.95412844036697264</v>
      </c>
      <c r="L1745">
        <f t="shared" ref="L1745:L1808" si="388">100-(100/(K1745+1))</f>
        <v>48.826291079812208</v>
      </c>
      <c r="M1745" s="14" t="str">
        <f t="shared" si="381"/>
        <v/>
      </c>
      <c r="N1745" s="7">
        <f t="shared" si="382"/>
        <v>0</v>
      </c>
      <c r="O1745" s="7">
        <f t="shared" ref="O1745:O1808" si="389">IF(AND(N1745="BUY",P1744&lt;&gt;1),"BUY",IF(AND(N1745="SELL",P1744&lt;&gt;-1),"SELL",0))</f>
        <v>0</v>
      </c>
      <c r="P1745" s="7">
        <f t="shared" ref="P1745:P1808" si="390">IF(O1745="BUY",1,IF(O1745="SELL",-1,P1744))</f>
        <v>-1</v>
      </c>
      <c r="Q1745" s="10" t="e">
        <f t="shared" si="383"/>
        <v>#N/A</v>
      </c>
      <c r="R1745" s="10" t="e">
        <f t="shared" si="384"/>
        <v>#N/A</v>
      </c>
      <c r="S1745" s="7">
        <f t="shared" ref="S1745:S1808" si="391">IF(O1745&lt;&gt;0,E1745,S1744)</f>
        <v>2323.4</v>
      </c>
      <c r="T1745" s="7">
        <f t="shared" si="378"/>
        <v>0</v>
      </c>
    </row>
    <row r="1746" spans="1:20" x14ac:dyDescent="0.25">
      <c r="A1746" s="1">
        <v>43720</v>
      </c>
      <c r="B1746">
        <v>2275</v>
      </c>
      <c r="C1746">
        <v>2311.3000000000002</v>
      </c>
      <c r="D1746">
        <v>2257</v>
      </c>
      <c r="E1746">
        <v>2303.6999999999998</v>
      </c>
      <c r="F1746">
        <v>927289</v>
      </c>
      <c r="G1746" s="4">
        <f t="shared" si="379"/>
        <v>22.299999999999727</v>
      </c>
      <c r="H1746" s="4">
        <f t="shared" si="380"/>
        <v>0</v>
      </c>
      <c r="I1746" s="6">
        <f t="shared" si="385"/>
        <v>9.1357142857142914</v>
      </c>
      <c r="J1746" s="6">
        <f t="shared" si="386"/>
        <v>11.678571428571461</v>
      </c>
      <c r="K1746" s="4">
        <f t="shared" si="387"/>
        <v>0.78226299694189438</v>
      </c>
      <c r="L1746">
        <f t="shared" si="388"/>
        <v>43.891557995881897</v>
      </c>
      <c r="M1746" s="14" t="str">
        <f t="shared" si="381"/>
        <v/>
      </c>
      <c r="N1746" s="7">
        <f t="shared" si="382"/>
        <v>0</v>
      </c>
      <c r="O1746" s="7">
        <f t="shared" si="389"/>
        <v>0</v>
      </c>
      <c r="P1746" s="7">
        <f t="shared" si="390"/>
        <v>-1</v>
      </c>
      <c r="Q1746" s="10" t="e">
        <f t="shared" si="383"/>
        <v>#N/A</v>
      </c>
      <c r="R1746" s="10" t="e">
        <f t="shared" si="384"/>
        <v>#N/A</v>
      </c>
      <c r="S1746" s="7">
        <f t="shared" si="391"/>
        <v>2323.4</v>
      </c>
      <c r="T1746" s="7">
        <f t="shared" si="378"/>
        <v>0</v>
      </c>
    </row>
    <row r="1747" spans="1:20" x14ac:dyDescent="0.25">
      <c r="A1747" s="1">
        <v>43721</v>
      </c>
      <c r="B1747">
        <v>2304</v>
      </c>
      <c r="C1747">
        <v>2329.8000000000002</v>
      </c>
      <c r="D1747">
        <v>2291.5</v>
      </c>
      <c r="E1747">
        <v>2315.35</v>
      </c>
      <c r="F1747">
        <v>766957</v>
      </c>
      <c r="G1747" s="4">
        <f t="shared" si="379"/>
        <v>11.650000000000091</v>
      </c>
      <c r="H1747" s="4">
        <f t="shared" si="380"/>
        <v>0</v>
      </c>
      <c r="I1747" s="6">
        <f t="shared" si="385"/>
        <v>9.9678571428571558</v>
      </c>
      <c r="J1747" s="6">
        <f t="shared" si="386"/>
        <v>9.8428571428571558</v>
      </c>
      <c r="K1747" s="4">
        <f t="shared" si="387"/>
        <v>1.012699564586357</v>
      </c>
      <c r="L1747">
        <f t="shared" si="388"/>
        <v>50.315485848206229</v>
      </c>
      <c r="M1747" s="14" t="str">
        <f t="shared" si="381"/>
        <v/>
      </c>
      <c r="N1747" s="7">
        <f t="shared" si="382"/>
        <v>0</v>
      </c>
      <c r="O1747" s="7">
        <f t="shared" si="389"/>
        <v>0</v>
      </c>
      <c r="P1747" s="7">
        <f t="shared" si="390"/>
        <v>-1</v>
      </c>
      <c r="Q1747" s="10" t="e">
        <f t="shared" si="383"/>
        <v>#N/A</v>
      </c>
      <c r="R1747" s="10" t="e">
        <f t="shared" si="384"/>
        <v>#N/A</v>
      </c>
      <c r="S1747" s="7">
        <f t="shared" si="391"/>
        <v>2323.4</v>
      </c>
      <c r="T1747" s="7">
        <f t="shared" si="378"/>
        <v>0</v>
      </c>
    </row>
    <row r="1748" spans="1:20" x14ac:dyDescent="0.25">
      <c r="A1748" s="1">
        <v>43724</v>
      </c>
      <c r="B1748">
        <v>2315</v>
      </c>
      <c r="C1748">
        <v>2329.6</v>
      </c>
      <c r="D1748">
        <v>2280.1999999999998</v>
      </c>
      <c r="E1748">
        <v>2324.4</v>
      </c>
      <c r="F1748">
        <v>965648</v>
      </c>
      <c r="G1748" s="4">
        <f t="shared" si="379"/>
        <v>9.0500000000001819</v>
      </c>
      <c r="H1748" s="4">
        <f t="shared" si="380"/>
        <v>0</v>
      </c>
      <c r="I1748" s="6">
        <f t="shared" si="385"/>
        <v>10.614285714285741</v>
      </c>
      <c r="J1748" s="6">
        <f t="shared" si="386"/>
        <v>9.4214285714285779</v>
      </c>
      <c r="K1748" s="4">
        <f t="shared" si="387"/>
        <v>1.1266110689916624</v>
      </c>
      <c r="L1748">
        <f t="shared" si="388"/>
        <v>52.976827094474203</v>
      </c>
      <c r="M1748" s="14" t="str">
        <f t="shared" si="381"/>
        <v/>
      </c>
      <c r="N1748" s="7">
        <f t="shared" si="382"/>
        <v>0</v>
      </c>
      <c r="O1748" s="7">
        <f t="shared" si="389"/>
        <v>0</v>
      </c>
      <c r="P1748" s="7">
        <f t="shared" si="390"/>
        <v>-1</v>
      </c>
      <c r="Q1748" s="10" t="e">
        <f t="shared" si="383"/>
        <v>#N/A</v>
      </c>
      <c r="R1748" s="10" t="e">
        <f t="shared" si="384"/>
        <v>#N/A</v>
      </c>
      <c r="S1748" s="7">
        <f t="shared" si="391"/>
        <v>2323.4</v>
      </c>
      <c r="T1748" s="7">
        <f t="shared" si="378"/>
        <v>0</v>
      </c>
    </row>
    <row r="1749" spans="1:20" x14ac:dyDescent="0.25">
      <c r="A1749" s="1">
        <v>43725</v>
      </c>
      <c r="B1749">
        <v>2324.4</v>
      </c>
      <c r="C1749">
        <v>2360</v>
      </c>
      <c r="D1749">
        <v>2304</v>
      </c>
      <c r="E1749">
        <v>2344.35</v>
      </c>
      <c r="F1749">
        <v>1285187</v>
      </c>
      <c r="G1749" s="4">
        <f t="shared" si="379"/>
        <v>19.949999999999818</v>
      </c>
      <c r="H1749" s="4">
        <f t="shared" si="380"/>
        <v>0</v>
      </c>
      <c r="I1749" s="6">
        <f t="shared" si="385"/>
        <v>12.039285714285727</v>
      </c>
      <c r="J1749" s="6">
        <f t="shared" si="386"/>
        <v>8.0214285714285847</v>
      </c>
      <c r="K1749" s="4">
        <f t="shared" si="387"/>
        <v>1.5008904719501326</v>
      </c>
      <c r="L1749">
        <f t="shared" si="388"/>
        <v>60.014242478191186</v>
      </c>
      <c r="M1749" s="14" t="str">
        <f t="shared" si="381"/>
        <v/>
      </c>
      <c r="N1749" s="7">
        <f t="shared" si="382"/>
        <v>0</v>
      </c>
      <c r="O1749" s="7">
        <f t="shared" si="389"/>
        <v>0</v>
      </c>
      <c r="P1749" s="7">
        <f t="shared" si="390"/>
        <v>-1</v>
      </c>
      <c r="Q1749" s="10" t="e">
        <f t="shared" si="383"/>
        <v>#N/A</v>
      </c>
      <c r="R1749" s="10" t="e">
        <f t="shared" si="384"/>
        <v>#N/A</v>
      </c>
      <c r="S1749" s="7">
        <f t="shared" si="391"/>
        <v>2323.4</v>
      </c>
      <c r="T1749" s="7">
        <f t="shared" si="378"/>
        <v>0</v>
      </c>
    </row>
    <row r="1750" spans="1:20" x14ac:dyDescent="0.25">
      <c r="A1750" s="1">
        <v>43726</v>
      </c>
      <c r="B1750">
        <v>2348</v>
      </c>
      <c r="C1750">
        <v>2357.9499999999998</v>
      </c>
      <c r="D1750">
        <v>2237.85</v>
      </c>
      <c r="E1750">
        <v>2249.3000000000002</v>
      </c>
      <c r="F1750">
        <v>5117790</v>
      </c>
      <c r="G1750" s="4">
        <f t="shared" si="379"/>
        <v>0</v>
      </c>
      <c r="H1750" s="4">
        <f t="shared" si="380"/>
        <v>95.049999999999727</v>
      </c>
      <c r="I1750" s="6">
        <f t="shared" si="385"/>
        <v>11.682142857142869</v>
      </c>
      <c r="J1750" s="6">
        <f t="shared" si="386"/>
        <v>14.81071428571428</v>
      </c>
      <c r="K1750" s="4">
        <f t="shared" si="387"/>
        <v>0.78876296117675537</v>
      </c>
      <c r="L1750">
        <f t="shared" si="388"/>
        <v>44.095443515772473</v>
      </c>
      <c r="M1750" s="14" t="str">
        <f t="shared" si="381"/>
        <v/>
      </c>
      <c r="N1750" s="7">
        <f t="shared" si="382"/>
        <v>0</v>
      </c>
      <c r="O1750" s="7">
        <f t="shared" si="389"/>
        <v>0</v>
      </c>
      <c r="P1750" s="7">
        <f t="shared" si="390"/>
        <v>-1</v>
      </c>
      <c r="Q1750" s="10" t="e">
        <f t="shared" si="383"/>
        <v>#N/A</v>
      </c>
      <c r="R1750" s="10" t="e">
        <f t="shared" si="384"/>
        <v>#N/A</v>
      </c>
      <c r="S1750" s="7">
        <f t="shared" si="391"/>
        <v>2323.4</v>
      </c>
      <c r="T1750" s="7">
        <f t="shared" si="378"/>
        <v>0</v>
      </c>
    </row>
    <row r="1751" spans="1:20" x14ac:dyDescent="0.25">
      <c r="A1751" s="1">
        <v>43727</v>
      </c>
      <c r="B1751">
        <v>2250</v>
      </c>
      <c r="C1751">
        <v>2273.9</v>
      </c>
      <c r="D1751">
        <v>2228</v>
      </c>
      <c r="E1751">
        <v>2258.5500000000002</v>
      </c>
      <c r="F1751">
        <v>1682404</v>
      </c>
      <c r="G1751" s="4">
        <f t="shared" si="379"/>
        <v>9.25</v>
      </c>
      <c r="H1751" s="4">
        <f t="shared" si="380"/>
        <v>0</v>
      </c>
      <c r="I1751" s="6">
        <f t="shared" si="385"/>
        <v>10.178571428571429</v>
      </c>
      <c r="J1751" s="6">
        <f t="shared" si="386"/>
        <v>14.81071428571428</v>
      </c>
      <c r="K1751" s="4">
        <f t="shared" si="387"/>
        <v>0.68724379069206687</v>
      </c>
      <c r="L1751">
        <f t="shared" si="388"/>
        <v>40.731742175217967</v>
      </c>
      <c r="M1751" s="14" t="str">
        <f t="shared" si="381"/>
        <v/>
      </c>
      <c r="N1751" s="7">
        <f t="shared" si="382"/>
        <v>0</v>
      </c>
      <c r="O1751" s="7">
        <f t="shared" si="389"/>
        <v>0</v>
      </c>
      <c r="P1751" s="7">
        <f t="shared" si="390"/>
        <v>-1</v>
      </c>
      <c r="Q1751" s="10" t="e">
        <f t="shared" si="383"/>
        <v>#N/A</v>
      </c>
      <c r="R1751" s="10" t="e">
        <f t="shared" si="384"/>
        <v>#N/A</v>
      </c>
      <c r="S1751" s="7">
        <f t="shared" si="391"/>
        <v>2323.4</v>
      </c>
      <c r="T1751" s="7">
        <f t="shared" si="378"/>
        <v>0</v>
      </c>
    </row>
    <row r="1752" spans="1:20" x14ac:dyDescent="0.25">
      <c r="A1752" s="1">
        <v>43728</v>
      </c>
      <c r="B1752">
        <v>2254.9</v>
      </c>
      <c r="C1752">
        <v>2287.8000000000002</v>
      </c>
      <c r="D1752">
        <v>2252.8000000000002</v>
      </c>
      <c r="E1752">
        <v>2278.75</v>
      </c>
      <c r="F1752">
        <v>1504978</v>
      </c>
      <c r="G1752" s="4">
        <f t="shared" si="379"/>
        <v>20.199999999999818</v>
      </c>
      <c r="H1752" s="4">
        <f t="shared" si="380"/>
        <v>0</v>
      </c>
      <c r="I1752" s="6">
        <f t="shared" si="385"/>
        <v>11.621428571428558</v>
      </c>
      <c r="J1752" s="6">
        <f t="shared" si="386"/>
        <v>14.096428571428564</v>
      </c>
      <c r="K1752" s="4">
        <f t="shared" si="387"/>
        <v>0.82442361287053401</v>
      </c>
      <c r="L1752">
        <f t="shared" si="388"/>
        <v>45.188168309956936</v>
      </c>
      <c r="M1752" s="14" t="str">
        <f t="shared" si="381"/>
        <v/>
      </c>
      <c r="N1752" s="7">
        <f t="shared" si="382"/>
        <v>0</v>
      </c>
      <c r="O1752" s="7">
        <f t="shared" si="389"/>
        <v>0</v>
      </c>
      <c r="P1752" s="7">
        <f t="shared" si="390"/>
        <v>-1</v>
      </c>
      <c r="Q1752" s="10" t="e">
        <f t="shared" si="383"/>
        <v>#N/A</v>
      </c>
      <c r="R1752" s="10" t="e">
        <f t="shared" si="384"/>
        <v>#N/A</v>
      </c>
      <c r="S1752" s="7">
        <f t="shared" si="391"/>
        <v>2323.4</v>
      </c>
      <c r="T1752" s="7">
        <f t="shared" si="378"/>
        <v>0</v>
      </c>
    </row>
    <row r="1753" spans="1:20" x14ac:dyDescent="0.25">
      <c r="A1753" s="1">
        <v>43731</v>
      </c>
      <c r="B1753">
        <v>2278</v>
      </c>
      <c r="C1753">
        <v>2298</v>
      </c>
      <c r="D1753">
        <v>2265.4499999999998</v>
      </c>
      <c r="E1753">
        <v>2295.1</v>
      </c>
      <c r="F1753">
        <v>1568287</v>
      </c>
      <c r="G1753" s="4">
        <f t="shared" si="379"/>
        <v>16.349999999999909</v>
      </c>
      <c r="H1753" s="4">
        <f t="shared" si="380"/>
        <v>0</v>
      </c>
      <c r="I1753" s="6">
        <f t="shared" si="385"/>
        <v>10.053571428571429</v>
      </c>
      <c r="J1753" s="6">
        <f t="shared" si="386"/>
        <v>14.096428571428564</v>
      </c>
      <c r="K1753" s="4">
        <f t="shared" si="387"/>
        <v>0.71319989865720834</v>
      </c>
      <c r="L1753">
        <f t="shared" si="388"/>
        <v>41.629695356403445</v>
      </c>
      <c r="M1753" s="14" t="str">
        <f t="shared" si="381"/>
        <v/>
      </c>
      <c r="N1753" s="7">
        <f t="shared" si="382"/>
        <v>0</v>
      </c>
      <c r="O1753" s="7">
        <f t="shared" si="389"/>
        <v>0</v>
      </c>
      <c r="P1753" s="7">
        <f t="shared" si="390"/>
        <v>-1</v>
      </c>
      <c r="Q1753" s="10" t="e">
        <f t="shared" si="383"/>
        <v>#N/A</v>
      </c>
      <c r="R1753" s="10" t="e">
        <f t="shared" si="384"/>
        <v>#N/A</v>
      </c>
      <c r="S1753" s="7">
        <f t="shared" si="391"/>
        <v>2323.4</v>
      </c>
      <c r="T1753" s="7">
        <f t="shared" si="378"/>
        <v>0</v>
      </c>
    </row>
    <row r="1754" spans="1:20" x14ac:dyDescent="0.25">
      <c r="A1754" s="1">
        <v>43732</v>
      </c>
      <c r="B1754">
        <v>2295</v>
      </c>
      <c r="C1754">
        <v>2295.15</v>
      </c>
      <c r="D1754">
        <v>2282.9499999999998</v>
      </c>
      <c r="E1754">
        <v>2291</v>
      </c>
      <c r="F1754">
        <v>1125838</v>
      </c>
      <c r="G1754" s="4">
        <f t="shared" si="379"/>
        <v>0</v>
      </c>
      <c r="H1754" s="4">
        <f t="shared" si="380"/>
        <v>4.0999999999999091</v>
      </c>
      <c r="I1754" s="6">
        <f t="shared" si="385"/>
        <v>9.0642857142856883</v>
      </c>
      <c r="J1754" s="6">
        <f t="shared" si="386"/>
        <v>14.389285714285702</v>
      </c>
      <c r="K1754" s="4">
        <f t="shared" si="387"/>
        <v>0.62993298585256763</v>
      </c>
      <c r="L1754">
        <f t="shared" si="388"/>
        <v>38.647784376427552</v>
      </c>
      <c r="M1754" s="14" t="str">
        <f t="shared" si="381"/>
        <v/>
      </c>
      <c r="N1754" s="7">
        <f t="shared" si="382"/>
        <v>0</v>
      </c>
      <c r="O1754" s="7">
        <f t="shared" si="389"/>
        <v>0</v>
      </c>
      <c r="P1754" s="7">
        <f t="shared" si="390"/>
        <v>-1</v>
      </c>
      <c r="Q1754" s="10" t="e">
        <f t="shared" si="383"/>
        <v>#N/A</v>
      </c>
      <c r="R1754" s="10" t="e">
        <f t="shared" si="384"/>
        <v>#N/A</v>
      </c>
      <c r="S1754" s="7">
        <f t="shared" si="391"/>
        <v>2323.4</v>
      </c>
      <c r="T1754" s="7">
        <f t="shared" ref="T1754:T1817" si="392">IF(O1754="BUY",(S1753-S1754)/S1753,IF(O1754="SELL",(S1754-S1753)/S1753,0))</f>
        <v>0</v>
      </c>
    </row>
    <row r="1755" spans="1:20" x14ac:dyDescent="0.25">
      <c r="A1755" s="1">
        <v>43733</v>
      </c>
      <c r="B1755">
        <v>2287</v>
      </c>
      <c r="C1755">
        <v>2300</v>
      </c>
      <c r="D1755">
        <v>2265</v>
      </c>
      <c r="E1755">
        <v>2285.35</v>
      </c>
      <c r="F1755">
        <v>1018623</v>
      </c>
      <c r="G1755" s="4">
        <f t="shared" si="379"/>
        <v>0</v>
      </c>
      <c r="H1755" s="4">
        <f t="shared" si="380"/>
        <v>5.6500000000000909</v>
      </c>
      <c r="I1755" s="6">
        <f t="shared" si="385"/>
        <v>9.0642857142856883</v>
      </c>
      <c r="J1755" s="6">
        <f t="shared" si="386"/>
        <v>14.492857142857117</v>
      </c>
      <c r="K1755" s="4">
        <f t="shared" si="387"/>
        <v>0.62543124691966423</v>
      </c>
      <c r="L1755">
        <f t="shared" si="388"/>
        <v>38.477865372953275</v>
      </c>
      <c r="M1755" s="14" t="str">
        <f t="shared" si="381"/>
        <v/>
      </c>
      <c r="N1755" s="7">
        <f t="shared" si="382"/>
        <v>0</v>
      </c>
      <c r="O1755" s="7">
        <f t="shared" si="389"/>
        <v>0</v>
      </c>
      <c r="P1755" s="7">
        <f t="shared" si="390"/>
        <v>-1</v>
      </c>
      <c r="Q1755" s="10" t="e">
        <f t="shared" si="383"/>
        <v>#N/A</v>
      </c>
      <c r="R1755" s="10" t="e">
        <f t="shared" si="384"/>
        <v>#N/A</v>
      </c>
      <c r="S1755" s="7">
        <f t="shared" si="391"/>
        <v>2323.4</v>
      </c>
      <c r="T1755" s="7">
        <f t="shared" si="392"/>
        <v>0</v>
      </c>
    </row>
    <row r="1756" spans="1:20" x14ac:dyDescent="0.25">
      <c r="A1756" s="1">
        <v>43734</v>
      </c>
      <c r="B1756">
        <v>2265</v>
      </c>
      <c r="C1756">
        <v>2313.5</v>
      </c>
      <c r="D1756">
        <v>2259.8000000000002</v>
      </c>
      <c r="E1756">
        <v>2306.6999999999998</v>
      </c>
      <c r="F1756">
        <v>1159273</v>
      </c>
      <c r="G1756" s="4">
        <f t="shared" si="379"/>
        <v>21.349999999999909</v>
      </c>
      <c r="H1756" s="4">
        <f t="shared" si="380"/>
        <v>0</v>
      </c>
      <c r="I1756" s="6">
        <f t="shared" si="385"/>
        <v>10.096428571428532</v>
      </c>
      <c r="J1756" s="6">
        <f t="shared" si="386"/>
        <v>14.492857142857117</v>
      </c>
      <c r="K1756" s="4">
        <f t="shared" si="387"/>
        <v>0.69664859536717449</v>
      </c>
      <c r="L1756">
        <f t="shared" si="388"/>
        <v>41.060275962236695</v>
      </c>
      <c r="M1756" s="14" t="str">
        <f t="shared" si="381"/>
        <v/>
      </c>
      <c r="N1756" s="7">
        <f t="shared" si="382"/>
        <v>0</v>
      </c>
      <c r="O1756" s="7">
        <f t="shared" si="389"/>
        <v>0</v>
      </c>
      <c r="P1756" s="7">
        <f t="shared" si="390"/>
        <v>-1</v>
      </c>
      <c r="Q1756" s="10" t="e">
        <f t="shared" si="383"/>
        <v>#N/A</v>
      </c>
      <c r="R1756" s="10" t="e">
        <f t="shared" si="384"/>
        <v>#N/A</v>
      </c>
      <c r="S1756" s="7">
        <f t="shared" si="391"/>
        <v>2323.4</v>
      </c>
      <c r="T1756" s="7">
        <f t="shared" si="392"/>
        <v>0</v>
      </c>
    </row>
    <row r="1757" spans="1:20" x14ac:dyDescent="0.25">
      <c r="A1757" s="1">
        <v>43735</v>
      </c>
      <c r="B1757">
        <v>2304</v>
      </c>
      <c r="C1757">
        <v>2323</v>
      </c>
      <c r="D1757">
        <v>2290</v>
      </c>
      <c r="E1757">
        <v>2318.35</v>
      </c>
      <c r="F1757">
        <v>1141319</v>
      </c>
      <c r="G1757" s="4">
        <f t="shared" si="379"/>
        <v>11.650000000000091</v>
      </c>
      <c r="H1757" s="4">
        <f t="shared" si="380"/>
        <v>0</v>
      </c>
      <c r="I1757" s="6">
        <f t="shared" si="385"/>
        <v>10.124999999999968</v>
      </c>
      <c r="J1757" s="6">
        <f t="shared" si="386"/>
        <v>14.492857142857117</v>
      </c>
      <c r="K1757" s="4">
        <f t="shared" si="387"/>
        <v>0.69862000985707151</v>
      </c>
      <c r="L1757">
        <f t="shared" si="388"/>
        <v>41.128681270854464</v>
      </c>
      <c r="M1757" s="14" t="str">
        <f t="shared" si="381"/>
        <v/>
      </c>
      <c r="N1757" s="7">
        <f t="shared" si="382"/>
        <v>0</v>
      </c>
      <c r="O1757" s="7">
        <f t="shared" si="389"/>
        <v>0</v>
      </c>
      <c r="P1757" s="7">
        <f t="shared" si="390"/>
        <v>-1</v>
      </c>
      <c r="Q1757" s="10" t="e">
        <f t="shared" si="383"/>
        <v>#N/A</v>
      </c>
      <c r="R1757" s="10" t="e">
        <f t="shared" si="384"/>
        <v>#N/A</v>
      </c>
      <c r="S1757" s="7">
        <f t="shared" si="391"/>
        <v>2323.4</v>
      </c>
      <c r="T1757" s="7">
        <f t="shared" si="392"/>
        <v>0</v>
      </c>
    </row>
    <row r="1758" spans="1:20" x14ac:dyDescent="0.25">
      <c r="A1758" s="1">
        <v>43738</v>
      </c>
      <c r="B1758">
        <v>2322.6</v>
      </c>
      <c r="C1758">
        <v>2360</v>
      </c>
      <c r="D1758">
        <v>2318.0500000000002</v>
      </c>
      <c r="E1758">
        <v>2353</v>
      </c>
      <c r="F1758">
        <v>2055824</v>
      </c>
      <c r="G1758" s="4">
        <f t="shared" si="379"/>
        <v>34.650000000000091</v>
      </c>
      <c r="H1758" s="4">
        <f t="shared" si="380"/>
        <v>0</v>
      </c>
      <c r="I1758" s="6">
        <f t="shared" si="385"/>
        <v>12.599999999999975</v>
      </c>
      <c r="J1758" s="6">
        <f t="shared" si="386"/>
        <v>11.271428571428553</v>
      </c>
      <c r="K1758" s="4">
        <f t="shared" si="387"/>
        <v>1.1178707224334596</v>
      </c>
      <c r="L1758">
        <f t="shared" si="388"/>
        <v>52.782764811490118</v>
      </c>
      <c r="M1758" s="14" t="str">
        <f t="shared" si="381"/>
        <v/>
      </c>
      <c r="N1758" s="7">
        <f t="shared" si="382"/>
        <v>0</v>
      </c>
      <c r="O1758" s="7">
        <f t="shared" si="389"/>
        <v>0</v>
      </c>
      <c r="P1758" s="7">
        <f t="shared" si="390"/>
        <v>-1</v>
      </c>
      <c r="Q1758" s="10" t="e">
        <f t="shared" si="383"/>
        <v>#N/A</v>
      </c>
      <c r="R1758" s="10" t="e">
        <f t="shared" si="384"/>
        <v>#N/A</v>
      </c>
      <c r="S1758" s="7">
        <f t="shared" si="391"/>
        <v>2323.4</v>
      </c>
      <c r="T1758" s="7">
        <f t="shared" si="392"/>
        <v>0</v>
      </c>
    </row>
    <row r="1759" spans="1:20" x14ac:dyDescent="0.25">
      <c r="A1759" s="1">
        <v>43739</v>
      </c>
      <c r="B1759">
        <v>2345.0500000000002</v>
      </c>
      <c r="C1759">
        <v>2378.75</v>
      </c>
      <c r="D1759">
        <v>2345.0500000000002</v>
      </c>
      <c r="E1759">
        <v>2357.8000000000002</v>
      </c>
      <c r="F1759">
        <v>1435829</v>
      </c>
      <c r="G1759" s="4">
        <f t="shared" si="379"/>
        <v>4.8000000000001819</v>
      </c>
      <c r="H1759" s="4">
        <f t="shared" si="380"/>
        <v>0</v>
      </c>
      <c r="I1759" s="6">
        <f t="shared" si="385"/>
        <v>12.942857142857131</v>
      </c>
      <c r="J1759" s="6">
        <f t="shared" si="386"/>
        <v>7.4857142857142662</v>
      </c>
      <c r="K1759" s="4">
        <f t="shared" si="387"/>
        <v>1.7290076335877891</v>
      </c>
      <c r="L1759">
        <f t="shared" si="388"/>
        <v>63.356643356643396</v>
      </c>
      <c r="M1759" s="14" t="str">
        <f t="shared" si="381"/>
        <v/>
      </c>
      <c r="N1759" s="7">
        <f t="shared" si="382"/>
        <v>0</v>
      </c>
      <c r="O1759" s="7">
        <f t="shared" si="389"/>
        <v>0</v>
      </c>
      <c r="P1759" s="7">
        <f t="shared" si="390"/>
        <v>-1</v>
      </c>
      <c r="Q1759" s="10" t="e">
        <f t="shared" si="383"/>
        <v>#N/A</v>
      </c>
      <c r="R1759" s="10" t="e">
        <f t="shared" si="384"/>
        <v>#N/A</v>
      </c>
      <c r="S1759" s="7">
        <f t="shared" si="391"/>
        <v>2323.4</v>
      </c>
      <c r="T1759" s="7">
        <f t="shared" si="392"/>
        <v>0</v>
      </c>
    </row>
    <row r="1760" spans="1:20" x14ac:dyDescent="0.25">
      <c r="A1760" s="1">
        <v>43740</v>
      </c>
      <c r="B1760">
        <v>2341</v>
      </c>
      <c r="C1760">
        <v>2351.9499999999998</v>
      </c>
      <c r="D1760">
        <v>2318.15</v>
      </c>
      <c r="E1760">
        <v>2332.9</v>
      </c>
      <c r="F1760">
        <v>1288978</v>
      </c>
      <c r="G1760" s="4">
        <f t="shared" si="379"/>
        <v>0</v>
      </c>
      <c r="H1760" s="4">
        <f t="shared" si="380"/>
        <v>24.900000000000091</v>
      </c>
      <c r="I1760" s="6">
        <f t="shared" si="385"/>
        <v>11.350000000000007</v>
      </c>
      <c r="J1760" s="6">
        <f t="shared" si="386"/>
        <v>9.2642857142857018</v>
      </c>
      <c r="K1760" s="4">
        <f t="shared" si="387"/>
        <v>1.2251349267540501</v>
      </c>
      <c r="L1760">
        <f t="shared" si="388"/>
        <v>55.058905058905104</v>
      </c>
      <c r="M1760" s="14" t="str">
        <f t="shared" si="381"/>
        <v/>
      </c>
      <c r="N1760" s="7">
        <f t="shared" si="382"/>
        <v>0</v>
      </c>
      <c r="O1760" s="7">
        <f t="shared" si="389"/>
        <v>0</v>
      </c>
      <c r="P1760" s="7">
        <f t="shared" si="390"/>
        <v>-1</v>
      </c>
      <c r="Q1760" s="10" t="e">
        <f t="shared" si="383"/>
        <v>#N/A</v>
      </c>
      <c r="R1760" s="10" t="e">
        <f t="shared" si="384"/>
        <v>#N/A</v>
      </c>
      <c r="S1760" s="7">
        <f t="shared" si="391"/>
        <v>2323.4</v>
      </c>
      <c r="T1760" s="7">
        <f t="shared" si="392"/>
        <v>0</v>
      </c>
    </row>
    <row r="1761" spans="1:20" x14ac:dyDescent="0.25">
      <c r="A1761" s="1">
        <v>43741</v>
      </c>
      <c r="B1761">
        <v>2320</v>
      </c>
      <c r="C1761">
        <v>2332.0500000000002</v>
      </c>
      <c r="D1761">
        <v>2200.0500000000002</v>
      </c>
      <c r="E1761">
        <v>2229.8000000000002</v>
      </c>
      <c r="F1761">
        <v>2333402</v>
      </c>
      <c r="G1761" s="4">
        <f t="shared" si="379"/>
        <v>0</v>
      </c>
      <c r="H1761" s="4">
        <f t="shared" si="380"/>
        <v>103.09999999999991</v>
      </c>
      <c r="I1761" s="6">
        <f t="shared" si="385"/>
        <v>10.517857142857142</v>
      </c>
      <c r="J1761" s="6">
        <f t="shared" si="386"/>
        <v>16.628571428571409</v>
      </c>
      <c r="K1761" s="4">
        <f t="shared" si="387"/>
        <v>0.63251718213058494</v>
      </c>
      <c r="L1761">
        <f t="shared" si="388"/>
        <v>38.744901986580736</v>
      </c>
      <c r="M1761" s="14" t="str">
        <f t="shared" si="381"/>
        <v/>
      </c>
      <c r="N1761" s="7">
        <f t="shared" si="382"/>
        <v>0</v>
      </c>
      <c r="O1761" s="7">
        <f t="shared" si="389"/>
        <v>0</v>
      </c>
      <c r="P1761" s="7">
        <f t="shared" si="390"/>
        <v>-1</v>
      </c>
      <c r="Q1761" s="10" t="e">
        <f t="shared" si="383"/>
        <v>#N/A</v>
      </c>
      <c r="R1761" s="10" t="e">
        <f t="shared" si="384"/>
        <v>#N/A</v>
      </c>
      <c r="S1761" s="7">
        <f t="shared" si="391"/>
        <v>2323.4</v>
      </c>
      <c r="T1761" s="7">
        <f t="shared" si="392"/>
        <v>0</v>
      </c>
    </row>
    <row r="1762" spans="1:20" x14ac:dyDescent="0.25">
      <c r="A1762" s="1">
        <v>43742</v>
      </c>
      <c r="B1762">
        <v>2220</v>
      </c>
      <c r="C1762">
        <v>2239.9499999999998</v>
      </c>
      <c r="D1762">
        <v>2155.5500000000002</v>
      </c>
      <c r="E1762">
        <v>2167.9</v>
      </c>
      <c r="F1762">
        <v>2432076</v>
      </c>
      <c r="G1762" s="4">
        <f t="shared" si="379"/>
        <v>0</v>
      </c>
      <c r="H1762" s="4">
        <f t="shared" si="380"/>
        <v>61.900000000000091</v>
      </c>
      <c r="I1762" s="6">
        <f t="shared" si="385"/>
        <v>9.8714285714285577</v>
      </c>
      <c r="J1762" s="6">
        <f t="shared" si="386"/>
        <v>21.049999999999986</v>
      </c>
      <c r="K1762" s="4">
        <f t="shared" si="387"/>
        <v>0.46895147607736648</v>
      </c>
      <c r="L1762">
        <f t="shared" si="388"/>
        <v>31.924231924231918</v>
      </c>
      <c r="M1762" s="14" t="str">
        <f t="shared" si="381"/>
        <v/>
      </c>
      <c r="N1762" s="7">
        <f t="shared" si="382"/>
        <v>0</v>
      </c>
      <c r="O1762" s="7">
        <f t="shared" si="389"/>
        <v>0</v>
      </c>
      <c r="P1762" s="7">
        <f t="shared" si="390"/>
        <v>-1</v>
      </c>
      <c r="Q1762" s="10" t="e">
        <f t="shared" si="383"/>
        <v>#N/A</v>
      </c>
      <c r="R1762" s="10" t="e">
        <f t="shared" si="384"/>
        <v>#N/A</v>
      </c>
      <c r="S1762" s="7">
        <f t="shared" si="391"/>
        <v>2323.4</v>
      </c>
      <c r="T1762" s="7">
        <f t="shared" si="392"/>
        <v>0</v>
      </c>
    </row>
    <row r="1763" spans="1:20" x14ac:dyDescent="0.25">
      <c r="A1763" s="1">
        <v>43745</v>
      </c>
      <c r="B1763">
        <v>2170.0500000000002</v>
      </c>
      <c r="C1763">
        <v>2219</v>
      </c>
      <c r="D1763">
        <v>2153</v>
      </c>
      <c r="E1763">
        <v>2207.65</v>
      </c>
      <c r="F1763">
        <v>3004741</v>
      </c>
      <c r="G1763" s="4">
        <f t="shared" si="379"/>
        <v>39.75</v>
      </c>
      <c r="H1763" s="4">
        <f t="shared" si="380"/>
        <v>0</v>
      </c>
      <c r="I1763" s="6">
        <f t="shared" si="385"/>
        <v>11.285714285714286</v>
      </c>
      <c r="J1763" s="6">
        <f t="shared" si="386"/>
        <v>21.049999999999986</v>
      </c>
      <c r="K1763" s="4">
        <f t="shared" si="387"/>
        <v>0.53613844587716364</v>
      </c>
      <c r="L1763">
        <f t="shared" si="388"/>
        <v>34.90170090567706</v>
      </c>
      <c r="M1763" s="14" t="str">
        <f t="shared" si="381"/>
        <v/>
      </c>
      <c r="N1763" s="7">
        <f t="shared" si="382"/>
        <v>0</v>
      </c>
      <c r="O1763" s="7">
        <f t="shared" si="389"/>
        <v>0</v>
      </c>
      <c r="P1763" s="7">
        <f t="shared" si="390"/>
        <v>-1</v>
      </c>
      <c r="Q1763" s="10" t="e">
        <f t="shared" si="383"/>
        <v>#N/A</v>
      </c>
      <c r="R1763" s="10" t="e">
        <f t="shared" si="384"/>
        <v>#N/A</v>
      </c>
      <c r="S1763" s="7">
        <f t="shared" si="391"/>
        <v>2323.4</v>
      </c>
      <c r="T1763" s="7">
        <f t="shared" si="392"/>
        <v>0</v>
      </c>
    </row>
    <row r="1764" spans="1:20" x14ac:dyDescent="0.25">
      <c r="A1764" s="1">
        <v>43746</v>
      </c>
      <c r="B1764">
        <v>2209.6999999999998</v>
      </c>
      <c r="C1764">
        <v>2243</v>
      </c>
      <c r="D1764">
        <v>2191</v>
      </c>
      <c r="E1764">
        <v>2232.5500000000002</v>
      </c>
      <c r="F1764">
        <v>1076686</v>
      </c>
      <c r="G1764" s="4">
        <f t="shared" si="379"/>
        <v>24.900000000000091</v>
      </c>
      <c r="H1764" s="4">
        <f t="shared" si="380"/>
        <v>0</v>
      </c>
      <c r="I1764" s="6">
        <f t="shared" si="385"/>
        <v>13.06428571428572</v>
      </c>
      <c r="J1764" s="6">
        <f t="shared" si="386"/>
        <v>14.260714285714291</v>
      </c>
      <c r="K1764" s="4">
        <f t="shared" si="387"/>
        <v>0.91610318056599049</v>
      </c>
      <c r="L1764">
        <f t="shared" si="388"/>
        <v>47.810743693634819</v>
      </c>
      <c r="M1764" s="14" t="str">
        <f t="shared" si="381"/>
        <v/>
      </c>
      <c r="N1764" s="7">
        <f t="shared" si="382"/>
        <v>0</v>
      </c>
      <c r="O1764" s="7">
        <f t="shared" si="389"/>
        <v>0</v>
      </c>
      <c r="P1764" s="7">
        <f t="shared" si="390"/>
        <v>-1</v>
      </c>
      <c r="Q1764" s="10" t="e">
        <f t="shared" si="383"/>
        <v>#N/A</v>
      </c>
      <c r="R1764" s="10" t="e">
        <f t="shared" si="384"/>
        <v>#N/A</v>
      </c>
      <c r="S1764" s="7">
        <f t="shared" si="391"/>
        <v>2323.4</v>
      </c>
      <c r="T1764" s="7">
        <f t="shared" si="392"/>
        <v>0</v>
      </c>
    </row>
    <row r="1765" spans="1:20" x14ac:dyDescent="0.25">
      <c r="A1765" s="1">
        <v>43747</v>
      </c>
      <c r="B1765">
        <v>2258</v>
      </c>
      <c r="C1765">
        <v>2258.5</v>
      </c>
      <c r="D1765">
        <v>2214.9499999999998</v>
      </c>
      <c r="E1765">
        <v>2240.75</v>
      </c>
      <c r="F1765">
        <v>1204455</v>
      </c>
      <c r="G1765" s="4">
        <f t="shared" si="379"/>
        <v>8.1999999999998181</v>
      </c>
      <c r="H1765" s="4">
        <f t="shared" si="380"/>
        <v>0</v>
      </c>
      <c r="I1765" s="6">
        <f t="shared" si="385"/>
        <v>12.989285714285709</v>
      </c>
      <c r="J1765" s="6">
        <f t="shared" si="386"/>
        <v>14.260714285714291</v>
      </c>
      <c r="K1765" s="4">
        <f t="shared" si="387"/>
        <v>0.91084397695967867</v>
      </c>
      <c r="L1765">
        <f t="shared" si="388"/>
        <v>47.667103538663156</v>
      </c>
      <c r="M1765" s="14" t="str">
        <f t="shared" si="381"/>
        <v/>
      </c>
      <c r="N1765" s="7">
        <f t="shared" si="382"/>
        <v>0</v>
      </c>
      <c r="O1765" s="7">
        <f t="shared" si="389"/>
        <v>0</v>
      </c>
      <c r="P1765" s="7">
        <f t="shared" si="390"/>
        <v>-1</v>
      </c>
      <c r="Q1765" s="10" t="e">
        <f t="shared" si="383"/>
        <v>#N/A</v>
      </c>
      <c r="R1765" s="10" t="e">
        <f t="shared" si="384"/>
        <v>#N/A</v>
      </c>
      <c r="S1765" s="7">
        <f t="shared" si="391"/>
        <v>2323.4</v>
      </c>
      <c r="T1765" s="7">
        <f t="shared" si="392"/>
        <v>0</v>
      </c>
    </row>
    <row r="1766" spans="1:20" x14ac:dyDescent="0.25">
      <c r="A1766" s="1">
        <v>43748</v>
      </c>
      <c r="B1766">
        <v>2244</v>
      </c>
      <c r="C1766">
        <v>2252.6</v>
      </c>
      <c r="D1766">
        <v>2226</v>
      </c>
      <c r="E1766">
        <v>2244.6</v>
      </c>
      <c r="F1766">
        <v>907319</v>
      </c>
      <c r="G1766" s="4">
        <f t="shared" si="379"/>
        <v>3.8499999999999091</v>
      </c>
      <c r="H1766" s="4">
        <f t="shared" si="380"/>
        <v>0</v>
      </c>
      <c r="I1766" s="6">
        <f t="shared" si="385"/>
        <v>11.821428571428571</v>
      </c>
      <c r="J1766" s="6">
        <f t="shared" si="386"/>
        <v>14.260714285714291</v>
      </c>
      <c r="K1766" s="4">
        <f t="shared" si="387"/>
        <v>0.82895066366140713</v>
      </c>
      <c r="L1766">
        <f t="shared" si="388"/>
        <v>45.323839518006288</v>
      </c>
      <c r="M1766" s="14" t="str">
        <f t="shared" si="381"/>
        <v/>
      </c>
      <c r="N1766" s="7">
        <f t="shared" si="382"/>
        <v>0</v>
      </c>
      <c r="O1766" s="7">
        <f t="shared" si="389"/>
        <v>0</v>
      </c>
      <c r="P1766" s="7">
        <f t="shared" si="390"/>
        <v>-1</v>
      </c>
      <c r="Q1766" s="10" t="e">
        <f t="shared" si="383"/>
        <v>#N/A</v>
      </c>
      <c r="R1766" s="10" t="e">
        <f t="shared" si="384"/>
        <v>#N/A</v>
      </c>
      <c r="S1766" s="7">
        <f t="shared" si="391"/>
        <v>2323.4</v>
      </c>
      <c r="T1766" s="7">
        <f t="shared" si="392"/>
        <v>0</v>
      </c>
    </row>
    <row r="1767" spans="1:20" x14ac:dyDescent="0.25">
      <c r="A1767" s="1">
        <v>43749</v>
      </c>
      <c r="B1767">
        <v>2244.9</v>
      </c>
      <c r="C1767">
        <v>2282.6</v>
      </c>
      <c r="D1767">
        <v>2244.0500000000002</v>
      </c>
      <c r="E1767">
        <v>2270.9499999999998</v>
      </c>
      <c r="F1767">
        <v>1106292</v>
      </c>
      <c r="G1767" s="4">
        <f t="shared" si="379"/>
        <v>26.349999999999909</v>
      </c>
      <c r="H1767" s="4">
        <f t="shared" si="380"/>
        <v>0</v>
      </c>
      <c r="I1767" s="6">
        <f t="shared" si="385"/>
        <v>12.535714285714286</v>
      </c>
      <c r="J1767" s="6">
        <f t="shared" si="386"/>
        <v>14.260714285714291</v>
      </c>
      <c r="K1767" s="4">
        <f t="shared" si="387"/>
        <v>0.8790383170548457</v>
      </c>
      <c r="L1767">
        <f t="shared" si="388"/>
        <v>46.78128748500599</v>
      </c>
      <c r="M1767" s="14" t="str">
        <f t="shared" si="381"/>
        <v/>
      </c>
      <c r="N1767" s="7">
        <f t="shared" si="382"/>
        <v>0</v>
      </c>
      <c r="O1767" s="7">
        <f t="shared" si="389"/>
        <v>0</v>
      </c>
      <c r="P1767" s="7">
        <f t="shared" si="390"/>
        <v>-1</v>
      </c>
      <c r="Q1767" s="10" t="e">
        <f t="shared" si="383"/>
        <v>#N/A</v>
      </c>
      <c r="R1767" s="10" t="e">
        <f t="shared" si="384"/>
        <v>#N/A</v>
      </c>
      <c r="S1767" s="7">
        <f t="shared" si="391"/>
        <v>2323.4</v>
      </c>
      <c r="T1767" s="7">
        <f t="shared" si="392"/>
        <v>0</v>
      </c>
    </row>
    <row r="1768" spans="1:20" x14ac:dyDescent="0.25">
      <c r="A1768" s="1">
        <v>43752</v>
      </c>
      <c r="B1768">
        <v>2275</v>
      </c>
      <c r="C1768">
        <v>2328</v>
      </c>
      <c r="D1768">
        <v>2270.1999999999998</v>
      </c>
      <c r="E1768">
        <v>2317.3000000000002</v>
      </c>
      <c r="F1768">
        <v>2016601</v>
      </c>
      <c r="G1768" s="4">
        <f t="shared" si="379"/>
        <v>46.350000000000364</v>
      </c>
      <c r="H1768" s="4">
        <f t="shared" si="380"/>
        <v>0</v>
      </c>
      <c r="I1768" s="6">
        <f t="shared" si="385"/>
        <v>15.846428571428598</v>
      </c>
      <c r="J1768" s="6">
        <f t="shared" si="386"/>
        <v>13.967857142857156</v>
      </c>
      <c r="K1768" s="4">
        <f t="shared" si="387"/>
        <v>1.1344924571720796</v>
      </c>
      <c r="L1768">
        <f t="shared" si="388"/>
        <v>53.15045519885004</v>
      </c>
      <c r="M1768" s="14" t="str">
        <f t="shared" si="381"/>
        <v/>
      </c>
      <c r="N1768" s="7">
        <f t="shared" si="382"/>
        <v>0</v>
      </c>
      <c r="O1768" s="7">
        <f t="shared" si="389"/>
        <v>0</v>
      </c>
      <c r="P1768" s="7">
        <f t="shared" si="390"/>
        <v>-1</v>
      </c>
      <c r="Q1768" s="10" t="e">
        <f t="shared" si="383"/>
        <v>#N/A</v>
      </c>
      <c r="R1768" s="10" t="e">
        <f t="shared" si="384"/>
        <v>#N/A</v>
      </c>
      <c r="S1768" s="7">
        <f t="shared" si="391"/>
        <v>2323.4</v>
      </c>
      <c r="T1768" s="7">
        <f t="shared" si="392"/>
        <v>0</v>
      </c>
    </row>
    <row r="1769" spans="1:20" x14ac:dyDescent="0.25">
      <c r="A1769" s="1">
        <v>43753</v>
      </c>
      <c r="B1769">
        <v>2311</v>
      </c>
      <c r="C1769">
        <v>2424.4499999999998</v>
      </c>
      <c r="D1769">
        <v>2311</v>
      </c>
      <c r="E1769">
        <v>2397.9499999999998</v>
      </c>
      <c r="F1769">
        <v>2891080</v>
      </c>
      <c r="G1769" s="4">
        <f t="shared" si="379"/>
        <v>80.649999999999636</v>
      </c>
      <c r="H1769" s="4">
        <f t="shared" si="380"/>
        <v>0</v>
      </c>
      <c r="I1769" s="6">
        <f t="shared" si="385"/>
        <v>21.607142857142858</v>
      </c>
      <c r="J1769" s="6">
        <f t="shared" si="386"/>
        <v>13.56428571428572</v>
      </c>
      <c r="K1769" s="4">
        <f t="shared" si="387"/>
        <v>1.5929436545550284</v>
      </c>
      <c r="L1769">
        <f t="shared" si="388"/>
        <v>61.43379366368805</v>
      </c>
      <c r="M1769" s="14" t="str">
        <f t="shared" si="381"/>
        <v/>
      </c>
      <c r="N1769" s="7">
        <f t="shared" si="382"/>
        <v>0</v>
      </c>
      <c r="O1769" s="7">
        <f t="shared" si="389"/>
        <v>0</v>
      </c>
      <c r="P1769" s="7">
        <f t="shared" si="390"/>
        <v>-1</v>
      </c>
      <c r="Q1769" s="10" t="e">
        <f t="shared" si="383"/>
        <v>#N/A</v>
      </c>
      <c r="R1769" s="10" t="e">
        <f t="shared" si="384"/>
        <v>#N/A</v>
      </c>
      <c r="S1769" s="7">
        <f t="shared" si="391"/>
        <v>2323.4</v>
      </c>
      <c r="T1769" s="7">
        <f t="shared" si="392"/>
        <v>0</v>
      </c>
    </row>
    <row r="1770" spans="1:20" x14ac:dyDescent="0.25">
      <c r="A1770" s="1">
        <v>43754</v>
      </c>
      <c r="B1770">
        <v>2396</v>
      </c>
      <c r="C1770">
        <v>2429</v>
      </c>
      <c r="D1770">
        <v>2382.35</v>
      </c>
      <c r="E1770">
        <v>2414.25</v>
      </c>
      <c r="F1770">
        <v>1909906</v>
      </c>
      <c r="G1770" s="4">
        <f t="shared" si="379"/>
        <v>16.300000000000182</v>
      </c>
      <c r="H1770" s="4">
        <f t="shared" si="380"/>
        <v>0</v>
      </c>
      <c r="I1770" s="6">
        <f t="shared" si="385"/>
        <v>21.246428571428591</v>
      </c>
      <c r="J1770" s="6">
        <f t="shared" si="386"/>
        <v>13.56428571428572</v>
      </c>
      <c r="K1770" s="4">
        <f t="shared" si="387"/>
        <v>1.5663507109004746</v>
      </c>
      <c r="L1770">
        <f t="shared" si="388"/>
        <v>61.034164358264086</v>
      </c>
      <c r="M1770" s="14" t="str">
        <f t="shared" si="381"/>
        <v/>
      </c>
      <c r="N1770" s="7">
        <f t="shared" si="382"/>
        <v>0</v>
      </c>
      <c r="O1770" s="7">
        <f t="shared" si="389"/>
        <v>0</v>
      </c>
      <c r="P1770" s="7">
        <f t="shared" si="390"/>
        <v>-1</v>
      </c>
      <c r="Q1770" s="10" t="e">
        <f t="shared" si="383"/>
        <v>#N/A</v>
      </c>
      <c r="R1770" s="10" t="e">
        <f t="shared" si="384"/>
        <v>#N/A</v>
      </c>
      <c r="S1770" s="7">
        <f t="shared" si="391"/>
        <v>2323.4</v>
      </c>
      <c r="T1770" s="7">
        <f t="shared" si="392"/>
        <v>0</v>
      </c>
    </row>
    <row r="1771" spans="1:20" x14ac:dyDescent="0.25">
      <c r="A1771" s="1">
        <v>43755</v>
      </c>
      <c r="B1771">
        <v>2419.65</v>
      </c>
      <c r="C1771">
        <v>2419.65</v>
      </c>
      <c r="D1771">
        <v>2398</v>
      </c>
      <c r="E1771">
        <v>2406.25</v>
      </c>
      <c r="F1771">
        <v>1016664</v>
      </c>
      <c r="G1771" s="4">
        <f t="shared" si="379"/>
        <v>0</v>
      </c>
      <c r="H1771" s="4">
        <f t="shared" si="380"/>
        <v>8</v>
      </c>
      <c r="I1771" s="6">
        <f t="shared" si="385"/>
        <v>20.414285714285729</v>
      </c>
      <c r="J1771" s="6">
        <f t="shared" si="386"/>
        <v>14.135714285714291</v>
      </c>
      <c r="K1771" s="4">
        <f t="shared" si="387"/>
        <v>1.4441637190500256</v>
      </c>
      <c r="L1771">
        <f t="shared" si="388"/>
        <v>59.086210461029566</v>
      </c>
      <c r="M1771" s="14" t="str">
        <f t="shared" si="381"/>
        <v/>
      </c>
      <c r="N1771" s="7">
        <f t="shared" si="382"/>
        <v>0</v>
      </c>
      <c r="O1771" s="7">
        <f t="shared" si="389"/>
        <v>0</v>
      </c>
      <c r="P1771" s="7">
        <f t="shared" si="390"/>
        <v>-1</v>
      </c>
      <c r="Q1771" s="10" t="e">
        <f t="shared" si="383"/>
        <v>#N/A</v>
      </c>
      <c r="R1771" s="10" t="e">
        <f t="shared" si="384"/>
        <v>#N/A</v>
      </c>
      <c r="S1771" s="7">
        <f t="shared" si="391"/>
        <v>2323.4</v>
      </c>
      <c r="T1771" s="7">
        <f t="shared" si="392"/>
        <v>0</v>
      </c>
    </row>
    <row r="1772" spans="1:20" x14ac:dyDescent="0.25">
      <c r="A1772" s="1">
        <v>43756</v>
      </c>
      <c r="B1772">
        <v>2397</v>
      </c>
      <c r="C1772">
        <v>2428</v>
      </c>
      <c r="D1772">
        <v>2375.1</v>
      </c>
      <c r="E1772">
        <v>2413.6999999999998</v>
      </c>
      <c r="F1772">
        <v>962486</v>
      </c>
      <c r="G1772" s="4">
        <f t="shared" si="379"/>
        <v>7.4499999999998181</v>
      </c>
      <c r="H1772" s="4">
        <f t="shared" si="380"/>
        <v>0</v>
      </c>
      <c r="I1772" s="6">
        <f t="shared" si="385"/>
        <v>18.471428571428564</v>
      </c>
      <c r="J1772" s="6">
        <f t="shared" si="386"/>
        <v>14.135714285714291</v>
      </c>
      <c r="K1772" s="4">
        <f t="shared" si="387"/>
        <v>1.3067205659423942</v>
      </c>
      <c r="L1772">
        <f t="shared" si="388"/>
        <v>56.648411829134702</v>
      </c>
      <c r="M1772" s="14" t="str">
        <f t="shared" si="381"/>
        <v/>
      </c>
      <c r="N1772" s="7">
        <f t="shared" si="382"/>
        <v>0</v>
      </c>
      <c r="O1772" s="7">
        <f t="shared" si="389"/>
        <v>0</v>
      </c>
      <c r="P1772" s="7">
        <f t="shared" si="390"/>
        <v>-1</v>
      </c>
      <c r="Q1772" s="10" t="e">
        <f t="shared" si="383"/>
        <v>#N/A</v>
      </c>
      <c r="R1772" s="10" t="e">
        <f t="shared" si="384"/>
        <v>#N/A</v>
      </c>
      <c r="S1772" s="7">
        <f t="shared" si="391"/>
        <v>2323.4</v>
      </c>
      <c r="T1772" s="7">
        <f t="shared" si="392"/>
        <v>0</v>
      </c>
    </row>
    <row r="1773" spans="1:20" x14ac:dyDescent="0.25">
      <c r="A1773" s="1">
        <v>43759</v>
      </c>
      <c r="B1773">
        <v>2460</v>
      </c>
      <c r="C1773">
        <v>2478</v>
      </c>
      <c r="D1773">
        <v>2435.6</v>
      </c>
      <c r="E1773">
        <v>2447.75</v>
      </c>
      <c r="F1773">
        <v>2087840</v>
      </c>
      <c r="G1773" s="4">
        <f t="shared" si="379"/>
        <v>34.050000000000182</v>
      </c>
      <c r="H1773" s="4">
        <f t="shared" si="380"/>
        <v>0</v>
      </c>
      <c r="I1773" s="6">
        <f t="shared" si="385"/>
        <v>20.56071428571428</v>
      </c>
      <c r="J1773" s="6">
        <f t="shared" si="386"/>
        <v>14.135714285714291</v>
      </c>
      <c r="K1773" s="4">
        <f t="shared" si="387"/>
        <v>1.454522486104092</v>
      </c>
      <c r="L1773">
        <f t="shared" si="388"/>
        <v>59.258878023674711</v>
      </c>
      <c r="M1773" s="14" t="str">
        <f t="shared" si="381"/>
        <v/>
      </c>
      <c r="N1773" s="7">
        <f t="shared" si="382"/>
        <v>0</v>
      </c>
      <c r="O1773" s="7">
        <f t="shared" si="389"/>
        <v>0</v>
      </c>
      <c r="P1773" s="7">
        <f t="shared" si="390"/>
        <v>-1</v>
      </c>
      <c r="Q1773" s="10" t="e">
        <f t="shared" si="383"/>
        <v>#N/A</v>
      </c>
      <c r="R1773" s="10" t="e">
        <f t="shared" si="384"/>
        <v>#N/A</v>
      </c>
      <c r="S1773" s="7">
        <f t="shared" si="391"/>
        <v>2323.4</v>
      </c>
      <c r="T1773" s="7">
        <f t="shared" si="392"/>
        <v>0</v>
      </c>
    </row>
    <row r="1774" spans="1:20" x14ac:dyDescent="0.25">
      <c r="A1774" s="1">
        <v>43760</v>
      </c>
      <c r="B1774">
        <v>2472</v>
      </c>
      <c r="C1774">
        <v>2475.6</v>
      </c>
      <c r="D1774">
        <v>2402</v>
      </c>
      <c r="E1774">
        <v>2407.9</v>
      </c>
      <c r="F1774">
        <v>1361662</v>
      </c>
      <c r="G1774" s="4">
        <f t="shared" si="379"/>
        <v>0</v>
      </c>
      <c r="H1774" s="4">
        <f t="shared" si="380"/>
        <v>39.849999999999909</v>
      </c>
      <c r="I1774" s="6">
        <f t="shared" si="385"/>
        <v>20.56071428571428</v>
      </c>
      <c r="J1774" s="6">
        <f t="shared" si="386"/>
        <v>15.203571428571422</v>
      </c>
      <c r="K1774" s="4">
        <f t="shared" si="387"/>
        <v>1.3523608174770967</v>
      </c>
      <c r="L1774">
        <f t="shared" si="388"/>
        <v>57.489514679448774</v>
      </c>
      <c r="M1774" s="14" t="str">
        <f t="shared" si="381"/>
        <v/>
      </c>
      <c r="N1774" s="7">
        <f t="shared" si="382"/>
        <v>0</v>
      </c>
      <c r="O1774" s="7">
        <f t="shared" si="389"/>
        <v>0</v>
      </c>
      <c r="P1774" s="7">
        <f t="shared" si="390"/>
        <v>-1</v>
      </c>
      <c r="Q1774" s="10" t="e">
        <f t="shared" si="383"/>
        <v>#N/A</v>
      </c>
      <c r="R1774" s="10" t="e">
        <f t="shared" si="384"/>
        <v>#N/A</v>
      </c>
      <c r="S1774" s="7">
        <f t="shared" si="391"/>
        <v>2323.4</v>
      </c>
      <c r="T1774" s="7">
        <f t="shared" si="392"/>
        <v>0</v>
      </c>
    </row>
    <row r="1775" spans="1:20" x14ac:dyDescent="0.25">
      <c r="A1775" s="1">
        <v>43761</v>
      </c>
      <c r="B1775">
        <v>2425</v>
      </c>
      <c r="C1775">
        <v>2555</v>
      </c>
      <c r="D1775">
        <v>2408.1</v>
      </c>
      <c r="E1775">
        <v>2502.1999999999998</v>
      </c>
      <c r="F1775">
        <v>1986974</v>
      </c>
      <c r="G1775" s="4">
        <f t="shared" si="379"/>
        <v>94.299999999999727</v>
      </c>
      <c r="H1775" s="4">
        <f t="shared" si="380"/>
        <v>0</v>
      </c>
      <c r="I1775" s="6">
        <f t="shared" si="385"/>
        <v>27.296428571428546</v>
      </c>
      <c r="J1775" s="6">
        <f t="shared" si="386"/>
        <v>7.8392857142857144</v>
      </c>
      <c r="K1775" s="4">
        <f t="shared" si="387"/>
        <v>3.4820045558086528</v>
      </c>
      <c r="L1775">
        <f t="shared" si="388"/>
        <v>77.688554584265077</v>
      </c>
      <c r="M1775" s="14" t="str">
        <f t="shared" si="381"/>
        <v>OVERBOUGHT</v>
      </c>
      <c r="N1775" s="7" t="str">
        <f t="shared" si="382"/>
        <v>SELL</v>
      </c>
      <c r="O1775" s="7">
        <f t="shared" si="389"/>
        <v>0</v>
      </c>
      <c r="P1775" s="7">
        <f t="shared" si="390"/>
        <v>-1</v>
      </c>
      <c r="Q1775" s="10" t="e">
        <f t="shared" si="383"/>
        <v>#N/A</v>
      </c>
      <c r="R1775" s="10" t="e">
        <f t="shared" si="384"/>
        <v>#N/A</v>
      </c>
      <c r="S1775" s="7">
        <f t="shared" si="391"/>
        <v>2323.4</v>
      </c>
      <c r="T1775" s="7">
        <f t="shared" si="392"/>
        <v>0</v>
      </c>
    </row>
    <row r="1776" spans="1:20" x14ac:dyDescent="0.25">
      <c r="A1776" s="1">
        <v>43762</v>
      </c>
      <c r="B1776">
        <v>2514</v>
      </c>
      <c r="C1776">
        <v>2525.9</v>
      </c>
      <c r="D1776">
        <v>2455.15</v>
      </c>
      <c r="E1776">
        <v>2465.35</v>
      </c>
      <c r="F1776">
        <v>2750556</v>
      </c>
      <c r="G1776" s="4">
        <f t="shared" si="379"/>
        <v>0</v>
      </c>
      <c r="H1776" s="4">
        <f t="shared" si="380"/>
        <v>36.849999999999909</v>
      </c>
      <c r="I1776" s="6">
        <f t="shared" si="385"/>
        <v>27.296428571428546</v>
      </c>
      <c r="J1776" s="6">
        <f t="shared" si="386"/>
        <v>6.0499999999999874</v>
      </c>
      <c r="K1776" s="4">
        <f t="shared" si="387"/>
        <v>4.5118063754427444</v>
      </c>
      <c r="L1776">
        <f t="shared" si="388"/>
        <v>81.857127557031191</v>
      </c>
      <c r="M1776" s="14" t="str">
        <f t="shared" si="381"/>
        <v>OVERBOUGHT</v>
      </c>
      <c r="N1776" s="7" t="str">
        <f t="shared" si="382"/>
        <v>SELL</v>
      </c>
      <c r="O1776" s="7">
        <f t="shared" si="389"/>
        <v>0</v>
      </c>
      <c r="P1776" s="7">
        <f t="shared" si="390"/>
        <v>-1</v>
      </c>
      <c r="Q1776" s="10" t="e">
        <f t="shared" si="383"/>
        <v>#N/A</v>
      </c>
      <c r="R1776" s="10" t="e">
        <f t="shared" si="384"/>
        <v>#N/A</v>
      </c>
      <c r="S1776" s="7">
        <f t="shared" si="391"/>
        <v>2323.4</v>
      </c>
      <c r="T1776" s="7">
        <f t="shared" si="392"/>
        <v>0</v>
      </c>
    </row>
    <row r="1777" spans="1:20" x14ac:dyDescent="0.25">
      <c r="A1777" s="1">
        <v>43763</v>
      </c>
      <c r="B1777">
        <v>2465.9</v>
      </c>
      <c r="C1777">
        <v>2470</v>
      </c>
      <c r="D1777">
        <v>2400.15</v>
      </c>
      <c r="E1777">
        <v>2411.5</v>
      </c>
      <c r="F1777">
        <v>2252748</v>
      </c>
      <c r="G1777" s="4">
        <f t="shared" si="379"/>
        <v>0</v>
      </c>
      <c r="H1777" s="4">
        <f t="shared" si="380"/>
        <v>53.849999999999909</v>
      </c>
      <c r="I1777" s="6">
        <f t="shared" si="385"/>
        <v>24.457142857142831</v>
      </c>
      <c r="J1777" s="6">
        <f t="shared" si="386"/>
        <v>9.8964285714285527</v>
      </c>
      <c r="K1777" s="4">
        <f t="shared" si="387"/>
        <v>2.4713099963911964</v>
      </c>
      <c r="L1777">
        <f t="shared" si="388"/>
        <v>71.192431645701234</v>
      </c>
      <c r="M1777" s="14" t="str">
        <f t="shared" si="381"/>
        <v>OVERBOUGHT</v>
      </c>
      <c r="N1777" s="7" t="str">
        <f t="shared" si="382"/>
        <v>SELL</v>
      </c>
      <c r="O1777" s="7">
        <f t="shared" si="389"/>
        <v>0</v>
      </c>
      <c r="P1777" s="7">
        <f t="shared" si="390"/>
        <v>-1</v>
      </c>
      <c r="Q1777" s="10" t="e">
        <f t="shared" si="383"/>
        <v>#N/A</v>
      </c>
      <c r="R1777" s="10" t="e">
        <f t="shared" si="384"/>
        <v>#N/A</v>
      </c>
      <c r="S1777" s="7">
        <f t="shared" si="391"/>
        <v>2323.4</v>
      </c>
      <c r="T1777" s="7">
        <f t="shared" si="392"/>
        <v>0</v>
      </c>
    </row>
    <row r="1778" spans="1:20" x14ac:dyDescent="0.25">
      <c r="A1778" s="1">
        <v>43766</v>
      </c>
      <c r="B1778">
        <v>2415</v>
      </c>
      <c r="C1778">
        <v>2493.25</v>
      </c>
      <c r="D1778">
        <v>2415</v>
      </c>
      <c r="E1778">
        <v>2481.8000000000002</v>
      </c>
      <c r="F1778">
        <v>2426676</v>
      </c>
      <c r="G1778" s="4">
        <f t="shared" si="379"/>
        <v>70.300000000000182</v>
      </c>
      <c r="H1778" s="4">
        <f t="shared" si="380"/>
        <v>0</v>
      </c>
      <c r="I1778" s="6">
        <f t="shared" si="385"/>
        <v>27.699999999999982</v>
      </c>
      <c r="J1778" s="6">
        <f t="shared" si="386"/>
        <v>9.8964285714285527</v>
      </c>
      <c r="K1778" s="4">
        <f t="shared" si="387"/>
        <v>2.7989895344640958</v>
      </c>
      <c r="L1778">
        <f t="shared" si="388"/>
        <v>73.677210981286237</v>
      </c>
      <c r="M1778" s="14" t="str">
        <f t="shared" si="381"/>
        <v>OVERBOUGHT</v>
      </c>
      <c r="N1778" s="7" t="str">
        <f t="shared" si="382"/>
        <v>SELL</v>
      </c>
      <c r="O1778" s="7">
        <f t="shared" si="389"/>
        <v>0</v>
      </c>
      <c r="P1778" s="7">
        <f t="shared" si="390"/>
        <v>-1</v>
      </c>
      <c r="Q1778" s="10" t="e">
        <f t="shared" si="383"/>
        <v>#N/A</v>
      </c>
      <c r="R1778" s="10" t="e">
        <f t="shared" si="384"/>
        <v>#N/A</v>
      </c>
      <c r="S1778" s="7">
        <f t="shared" si="391"/>
        <v>2323.4</v>
      </c>
      <c r="T1778" s="7">
        <f t="shared" si="392"/>
        <v>0</v>
      </c>
    </row>
    <row r="1779" spans="1:20" x14ac:dyDescent="0.25">
      <c r="A1779" s="1">
        <v>43767</v>
      </c>
      <c r="B1779">
        <v>2479.1</v>
      </c>
      <c r="C1779">
        <v>2502</v>
      </c>
      <c r="D1779">
        <v>2470.0500000000002</v>
      </c>
      <c r="E1779">
        <v>2489.85</v>
      </c>
      <c r="F1779">
        <v>1069946</v>
      </c>
      <c r="G1779" s="4">
        <f t="shared" si="379"/>
        <v>8.0499999999997272</v>
      </c>
      <c r="H1779" s="4">
        <f t="shared" si="380"/>
        <v>0</v>
      </c>
      <c r="I1779" s="6">
        <f t="shared" si="385"/>
        <v>27.689285714285688</v>
      </c>
      <c r="J1779" s="6">
        <f t="shared" si="386"/>
        <v>9.8964285714285527</v>
      </c>
      <c r="K1779" s="4">
        <f t="shared" si="387"/>
        <v>2.7979068928184798</v>
      </c>
      <c r="L1779">
        <f t="shared" si="388"/>
        <v>73.66970733561385</v>
      </c>
      <c r="M1779" s="14" t="str">
        <f t="shared" si="381"/>
        <v>OVERBOUGHT</v>
      </c>
      <c r="N1779" s="7" t="str">
        <f t="shared" si="382"/>
        <v>SELL</v>
      </c>
      <c r="O1779" s="7">
        <f t="shared" si="389"/>
        <v>0</v>
      </c>
      <c r="P1779" s="7">
        <f t="shared" si="390"/>
        <v>-1</v>
      </c>
      <c r="Q1779" s="10" t="e">
        <f t="shared" si="383"/>
        <v>#N/A</v>
      </c>
      <c r="R1779" s="10" t="e">
        <f t="shared" si="384"/>
        <v>#N/A</v>
      </c>
      <c r="S1779" s="7">
        <f t="shared" si="391"/>
        <v>2323.4</v>
      </c>
      <c r="T1779" s="7">
        <f t="shared" si="392"/>
        <v>0</v>
      </c>
    </row>
    <row r="1780" spans="1:20" x14ac:dyDescent="0.25">
      <c r="A1780" s="1">
        <v>43768</v>
      </c>
      <c r="B1780">
        <v>2489.5</v>
      </c>
      <c r="C1780">
        <v>2490</v>
      </c>
      <c r="D1780">
        <v>2450</v>
      </c>
      <c r="E1780">
        <v>2466.25</v>
      </c>
      <c r="F1780">
        <v>1177414</v>
      </c>
      <c r="G1780" s="4">
        <f t="shared" si="379"/>
        <v>0</v>
      </c>
      <c r="H1780" s="4">
        <f t="shared" si="380"/>
        <v>23.599999999999909</v>
      </c>
      <c r="I1780" s="6">
        <f t="shared" si="385"/>
        <v>27.414285714285693</v>
      </c>
      <c r="J1780" s="6">
        <f t="shared" si="386"/>
        <v>11.582142857142831</v>
      </c>
      <c r="K1780" s="4">
        <f t="shared" si="387"/>
        <v>2.3669441874807315</v>
      </c>
      <c r="L1780">
        <f t="shared" si="388"/>
        <v>70.299477974173499</v>
      </c>
      <c r="M1780" s="14" t="str">
        <f t="shared" si="381"/>
        <v>OVERBOUGHT</v>
      </c>
      <c r="N1780" s="7" t="str">
        <f t="shared" si="382"/>
        <v>SELL</v>
      </c>
      <c r="O1780" s="7">
        <f t="shared" si="389"/>
        <v>0</v>
      </c>
      <c r="P1780" s="7">
        <f t="shared" si="390"/>
        <v>-1</v>
      </c>
      <c r="Q1780" s="10" t="e">
        <f t="shared" si="383"/>
        <v>#N/A</v>
      </c>
      <c r="R1780" s="10" t="e">
        <f t="shared" si="384"/>
        <v>#N/A</v>
      </c>
      <c r="S1780" s="7">
        <f t="shared" si="391"/>
        <v>2323.4</v>
      </c>
      <c r="T1780" s="7">
        <f t="shared" si="392"/>
        <v>0</v>
      </c>
    </row>
    <row r="1781" spans="1:20" x14ac:dyDescent="0.25">
      <c r="A1781" s="1">
        <v>43769</v>
      </c>
      <c r="B1781">
        <v>2479.9</v>
      </c>
      <c r="C1781">
        <v>2501.9</v>
      </c>
      <c r="D1781">
        <v>2470</v>
      </c>
      <c r="E1781">
        <v>2479.5500000000002</v>
      </c>
      <c r="F1781">
        <v>565187</v>
      </c>
      <c r="G1781" s="4">
        <f t="shared" si="379"/>
        <v>13.300000000000182</v>
      </c>
      <c r="H1781" s="4">
        <f t="shared" si="380"/>
        <v>0</v>
      </c>
      <c r="I1781" s="6">
        <f t="shared" si="385"/>
        <v>26.482142857142858</v>
      </c>
      <c r="J1781" s="6">
        <f t="shared" si="386"/>
        <v>11.582142857142831</v>
      </c>
      <c r="K1781" s="4">
        <f t="shared" si="387"/>
        <v>2.2864631514030274</v>
      </c>
      <c r="L1781">
        <f t="shared" si="388"/>
        <v>69.57215237380376</v>
      </c>
      <c r="M1781" s="14" t="str">
        <f t="shared" si="381"/>
        <v/>
      </c>
      <c r="N1781" s="7">
        <f t="shared" si="382"/>
        <v>0</v>
      </c>
      <c r="O1781" s="7">
        <f t="shared" si="389"/>
        <v>0</v>
      </c>
      <c r="P1781" s="7">
        <f t="shared" si="390"/>
        <v>-1</v>
      </c>
      <c r="Q1781" s="10" t="e">
        <f t="shared" si="383"/>
        <v>#N/A</v>
      </c>
      <c r="R1781" s="10" t="e">
        <f t="shared" si="384"/>
        <v>#N/A</v>
      </c>
      <c r="S1781" s="7">
        <f t="shared" si="391"/>
        <v>2323.4</v>
      </c>
      <c r="T1781" s="7">
        <f t="shared" si="392"/>
        <v>0</v>
      </c>
    </row>
    <row r="1782" spans="1:20" x14ac:dyDescent="0.25">
      <c r="A1782" s="1">
        <v>43770</v>
      </c>
      <c r="B1782">
        <v>2486.6999999999998</v>
      </c>
      <c r="C1782">
        <v>2510</v>
      </c>
      <c r="D1782">
        <v>2470.0500000000002</v>
      </c>
      <c r="E1782">
        <v>2501.4499999999998</v>
      </c>
      <c r="F1782">
        <v>772471</v>
      </c>
      <c r="G1782" s="4">
        <f t="shared" si="379"/>
        <v>21.899999999999636</v>
      </c>
      <c r="H1782" s="4">
        <f t="shared" si="380"/>
        <v>0</v>
      </c>
      <c r="I1782" s="6">
        <f t="shared" si="385"/>
        <v>24.735714285714234</v>
      </c>
      <c r="J1782" s="6">
        <f t="shared" si="386"/>
        <v>11.582142857142831</v>
      </c>
      <c r="K1782" s="4">
        <f t="shared" si="387"/>
        <v>2.1356768424298496</v>
      </c>
      <c r="L1782">
        <f t="shared" si="388"/>
        <v>68.108958599665655</v>
      </c>
      <c r="M1782" s="14" t="str">
        <f t="shared" si="381"/>
        <v/>
      </c>
      <c r="N1782" s="7">
        <f t="shared" si="382"/>
        <v>0</v>
      </c>
      <c r="O1782" s="7">
        <f t="shared" si="389"/>
        <v>0</v>
      </c>
      <c r="P1782" s="7">
        <f t="shared" si="390"/>
        <v>-1</v>
      </c>
      <c r="Q1782" s="10" t="e">
        <f t="shared" si="383"/>
        <v>#N/A</v>
      </c>
      <c r="R1782" s="10" t="e">
        <f t="shared" si="384"/>
        <v>#N/A</v>
      </c>
      <c r="S1782" s="7">
        <f t="shared" si="391"/>
        <v>2323.4</v>
      </c>
      <c r="T1782" s="7">
        <f t="shared" si="392"/>
        <v>0</v>
      </c>
    </row>
    <row r="1783" spans="1:20" x14ac:dyDescent="0.25">
      <c r="A1783" s="1">
        <v>43773</v>
      </c>
      <c r="B1783">
        <v>2492</v>
      </c>
      <c r="C1783">
        <v>2499.6999999999998</v>
      </c>
      <c r="D1783">
        <v>2475.4</v>
      </c>
      <c r="E1783">
        <v>2494.0500000000002</v>
      </c>
      <c r="F1783">
        <v>506985</v>
      </c>
      <c r="G1783" s="4">
        <f t="shared" si="379"/>
        <v>0</v>
      </c>
      <c r="H1783" s="4">
        <f t="shared" si="380"/>
        <v>7.3999999999996362</v>
      </c>
      <c r="I1783" s="6">
        <f t="shared" si="385"/>
        <v>18.974999999999973</v>
      </c>
      <c r="J1783" s="6">
        <f t="shared" si="386"/>
        <v>12.110714285714234</v>
      </c>
      <c r="K1783" s="4">
        <f t="shared" si="387"/>
        <v>1.5667944559127145</v>
      </c>
      <c r="L1783">
        <f t="shared" si="388"/>
        <v>61.040900735294187</v>
      </c>
      <c r="M1783" s="14" t="str">
        <f t="shared" si="381"/>
        <v/>
      </c>
      <c r="N1783" s="7">
        <f t="shared" si="382"/>
        <v>0</v>
      </c>
      <c r="O1783" s="7">
        <f t="shared" si="389"/>
        <v>0</v>
      </c>
      <c r="P1783" s="7">
        <f t="shared" si="390"/>
        <v>-1</v>
      </c>
      <c r="Q1783" s="10" t="e">
        <f t="shared" si="383"/>
        <v>#N/A</v>
      </c>
      <c r="R1783" s="10" t="e">
        <f t="shared" si="384"/>
        <v>#N/A</v>
      </c>
      <c r="S1783" s="7">
        <f t="shared" si="391"/>
        <v>2323.4</v>
      </c>
      <c r="T1783" s="7">
        <f t="shared" si="392"/>
        <v>0</v>
      </c>
    </row>
    <row r="1784" spans="1:20" x14ac:dyDescent="0.25">
      <c r="A1784" s="1">
        <v>43774</v>
      </c>
      <c r="B1784">
        <v>2480</v>
      </c>
      <c r="C1784">
        <v>2484</v>
      </c>
      <c r="D1784">
        <v>2454.5500000000002</v>
      </c>
      <c r="E1784">
        <v>2472.5</v>
      </c>
      <c r="F1784">
        <v>700347</v>
      </c>
      <c r="G1784" s="4">
        <f t="shared" si="379"/>
        <v>0</v>
      </c>
      <c r="H1784" s="4">
        <f t="shared" si="380"/>
        <v>21.550000000000182</v>
      </c>
      <c r="I1784" s="6">
        <f t="shared" si="385"/>
        <v>17.810714285714248</v>
      </c>
      <c r="J1784" s="6">
        <f t="shared" si="386"/>
        <v>13.649999999999961</v>
      </c>
      <c r="K1784" s="4">
        <f t="shared" si="387"/>
        <v>1.3048142333856629</v>
      </c>
      <c r="L1784">
        <f t="shared" si="388"/>
        <v>56.612555341128413</v>
      </c>
      <c r="M1784" s="14" t="str">
        <f t="shared" si="381"/>
        <v/>
      </c>
      <c r="N1784" s="7">
        <f t="shared" si="382"/>
        <v>0</v>
      </c>
      <c r="O1784" s="7">
        <f t="shared" si="389"/>
        <v>0</v>
      </c>
      <c r="P1784" s="7">
        <f t="shared" si="390"/>
        <v>-1</v>
      </c>
      <c r="Q1784" s="10" t="e">
        <f t="shared" si="383"/>
        <v>#N/A</v>
      </c>
      <c r="R1784" s="10" t="e">
        <f t="shared" si="384"/>
        <v>#N/A</v>
      </c>
      <c r="S1784" s="7">
        <f t="shared" si="391"/>
        <v>2323.4</v>
      </c>
      <c r="T1784" s="7">
        <f t="shared" si="392"/>
        <v>0</v>
      </c>
    </row>
    <row r="1785" spans="1:20" x14ac:dyDescent="0.25">
      <c r="A1785" s="1">
        <v>43775</v>
      </c>
      <c r="B1785">
        <v>2482.9</v>
      </c>
      <c r="C1785">
        <v>2505</v>
      </c>
      <c r="D1785">
        <v>2475.0500000000002</v>
      </c>
      <c r="E1785">
        <v>2499.8000000000002</v>
      </c>
      <c r="F1785">
        <v>755836</v>
      </c>
      <c r="G1785" s="4">
        <f t="shared" si="379"/>
        <v>27.300000000000182</v>
      </c>
      <c r="H1785" s="4">
        <f t="shared" si="380"/>
        <v>0</v>
      </c>
      <c r="I1785" s="6">
        <f t="shared" si="385"/>
        <v>19.760714285714261</v>
      </c>
      <c r="J1785" s="6">
        <f t="shared" si="386"/>
        <v>13.07857142857139</v>
      </c>
      <c r="K1785" s="4">
        <f t="shared" si="387"/>
        <v>1.5109229929000572</v>
      </c>
      <c r="L1785">
        <f t="shared" si="388"/>
        <v>60.174007612833101</v>
      </c>
      <c r="M1785" s="14" t="str">
        <f t="shared" si="381"/>
        <v/>
      </c>
      <c r="N1785" s="7">
        <f t="shared" si="382"/>
        <v>0</v>
      </c>
      <c r="O1785" s="7">
        <f t="shared" si="389"/>
        <v>0</v>
      </c>
      <c r="P1785" s="7">
        <f t="shared" si="390"/>
        <v>-1</v>
      </c>
      <c r="Q1785" s="10" t="e">
        <f t="shared" si="383"/>
        <v>#N/A</v>
      </c>
      <c r="R1785" s="10" t="e">
        <f t="shared" si="384"/>
        <v>#N/A</v>
      </c>
      <c r="S1785" s="7">
        <f t="shared" si="391"/>
        <v>2323.4</v>
      </c>
      <c r="T1785" s="7">
        <f t="shared" si="392"/>
        <v>0</v>
      </c>
    </row>
    <row r="1786" spans="1:20" x14ac:dyDescent="0.25">
      <c r="A1786" s="1">
        <v>43776</v>
      </c>
      <c r="B1786">
        <v>2502</v>
      </c>
      <c r="C1786">
        <v>2520</v>
      </c>
      <c r="D1786">
        <v>2492.1999999999998</v>
      </c>
      <c r="E1786">
        <v>2512.1999999999998</v>
      </c>
      <c r="F1786">
        <v>895755</v>
      </c>
      <c r="G1786" s="4">
        <f t="shared" si="379"/>
        <v>12.399999999999636</v>
      </c>
      <c r="H1786" s="4">
        <f t="shared" si="380"/>
        <v>0</v>
      </c>
      <c r="I1786" s="6">
        <f t="shared" si="385"/>
        <v>20.114285714285675</v>
      </c>
      <c r="J1786" s="6">
        <f t="shared" si="386"/>
        <v>13.07857142857139</v>
      </c>
      <c r="K1786" s="4">
        <f t="shared" si="387"/>
        <v>1.5379574003276912</v>
      </c>
      <c r="L1786">
        <f t="shared" si="388"/>
        <v>60.598235420701556</v>
      </c>
      <c r="M1786" s="14" t="str">
        <f t="shared" si="381"/>
        <v/>
      </c>
      <c r="N1786" s="7">
        <f t="shared" si="382"/>
        <v>0</v>
      </c>
      <c r="O1786" s="7">
        <f t="shared" si="389"/>
        <v>0</v>
      </c>
      <c r="P1786" s="7">
        <f t="shared" si="390"/>
        <v>-1</v>
      </c>
      <c r="Q1786" s="10" t="e">
        <f t="shared" si="383"/>
        <v>#N/A</v>
      </c>
      <c r="R1786" s="10" t="e">
        <f t="shared" si="384"/>
        <v>#N/A</v>
      </c>
      <c r="S1786" s="7">
        <f t="shared" si="391"/>
        <v>2323.4</v>
      </c>
      <c r="T1786" s="7">
        <f t="shared" si="392"/>
        <v>0</v>
      </c>
    </row>
    <row r="1787" spans="1:20" x14ac:dyDescent="0.25">
      <c r="A1787" s="1">
        <v>43777</v>
      </c>
      <c r="B1787">
        <v>2514.15</v>
      </c>
      <c r="C1787">
        <v>2524</v>
      </c>
      <c r="D1787">
        <v>2504.0500000000002</v>
      </c>
      <c r="E1787">
        <v>2519.75</v>
      </c>
      <c r="F1787">
        <v>429234</v>
      </c>
      <c r="G1787" s="4">
        <f t="shared" si="379"/>
        <v>7.5500000000001819</v>
      </c>
      <c r="H1787" s="4">
        <f t="shared" si="380"/>
        <v>0</v>
      </c>
      <c r="I1787" s="6">
        <f t="shared" si="385"/>
        <v>18.221428571428532</v>
      </c>
      <c r="J1787" s="6">
        <f t="shared" si="386"/>
        <v>13.07857142857139</v>
      </c>
      <c r="K1787" s="4">
        <f t="shared" si="387"/>
        <v>1.3932277444019672</v>
      </c>
      <c r="L1787">
        <f t="shared" si="388"/>
        <v>58.215426745778203</v>
      </c>
      <c r="M1787" s="14" t="str">
        <f t="shared" si="381"/>
        <v/>
      </c>
      <c r="N1787" s="7">
        <f t="shared" si="382"/>
        <v>0</v>
      </c>
      <c r="O1787" s="7">
        <f t="shared" si="389"/>
        <v>0</v>
      </c>
      <c r="P1787" s="7">
        <f t="shared" si="390"/>
        <v>-1</v>
      </c>
      <c r="Q1787" s="10" t="e">
        <f t="shared" si="383"/>
        <v>#N/A</v>
      </c>
      <c r="R1787" s="10" t="e">
        <f t="shared" si="384"/>
        <v>#N/A</v>
      </c>
      <c r="S1787" s="7">
        <f t="shared" si="391"/>
        <v>2323.4</v>
      </c>
      <c r="T1787" s="7">
        <f t="shared" si="392"/>
        <v>0</v>
      </c>
    </row>
    <row r="1788" spans="1:20" x14ac:dyDescent="0.25">
      <c r="A1788" s="1">
        <v>43780</v>
      </c>
      <c r="B1788">
        <v>2519.6</v>
      </c>
      <c r="C1788">
        <v>2549.5500000000002</v>
      </c>
      <c r="D1788">
        <v>2513.9499999999998</v>
      </c>
      <c r="E1788">
        <v>2542.25</v>
      </c>
      <c r="F1788">
        <v>585710</v>
      </c>
      <c r="G1788" s="4">
        <f t="shared" si="379"/>
        <v>22.5</v>
      </c>
      <c r="H1788" s="4">
        <f t="shared" si="380"/>
        <v>0</v>
      </c>
      <c r="I1788" s="6">
        <f t="shared" si="385"/>
        <v>19.82857142857139</v>
      </c>
      <c r="J1788" s="6">
        <f t="shared" si="386"/>
        <v>10.232142857142824</v>
      </c>
      <c r="K1788" s="4">
        <f t="shared" si="387"/>
        <v>1.9378708551483446</v>
      </c>
      <c r="L1788">
        <f t="shared" si="388"/>
        <v>65.961744089343028</v>
      </c>
      <c r="M1788" s="14" t="str">
        <f t="shared" si="381"/>
        <v/>
      </c>
      <c r="N1788" s="7">
        <f t="shared" si="382"/>
        <v>0</v>
      </c>
      <c r="O1788" s="7">
        <f t="shared" si="389"/>
        <v>0</v>
      </c>
      <c r="P1788" s="7">
        <f t="shared" si="390"/>
        <v>-1</v>
      </c>
      <c r="Q1788" s="10" t="e">
        <f t="shared" si="383"/>
        <v>#N/A</v>
      </c>
      <c r="R1788" s="10" t="e">
        <f t="shared" si="384"/>
        <v>#N/A</v>
      </c>
      <c r="S1788" s="7">
        <f t="shared" si="391"/>
        <v>2323.4</v>
      </c>
      <c r="T1788" s="7">
        <f t="shared" si="392"/>
        <v>0</v>
      </c>
    </row>
    <row r="1789" spans="1:20" x14ac:dyDescent="0.25">
      <c r="A1789" s="1">
        <v>43781</v>
      </c>
      <c r="B1789">
        <v>2556.8000000000002</v>
      </c>
      <c r="C1789">
        <v>2587.15</v>
      </c>
      <c r="D1789">
        <v>2551.0500000000002</v>
      </c>
      <c r="E1789">
        <v>2567.5</v>
      </c>
      <c r="F1789">
        <v>1701147</v>
      </c>
      <c r="G1789" s="4">
        <f t="shared" si="379"/>
        <v>25.25</v>
      </c>
      <c r="H1789" s="4">
        <f t="shared" si="380"/>
        <v>0</v>
      </c>
      <c r="I1789" s="6">
        <f t="shared" si="385"/>
        <v>14.896428571428553</v>
      </c>
      <c r="J1789" s="6">
        <f t="shared" si="386"/>
        <v>10.232142857142824</v>
      </c>
      <c r="K1789" s="4">
        <f t="shared" si="387"/>
        <v>1.4558464223385719</v>
      </c>
      <c r="L1789">
        <f t="shared" si="388"/>
        <v>59.280841387151838</v>
      </c>
      <c r="M1789" s="14" t="str">
        <f t="shared" si="381"/>
        <v/>
      </c>
      <c r="N1789" s="7">
        <f t="shared" si="382"/>
        <v>0</v>
      </c>
      <c r="O1789" s="7">
        <f t="shared" si="389"/>
        <v>0</v>
      </c>
      <c r="P1789" s="7">
        <f t="shared" si="390"/>
        <v>-1</v>
      </c>
      <c r="Q1789" s="10" t="e">
        <f t="shared" si="383"/>
        <v>#N/A</v>
      </c>
      <c r="R1789" s="10" t="e">
        <f t="shared" si="384"/>
        <v>#N/A</v>
      </c>
      <c r="S1789" s="7">
        <f t="shared" si="391"/>
        <v>2323.4</v>
      </c>
      <c r="T1789" s="7">
        <f t="shared" si="392"/>
        <v>0</v>
      </c>
    </row>
    <row r="1790" spans="1:20" x14ac:dyDescent="0.25">
      <c r="A1790" s="1">
        <v>43782</v>
      </c>
      <c r="B1790">
        <v>2572</v>
      </c>
      <c r="C1790">
        <v>2572.15</v>
      </c>
      <c r="D1790">
        <v>2493.85</v>
      </c>
      <c r="E1790">
        <v>2498.3000000000002</v>
      </c>
      <c r="F1790">
        <v>1511248</v>
      </c>
      <c r="G1790" s="4">
        <f t="shared" si="379"/>
        <v>0</v>
      </c>
      <c r="H1790" s="4">
        <f t="shared" si="380"/>
        <v>69.199999999999818</v>
      </c>
      <c r="I1790" s="6">
        <f t="shared" si="385"/>
        <v>14.896428571428553</v>
      </c>
      <c r="J1790" s="6">
        <f t="shared" si="386"/>
        <v>12.542857142857104</v>
      </c>
      <c r="K1790" s="4">
        <f t="shared" si="387"/>
        <v>1.1876423690205034</v>
      </c>
      <c r="L1790">
        <f t="shared" si="388"/>
        <v>54.288689314070069</v>
      </c>
      <c r="M1790" s="14" t="str">
        <f t="shared" si="381"/>
        <v/>
      </c>
      <c r="N1790" s="7">
        <f t="shared" si="382"/>
        <v>0</v>
      </c>
      <c r="O1790" s="7">
        <f t="shared" si="389"/>
        <v>0</v>
      </c>
      <c r="P1790" s="7">
        <f t="shared" si="390"/>
        <v>-1</v>
      </c>
      <c r="Q1790" s="10" t="e">
        <f t="shared" si="383"/>
        <v>#N/A</v>
      </c>
      <c r="R1790" s="10" t="e">
        <f t="shared" si="384"/>
        <v>#N/A</v>
      </c>
      <c r="S1790" s="7">
        <f t="shared" si="391"/>
        <v>2323.4</v>
      </c>
      <c r="T1790" s="7">
        <f t="shared" si="392"/>
        <v>0</v>
      </c>
    </row>
    <row r="1791" spans="1:20" x14ac:dyDescent="0.25">
      <c r="A1791" s="1">
        <v>43783</v>
      </c>
      <c r="B1791">
        <v>2506</v>
      </c>
      <c r="C1791">
        <v>2527</v>
      </c>
      <c r="D1791">
        <v>2506</v>
      </c>
      <c r="E1791">
        <v>2520.9</v>
      </c>
      <c r="F1791">
        <v>785909</v>
      </c>
      <c r="G1791" s="4">
        <f t="shared" si="379"/>
        <v>22.599999999999909</v>
      </c>
      <c r="H1791" s="4">
        <f t="shared" si="380"/>
        <v>0</v>
      </c>
      <c r="I1791" s="6">
        <f t="shared" si="385"/>
        <v>16.510714285714261</v>
      </c>
      <c r="J1791" s="6">
        <f t="shared" si="386"/>
        <v>8.6964285714285392</v>
      </c>
      <c r="K1791" s="4">
        <f t="shared" si="387"/>
        <v>1.8985626283367598</v>
      </c>
      <c r="L1791">
        <f t="shared" si="388"/>
        <v>65.500141683196418</v>
      </c>
      <c r="M1791" s="14" t="str">
        <f t="shared" si="381"/>
        <v/>
      </c>
      <c r="N1791" s="7">
        <f t="shared" si="382"/>
        <v>0</v>
      </c>
      <c r="O1791" s="7">
        <f t="shared" si="389"/>
        <v>0</v>
      </c>
      <c r="P1791" s="7">
        <f t="shared" si="390"/>
        <v>-1</v>
      </c>
      <c r="Q1791" s="10" t="e">
        <f t="shared" si="383"/>
        <v>#N/A</v>
      </c>
      <c r="R1791" s="10" t="e">
        <f t="shared" si="384"/>
        <v>#N/A</v>
      </c>
      <c r="S1791" s="7">
        <f t="shared" si="391"/>
        <v>2323.4</v>
      </c>
      <c r="T1791" s="7">
        <f t="shared" si="392"/>
        <v>0</v>
      </c>
    </row>
    <row r="1792" spans="1:20" x14ac:dyDescent="0.25">
      <c r="A1792" s="1">
        <v>43784</v>
      </c>
      <c r="B1792">
        <v>2546</v>
      </c>
      <c r="C1792">
        <v>2546</v>
      </c>
      <c r="D1792">
        <v>2509.75</v>
      </c>
      <c r="E1792">
        <v>2525.75</v>
      </c>
      <c r="F1792">
        <v>1296576</v>
      </c>
      <c r="G1792" s="4">
        <f t="shared" si="379"/>
        <v>4.8499999999999091</v>
      </c>
      <c r="H1792" s="4">
        <f t="shared" si="380"/>
        <v>0</v>
      </c>
      <c r="I1792" s="6">
        <f t="shared" si="385"/>
        <v>11.835714285714241</v>
      </c>
      <c r="J1792" s="6">
        <f t="shared" si="386"/>
        <v>8.6964285714285392</v>
      </c>
      <c r="K1792" s="4">
        <f t="shared" si="387"/>
        <v>1.3609856262833675</v>
      </c>
      <c r="L1792">
        <f t="shared" si="388"/>
        <v>57.644807792659599</v>
      </c>
      <c r="M1792" s="14" t="str">
        <f t="shared" si="381"/>
        <v/>
      </c>
      <c r="N1792" s="7">
        <f t="shared" si="382"/>
        <v>0</v>
      </c>
      <c r="O1792" s="7">
        <f t="shared" si="389"/>
        <v>0</v>
      </c>
      <c r="P1792" s="7">
        <f t="shared" si="390"/>
        <v>-1</v>
      </c>
      <c r="Q1792" s="10" t="e">
        <f t="shared" si="383"/>
        <v>#N/A</v>
      </c>
      <c r="R1792" s="10" t="e">
        <f t="shared" si="384"/>
        <v>#N/A</v>
      </c>
      <c r="S1792" s="7">
        <f t="shared" si="391"/>
        <v>2323.4</v>
      </c>
      <c r="T1792" s="7">
        <f t="shared" si="392"/>
        <v>0</v>
      </c>
    </row>
    <row r="1793" spans="1:20" x14ac:dyDescent="0.25">
      <c r="A1793" s="1">
        <v>43787</v>
      </c>
      <c r="B1793">
        <v>2525.9499999999998</v>
      </c>
      <c r="C1793">
        <v>2525.9499999999998</v>
      </c>
      <c r="D1793">
        <v>2466</v>
      </c>
      <c r="E1793">
        <v>2480</v>
      </c>
      <c r="F1793">
        <v>1743770</v>
      </c>
      <c r="G1793" s="4">
        <f t="shared" si="379"/>
        <v>0</v>
      </c>
      <c r="H1793" s="4">
        <f t="shared" si="380"/>
        <v>45.75</v>
      </c>
      <c r="I1793" s="6">
        <f t="shared" si="385"/>
        <v>11.260714285714259</v>
      </c>
      <c r="J1793" s="6">
        <f t="shared" si="386"/>
        <v>11.964285714285682</v>
      </c>
      <c r="K1793" s="4">
        <f t="shared" si="387"/>
        <v>0.94119402985074663</v>
      </c>
      <c r="L1793">
        <f t="shared" si="388"/>
        <v>48.485314470244511</v>
      </c>
      <c r="M1793" s="14" t="str">
        <f t="shared" si="381"/>
        <v/>
      </c>
      <c r="N1793" s="7">
        <f t="shared" si="382"/>
        <v>0</v>
      </c>
      <c r="O1793" s="7">
        <f t="shared" si="389"/>
        <v>0</v>
      </c>
      <c r="P1793" s="7">
        <f t="shared" si="390"/>
        <v>-1</v>
      </c>
      <c r="Q1793" s="10" t="e">
        <f t="shared" si="383"/>
        <v>#N/A</v>
      </c>
      <c r="R1793" s="10" t="e">
        <f t="shared" si="384"/>
        <v>#N/A</v>
      </c>
      <c r="S1793" s="7">
        <f t="shared" si="391"/>
        <v>2323.4</v>
      </c>
      <c r="T1793" s="7">
        <f t="shared" si="392"/>
        <v>0</v>
      </c>
    </row>
    <row r="1794" spans="1:20" x14ac:dyDescent="0.25">
      <c r="A1794" s="1">
        <v>43788</v>
      </c>
      <c r="B1794">
        <v>2482</v>
      </c>
      <c r="C1794">
        <v>2492</v>
      </c>
      <c r="D1794">
        <v>2465</v>
      </c>
      <c r="E1794">
        <v>2486.6999999999998</v>
      </c>
      <c r="F1794">
        <v>1686850</v>
      </c>
      <c r="G1794" s="4">
        <f t="shared" si="379"/>
        <v>6.6999999999998181</v>
      </c>
      <c r="H1794" s="4">
        <f t="shared" si="380"/>
        <v>0</v>
      </c>
      <c r="I1794" s="6">
        <f t="shared" si="385"/>
        <v>11.739285714285675</v>
      </c>
      <c r="J1794" s="6">
        <f t="shared" si="386"/>
        <v>10.278571428571402</v>
      </c>
      <c r="K1794" s="4">
        <f t="shared" si="387"/>
        <v>1.1421125781792902</v>
      </c>
      <c r="L1794">
        <f t="shared" si="388"/>
        <v>53.317112733171108</v>
      </c>
      <c r="M1794" s="14" t="str">
        <f t="shared" si="381"/>
        <v/>
      </c>
      <c r="N1794" s="7">
        <f t="shared" si="382"/>
        <v>0</v>
      </c>
      <c r="O1794" s="7">
        <f t="shared" si="389"/>
        <v>0</v>
      </c>
      <c r="P1794" s="7">
        <f t="shared" si="390"/>
        <v>-1</v>
      </c>
      <c r="Q1794" s="10" t="e">
        <f t="shared" si="383"/>
        <v>#N/A</v>
      </c>
      <c r="R1794" s="10" t="e">
        <f t="shared" si="384"/>
        <v>#N/A</v>
      </c>
      <c r="S1794" s="7">
        <f t="shared" si="391"/>
        <v>2323.4</v>
      </c>
      <c r="T1794" s="7">
        <f t="shared" si="392"/>
        <v>0</v>
      </c>
    </row>
    <row r="1795" spans="1:20" x14ac:dyDescent="0.25">
      <c r="A1795" s="1">
        <v>43789</v>
      </c>
      <c r="B1795">
        <v>2480.15</v>
      </c>
      <c r="C1795">
        <v>2496</v>
      </c>
      <c r="D1795">
        <v>2469.9499999999998</v>
      </c>
      <c r="E1795">
        <v>2478.9499999999998</v>
      </c>
      <c r="F1795">
        <v>944358</v>
      </c>
      <c r="G1795" s="4">
        <f t="shared" si="379"/>
        <v>0</v>
      </c>
      <c r="H1795" s="4">
        <f t="shared" si="380"/>
        <v>7.75</v>
      </c>
      <c r="I1795" s="6">
        <f t="shared" si="385"/>
        <v>10.789285714285663</v>
      </c>
      <c r="J1795" s="6">
        <f t="shared" si="386"/>
        <v>10.832142857142831</v>
      </c>
      <c r="K1795" s="4">
        <f t="shared" si="387"/>
        <v>0.99604352126607087</v>
      </c>
      <c r="L1795">
        <f t="shared" si="388"/>
        <v>49.900891972249696</v>
      </c>
      <c r="M1795" s="14" t="str">
        <f t="shared" si="381"/>
        <v/>
      </c>
      <c r="N1795" s="7">
        <f t="shared" si="382"/>
        <v>0</v>
      </c>
      <c r="O1795" s="7">
        <f t="shared" si="389"/>
        <v>0</v>
      </c>
      <c r="P1795" s="7">
        <f t="shared" si="390"/>
        <v>-1</v>
      </c>
      <c r="Q1795" s="10" t="e">
        <f t="shared" si="383"/>
        <v>#N/A</v>
      </c>
      <c r="R1795" s="10" t="e">
        <f t="shared" si="384"/>
        <v>#N/A</v>
      </c>
      <c r="S1795" s="7">
        <f t="shared" si="391"/>
        <v>2323.4</v>
      </c>
      <c r="T1795" s="7">
        <f t="shared" si="392"/>
        <v>0</v>
      </c>
    </row>
    <row r="1796" spans="1:20" x14ac:dyDescent="0.25">
      <c r="A1796" s="1">
        <v>43790</v>
      </c>
      <c r="B1796">
        <v>2482</v>
      </c>
      <c r="C1796">
        <v>2485.0500000000002</v>
      </c>
      <c r="D1796">
        <v>2447.1999999999998</v>
      </c>
      <c r="E1796">
        <v>2460.35</v>
      </c>
      <c r="F1796">
        <v>1310319</v>
      </c>
      <c r="G1796" s="4">
        <f t="shared" ref="G1796:G1859" si="393">IF(E1796&gt;E1795,E1796-E1795,0)</f>
        <v>0</v>
      </c>
      <c r="H1796" s="4">
        <f t="shared" ref="H1796:H1859" si="394">IF(E1796&lt;E1795,E1795-E1796,0)</f>
        <v>18.599999999999909</v>
      </c>
      <c r="I1796" s="6">
        <f t="shared" si="385"/>
        <v>9.2249999999999748</v>
      </c>
      <c r="J1796" s="6">
        <f t="shared" si="386"/>
        <v>12.160714285714253</v>
      </c>
      <c r="K1796" s="4">
        <f t="shared" si="387"/>
        <v>0.75859030837004404</v>
      </c>
      <c r="L1796">
        <f t="shared" si="388"/>
        <v>43.136272545090179</v>
      </c>
      <c r="M1796" s="14" t="str">
        <f t="shared" si="381"/>
        <v/>
      </c>
      <c r="N1796" s="7">
        <f t="shared" si="382"/>
        <v>0</v>
      </c>
      <c r="O1796" s="7">
        <f t="shared" si="389"/>
        <v>0</v>
      </c>
      <c r="P1796" s="7">
        <f t="shared" si="390"/>
        <v>-1</v>
      </c>
      <c r="Q1796" s="10" t="e">
        <f t="shared" si="383"/>
        <v>#N/A</v>
      </c>
      <c r="R1796" s="10" t="e">
        <f t="shared" si="384"/>
        <v>#N/A</v>
      </c>
      <c r="S1796" s="7">
        <f t="shared" si="391"/>
        <v>2323.4</v>
      </c>
      <c r="T1796" s="7">
        <f t="shared" si="392"/>
        <v>0</v>
      </c>
    </row>
    <row r="1797" spans="1:20" x14ac:dyDescent="0.25">
      <c r="A1797" s="1">
        <v>43791</v>
      </c>
      <c r="B1797">
        <v>2469.8000000000002</v>
      </c>
      <c r="C1797">
        <v>2469.8000000000002</v>
      </c>
      <c r="D1797">
        <v>2423.3000000000002</v>
      </c>
      <c r="E1797">
        <v>2427.1999999999998</v>
      </c>
      <c r="F1797">
        <v>2549907</v>
      </c>
      <c r="G1797" s="4">
        <f t="shared" si="393"/>
        <v>0</v>
      </c>
      <c r="H1797" s="4">
        <f t="shared" si="394"/>
        <v>33.150000000000091</v>
      </c>
      <c r="I1797" s="6">
        <f t="shared" si="385"/>
        <v>9.2249999999999748</v>
      </c>
      <c r="J1797" s="6">
        <f t="shared" si="386"/>
        <v>14</v>
      </c>
      <c r="K1797" s="4">
        <f t="shared" si="387"/>
        <v>0.65892857142856964</v>
      </c>
      <c r="L1797">
        <f t="shared" si="388"/>
        <v>39.720129171151719</v>
      </c>
      <c r="M1797" s="14" t="str">
        <f t="shared" si="381"/>
        <v/>
      </c>
      <c r="N1797" s="7">
        <f t="shared" si="382"/>
        <v>0</v>
      </c>
      <c r="O1797" s="7">
        <f t="shared" si="389"/>
        <v>0</v>
      </c>
      <c r="P1797" s="7">
        <f t="shared" si="390"/>
        <v>-1</v>
      </c>
      <c r="Q1797" s="10" t="e">
        <f t="shared" si="383"/>
        <v>#N/A</v>
      </c>
      <c r="R1797" s="10" t="e">
        <f t="shared" si="384"/>
        <v>#N/A</v>
      </c>
      <c r="S1797" s="7">
        <f t="shared" si="391"/>
        <v>2323.4</v>
      </c>
      <c r="T1797" s="7">
        <f t="shared" si="392"/>
        <v>0</v>
      </c>
    </row>
    <row r="1798" spans="1:20" x14ac:dyDescent="0.25">
      <c r="A1798" s="1">
        <v>43794</v>
      </c>
      <c r="B1798">
        <v>2426.9499999999998</v>
      </c>
      <c r="C1798">
        <v>2440</v>
      </c>
      <c r="D1798">
        <v>2406</v>
      </c>
      <c r="E1798">
        <v>2412.0500000000002</v>
      </c>
      <c r="F1798">
        <v>1090635</v>
      </c>
      <c r="G1798" s="4">
        <f t="shared" si="393"/>
        <v>0</v>
      </c>
      <c r="H1798" s="4">
        <f t="shared" si="394"/>
        <v>15.149999999999636</v>
      </c>
      <c r="I1798" s="6">
        <f t="shared" si="385"/>
        <v>9.2249999999999748</v>
      </c>
      <c r="J1798" s="6">
        <f t="shared" si="386"/>
        <v>13.542857142857104</v>
      </c>
      <c r="K1798" s="4">
        <f t="shared" si="387"/>
        <v>0.68117088607594944</v>
      </c>
      <c r="L1798">
        <f t="shared" si="388"/>
        <v>40.517647058823528</v>
      </c>
      <c r="M1798" s="14" t="str">
        <f t="shared" si="381"/>
        <v/>
      </c>
      <c r="N1798" s="7">
        <f t="shared" si="382"/>
        <v>0</v>
      </c>
      <c r="O1798" s="7">
        <f t="shared" si="389"/>
        <v>0</v>
      </c>
      <c r="P1798" s="7">
        <f t="shared" si="390"/>
        <v>-1</v>
      </c>
      <c r="Q1798" s="10" t="e">
        <f t="shared" si="383"/>
        <v>#N/A</v>
      </c>
      <c r="R1798" s="10" t="e">
        <f t="shared" si="384"/>
        <v>#N/A</v>
      </c>
      <c r="S1798" s="7">
        <f t="shared" si="391"/>
        <v>2323.4</v>
      </c>
      <c r="T1798" s="7">
        <f t="shared" si="392"/>
        <v>0</v>
      </c>
    </row>
    <row r="1799" spans="1:20" x14ac:dyDescent="0.25">
      <c r="A1799" s="1">
        <v>43795</v>
      </c>
      <c r="B1799">
        <v>2410</v>
      </c>
      <c r="C1799">
        <v>2443.4</v>
      </c>
      <c r="D1799">
        <v>2410</v>
      </c>
      <c r="E1799">
        <v>2429.9499999999998</v>
      </c>
      <c r="F1799">
        <v>576579</v>
      </c>
      <c r="G1799" s="4">
        <f t="shared" si="393"/>
        <v>17.899999999999636</v>
      </c>
      <c r="H1799" s="4">
        <f t="shared" si="394"/>
        <v>0</v>
      </c>
      <c r="I1799" s="6">
        <f t="shared" si="385"/>
        <v>8.5535714285713631</v>
      </c>
      <c r="J1799" s="6">
        <f t="shared" si="386"/>
        <v>13.542857142857104</v>
      </c>
      <c r="K1799" s="4">
        <f t="shared" si="387"/>
        <v>0.63159282700421637</v>
      </c>
      <c r="L1799">
        <f t="shared" si="388"/>
        <v>38.710198803943641</v>
      </c>
      <c r="M1799" s="14" t="str">
        <f t="shared" si="381"/>
        <v/>
      </c>
      <c r="N1799" s="7">
        <f t="shared" si="382"/>
        <v>0</v>
      </c>
      <c r="O1799" s="7">
        <f t="shared" si="389"/>
        <v>0</v>
      </c>
      <c r="P1799" s="7">
        <f t="shared" si="390"/>
        <v>-1</v>
      </c>
      <c r="Q1799" s="10" t="e">
        <f t="shared" si="383"/>
        <v>#N/A</v>
      </c>
      <c r="R1799" s="10" t="e">
        <f t="shared" si="384"/>
        <v>#N/A</v>
      </c>
      <c r="S1799" s="7">
        <f t="shared" si="391"/>
        <v>2323.4</v>
      </c>
      <c r="T1799" s="7">
        <f t="shared" si="392"/>
        <v>0</v>
      </c>
    </row>
    <row r="1800" spans="1:20" x14ac:dyDescent="0.25">
      <c r="A1800" s="1">
        <v>43796</v>
      </c>
      <c r="B1800">
        <v>2436</v>
      </c>
      <c r="C1800">
        <v>2450.8000000000002</v>
      </c>
      <c r="D1800">
        <v>2425.6</v>
      </c>
      <c r="E1800">
        <v>2444.6</v>
      </c>
      <c r="F1800">
        <v>858882</v>
      </c>
      <c r="G1800" s="4">
        <f t="shared" si="393"/>
        <v>14.650000000000091</v>
      </c>
      <c r="H1800" s="4">
        <f t="shared" si="394"/>
        <v>0</v>
      </c>
      <c r="I1800" s="6">
        <f t="shared" si="385"/>
        <v>8.7142857142856815</v>
      </c>
      <c r="J1800" s="6">
        <f t="shared" si="386"/>
        <v>13.542857142857104</v>
      </c>
      <c r="K1800" s="4">
        <f t="shared" si="387"/>
        <v>0.64345991561181382</v>
      </c>
      <c r="L1800">
        <f t="shared" si="388"/>
        <v>39.152759948652104</v>
      </c>
      <c r="M1800" s="14" t="str">
        <f t="shared" si="381"/>
        <v/>
      </c>
      <c r="N1800" s="7">
        <f t="shared" si="382"/>
        <v>0</v>
      </c>
      <c r="O1800" s="7">
        <f t="shared" si="389"/>
        <v>0</v>
      </c>
      <c r="P1800" s="7">
        <f t="shared" si="390"/>
        <v>-1</v>
      </c>
      <c r="Q1800" s="10" t="e">
        <f t="shared" si="383"/>
        <v>#N/A</v>
      </c>
      <c r="R1800" s="10" t="e">
        <f t="shared" si="384"/>
        <v>#N/A</v>
      </c>
      <c r="S1800" s="7">
        <f t="shared" si="391"/>
        <v>2323.4</v>
      </c>
      <c r="T1800" s="7">
        <f t="shared" si="392"/>
        <v>0</v>
      </c>
    </row>
    <row r="1801" spans="1:20" x14ac:dyDescent="0.25">
      <c r="A1801" s="1">
        <v>43797</v>
      </c>
      <c r="B1801">
        <v>2444.9</v>
      </c>
      <c r="C1801">
        <v>2465</v>
      </c>
      <c r="D1801">
        <v>2435</v>
      </c>
      <c r="E1801">
        <v>2441</v>
      </c>
      <c r="F1801">
        <v>1493043</v>
      </c>
      <c r="G1801" s="4">
        <f t="shared" si="393"/>
        <v>0</v>
      </c>
      <c r="H1801" s="4">
        <f t="shared" si="394"/>
        <v>3.5999999999999091</v>
      </c>
      <c r="I1801" s="6">
        <f t="shared" si="385"/>
        <v>8.1749999999999545</v>
      </c>
      <c r="J1801" s="6">
        <f t="shared" si="386"/>
        <v>13.799999999999955</v>
      </c>
      <c r="K1801" s="4">
        <f t="shared" si="387"/>
        <v>0.59239130434782472</v>
      </c>
      <c r="L1801">
        <f t="shared" si="388"/>
        <v>37.201365187713265</v>
      </c>
      <c r="M1801" s="14" t="str">
        <f t="shared" si="381"/>
        <v/>
      </c>
      <c r="N1801" s="7">
        <f t="shared" si="382"/>
        <v>0</v>
      </c>
      <c r="O1801" s="7">
        <f t="shared" si="389"/>
        <v>0</v>
      </c>
      <c r="P1801" s="7">
        <f t="shared" si="390"/>
        <v>-1</v>
      </c>
      <c r="Q1801" s="10" t="e">
        <f t="shared" si="383"/>
        <v>#N/A</v>
      </c>
      <c r="R1801" s="10" t="e">
        <f t="shared" si="384"/>
        <v>#N/A</v>
      </c>
      <c r="S1801" s="7">
        <f t="shared" si="391"/>
        <v>2323.4</v>
      </c>
      <c r="T1801" s="7">
        <f t="shared" si="392"/>
        <v>0</v>
      </c>
    </row>
    <row r="1802" spans="1:20" x14ac:dyDescent="0.25">
      <c r="A1802" s="1">
        <v>43798</v>
      </c>
      <c r="B1802">
        <v>2438.4</v>
      </c>
      <c r="C1802">
        <v>2440.85</v>
      </c>
      <c r="D1802">
        <v>2415</v>
      </c>
      <c r="E1802">
        <v>2431.8000000000002</v>
      </c>
      <c r="F1802">
        <v>933522</v>
      </c>
      <c r="G1802" s="4">
        <f t="shared" si="393"/>
        <v>0</v>
      </c>
      <c r="H1802" s="4">
        <f t="shared" si="394"/>
        <v>9.1999999999998181</v>
      </c>
      <c r="I1802" s="6">
        <f t="shared" si="385"/>
        <v>6.5678571428570978</v>
      </c>
      <c r="J1802" s="6">
        <f t="shared" si="386"/>
        <v>14.457142857142799</v>
      </c>
      <c r="K1802" s="4">
        <f t="shared" si="387"/>
        <v>0.45429841897233075</v>
      </c>
      <c r="L1802">
        <f t="shared" si="388"/>
        <v>31.238321725836528</v>
      </c>
      <c r="M1802" s="14" t="str">
        <f t="shared" si="381"/>
        <v/>
      </c>
      <c r="N1802" s="7">
        <f t="shared" si="382"/>
        <v>0</v>
      </c>
      <c r="O1802" s="7">
        <f t="shared" si="389"/>
        <v>0</v>
      </c>
      <c r="P1802" s="7">
        <f t="shared" si="390"/>
        <v>-1</v>
      </c>
      <c r="Q1802" s="10" t="e">
        <f t="shared" si="383"/>
        <v>#N/A</v>
      </c>
      <c r="R1802" s="10" t="e">
        <f t="shared" si="384"/>
        <v>#N/A</v>
      </c>
      <c r="S1802" s="7">
        <f t="shared" si="391"/>
        <v>2323.4</v>
      </c>
      <c r="T1802" s="7">
        <f t="shared" si="392"/>
        <v>0</v>
      </c>
    </row>
    <row r="1803" spans="1:20" x14ac:dyDescent="0.25">
      <c r="A1803" s="1">
        <v>43801</v>
      </c>
      <c r="B1803">
        <v>2435</v>
      </c>
      <c r="C1803">
        <v>2435</v>
      </c>
      <c r="D1803">
        <v>2408.1999999999998</v>
      </c>
      <c r="E1803">
        <v>2411.6999999999998</v>
      </c>
      <c r="F1803">
        <v>598444</v>
      </c>
      <c r="G1803" s="4">
        <f t="shared" si="393"/>
        <v>0</v>
      </c>
      <c r="H1803" s="4">
        <f t="shared" si="394"/>
        <v>20.100000000000364</v>
      </c>
      <c r="I1803" s="6">
        <f t="shared" si="385"/>
        <v>4.7642857142856689</v>
      </c>
      <c r="J1803" s="6">
        <f t="shared" si="386"/>
        <v>15.89285714285711</v>
      </c>
      <c r="K1803" s="4">
        <f t="shared" si="387"/>
        <v>0.29977528089887417</v>
      </c>
      <c r="L1803">
        <f t="shared" si="388"/>
        <v>23.063623789764748</v>
      </c>
      <c r="M1803" s="14" t="str">
        <f t="shared" si="381"/>
        <v>OVERSOLD</v>
      </c>
      <c r="N1803" s="7" t="str">
        <f t="shared" si="382"/>
        <v>BUY</v>
      </c>
      <c r="O1803" s="7" t="str">
        <f t="shared" si="389"/>
        <v>BUY</v>
      </c>
      <c r="P1803" s="7">
        <f t="shared" si="390"/>
        <v>1</v>
      </c>
      <c r="Q1803" s="10">
        <f t="shared" si="383"/>
        <v>2411.6999999999998</v>
      </c>
      <c r="R1803" s="10" t="e">
        <f t="shared" si="384"/>
        <v>#N/A</v>
      </c>
      <c r="S1803" s="7">
        <f t="shared" si="391"/>
        <v>2411.6999999999998</v>
      </c>
      <c r="T1803" s="7">
        <f t="shared" si="392"/>
        <v>-3.8004648360161715E-2</v>
      </c>
    </row>
    <row r="1804" spans="1:20" x14ac:dyDescent="0.25">
      <c r="A1804" s="1">
        <v>43802</v>
      </c>
      <c r="B1804">
        <v>2419.9</v>
      </c>
      <c r="C1804">
        <v>2419.9</v>
      </c>
      <c r="D1804">
        <v>2395</v>
      </c>
      <c r="E1804">
        <v>2401.25</v>
      </c>
      <c r="F1804">
        <v>1452784</v>
      </c>
      <c r="G1804" s="4">
        <f t="shared" si="393"/>
        <v>0</v>
      </c>
      <c r="H1804" s="4">
        <f t="shared" si="394"/>
        <v>10.449999999999818</v>
      </c>
      <c r="I1804" s="6">
        <f t="shared" si="385"/>
        <v>4.7642857142856689</v>
      </c>
      <c r="J1804" s="6">
        <f t="shared" si="386"/>
        <v>11.696428571428539</v>
      </c>
      <c r="K1804" s="4">
        <f t="shared" si="387"/>
        <v>0.40732824427480641</v>
      </c>
      <c r="L1804">
        <f t="shared" si="388"/>
        <v>28.943371664135242</v>
      </c>
      <c r="M1804" s="14" t="str">
        <f t="shared" si="381"/>
        <v>OVERSOLD</v>
      </c>
      <c r="N1804" s="7" t="str">
        <f t="shared" si="382"/>
        <v>BUY</v>
      </c>
      <c r="O1804" s="7">
        <f t="shared" si="389"/>
        <v>0</v>
      </c>
      <c r="P1804" s="7">
        <f t="shared" si="390"/>
        <v>1</v>
      </c>
      <c r="Q1804" s="10" t="e">
        <f t="shared" si="383"/>
        <v>#N/A</v>
      </c>
      <c r="R1804" s="10" t="e">
        <f t="shared" si="384"/>
        <v>#N/A</v>
      </c>
      <c r="S1804" s="7">
        <f t="shared" si="391"/>
        <v>2411.6999999999998</v>
      </c>
      <c r="T1804" s="7">
        <f t="shared" si="392"/>
        <v>0</v>
      </c>
    </row>
    <row r="1805" spans="1:20" x14ac:dyDescent="0.25">
      <c r="A1805" s="1">
        <v>43803</v>
      </c>
      <c r="B1805">
        <v>2400</v>
      </c>
      <c r="C1805">
        <v>2410</v>
      </c>
      <c r="D1805">
        <v>2392.5500000000002</v>
      </c>
      <c r="E1805">
        <v>2400.0500000000002</v>
      </c>
      <c r="F1805">
        <v>860352</v>
      </c>
      <c r="G1805" s="4">
        <f t="shared" si="393"/>
        <v>0</v>
      </c>
      <c r="H1805" s="4">
        <f t="shared" si="394"/>
        <v>1.1999999999998181</v>
      </c>
      <c r="I1805" s="6">
        <f t="shared" si="385"/>
        <v>3.1499999999999608</v>
      </c>
      <c r="J1805" s="6">
        <f t="shared" si="386"/>
        <v>11.782142857142812</v>
      </c>
      <c r="K1805" s="4">
        <f t="shared" si="387"/>
        <v>0.26735374355865182</v>
      </c>
      <c r="L1805">
        <f t="shared" si="388"/>
        <v>21.095431714900599</v>
      </c>
      <c r="M1805" s="14" t="str">
        <f t="shared" si="381"/>
        <v>OVERSOLD</v>
      </c>
      <c r="N1805" s="7" t="str">
        <f t="shared" si="382"/>
        <v>BUY</v>
      </c>
      <c r="O1805" s="7">
        <f t="shared" si="389"/>
        <v>0</v>
      </c>
      <c r="P1805" s="7">
        <f t="shared" si="390"/>
        <v>1</v>
      </c>
      <c r="Q1805" s="10" t="e">
        <f t="shared" si="383"/>
        <v>#N/A</v>
      </c>
      <c r="R1805" s="10" t="e">
        <f t="shared" si="384"/>
        <v>#N/A</v>
      </c>
      <c r="S1805" s="7">
        <f t="shared" si="391"/>
        <v>2411.6999999999998</v>
      </c>
      <c r="T1805" s="7">
        <f t="shared" si="392"/>
        <v>0</v>
      </c>
    </row>
    <row r="1806" spans="1:20" x14ac:dyDescent="0.25">
      <c r="A1806" s="1">
        <v>43804</v>
      </c>
      <c r="B1806">
        <v>2394.9</v>
      </c>
      <c r="C1806">
        <v>2433.25</v>
      </c>
      <c r="D1806">
        <v>2392.15</v>
      </c>
      <c r="E1806">
        <v>2429.0500000000002</v>
      </c>
      <c r="F1806">
        <v>1138506</v>
      </c>
      <c r="G1806" s="4">
        <f t="shared" si="393"/>
        <v>29</v>
      </c>
      <c r="H1806" s="4">
        <f t="shared" si="394"/>
        <v>0</v>
      </c>
      <c r="I1806" s="6">
        <f t="shared" si="385"/>
        <v>4.8749999999999671</v>
      </c>
      <c r="J1806" s="6">
        <f t="shared" si="386"/>
        <v>11.782142857142812</v>
      </c>
      <c r="K1806" s="4">
        <f t="shared" si="387"/>
        <v>0.41376174598363019</v>
      </c>
      <c r="L1806">
        <f t="shared" si="388"/>
        <v>29.266723842195489</v>
      </c>
      <c r="M1806" s="14" t="str">
        <f t="shared" si="381"/>
        <v>OVERSOLD</v>
      </c>
      <c r="N1806" s="7" t="str">
        <f t="shared" si="382"/>
        <v>BUY</v>
      </c>
      <c r="O1806" s="7">
        <f t="shared" si="389"/>
        <v>0</v>
      </c>
      <c r="P1806" s="7">
        <f t="shared" si="390"/>
        <v>1</v>
      </c>
      <c r="Q1806" s="10" t="e">
        <f t="shared" si="383"/>
        <v>#N/A</v>
      </c>
      <c r="R1806" s="10" t="e">
        <f t="shared" si="384"/>
        <v>#N/A</v>
      </c>
      <c r="S1806" s="7">
        <f t="shared" si="391"/>
        <v>2411.6999999999998</v>
      </c>
      <c r="T1806" s="7">
        <f t="shared" si="392"/>
        <v>0</v>
      </c>
    </row>
    <row r="1807" spans="1:20" x14ac:dyDescent="0.25">
      <c r="A1807" s="1">
        <v>43805</v>
      </c>
      <c r="B1807">
        <v>2432</v>
      </c>
      <c r="C1807">
        <v>2449</v>
      </c>
      <c r="D1807">
        <v>2405</v>
      </c>
      <c r="E1807">
        <v>2422.25</v>
      </c>
      <c r="F1807">
        <v>1271632</v>
      </c>
      <c r="G1807" s="4">
        <f t="shared" si="393"/>
        <v>0</v>
      </c>
      <c r="H1807" s="4">
        <f t="shared" si="394"/>
        <v>6.8000000000001819</v>
      </c>
      <c r="I1807" s="6">
        <f t="shared" si="385"/>
        <v>4.8749999999999671</v>
      </c>
      <c r="J1807" s="6">
        <f t="shared" si="386"/>
        <v>8.999999999999968</v>
      </c>
      <c r="K1807" s="4">
        <f t="shared" si="387"/>
        <v>0.54166666666666496</v>
      </c>
      <c r="L1807">
        <f t="shared" si="388"/>
        <v>35.135135135135059</v>
      </c>
      <c r="M1807" s="14" t="str">
        <f t="shared" si="381"/>
        <v/>
      </c>
      <c r="N1807" s="7">
        <f t="shared" si="382"/>
        <v>0</v>
      </c>
      <c r="O1807" s="7">
        <f t="shared" si="389"/>
        <v>0</v>
      </c>
      <c r="P1807" s="7">
        <f t="shared" si="390"/>
        <v>1</v>
      </c>
      <c r="Q1807" s="10" t="e">
        <f t="shared" si="383"/>
        <v>#N/A</v>
      </c>
      <c r="R1807" s="10" t="e">
        <f t="shared" si="384"/>
        <v>#N/A</v>
      </c>
      <c r="S1807" s="7">
        <f t="shared" si="391"/>
        <v>2411.6999999999998</v>
      </c>
      <c r="T1807" s="7">
        <f t="shared" si="392"/>
        <v>0</v>
      </c>
    </row>
    <row r="1808" spans="1:20" x14ac:dyDescent="0.25">
      <c r="A1808" s="1">
        <v>43808</v>
      </c>
      <c r="B1808">
        <v>2417.3000000000002</v>
      </c>
      <c r="C1808">
        <v>2443.1</v>
      </c>
      <c r="D1808">
        <v>2406</v>
      </c>
      <c r="E1808">
        <v>2419.3000000000002</v>
      </c>
      <c r="F1808">
        <v>778892</v>
      </c>
      <c r="G1808" s="4">
        <f t="shared" si="393"/>
        <v>0</v>
      </c>
      <c r="H1808" s="4">
        <f t="shared" si="394"/>
        <v>2.9499999999998181</v>
      </c>
      <c r="I1808" s="6">
        <f t="shared" si="385"/>
        <v>4.3964285714285518</v>
      </c>
      <c r="J1808" s="6">
        <f t="shared" si="386"/>
        <v>9.210714285714241</v>
      </c>
      <c r="K1808" s="4">
        <f t="shared" si="387"/>
        <v>0.47731678945327666</v>
      </c>
      <c r="L1808">
        <f t="shared" si="388"/>
        <v>32.309711286089239</v>
      </c>
      <c r="M1808" s="14" t="str">
        <f t="shared" ref="M1808:M1871" si="395">IF(L1808&gt;RSI_Overbought,"OVERBOUGHT",IF(L1808&lt;RSI_Oversold,"OVERSOLD",""))</f>
        <v/>
      </c>
      <c r="N1808" s="7">
        <f t="shared" ref="N1808:N1871" si="396">IF(L1808&gt;RSI_Overbought,"SELL",IF(L1808&lt;RSI_Oversold,"BUY",0))</f>
        <v>0</v>
      </c>
      <c r="O1808" s="7">
        <f t="shared" si="389"/>
        <v>0</v>
      </c>
      <c r="P1808" s="7">
        <f t="shared" si="390"/>
        <v>1</v>
      </c>
      <c r="Q1808" s="10" t="e">
        <f t="shared" ref="Q1808:Q1871" si="397">IF($O1808="BUY",$E1808,NA())</f>
        <v>#N/A</v>
      </c>
      <c r="R1808" s="10" t="e">
        <f t="shared" ref="R1808:R1871" si="398">IF($O1808="SELL",$E1808,NA())</f>
        <v>#N/A</v>
      </c>
      <c r="S1808" s="7">
        <f t="shared" si="391"/>
        <v>2411.6999999999998</v>
      </c>
      <c r="T1808" s="7">
        <f t="shared" si="392"/>
        <v>0</v>
      </c>
    </row>
    <row r="1809" spans="1:20" x14ac:dyDescent="0.25">
      <c r="A1809" s="1">
        <v>43809</v>
      </c>
      <c r="B1809">
        <v>2422.5</v>
      </c>
      <c r="C1809">
        <v>2428</v>
      </c>
      <c r="D1809">
        <v>2383</v>
      </c>
      <c r="E1809">
        <v>2393.25</v>
      </c>
      <c r="F1809">
        <v>525269</v>
      </c>
      <c r="G1809" s="4">
        <f t="shared" si="393"/>
        <v>0</v>
      </c>
      <c r="H1809" s="4">
        <f t="shared" si="394"/>
        <v>26.050000000000182</v>
      </c>
      <c r="I1809" s="6">
        <f t="shared" ref="I1809:I1872" si="399">AVERAGE(G1796:G1809)</f>
        <v>4.3964285714285518</v>
      </c>
      <c r="J1809" s="6">
        <f t="shared" ref="J1809:J1872" si="400">AVERAGE(H1796:H1809)</f>
        <v>10.51785714285711</v>
      </c>
      <c r="K1809" s="4">
        <f t="shared" ref="K1809:K1872" si="401">I1809/J1809</f>
        <v>0.4179966044142609</v>
      </c>
      <c r="L1809">
        <f t="shared" ref="L1809:L1872" si="402">100-(100/(K1809+1))</f>
        <v>29.477969348658974</v>
      </c>
      <c r="M1809" s="14" t="str">
        <f t="shared" si="395"/>
        <v>OVERSOLD</v>
      </c>
      <c r="N1809" s="7" t="str">
        <f t="shared" si="396"/>
        <v>BUY</v>
      </c>
      <c r="O1809" s="7">
        <f t="shared" ref="O1809:O1872" si="403">IF(AND(N1809="BUY",P1808&lt;&gt;1),"BUY",IF(AND(N1809="SELL",P1808&lt;&gt;-1),"SELL",0))</f>
        <v>0</v>
      </c>
      <c r="P1809" s="7">
        <f t="shared" ref="P1809:P1872" si="404">IF(O1809="BUY",1,IF(O1809="SELL",-1,P1808))</f>
        <v>1</v>
      </c>
      <c r="Q1809" s="10" t="e">
        <f t="shared" si="397"/>
        <v>#N/A</v>
      </c>
      <c r="R1809" s="10" t="e">
        <f t="shared" si="398"/>
        <v>#N/A</v>
      </c>
      <c r="S1809" s="7">
        <f t="shared" ref="S1809:S1872" si="405">IF(O1809&lt;&gt;0,E1809,S1808)</f>
        <v>2411.6999999999998</v>
      </c>
      <c r="T1809" s="7">
        <f t="shared" si="392"/>
        <v>0</v>
      </c>
    </row>
    <row r="1810" spans="1:20" x14ac:dyDescent="0.25">
      <c r="A1810" s="1">
        <v>43810</v>
      </c>
      <c r="B1810">
        <v>2400</v>
      </c>
      <c r="C1810">
        <v>2409</v>
      </c>
      <c r="D1810">
        <v>2321.0500000000002</v>
      </c>
      <c r="E1810">
        <v>2328.65</v>
      </c>
      <c r="F1810">
        <v>1250236</v>
      </c>
      <c r="G1810" s="4">
        <f t="shared" si="393"/>
        <v>0</v>
      </c>
      <c r="H1810" s="4">
        <f t="shared" si="394"/>
        <v>64.599999999999909</v>
      </c>
      <c r="I1810" s="6">
        <f t="shared" si="399"/>
        <v>4.3964285714285518</v>
      </c>
      <c r="J1810" s="6">
        <f t="shared" si="400"/>
        <v>13.803571428571397</v>
      </c>
      <c r="K1810" s="4">
        <f t="shared" si="401"/>
        <v>0.31849935316946892</v>
      </c>
      <c r="L1810">
        <f t="shared" si="402"/>
        <v>24.156200941915188</v>
      </c>
      <c r="M1810" s="14" t="str">
        <f t="shared" si="395"/>
        <v>OVERSOLD</v>
      </c>
      <c r="N1810" s="7" t="str">
        <f t="shared" si="396"/>
        <v>BUY</v>
      </c>
      <c r="O1810" s="7">
        <f t="shared" si="403"/>
        <v>0</v>
      </c>
      <c r="P1810" s="7">
        <f t="shared" si="404"/>
        <v>1</v>
      </c>
      <c r="Q1810" s="10" t="e">
        <f t="shared" si="397"/>
        <v>#N/A</v>
      </c>
      <c r="R1810" s="10" t="e">
        <f t="shared" si="398"/>
        <v>#N/A</v>
      </c>
      <c r="S1810" s="7">
        <f t="shared" si="405"/>
        <v>2411.6999999999998</v>
      </c>
      <c r="T1810" s="7">
        <f t="shared" si="392"/>
        <v>0</v>
      </c>
    </row>
    <row r="1811" spans="1:20" x14ac:dyDescent="0.25">
      <c r="A1811" s="1">
        <v>43811</v>
      </c>
      <c r="B1811">
        <v>2330.4</v>
      </c>
      <c r="C1811">
        <v>2332.9</v>
      </c>
      <c r="D1811">
        <v>2295.15</v>
      </c>
      <c r="E1811">
        <v>2314.85</v>
      </c>
      <c r="F1811">
        <v>1135441</v>
      </c>
      <c r="G1811" s="4">
        <f t="shared" si="393"/>
        <v>0</v>
      </c>
      <c r="H1811" s="4">
        <f t="shared" si="394"/>
        <v>13.800000000000182</v>
      </c>
      <c r="I1811" s="6">
        <f t="shared" si="399"/>
        <v>4.3964285714285518</v>
      </c>
      <c r="J1811" s="6">
        <f t="shared" si="400"/>
        <v>12.421428571428546</v>
      </c>
      <c r="K1811" s="4">
        <f t="shared" si="401"/>
        <v>0.35393904542840626</v>
      </c>
      <c r="L1811">
        <f t="shared" si="402"/>
        <v>26.141431301762537</v>
      </c>
      <c r="M1811" s="14" t="str">
        <f t="shared" si="395"/>
        <v>OVERSOLD</v>
      </c>
      <c r="N1811" s="7" t="str">
        <f t="shared" si="396"/>
        <v>BUY</v>
      </c>
      <c r="O1811" s="7">
        <f t="shared" si="403"/>
        <v>0</v>
      </c>
      <c r="P1811" s="7">
        <f t="shared" si="404"/>
        <v>1</v>
      </c>
      <c r="Q1811" s="10" t="e">
        <f t="shared" si="397"/>
        <v>#N/A</v>
      </c>
      <c r="R1811" s="10" t="e">
        <f t="shared" si="398"/>
        <v>#N/A</v>
      </c>
      <c r="S1811" s="7">
        <f t="shared" si="405"/>
        <v>2411.6999999999998</v>
      </c>
      <c r="T1811" s="7">
        <f t="shared" si="392"/>
        <v>0</v>
      </c>
    </row>
    <row r="1812" spans="1:20" x14ac:dyDescent="0.25">
      <c r="A1812" s="1">
        <v>43812</v>
      </c>
      <c r="B1812">
        <v>2330</v>
      </c>
      <c r="C1812">
        <v>2334.1999999999998</v>
      </c>
      <c r="D1812">
        <v>2302.0500000000002</v>
      </c>
      <c r="E1812">
        <v>2308.8000000000002</v>
      </c>
      <c r="F1812">
        <v>865310</v>
      </c>
      <c r="G1812" s="4">
        <f t="shared" si="393"/>
        <v>0</v>
      </c>
      <c r="H1812" s="4">
        <f t="shared" si="394"/>
        <v>6.0499999999997272</v>
      </c>
      <c r="I1812" s="6">
        <f t="shared" si="399"/>
        <v>4.3964285714285518</v>
      </c>
      <c r="J1812" s="6">
        <f t="shared" si="400"/>
        <v>11.771428571428553</v>
      </c>
      <c r="K1812" s="4">
        <f t="shared" si="401"/>
        <v>0.37348300970873677</v>
      </c>
      <c r="L1812">
        <f t="shared" si="402"/>
        <v>27.192401148663507</v>
      </c>
      <c r="M1812" s="14" t="str">
        <f t="shared" si="395"/>
        <v>OVERSOLD</v>
      </c>
      <c r="N1812" s="7" t="str">
        <f t="shared" si="396"/>
        <v>BUY</v>
      </c>
      <c r="O1812" s="7">
        <f t="shared" si="403"/>
        <v>0</v>
      </c>
      <c r="P1812" s="7">
        <f t="shared" si="404"/>
        <v>1</v>
      </c>
      <c r="Q1812" s="10" t="e">
        <f t="shared" si="397"/>
        <v>#N/A</v>
      </c>
      <c r="R1812" s="10" t="e">
        <f t="shared" si="398"/>
        <v>#N/A</v>
      </c>
      <c r="S1812" s="7">
        <f t="shared" si="405"/>
        <v>2411.6999999999998</v>
      </c>
      <c r="T1812" s="7">
        <f t="shared" si="392"/>
        <v>0</v>
      </c>
    </row>
    <row r="1813" spans="1:20" x14ac:dyDescent="0.25">
      <c r="A1813" s="1">
        <v>43815</v>
      </c>
      <c r="B1813">
        <v>2263.5</v>
      </c>
      <c r="C1813">
        <v>2348.6999999999998</v>
      </c>
      <c r="D1813">
        <v>2252.8000000000002</v>
      </c>
      <c r="E1813">
        <v>2299.15</v>
      </c>
      <c r="F1813">
        <v>2813406</v>
      </c>
      <c r="G1813" s="4">
        <f t="shared" si="393"/>
        <v>0</v>
      </c>
      <c r="H1813" s="4">
        <f t="shared" si="394"/>
        <v>9.6500000000000909</v>
      </c>
      <c r="I1813" s="6">
        <f t="shared" si="399"/>
        <v>3.1178571428571495</v>
      </c>
      <c r="J1813" s="6">
        <f t="shared" si="400"/>
        <v>12.460714285714273</v>
      </c>
      <c r="K1813" s="4">
        <f t="shared" si="401"/>
        <v>0.25021496130696552</v>
      </c>
      <c r="L1813">
        <f t="shared" si="402"/>
        <v>20.013755158184367</v>
      </c>
      <c r="M1813" s="14" t="str">
        <f t="shared" si="395"/>
        <v>OVERSOLD</v>
      </c>
      <c r="N1813" s="7" t="str">
        <f t="shared" si="396"/>
        <v>BUY</v>
      </c>
      <c r="O1813" s="7">
        <f t="shared" si="403"/>
        <v>0</v>
      </c>
      <c r="P1813" s="7">
        <f t="shared" si="404"/>
        <v>1</v>
      </c>
      <c r="Q1813" s="10" t="e">
        <f t="shared" si="397"/>
        <v>#N/A</v>
      </c>
      <c r="R1813" s="10" t="e">
        <f t="shared" si="398"/>
        <v>#N/A</v>
      </c>
      <c r="S1813" s="7">
        <f t="shared" si="405"/>
        <v>2411.6999999999998</v>
      </c>
      <c r="T1813" s="7">
        <f t="shared" si="392"/>
        <v>0</v>
      </c>
    </row>
    <row r="1814" spans="1:20" x14ac:dyDescent="0.25">
      <c r="A1814" s="1">
        <v>43816</v>
      </c>
      <c r="B1814">
        <v>2305.3000000000002</v>
      </c>
      <c r="C1814">
        <v>2332</v>
      </c>
      <c r="D1814">
        <v>2290.9499999999998</v>
      </c>
      <c r="E1814">
        <v>2325.5</v>
      </c>
      <c r="F1814">
        <v>634421</v>
      </c>
      <c r="G1814" s="4">
        <f t="shared" si="393"/>
        <v>26.349999999999909</v>
      </c>
      <c r="H1814" s="4">
        <f t="shared" si="394"/>
        <v>0</v>
      </c>
      <c r="I1814" s="6">
        <f t="shared" si="399"/>
        <v>3.9535714285714221</v>
      </c>
      <c r="J1814" s="6">
        <f t="shared" si="400"/>
        <v>12.460714285714273</v>
      </c>
      <c r="K1814" s="4">
        <f t="shared" si="401"/>
        <v>0.31728288907996544</v>
      </c>
      <c r="L1814">
        <f t="shared" si="402"/>
        <v>24.086161879895556</v>
      </c>
      <c r="M1814" s="14" t="str">
        <f t="shared" si="395"/>
        <v>OVERSOLD</v>
      </c>
      <c r="N1814" s="7" t="str">
        <f t="shared" si="396"/>
        <v>BUY</v>
      </c>
      <c r="O1814" s="7">
        <f t="shared" si="403"/>
        <v>0</v>
      </c>
      <c r="P1814" s="7">
        <f t="shared" si="404"/>
        <v>1</v>
      </c>
      <c r="Q1814" s="10" t="e">
        <f t="shared" si="397"/>
        <v>#N/A</v>
      </c>
      <c r="R1814" s="10" t="e">
        <f t="shared" si="398"/>
        <v>#N/A</v>
      </c>
      <c r="S1814" s="7">
        <f t="shared" si="405"/>
        <v>2411.6999999999998</v>
      </c>
      <c r="T1814" s="7">
        <f t="shared" si="392"/>
        <v>0</v>
      </c>
    </row>
    <row r="1815" spans="1:20" x14ac:dyDescent="0.25">
      <c r="A1815" s="1">
        <v>43817</v>
      </c>
      <c r="B1815">
        <v>2329.1</v>
      </c>
      <c r="C1815">
        <v>2335.65</v>
      </c>
      <c r="D1815">
        <v>2301</v>
      </c>
      <c r="E1815">
        <v>2310.8000000000002</v>
      </c>
      <c r="F1815">
        <v>580577</v>
      </c>
      <c r="G1815" s="4">
        <f t="shared" si="393"/>
        <v>0</v>
      </c>
      <c r="H1815" s="4">
        <f t="shared" si="394"/>
        <v>14.699999999999818</v>
      </c>
      <c r="I1815" s="6">
        <f t="shared" si="399"/>
        <v>3.9535714285714221</v>
      </c>
      <c r="J1815" s="6">
        <f t="shared" si="400"/>
        <v>13.253571428571409</v>
      </c>
      <c r="K1815" s="4">
        <f t="shared" si="401"/>
        <v>0.29830234438156827</v>
      </c>
      <c r="L1815">
        <f t="shared" si="402"/>
        <v>22.976338729763384</v>
      </c>
      <c r="M1815" s="14" t="str">
        <f t="shared" si="395"/>
        <v>OVERSOLD</v>
      </c>
      <c r="N1815" s="7" t="str">
        <f t="shared" si="396"/>
        <v>BUY</v>
      </c>
      <c r="O1815" s="7">
        <f t="shared" si="403"/>
        <v>0</v>
      </c>
      <c r="P1815" s="7">
        <f t="shared" si="404"/>
        <v>1</v>
      </c>
      <c r="Q1815" s="10" t="e">
        <f t="shared" si="397"/>
        <v>#N/A</v>
      </c>
      <c r="R1815" s="10" t="e">
        <f t="shared" si="398"/>
        <v>#N/A</v>
      </c>
      <c r="S1815" s="7">
        <f t="shared" si="405"/>
        <v>2411.6999999999998</v>
      </c>
      <c r="T1815" s="7">
        <f t="shared" si="392"/>
        <v>0</v>
      </c>
    </row>
    <row r="1816" spans="1:20" x14ac:dyDescent="0.25">
      <c r="A1816" s="1">
        <v>43818</v>
      </c>
      <c r="B1816">
        <v>2300</v>
      </c>
      <c r="C1816">
        <v>2339.65</v>
      </c>
      <c r="D1816">
        <v>2282.5</v>
      </c>
      <c r="E1816">
        <v>2328.1</v>
      </c>
      <c r="F1816">
        <v>1000010</v>
      </c>
      <c r="G1816" s="4">
        <f t="shared" si="393"/>
        <v>17.299999999999727</v>
      </c>
      <c r="H1816" s="4">
        <f t="shared" si="394"/>
        <v>0</v>
      </c>
      <c r="I1816" s="6">
        <f t="shared" si="399"/>
        <v>5.1892857142856883</v>
      </c>
      <c r="J1816" s="6">
        <f t="shared" si="400"/>
        <v>12.596428571428564</v>
      </c>
      <c r="K1816" s="4">
        <f t="shared" si="401"/>
        <v>0.41196484264247052</v>
      </c>
      <c r="L1816">
        <f t="shared" si="402"/>
        <v>29.176706827309147</v>
      </c>
      <c r="M1816" s="14" t="str">
        <f t="shared" si="395"/>
        <v>OVERSOLD</v>
      </c>
      <c r="N1816" s="7" t="str">
        <f t="shared" si="396"/>
        <v>BUY</v>
      </c>
      <c r="O1816" s="7">
        <f t="shared" si="403"/>
        <v>0</v>
      </c>
      <c r="P1816" s="7">
        <f t="shared" si="404"/>
        <v>1</v>
      </c>
      <c r="Q1816" s="10" t="e">
        <f t="shared" si="397"/>
        <v>#N/A</v>
      </c>
      <c r="R1816" s="10" t="e">
        <f t="shared" si="398"/>
        <v>#N/A</v>
      </c>
      <c r="S1816" s="7">
        <f t="shared" si="405"/>
        <v>2411.6999999999998</v>
      </c>
      <c r="T1816" s="7">
        <f t="shared" si="392"/>
        <v>0</v>
      </c>
    </row>
    <row r="1817" spans="1:20" x14ac:dyDescent="0.25">
      <c r="A1817" s="1">
        <v>43819</v>
      </c>
      <c r="B1817">
        <v>2328</v>
      </c>
      <c r="C1817">
        <v>2344.4499999999998</v>
      </c>
      <c r="D1817">
        <v>2302.6999999999998</v>
      </c>
      <c r="E1817">
        <v>2311.5</v>
      </c>
      <c r="F1817">
        <v>1574355</v>
      </c>
      <c r="G1817" s="4">
        <f t="shared" si="393"/>
        <v>0</v>
      </c>
      <c r="H1817" s="4">
        <f t="shared" si="394"/>
        <v>16.599999999999909</v>
      </c>
      <c r="I1817" s="6">
        <f t="shared" si="399"/>
        <v>5.1892857142856883</v>
      </c>
      <c r="J1817" s="6">
        <f t="shared" si="400"/>
        <v>12.346428571428532</v>
      </c>
      <c r="K1817" s="4">
        <f t="shared" si="401"/>
        <v>0.42030662424067033</v>
      </c>
      <c r="L1817">
        <f t="shared" si="402"/>
        <v>29.592668024439874</v>
      </c>
      <c r="M1817" s="14" t="str">
        <f t="shared" si="395"/>
        <v>OVERSOLD</v>
      </c>
      <c r="N1817" s="7" t="str">
        <f t="shared" si="396"/>
        <v>BUY</v>
      </c>
      <c r="O1817" s="7">
        <f t="shared" si="403"/>
        <v>0</v>
      </c>
      <c r="P1817" s="7">
        <f t="shared" si="404"/>
        <v>1</v>
      </c>
      <c r="Q1817" s="10" t="e">
        <f t="shared" si="397"/>
        <v>#N/A</v>
      </c>
      <c r="R1817" s="10" t="e">
        <f t="shared" si="398"/>
        <v>#N/A</v>
      </c>
      <c r="S1817" s="7">
        <f t="shared" si="405"/>
        <v>2411.6999999999998</v>
      </c>
      <c r="T1817" s="7">
        <f t="shared" si="392"/>
        <v>0</v>
      </c>
    </row>
    <row r="1818" spans="1:20" x14ac:dyDescent="0.25">
      <c r="A1818" s="1">
        <v>43822</v>
      </c>
      <c r="B1818">
        <v>2340</v>
      </c>
      <c r="C1818">
        <v>2343.9499999999998</v>
      </c>
      <c r="D1818">
        <v>2303.0500000000002</v>
      </c>
      <c r="E1818">
        <v>2310.35</v>
      </c>
      <c r="F1818">
        <v>1093719</v>
      </c>
      <c r="G1818" s="4">
        <f t="shared" si="393"/>
        <v>0</v>
      </c>
      <c r="H1818" s="4">
        <f t="shared" si="394"/>
        <v>1.1500000000000909</v>
      </c>
      <c r="I1818" s="6">
        <f t="shared" si="399"/>
        <v>5.1892857142856883</v>
      </c>
      <c r="J1818" s="6">
        <f t="shared" si="400"/>
        <v>11.682142857142837</v>
      </c>
      <c r="K1818" s="4">
        <f t="shared" si="401"/>
        <v>0.44420666462855246</v>
      </c>
      <c r="L1818">
        <f t="shared" si="402"/>
        <v>30.757832345469865</v>
      </c>
      <c r="M1818" s="14" t="str">
        <f t="shared" si="395"/>
        <v/>
      </c>
      <c r="N1818" s="7">
        <f t="shared" si="396"/>
        <v>0</v>
      </c>
      <c r="O1818" s="7">
        <f t="shared" si="403"/>
        <v>0</v>
      </c>
      <c r="P1818" s="7">
        <f t="shared" si="404"/>
        <v>1</v>
      </c>
      <c r="Q1818" s="10" t="e">
        <f t="shared" si="397"/>
        <v>#N/A</v>
      </c>
      <c r="R1818" s="10" t="e">
        <f t="shared" si="398"/>
        <v>#N/A</v>
      </c>
      <c r="S1818" s="7">
        <f t="shared" si="405"/>
        <v>2411.6999999999998</v>
      </c>
      <c r="T1818" s="7">
        <f t="shared" ref="T1818:T1881" si="406">IF(O1818="BUY",(S1817-S1818)/S1817,IF(O1818="SELL",(S1818-S1817)/S1817,0))</f>
        <v>0</v>
      </c>
    </row>
    <row r="1819" spans="1:20" x14ac:dyDescent="0.25">
      <c r="A1819" s="1">
        <v>43823</v>
      </c>
      <c r="B1819">
        <v>2306.0500000000002</v>
      </c>
      <c r="C1819">
        <v>2327.8000000000002</v>
      </c>
      <c r="D1819">
        <v>2277.65</v>
      </c>
      <c r="E1819">
        <v>2302.65</v>
      </c>
      <c r="F1819">
        <v>2886593</v>
      </c>
      <c r="G1819" s="4">
        <f t="shared" si="393"/>
        <v>0</v>
      </c>
      <c r="H1819" s="4">
        <f t="shared" si="394"/>
        <v>7.6999999999998181</v>
      </c>
      <c r="I1819" s="6">
        <f t="shared" si="399"/>
        <v>5.1892857142856883</v>
      </c>
      <c r="J1819" s="6">
        <f t="shared" si="400"/>
        <v>12.146428571428553</v>
      </c>
      <c r="K1819" s="4">
        <f t="shared" si="401"/>
        <v>0.4272272860923243</v>
      </c>
      <c r="L1819">
        <f t="shared" si="402"/>
        <v>29.934074989699141</v>
      </c>
      <c r="M1819" s="14" t="str">
        <f t="shared" si="395"/>
        <v>OVERSOLD</v>
      </c>
      <c r="N1819" s="7" t="str">
        <f t="shared" si="396"/>
        <v>BUY</v>
      </c>
      <c r="O1819" s="7">
        <f t="shared" si="403"/>
        <v>0</v>
      </c>
      <c r="P1819" s="7">
        <f t="shared" si="404"/>
        <v>1</v>
      </c>
      <c r="Q1819" s="10" t="e">
        <f t="shared" si="397"/>
        <v>#N/A</v>
      </c>
      <c r="R1819" s="10" t="e">
        <f t="shared" si="398"/>
        <v>#N/A</v>
      </c>
      <c r="S1819" s="7">
        <f t="shared" si="405"/>
        <v>2411.6999999999998</v>
      </c>
      <c r="T1819" s="7">
        <f t="shared" si="406"/>
        <v>0</v>
      </c>
    </row>
    <row r="1820" spans="1:20" x14ac:dyDescent="0.25">
      <c r="A1820" s="1">
        <v>43824</v>
      </c>
      <c r="B1820">
        <v>2294</v>
      </c>
      <c r="C1820">
        <v>2298.75</v>
      </c>
      <c r="D1820">
        <v>2268</v>
      </c>
      <c r="E1820">
        <v>2273.15</v>
      </c>
      <c r="F1820">
        <v>1270255</v>
      </c>
      <c r="G1820" s="4">
        <f t="shared" si="393"/>
        <v>0</v>
      </c>
      <c r="H1820" s="4">
        <f t="shared" si="394"/>
        <v>29.5</v>
      </c>
      <c r="I1820" s="6">
        <f t="shared" si="399"/>
        <v>3.1178571428571167</v>
      </c>
      <c r="J1820" s="6">
        <f t="shared" si="400"/>
        <v>14.253571428571409</v>
      </c>
      <c r="K1820" s="4">
        <f t="shared" si="401"/>
        <v>0.21874216988223349</v>
      </c>
      <c r="L1820">
        <f t="shared" si="402"/>
        <v>17.948190789473571</v>
      </c>
      <c r="M1820" s="14" t="str">
        <f t="shared" si="395"/>
        <v>OVERSOLD</v>
      </c>
      <c r="N1820" s="7" t="str">
        <f t="shared" si="396"/>
        <v>BUY</v>
      </c>
      <c r="O1820" s="7">
        <f t="shared" si="403"/>
        <v>0</v>
      </c>
      <c r="P1820" s="7">
        <f t="shared" si="404"/>
        <v>1</v>
      </c>
      <c r="Q1820" s="10" t="e">
        <f t="shared" si="397"/>
        <v>#N/A</v>
      </c>
      <c r="R1820" s="10" t="e">
        <f t="shared" si="398"/>
        <v>#N/A</v>
      </c>
      <c r="S1820" s="7">
        <f t="shared" si="405"/>
        <v>2411.6999999999998</v>
      </c>
      <c r="T1820" s="7">
        <f t="shared" si="406"/>
        <v>0</v>
      </c>
    </row>
    <row r="1821" spans="1:20" x14ac:dyDescent="0.25">
      <c r="A1821" s="1">
        <v>43825</v>
      </c>
      <c r="B1821">
        <v>2294</v>
      </c>
      <c r="C1821">
        <v>2302</v>
      </c>
      <c r="D1821">
        <v>2280</v>
      </c>
      <c r="E1821">
        <v>2289.9</v>
      </c>
      <c r="F1821">
        <v>1191348</v>
      </c>
      <c r="G1821" s="4">
        <f t="shared" si="393"/>
        <v>16.75</v>
      </c>
      <c r="H1821" s="4">
        <f t="shared" si="394"/>
        <v>0</v>
      </c>
      <c r="I1821" s="6">
        <f t="shared" si="399"/>
        <v>4.3142857142856883</v>
      </c>
      <c r="J1821" s="6">
        <f t="shared" si="400"/>
        <v>13.76785714285711</v>
      </c>
      <c r="K1821" s="4">
        <f t="shared" si="401"/>
        <v>0.31335927367055655</v>
      </c>
      <c r="L1821">
        <f t="shared" si="402"/>
        <v>23.859371913884985</v>
      </c>
      <c r="M1821" s="14" t="str">
        <f t="shared" si="395"/>
        <v>OVERSOLD</v>
      </c>
      <c r="N1821" s="7" t="str">
        <f t="shared" si="396"/>
        <v>BUY</v>
      </c>
      <c r="O1821" s="7">
        <f t="shared" si="403"/>
        <v>0</v>
      </c>
      <c r="P1821" s="7">
        <f t="shared" si="404"/>
        <v>1</v>
      </c>
      <c r="Q1821" s="10" t="e">
        <f t="shared" si="397"/>
        <v>#N/A</v>
      </c>
      <c r="R1821" s="10" t="e">
        <f t="shared" si="398"/>
        <v>#N/A</v>
      </c>
      <c r="S1821" s="7">
        <f t="shared" si="405"/>
        <v>2411.6999999999998</v>
      </c>
      <c r="T1821" s="7">
        <f t="shared" si="406"/>
        <v>0</v>
      </c>
    </row>
    <row r="1822" spans="1:20" x14ac:dyDescent="0.25">
      <c r="A1822" s="1">
        <v>43826</v>
      </c>
      <c r="B1822">
        <v>2295</v>
      </c>
      <c r="C1822">
        <v>2345</v>
      </c>
      <c r="D1822">
        <v>2268.5</v>
      </c>
      <c r="E1822">
        <v>2337.3000000000002</v>
      </c>
      <c r="F1822">
        <v>1757203</v>
      </c>
      <c r="G1822" s="4">
        <f t="shared" si="393"/>
        <v>47.400000000000091</v>
      </c>
      <c r="H1822" s="4">
        <f t="shared" si="394"/>
        <v>0</v>
      </c>
      <c r="I1822" s="6">
        <f t="shared" si="399"/>
        <v>7.6999999999999806</v>
      </c>
      <c r="J1822" s="6">
        <f t="shared" si="400"/>
        <v>13.557142857142837</v>
      </c>
      <c r="K1822" s="4">
        <f t="shared" si="401"/>
        <v>0.56796628029504681</v>
      </c>
      <c r="L1822">
        <f t="shared" si="402"/>
        <v>36.223118279569874</v>
      </c>
      <c r="M1822" s="14" t="str">
        <f t="shared" si="395"/>
        <v/>
      </c>
      <c r="N1822" s="7">
        <f t="shared" si="396"/>
        <v>0</v>
      </c>
      <c r="O1822" s="7">
        <f t="shared" si="403"/>
        <v>0</v>
      </c>
      <c r="P1822" s="7">
        <f t="shared" si="404"/>
        <v>1</v>
      </c>
      <c r="Q1822" s="10" t="e">
        <f t="shared" si="397"/>
        <v>#N/A</v>
      </c>
      <c r="R1822" s="10" t="e">
        <f t="shared" si="398"/>
        <v>#N/A</v>
      </c>
      <c r="S1822" s="7">
        <f t="shared" si="405"/>
        <v>2411.6999999999998</v>
      </c>
      <c r="T1822" s="7">
        <f t="shared" si="406"/>
        <v>0</v>
      </c>
    </row>
    <row r="1823" spans="1:20" x14ac:dyDescent="0.25">
      <c r="A1823" s="1">
        <v>43829</v>
      </c>
      <c r="B1823">
        <v>2349.9499999999998</v>
      </c>
      <c r="C1823">
        <v>2350</v>
      </c>
      <c r="D1823">
        <v>2308.8000000000002</v>
      </c>
      <c r="E1823">
        <v>2330.1</v>
      </c>
      <c r="F1823">
        <v>1354104</v>
      </c>
      <c r="G1823" s="4">
        <f t="shared" si="393"/>
        <v>0</v>
      </c>
      <c r="H1823" s="4">
        <f t="shared" si="394"/>
        <v>7.2000000000002728</v>
      </c>
      <c r="I1823" s="6">
        <f t="shared" si="399"/>
        <v>7.6999999999999806</v>
      </c>
      <c r="J1823" s="6">
        <f t="shared" si="400"/>
        <v>12.210714285714273</v>
      </c>
      <c r="K1823" s="4">
        <f t="shared" si="401"/>
        <v>0.63059374085989961</v>
      </c>
      <c r="L1823">
        <f t="shared" si="402"/>
        <v>38.67264573991028</v>
      </c>
      <c r="M1823" s="14" t="str">
        <f t="shared" si="395"/>
        <v/>
      </c>
      <c r="N1823" s="7">
        <f t="shared" si="396"/>
        <v>0</v>
      </c>
      <c r="O1823" s="7">
        <f t="shared" si="403"/>
        <v>0</v>
      </c>
      <c r="P1823" s="7">
        <f t="shared" si="404"/>
        <v>1</v>
      </c>
      <c r="Q1823" s="10" t="e">
        <f t="shared" si="397"/>
        <v>#N/A</v>
      </c>
      <c r="R1823" s="10" t="e">
        <f t="shared" si="398"/>
        <v>#N/A</v>
      </c>
      <c r="S1823" s="7">
        <f t="shared" si="405"/>
        <v>2411.6999999999998</v>
      </c>
      <c r="T1823" s="7">
        <f t="shared" si="406"/>
        <v>0</v>
      </c>
    </row>
    <row r="1824" spans="1:20" x14ac:dyDescent="0.25">
      <c r="A1824" s="1">
        <v>43830</v>
      </c>
      <c r="B1824">
        <v>2308</v>
      </c>
      <c r="C1824">
        <v>2332.5</v>
      </c>
      <c r="D1824">
        <v>2302.5</v>
      </c>
      <c r="E1824">
        <v>2320.5</v>
      </c>
      <c r="F1824">
        <v>841237</v>
      </c>
      <c r="G1824" s="4">
        <f t="shared" si="393"/>
        <v>0</v>
      </c>
      <c r="H1824" s="4">
        <f t="shared" si="394"/>
        <v>9.5999999999999091</v>
      </c>
      <c r="I1824" s="6">
        <f t="shared" si="399"/>
        <v>7.6999999999999806</v>
      </c>
      <c r="J1824" s="6">
        <f t="shared" si="400"/>
        <v>8.2821428571428442</v>
      </c>
      <c r="K1824" s="4">
        <f t="shared" si="401"/>
        <v>0.92971108236308664</v>
      </c>
      <c r="L1824">
        <f t="shared" si="402"/>
        <v>48.178770949720651</v>
      </c>
      <c r="M1824" s="14" t="str">
        <f t="shared" si="395"/>
        <v/>
      </c>
      <c r="N1824" s="7">
        <f t="shared" si="396"/>
        <v>0</v>
      </c>
      <c r="O1824" s="7">
        <f t="shared" si="403"/>
        <v>0</v>
      </c>
      <c r="P1824" s="7">
        <f t="shared" si="404"/>
        <v>1</v>
      </c>
      <c r="Q1824" s="10" t="e">
        <f t="shared" si="397"/>
        <v>#N/A</v>
      </c>
      <c r="R1824" s="10" t="e">
        <f t="shared" si="398"/>
        <v>#N/A</v>
      </c>
      <c r="S1824" s="7">
        <f t="shared" si="405"/>
        <v>2411.6999999999998</v>
      </c>
      <c r="T1824" s="7">
        <f t="shared" si="406"/>
        <v>0</v>
      </c>
    </row>
    <row r="1825" spans="1:20" x14ac:dyDescent="0.25">
      <c r="A1825" s="1">
        <v>43831</v>
      </c>
      <c r="B1825">
        <v>2321</v>
      </c>
      <c r="C1825">
        <v>2347.4</v>
      </c>
      <c r="D1825">
        <v>2317.6999999999998</v>
      </c>
      <c r="E1825">
        <v>2342.4499999999998</v>
      </c>
      <c r="F1825">
        <v>535891</v>
      </c>
      <c r="G1825" s="4">
        <f t="shared" si="393"/>
        <v>21.949999999999818</v>
      </c>
      <c r="H1825" s="4">
        <f t="shared" si="394"/>
        <v>0</v>
      </c>
      <c r="I1825" s="6">
        <f t="shared" si="399"/>
        <v>9.2678571428571104</v>
      </c>
      <c r="J1825" s="6">
        <f t="shared" si="400"/>
        <v>7.2964285714285451</v>
      </c>
      <c r="K1825" s="4">
        <f t="shared" si="401"/>
        <v>1.2701908957415566</v>
      </c>
      <c r="L1825">
        <f t="shared" si="402"/>
        <v>55.95084087968953</v>
      </c>
      <c r="M1825" s="14" t="str">
        <f t="shared" si="395"/>
        <v/>
      </c>
      <c r="N1825" s="7">
        <f t="shared" si="396"/>
        <v>0</v>
      </c>
      <c r="O1825" s="7">
        <f t="shared" si="403"/>
        <v>0</v>
      </c>
      <c r="P1825" s="7">
        <f t="shared" si="404"/>
        <v>1</v>
      </c>
      <c r="Q1825" s="10" t="e">
        <f t="shared" si="397"/>
        <v>#N/A</v>
      </c>
      <c r="R1825" s="10" t="e">
        <f t="shared" si="398"/>
        <v>#N/A</v>
      </c>
      <c r="S1825" s="7">
        <f t="shared" si="405"/>
        <v>2411.6999999999998</v>
      </c>
      <c r="T1825" s="7">
        <f t="shared" si="406"/>
        <v>0</v>
      </c>
    </row>
    <row r="1826" spans="1:20" x14ac:dyDescent="0.25">
      <c r="A1826" s="1">
        <v>43832</v>
      </c>
      <c r="B1826">
        <v>2343.9499999999998</v>
      </c>
      <c r="C1826">
        <v>2361</v>
      </c>
      <c r="D1826">
        <v>2332.5500000000002</v>
      </c>
      <c r="E1826">
        <v>2352.5500000000002</v>
      </c>
      <c r="F1826">
        <v>895135</v>
      </c>
      <c r="G1826" s="4">
        <f t="shared" si="393"/>
        <v>10.100000000000364</v>
      </c>
      <c r="H1826" s="4">
        <f t="shared" si="394"/>
        <v>0</v>
      </c>
      <c r="I1826" s="6">
        <f t="shared" si="399"/>
        <v>9.9892857142857086</v>
      </c>
      <c r="J1826" s="6">
        <f t="shared" si="400"/>
        <v>6.8642857142857077</v>
      </c>
      <c r="K1826" s="4">
        <f t="shared" si="401"/>
        <v>1.4552549427679506</v>
      </c>
      <c r="L1826">
        <f t="shared" si="402"/>
        <v>59.271031998304736</v>
      </c>
      <c r="M1826" s="14" t="str">
        <f t="shared" si="395"/>
        <v/>
      </c>
      <c r="N1826" s="7">
        <f t="shared" si="396"/>
        <v>0</v>
      </c>
      <c r="O1826" s="7">
        <f t="shared" si="403"/>
        <v>0</v>
      </c>
      <c r="P1826" s="7">
        <f t="shared" si="404"/>
        <v>1</v>
      </c>
      <c r="Q1826" s="10" t="e">
        <f t="shared" si="397"/>
        <v>#N/A</v>
      </c>
      <c r="R1826" s="10" t="e">
        <f t="shared" si="398"/>
        <v>#N/A</v>
      </c>
      <c r="S1826" s="7">
        <f t="shared" si="405"/>
        <v>2411.6999999999998</v>
      </c>
      <c r="T1826" s="7">
        <f t="shared" si="406"/>
        <v>0</v>
      </c>
    </row>
    <row r="1827" spans="1:20" x14ac:dyDescent="0.25">
      <c r="A1827" s="1">
        <v>43833</v>
      </c>
      <c r="B1827">
        <v>2355</v>
      </c>
      <c r="C1827">
        <v>2356.15</v>
      </c>
      <c r="D1827">
        <v>2316</v>
      </c>
      <c r="E1827">
        <v>2332.4499999999998</v>
      </c>
      <c r="F1827">
        <v>603194</v>
      </c>
      <c r="G1827" s="4">
        <f t="shared" si="393"/>
        <v>0</v>
      </c>
      <c r="H1827" s="4">
        <f t="shared" si="394"/>
        <v>20.100000000000364</v>
      </c>
      <c r="I1827" s="6">
        <f t="shared" si="399"/>
        <v>9.9892857142857086</v>
      </c>
      <c r="J1827" s="6">
        <f t="shared" si="400"/>
        <v>7.6107142857142991</v>
      </c>
      <c r="K1827" s="4">
        <f t="shared" si="401"/>
        <v>1.3125293289535398</v>
      </c>
      <c r="L1827">
        <f t="shared" si="402"/>
        <v>56.757305194805134</v>
      </c>
      <c r="M1827" s="14" t="str">
        <f t="shared" si="395"/>
        <v/>
      </c>
      <c r="N1827" s="7">
        <f t="shared" si="396"/>
        <v>0</v>
      </c>
      <c r="O1827" s="7">
        <f t="shared" si="403"/>
        <v>0</v>
      </c>
      <c r="P1827" s="7">
        <f t="shared" si="404"/>
        <v>1</v>
      </c>
      <c r="Q1827" s="10" t="e">
        <f t="shared" si="397"/>
        <v>#N/A</v>
      </c>
      <c r="R1827" s="10" t="e">
        <f t="shared" si="398"/>
        <v>#N/A</v>
      </c>
      <c r="S1827" s="7">
        <f t="shared" si="405"/>
        <v>2411.6999999999998</v>
      </c>
      <c r="T1827" s="7">
        <f t="shared" si="406"/>
        <v>0</v>
      </c>
    </row>
    <row r="1828" spans="1:20" x14ac:dyDescent="0.25">
      <c r="A1828" s="1">
        <v>43836</v>
      </c>
      <c r="B1828">
        <v>2347.3000000000002</v>
      </c>
      <c r="C1828">
        <v>2360</v>
      </c>
      <c r="D1828">
        <v>2322.75</v>
      </c>
      <c r="E1828">
        <v>2349.4499999999998</v>
      </c>
      <c r="F1828">
        <v>1035651</v>
      </c>
      <c r="G1828" s="4">
        <f t="shared" si="393"/>
        <v>17</v>
      </c>
      <c r="H1828" s="4">
        <f t="shared" si="394"/>
        <v>0</v>
      </c>
      <c r="I1828" s="6">
        <f t="shared" si="399"/>
        <v>9.3214285714285712</v>
      </c>
      <c r="J1828" s="6">
        <f t="shared" si="400"/>
        <v>7.6107142857142991</v>
      </c>
      <c r="K1828" s="4">
        <f t="shared" si="401"/>
        <v>1.2247770999530714</v>
      </c>
      <c r="L1828">
        <f t="shared" si="402"/>
        <v>55.051676861421591</v>
      </c>
      <c r="M1828" s="14" t="str">
        <f t="shared" si="395"/>
        <v/>
      </c>
      <c r="N1828" s="7">
        <f t="shared" si="396"/>
        <v>0</v>
      </c>
      <c r="O1828" s="7">
        <f t="shared" si="403"/>
        <v>0</v>
      </c>
      <c r="P1828" s="7">
        <f t="shared" si="404"/>
        <v>1</v>
      </c>
      <c r="Q1828" s="10" t="e">
        <f t="shared" si="397"/>
        <v>#N/A</v>
      </c>
      <c r="R1828" s="10" t="e">
        <f t="shared" si="398"/>
        <v>#N/A</v>
      </c>
      <c r="S1828" s="7">
        <f t="shared" si="405"/>
        <v>2411.6999999999998</v>
      </c>
      <c r="T1828" s="7">
        <f t="shared" si="406"/>
        <v>0</v>
      </c>
    </row>
    <row r="1829" spans="1:20" x14ac:dyDescent="0.25">
      <c r="A1829" s="1">
        <v>43837</v>
      </c>
      <c r="B1829">
        <v>2343.3000000000002</v>
      </c>
      <c r="C1829">
        <v>2369.9</v>
      </c>
      <c r="D1829">
        <v>2320.0500000000002</v>
      </c>
      <c r="E1829">
        <v>2360.65</v>
      </c>
      <c r="F1829">
        <v>1157223</v>
      </c>
      <c r="G1829" s="4">
        <f t="shared" si="393"/>
        <v>11.200000000000273</v>
      </c>
      <c r="H1829" s="4">
        <f t="shared" si="394"/>
        <v>0</v>
      </c>
      <c r="I1829" s="6">
        <f t="shared" si="399"/>
        <v>10.121428571428591</v>
      </c>
      <c r="J1829" s="6">
        <f t="shared" si="400"/>
        <v>6.5607142857143117</v>
      </c>
      <c r="K1829" s="4">
        <f t="shared" si="401"/>
        <v>1.5427327163854079</v>
      </c>
      <c r="L1829">
        <f t="shared" si="402"/>
        <v>60.672232926568135</v>
      </c>
      <c r="M1829" s="14" t="str">
        <f t="shared" si="395"/>
        <v/>
      </c>
      <c r="N1829" s="7">
        <f t="shared" si="396"/>
        <v>0</v>
      </c>
      <c r="O1829" s="7">
        <f t="shared" si="403"/>
        <v>0</v>
      </c>
      <c r="P1829" s="7">
        <f t="shared" si="404"/>
        <v>1</v>
      </c>
      <c r="Q1829" s="10" t="e">
        <f t="shared" si="397"/>
        <v>#N/A</v>
      </c>
      <c r="R1829" s="10" t="e">
        <f t="shared" si="398"/>
        <v>#N/A</v>
      </c>
      <c r="S1829" s="7">
        <f t="shared" si="405"/>
        <v>2411.6999999999998</v>
      </c>
      <c r="T1829" s="7">
        <f t="shared" si="406"/>
        <v>0</v>
      </c>
    </row>
    <row r="1830" spans="1:20" x14ac:dyDescent="0.25">
      <c r="A1830" s="1">
        <v>43838</v>
      </c>
      <c r="B1830">
        <v>2375.1</v>
      </c>
      <c r="C1830">
        <v>2377.9499999999998</v>
      </c>
      <c r="D1830">
        <v>2341.6</v>
      </c>
      <c r="E1830">
        <v>2365.1</v>
      </c>
      <c r="F1830">
        <v>908802</v>
      </c>
      <c r="G1830" s="4">
        <f t="shared" si="393"/>
        <v>4.4499999999998181</v>
      </c>
      <c r="H1830" s="4">
        <f t="shared" si="394"/>
        <v>0</v>
      </c>
      <c r="I1830" s="6">
        <f t="shared" si="399"/>
        <v>9.203571428571454</v>
      </c>
      <c r="J1830" s="6">
        <f t="shared" si="400"/>
        <v>6.5607142857143117</v>
      </c>
      <c r="K1830" s="4">
        <f t="shared" si="401"/>
        <v>1.4028307022318982</v>
      </c>
      <c r="L1830">
        <f t="shared" si="402"/>
        <v>58.382419574082434</v>
      </c>
      <c r="M1830" s="14" t="str">
        <f t="shared" si="395"/>
        <v/>
      </c>
      <c r="N1830" s="7">
        <f t="shared" si="396"/>
        <v>0</v>
      </c>
      <c r="O1830" s="7">
        <f t="shared" si="403"/>
        <v>0</v>
      </c>
      <c r="P1830" s="7">
        <f t="shared" si="404"/>
        <v>1</v>
      </c>
      <c r="Q1830" s="10" t="e">
        <f t="shared" si="397"/>
        <v>#N/A</v>
      </c>
      <c r="R1830" s="10" t="e">
        <f t="shared" si="398"/>
        <v>#N/A</v>
      </c>
      <c r="S1830" s="7">
        <f t="shared" si="405"/>
        <v>2411.6999999999998</v>
      </c>
      <c r="T1830" s="7">
        <f t="shared" si="406"/>
        <v>0</v>
      </c>
    </row>
    <row r="1831" spans="1:20" x14ac:dyDescent="0.25">
      <c r="A1831" s="1">
        <v>43839</v>
      </c>
      <c r="B1831">
        <v>2380</v>
      </c>
      <c r="C1831">
        <v>2435</v>
      </c>
      <c r="D1831">
        <v>2373.4499999999998</v>
      </c>
      <c r="E1831">
        <v>2429.15</v>
      </c>
      <c r="F1831">
        <v>1800513</v>
      </c>
      <c r="G1831" s="4">
        <f t="shared" si="393"/>
        <v>64.050000000000182</v>
      </c>
      <c r="H1831" s="4">
        <f t="shared" si="394"/>
        <v>0</v>
      </c>
      <c r="I1831" s="6">
        <f t="shared" si="399"/>
        <v>13.778571428571468</v>
      </c>
      <c r="J1831" s="6">
        <f t="shared" si="400"/>
        <v>5.3750000000000329</v>
      </c>
      <c r="K1831" s="4">
        <f t="shared" si="401"/>
        <v>2.5634551495016527</v>
      </c>
      <c r="L1831">
        <f t="shared" si="402"/>
        <v>71.937348498974387</v>
      </c>
      <c r="M1831" s="14" t="str">
        <f t="shared" si="395"/>
        <v>OVERBOUGHT</v>
      </c>
      <c r="N1831" s="7" t="str">
        <f t="shared" si="396"/>
        <v>SELL</v>
      </c>
      <c r="O1831" s="7" t="str">
        <f t="shared" si="403"/>
        <v>SELL</v>
      </c>
      <c r="P1831" s="7">
        <f t="shared" si="404"/>
        <v>-1</v>
      </c>
      <c r="Q1831" s="10" t="e">
        <f t="shared" si="397"/>
        <v>#N/A</v>
      </c>
      <c r="R1831" s="10">
        <f t="shared" si="398"/>
        <v>2429.15</v>
      </c>
      <c r="S1831" s="7">
        <f t="shared" si="405"/>
        <v>2429.15</v>
      </c>
      <c r="T1831" s="7">
        <f t="shared" si="406"/>
        <v>7.2355599784385593E-3</v>
      </c>
    </row>
    <row r="1832" spans="1:20" x14ac:dyDescent="0.25">
      <c r="A1832" s="1">
        <v>43840</v>
      </c>
      <c r="B1832">
        <v>2433.5</v>
      </c>
      <c r="C1832">
        <v>2460.75</v>
      </c>
      <c r="D1832">
        <v>2423</v>
      </c>
      <c r="E1832">
        <v>2455.35</v>
      </c>
      <c r="F1832">
        <v>1438099</v>
      </c>
      <c r="G1832" s="4">
        <f t="shared" si="393"/>
        <v>26.199999999999818</v>
      </c>
      <c r="H1832" s="4">
        <f t="shared" si="394"/>
        <v>0</v>
      </c>
      <c r="I1832" s="6">
        <f t="shared" si="399"/>
        <v>15.650000000000025</v>
      </c>
      <c r="J1832" s="6">
        <f t="shared" si="400"/>
        <v>5.2928571428571685</v>
      </c>
      <c r="K1832" s="4">
        <f t="shared" si="401"/>
        <v>2.9568151147098418</v>
      </c>
      <c r="L1832">
        <f t="shared" si="402"/>
        <v>74.727148703956289</v>
      </c>
      <c r="M1832" s="14" t="str">
        <f t="shared" si="395"/>
        <v>OVERBOUGHT</v>
      </c>
      <c r="N1832" s="7" t="str">
        <f t="shared" si="396"/>
        <v>SELL</v>
      </c>
      <c r="O1832" s="7">
        <f t="shared" si="403"/>
        <v>0</v>
      </c>
      <c r="P1832" s="7">
        <f t="shared" si="404"/>
        <v>-1</v>
      </c>
      <c r="Q1832" s="10" t="e">
        <f t="shared" si="397"/>
        <v>#N/A</v>
      </c>
      <c r="R1832" s="10" t="e">
        <f t="shared" si="398"/>
        <v>#N/A</v>
      </c>
      <c r="S1832" s="7">
        <f t="shared" si="405"/>
        <v>2429.15</v>
      </c>
      <c r="T1832" s="7">
        <f t="shared" si="406"/>
        <v>0</v>
      </c>
    </row>
    <row r="1833" spans="1:20" x14ac:dyDescent="0.25">
      <c r="A1833" s="1">
        <v>43843</v>
      </c>
      <c r="B1833">
        <v>2450</v>
      </c>
      <c r="C1833">
        <v>2572</v>
      </c>
      <c r="D1833">
        <v>2442.25</v>
      </c>
      <c r="E1833">
        <v>2536.1999999999998</v>
      </c>
      <c r="F1833">
        <v>2569297</v>
      </c>
      <c r="G1833" s="4">
        <f t="shared" si="393"/>
        <v>80.849999999999909</v>
      </c>
      <c r="H1833" s="4">
        <f t="shared" si="394"/>
        <v>0</v>
      </c>
      <c r="I1833" s="6">
        <f t="shared" si="399"/>
        <v>21.425000000000018</v>
      </c>
      <c r="J1833" s="6">
        <f t="shared" si="400"/>
        <v>4.742857142857182</v>
      </c>
      <c r="K1833" s="4">
        <f t="shared" si="401"/>
        <v>4.5173192771084008</v>
      </c>
      <c r="L1833">
        <f t="shared" si="402"/>
        <v>81.87525590282506</v>
      </c>
      <c r="M1833" s="14" t="str">
        <f t="shared" si="395"/>
        <v>OVERBOUGHT</v>
      </c>
      <c r="N1833" s="7" t="str">
        <f t="shared" si="396"/>
        <v>SELL</v>
      </c>
      <c r="O1833" s="7">
        <f t="shared" si="403"/>
        <v>0</v>
      </c>
      <c r="P1833" s="7">
        <f t="shared" si="404"/>
        <v>-1</v>
      </c>
      <c r="Q1833" s="10" t="e">
        <f t="shared" si="397"/>
        <v>#N/A</v>
      </c>
      <c r="R1833" s="10" t="e">
        <f t="shared" si="398"/>
        <v>#N/A</v>
      </c>
      <c r="S1833" s="7">
        <f t="shared" si="405"/>
        <v>2429.15</v>
      </c>
      <c r="T1833" s="7">
        <f t="shared" si="406"/>
        <v>0</v>
      </c>
    </row>
    <row r="1834" spans="1:20" x14ac:dyDescent="0.25">
      <c r="A1834" s="1">
        <v>43844</v>
      </c>
      <c r="B1834">
        <v>2536.1999999999998</v>
      </c>
      <c r="C1834">
        <v>2540.5500000000002</v>
      </c>
      <c r="D1834">
        <v>2486</v>
      </c>
      <c r="E1834">
        <v>2507.15</v>
      </c>
      <c r="F1834">
        <v>893022</v>
      </c>
      <c r="G1834" s="4">
        <f t="shared" si="393"/>
        <v>0</v>
      </c>
      <c r="H1834" s="4">
        <f t="shared" si="394"/>
        <v>29.049999999999727</v>
      </c>
      <c r="I1834" s="6">
        <f t="shared" si="399"/>
        <v>21.425000000000018</v>
      </c>
      <c r="J1834" s="6">
        <f t="shared" si="400"/>
        <v>4.7107142857143049</v>
      </c>
      <c r="K1834" s="4">
        <f t="shared" si="401"/>
        <v>4.5481425322213651</v>
      </c>
      <c r="L1834">
        <f t="shared" si="402"/>
        <v>81.9759497130363</v>
      </c>
      <c r="M1834" s="14" t="str">
        <f t="shared" si="395"/>
        <v>OVERBOUGHT</v>
      </c>
      <c r="N1834" s="7" t="str">
        <f t="shared" si="396"/>
        <v>SELL</v>
      </c>
      <c r="O1834" s="7">
        <f t="shared" si="403"/>
        <v>0</v>
      </c>
      <c r="P1834" s="7">
        <f t="shared" si="404"/>
        <v>-1</v>
      </c>
      <c r="Q1834" s="10" t="e">
        <f t="shared" si="397"/>
        <v>#N/A</v>
      </c>
      <c r="R1834" s="10" t="e">
        <f t="shared" si="398"/>
        <v>#N/A</v>
      </c>
      <c r="S1834" s="7">
        <f t="shared" si="405"/>
        <v>2429.15</v>
      </c>
      <c r="T1834" s="7">
        <f t="shared" si="406"/>
        <v>0</v>
      </c>
    </row>
    <row r="1835" spans="1:20" x14ac:dyDescent="0.25">
      <c r="A1835" s="1">
        <v>43845</v>
      </c>
      <c r="B1835">
        <v>2510</v>
      </c>
      <c r="C1835">
        <v>2553.75</v>
      </c>
      <c r="D1835">
        <v>2510</v>
      </c>
      <c r="E1835">
        <v>2531.35</v>
      </c>
      <c r="F1835">
        <v>831970</v>
      </c>
      <c r="G1835" s="4">
        <f t="shared" si="393"/>
        <v>24.199999999999818</v>
      </c>
      <c r="H1835" s="4">
        <f t="shared" si="394"/>
        <v>0</v>
      </c>
      <c r="I1835" s="6">
        <f t="shared" si="399"/>
        <v>21.957142857142863</v>
      </c>
      <c r="J1835" s="6">
        <f t="shared" si="400"/>
        <v>4.7107142857143049</v>
      </c>
      <c r="K1835" s="4">
        <f t="shared" si="401"/>
        <v>4.6611068991660174</v>
      </c>
      <c r="L1835">
        <f t="shared" si="402"/>
        <v>82.335610017409891</v>
      </c>
      <c r="M1835" s="14" t="str">
        <f t="shared" si="395"/>
        <v>OVERBOUGHT</v>
      </c>
      <c r="N1835" s="7" t="str">
        <f t="shared" si="396"/>
        <v>SELL</v>
      </c>
      <c r="O1835" s="7">
        <f t="shared" si="403"/>
        <v>0</v>
      </c>
      <c r="P1835" s="7">
        <f t="shared" si="404"/>
        <v>-1</v>
      </c>
      <c r="Q1835" s="10" t="e">
        <f t="shared" si="397"/>
        <v>#N/A</v>
      </c>
      <c r="R1835" s="10" t="e">
        <f t="shared" si="398"/>
        <v>#N/A</v>
      </c>
      <c r="S1835" s="7">
        <f t="shared" si="405"/>
        <v>2429.15</v>
      </c>
      <c r="T1835" s="7">
        <f t="shared" si="406"/>
        <v>0</v>
      </c>
    </row>
    <row r="1836" spans="1:20" x14ac:dyDescent="0.25">
      <c r="A1836" s="1">
        <v>43846</v>
      </c>
      <c r="B1836">
        <v>2533.1999999999998</v>
      </c>
      <c r="C1836">
        <v>2564.15</v>
      </c>
      <c r="D1836">
        <v>2514</v>
      </c>
      <c r="E1836">
        <v>2521.6999999999998</v>
      </c>
      <c r="F1836">
        <v>1374298</v>
      </c>
      <c r="G1836" s="4">
        <f t="shared" si="393"/>
        <v>0</v>
      </c>
      <c r="H1836" s="4">
        <f t="shared" si="394"/>
        <v>9.6500000000000909</v>
      </c>
      <c r="I1836" s="6">
        <f t="shared" si="399"/>
        <v>18.571428571428573</v>
      </c>
      <c r="J1836" s="6">
        <f t="shared" si="400"/>
        <v>5.4000000000000261</v>
      </c>
      <c r="K1836" s="4">
        <f t="shared" si="401"/>
        <v>3.4391534391534226</v>
      </c>
      <c r="L1836">
        <f t="shared" si="402"/>
        <v>77.473182359952233</v>
      </c>
      <c r="M1836" s="14" t="str">
        <f t="shared" si="395"/>
        <v>OVERBOUGHT</v>
      </c>
      <c r="N1836" s="7" t="str">
        <f t="shared" si="396"/>
        <v>SELL</v>
      </c>
      <c r="O1836" s="7">
        <f t="shared" si="403"/>
        <v>0</v>
      </c>
      <c r="P1836" s="7">
        <f t="shared" si="404"/>
        <v>-1</v>
      </c>
      <c r="Q1836" s="10" t="e">
        <f t="shared" si="397"/>
        <v>#N/A</v>
      </c>
      <c r="R1836" s="10" t="e">
        <f t="shared" si="398"/>
        <v>#N/A</v>
      </c>
      <c r="S1836" s="7">
        <f t="shared" si="405"/>
        <v>2429.15</v>
      </c>
      <c r="T1836" s="7">
        <f t="shared" si="406"/>
        <v>0</v>
      </c>
    </row>
    <row r="1837" spans="1:20" x14ac:dyDescent="0.25">
      <c r="A1837" s="1">
        <v>43847</v>
      </c>
      <c r="B1837">
        <v>2534.8000000000002</v>
      </c>
      <c r="C1837">
        <v>2570</v>
      </c>
      <c r="D1837">
        <v>2529.65</v>
      </c>
      <c r="E1837">
        <v>2559.15</v>
      </c>
      <c r="F1837">
        <v>1267274</v>
      </c>
      <c r="G1837" s="4">
        <f t="shared" si="393"/>
        <v>37.450000000000273</v>
      </c>
      <c r="H1837" s="4">
        <f t="shared" si="394"/>
        <v>0</v>
      </c>
      <c r="I1837" s="6">
        <f t="shared" si="399"/>
        <v>21.246428571428591</v>
      </c>
      <c r="J1837" s="6">
        <f t="shared" si="400"/>
        <v>4.8857142857142923</v>
      </c>
      <c r="K1837" s="4">
        <f t="shared" si="401"/>
        <v>4.3486842105263142</v>
      </c>
      <c r="L1837">
        <f t="shared" si="402"/>
        <v>81.303813038130372</v>
      </c>
      <c r="M1837" s="14" t="str">
        <f t="shared" si="395"/>
        <v>OVERBOUGHT</v>
      </c>
      <c r="N1837" s="7" t="str">
        <f t="shared" si="396"/>
        <v>SELL</v>
      </c>
      <c r="O1837" s="7">
        <f t="shared" si="403"/>
        <v>0</v>
      </c>
      <c r="P1837" s="7">
        <f t="shared" si="404"/>
        <v>-1</v>
      </c>
      <c r="Q1837" s="10" t="e">
        <f t="shared" si="397"/>
        <v>#N/A</v>
      </c>
      <c r="R1837" s="10" t="e">
        <f t="shared" si="398"/>
        <v>#N/A</v>
      </c>
      <c r="S1837" s="7">
        <f t="shared" si="405"/>
        <v>2429.15</v>
      </c>
      <c r="T1837" s="7">
        <f t="shared" si="406"/>
        <v>0</v>
      </c>
    </row>
    <row r="1838" spans="1:20" x14ac:dyDescent="0.25">
      <c r="A1838" s="1">
        <v>43850</v>
      </c>
      <c r="B1838">
        <v>2577</v>
      </c>
      <c r="C1838">
        <v>2637.55</v>
      </c>
      <c r="D1838">
        <v>2568</v>
      </c>
      <c r="E1838">
        <v>2624.6</v>
      </c>
      <c r="F1838">
        <v>2047047</v>
      </c>
      <c r="G1838" s="4">
        <f t="shared" si="393"/>
        <v>65.449999999999818</v>
      </c>
      <c r="H1838" s="4">
        <f t="shared" si="394"/>
        <v>0</v>
      </c>
      <c r="I1838" s="6">
        <f t="shared" si="399"/>
        <v>25.921428571428578</v>
      </c>
      <c r="J1838" s="6">
        <f t="shared" si="400"/>
        <v>4.2000000000000126</v>
      </c>
      <c r="K1838" s="4">
        <f t="shared" si="401"/>
        <v>6.1717687074829763</v>
      </c>
      <c r="L1838">
        <f t="shared" si="402"/>
        <v>86.056438226227144</v>
      </c>
      <c r="M1838" s="14" t="str">
        <f t="shared" si="395"/>
        <v>OVERBOUGHT</v>
      </c>
      <c r="N1838" s="7" t="str">
        <f t="shared" si="396"/>
        <v>SELL</v>
      </c>
      <c r="O1838" s="7">
        <f t="shared" si="403"/>
        <v>0</v>
      </c>
      <c r="P1838" s="7">
        <f t="shared" si="404"/>
        <v>-1</v>
      </c>
      <c r="Q1838" s="10" t="e">
        <f t="shared" si="397"/>
        <v>#N/A</v>
      </c>
      <c r="R1838" s="10" t="e">
        <f t="shared" si="398"/>
        <v>#N/A</v>
      </c>
      <c r="S1838" s="7">
        <f t="shared" si="405"/>
        <v>2429.15</v>
      </c>
      <c r="T1838" s="7">
        <f t="shared" si="406"/>
        <v>0</v>
      </c>
    </row>
    <row r="1839" spans="1:20" x14ac:dyDescent="0.25">
      <c r="A1839" s="1">
        <v>43851</v>
      </c>
      <c r="B1839">
        <v>2625</v>
      </c>
      <c r="C1839">
        <v>2626.85</v>
      </c>
      <c r="D1839">
        <v>2564.65</v>
      </c>
      <c r="E1839">
        <v>2578.25</v>
      </c>
      <c r="F1839">
        <v>681275</v>
      </c>
      <c r="G1839" s="4">
        <f t="shared" si="393"/>
        <v>0</v>
      </c>
      <c r="H1839" s="4">
        <f t="shared" si="394"/>
        <v>46.349999999999909</v>
      </c>
      <c r="I1839" s="6">
        <f t="shared" si="399"/>
        <v>24.353571428571449</v>
      </c>
      <c r="J1839" s="6">
        <f t="shared" si="400"/>
        <v>7.5107142857142923</v>
      </c>
      <c r="K1839" s="4">
        <f t="shared" si="401"/>
        <v>3.2425106990014263</v>
      </c>
      <c r="L1839">
        <f t="shared" si="402"/>
        <v>76.429051782111628</v>
      </c>
      <c r="M1839" s="14" t="str">
        <f t="shared" si="395"/>
        <v>OVERBOUGHT</v>
      </c>
      <c r="N1839" s="7" t="str">
        <f t="shared" si="396"/>
        <v>SELL</v>
      </c>
      <c r="O1839" s="7">
        <f t="shared" si="403"/>
        <v>0</v>
      </c>
      <c r="P1839" s="7">
        <f t="shared" si="404"/>
        <v>-1</v>
      </c>
      <c r="Q1839" s="10" t="e">
        <f t="shared" si="397"/>
        <v>#N/A</v>
      </c>
      <c r="R1839" s="10" t="e">
        <f t="shared" si="398"/>
        <v>#N/A</v>
      </c>
      <c r="S1839" s="7">
        <f t="shared" si="405"/>
        <v>2429.15</v>
      </c>
      <c r="T1839" s="7">
        <f t="shared" si="406"/>
        <v>0</v>
      </c>
    </row>
    <row r="1840" spans="1:20" x14ac:dyDescent="0.25">
      <c r="A1840" s="1">
        <v>43852</v>
      </c>
      <c r="B1840">
        <v>2579</v>
      </c>
      <c r="C1840">
        <v>2596.5</v>
      </c>
      <c r="D1840">
        <v>2564</v>
      </c>
      <c r="E1840">
        <v>2572.85</v>
      </c>
      <c r="F1840">
        <v>874645</v>
      </c>
      <c r="G1840" s="4">
        <f t="shared" si="393"/>
        <v>0</v>
      </c>
      <c r="H1840" s="4">
        <f t="shared" si="394"/>
        <v>5.4000000000000909</v>
      </c>
      <c r="I1840" s="6">
        <f t="shared" si="399"/>
        <v>23.632142857142849</v>
      </c>
      <c r="J1840" s="6">
        <f t="shared" si="400"/>
        <v>7.8964285714285847</v>
      </c>
      <c r="K1840" s="4">
        <f t="shared" si="401"/>
        <v>2.9927634554500164</v>
      </c>
      <c r="L1840">
        <f t="shared" si="402"/>
        <v>74.954689623923841</v>
      </c>
      <c r="M1840" s="14" t="str">
        <f t="shared" si="395"/>
        <v>OVERBOUGHT</v>
      </c>
      <c r="N1840" s="7" t="str">
        <f t="shared" si="396"/>
        <v>SELL</v>
      </c>
      <c r="O1840" s="7">
        <f t="shared" si="403"/>
        <v>0</v>
      </c>
      <c r="P1840" s="7">
        <f t="shared" si="404"/>
        <v>-1</v>
      </c>
      <c r="Q1840" s="10" t="e">
        <f t="shared" si="397"/>
        <v>#N/A</v>
      </c>
      <c r="R1840" s="10" t="e">
        <f t="shared" si="398"/>
        <v>#N/A</v>
      </c>
      <c r="S1840" s="7">
        <f t="shared" si="405"/>
        <v>2429.15</v>
      </c>
      <c r="T1840" s="7">
        <f t="shared" si="406"/>
        <v>0</v>
      </c>
    </row>
    <row r="1841" spans="1:20" x14ac:dyDescent="0.25">
      <c r="A1841" s="1">
        <v>43853</v>
      </c>
      <c r="B1841">
        <v>2560</v>
      </c>
      <c r="C1841">
        <v>2575.9499999999998</v>
      </c>
      <c r="D1841">
        <v>2525</v>
      </c>
      <c r="E1841">
        <v>2551.1</v>
      </c>
      <c r="F1841">
        <v>463817</v>
      </c>
      <c r="G1841" s="4">
        <f t="shared" si="393"/>
        <v>0</v>
      </c>
      <c r="H1841" s="4">
        <f t="shared" si="394"/>
        <v>21.75</v>
      </c>
      <c r="I1841" s="6">
        <f t="shared" si="399"/>
        <v>23.632142857142849</v>
      </c>
      <c r="J1841" s="6">
        <f t="shared" si="400"/>
        <v>8.0142857142857018</v>
      </c>
      <c r="K1841" s="4">
        <f t="shared" si="401"/>
        <v>2.9487522281639964</v>
      </c>
      <c r="L1841">
        <f t="shared" si="402"/>
        <v>74.675544520934451</v>
      </c>
      <c r="M1841" s="14" t="str">
        <f t="shared" si="395"/>
        <v>OVERBOUGHT</v>
      </c>
      <c r="N1841" s="7" t="str">
        <f t="shared" si="396"/>
        <v>SELL</v>
      </c>
      <c r="O1841" s="7">
        <f t="shared" si="403"/>
        <v>0</v>
      </c>
      <c r="P1841" s="7">
        <f t="shared" si="404"/>
        <v>-1</v>
      </c>
      <c r="Q1841" s="10" t="e">
        <f t="shared" si="397"/>
        <v>#N/A</v>
      </c>
      <c r="R1841" s="10" t="e">
        <f t="shared" si="398"/>
        <v>#N/A</v>
      </c>
      <c r="S1841" s="7">
        <f t="shared" si="405"/>
        <v>2429.15</v>
      </c>
      <c r="T1841" s="7">
        <f t="shared" si="406"/>
        <v>0</v>
      </c>
    </row>
    <row r="1842" spans="1:20" x14ac:dyDescent="0.25">
      <c r="A1842" s="1">
        <v>43854</v>
      </c>
      <c r="B1842">
        <v>2533</v>
      </c>
      <c r="C1842">
        <v>2572.5</v>
      </c>
      <c r="D1842">
        <v>2528</v>
      </c>
      <c r="E1842">
        <v>2546.6</v>
      </c>
      <c r="F1842">
        <v>1251365</v>
      </c>
      <c r="G1842" s="4">
        <f t="shared" si="393"/>
        <v>0</v>
      </c>
      <c r="H1842" s="4">
        <f t="shared" si="394"/>
        <v>4.5</v>
      </c>
      <c r="I1842" s="6">
        <f t="shared" si="399"/>
        <v>22.417857142857137</v>
      </c>
      <c r="J1842" s="6">
        <f t="shared" si="400"/>
        <v>8.335714285714273</v>
      </c>
      <c r="K1842" s="4">
        <f t="shared" si="401"/>
        <v>2.6893744644387354</v>
      </c>
      <c r="L1842">
        <f t="shared" si="402"/>
        <v>72.895134130763012</v>
      </c>
      <c r="M1842" s="14" t="str">
        <f t="shared" si="395"/>
        <v>OVERBOUGHT</v>
      </c>
      <c r="N1842" s="7" t="str">
        <f t="shared" si="396"/>
        <v>SELL</v>
      </c>
      <c r="O1842" s="7">
        <f t="shared" si="403"/>
        <v>0</v>
      </c>
      <c r="P1842" s="7">
        <f t="shared" si="404"/>
        <v>-1</v>
      </c>
      <c r="Q1842" s="10" t="e">
        <f t="shared" si="397"/>
        <v>#N/A</v>
      </c>
      <c r="R1842" s="10" t="e">
        <f t="shared" si="398"/>
        <v>#N/A</v>
      </c>
      <c r="S1842" s="7">
        <f t="shared" si="405"/>
        <v>2429.15</v>
      </c>
      <c r="T1842" s="7">
        <f t="shared" si="406"/>
        <v>0</v>
      </c>
    </row>
    <row r="1843" spans="1:20" x14ac:dyDescent="0.25">
      <c r="A1843" s="1">
        <v>43857</v>
      </c>
      <c r="B1843">
        <v>2530</v>
      </c>
      <c r="C1843">
        <v>2564</v>
      </c>
      <c r="D1843">
        <v>2530</v>
      </c>
      <c r="E1843">
        <v>2553.6</v>
      </c>
      <c r="F1843">
        <v>540032</v>
      </c>
      <c r="G1843" s="4">
        <f t="shared" si="393"/>
        <v>7</v>
      </c>
      <c r="H1843" s="4">
        <f t="shared" si="394"/>
        <v>0</v>
      </c>
      <c r="I1843" s="6">
        <f t="shared" si="399"/>
        <v>22.117857142857115</v>
      </c>
      <c r="J1843" s="6">
        <f t="shared" si="400"/>
        <v>8.335714285714273</v>
      </c>
      <c r="K1843" s="4">
        <f t="shared" si="401"/>
        <v>2.6533847472150822</v>
      </c>
      <c r="L1843">
        <f t="shared" si="402"/>
        <v>72.628122434619456</v>
      </c>
      <c r="M1843" s="14" t="str">
        <f t="shared" si="395"/>
        <v>OVERBOUGHT</v>
      </c>
      <c r="N1843" s="7" t="str">
        <f t="shared" si="396"/>
        <v>SELL</v>
      </c>
      <c r="O1843" s="7">
        <f t="shared" si="403"/>
        <v>0</v>
      </c>
      <c r="P1843" s="7">
        <f t="shared" si="404"/>
        <v>-1</v>
      </c>
      <c r="Q1843" s="10" t="e">
        <f t="shared" si="397"/>
        <v>#N/A</v>
      </c>
      <c r="R1843" s="10" t="e">
        <f t="shared" si="398"/>
        <v>#N/A</v>
      </c>
      <c r="S1843" s="7">
        <f t="shared" si="405"/>
        <v>2429.15</v>
      </c>
      <c r="T1843" s="7">
        <f t="shared" si="406"/>
        <v>0</v>
      </c>
    </row>
    <row r="1844" spans="1:20" x14ac:dyDescent="0.25">
      <c r="A1844" s="1">
        <v>43858</v>
      </c>
      <c r="B1844">
        <v>2556.25</v>
      </c>
      <c r="C1844">
        <v>2591.85</v>
      </c>
      <c r="D1844">
        <v>2552.5</v>
      </c>
      <c r="E1844">
        <v>2564.9</v>
      </c>
      <c r="F1844">
        <v>677824</v>
      </c>
      <c r="G1844" s="4">
        <f t="shared" si="393"/>
        <v>11.300000000000182</v>
      </c>
      <c r="H1844" s="4">
        <f t="shared" si="394"/>
        <v>0</v>
      </c>
      <c r="I1844" s="6">
        <f t="shared" si="399"/>
        <v>22.607142857142858</v>
      </c>
      <c r="J1844" s="6">
        <f t="shared" si="400"/>
        <v>8.335714285714273</v>
      </c>
      <c r="K1844" s="4">
        <f t="shared" si="401"/>
        <v>2.7120822622108012</v>
      </c>
      <c r="L1844">
        <f t="shared" si="402"/>
        <v>73.060941828254883</v>
      </c>
      <c r="M1844" s="14" t="str">
        <f t="shared" si="395"/>
        <v>OVERBOUGHT</v>
      </c>
      <c r="N1844" s="7" t="str">
        <f t="shared" si="396"/>
        <v>SELL</v>
      </c>
      <c r="O1844" s="7">
        <f t="shared" si="403"/>
        <v>0</v>
      </c>
      <c r="P1844" s="7">
        <f t="shared" si="404"/>
        <v>-1</v>
      </c>
      <c r="Q1844" s="10" t="e">
        <f t="shared" si="397"/>
        <v>#N/A</v>
      </c>
      <c r="R1844" s="10" t="e">
        <f t="shared" si="398"/>
        <v>#N/A</v>
      </c>
      <c r="S1844" s="7">
        <f t="shared" si="405"/>
        <v>2429.15</v>
      </c>
      <c r="T1844" s="7">
        <f t="shared" si="406"/>
        <v>0</v>
      </c>
    </row>
    <row r="1845" spans="1:20" x14ac:dyDescent="0.25">
      <c r="A1845" s="1">
        <v>43859</v>
      </c>
      <c r="B1845">
        <v>2565</v>
      </c>
      <c r="C1845">
        <v>2619.9</v>
      </c>
      <c r="D1845">
        <v>2560.15</v>
      </c>
      <c r="E1845">
        <v>2603.9499999999998</v>
      </c>
      <c r="F1845">
        <v>750094</v>
      </c>
      <c r="G1845" s="4">
        <f t="shared" si="393"/>
        <v>39.049999999999727</v>
      </c>
      <c r="H1845" s="4">
        <f t="shared" si="394"/>
        <v>0</v>
      </c>
      <c r="I1845" s="6">
        <f t="shared" si="399"/>
        <v>20.821428571428537</v>
      </c>
      <c r="J1845" s="6">
        <f t="shared" si="400"/>
        <v>8.335714285714273</v>
      </c>
      <c r="K1845" s="4">
        <f t="shared" si="401"/>
        <v>2.4978577549271632</v>
      </c>
      <c r="L1845">
        <f t="shared" si="402"/>
        <v>71.411073003429692</v>
      </c>
      <c r="M1845" s="14" t="str">
        <f t="shared" si="395"/>
        <v>OVERBOUGHT</v>
      </c>
      <c r="N1845" s="7" t="str">
        <f t="shared" si="396"/>
        <v>SELL</v>
      </c>
      <c r="O1845" s="7">
        <f t="shared" si="403"/>
        <v>0</v>
      </c>
      <c r="P1845" s="7">
        <f t="shared" si="404"/>
        <v>-1</v>
      </c>
      <c r="Q1845" s="10" t="e">
        <f t="shared" si="397"/>
        <v>#N/A</v>
      </c>
      <c r="R1845" s="10" t="e">
        <f t="shared" si="398"/>
        <v>#N/A</v>
      </c>
      <c r="S1845" s="7">
        <f t="shared" si="405"/>
        <v>2429.15</v>
      </c>
      <c r="T1845" s="7">
        <f t="shared" si="406"/>
        <v>0</v>
      </c>
    </row>
    <row r="1846" spans="1:20" x14ac:dyDescent="0.25">
      <c r="A1846" s="1">
        <v>43860</v>
      </c>
      <c r="B1846">
        <v>2631</v>
      </c>
      <c r="C1846">
        <v>2708.95</v>
      </c>
      <c r="D1846">
        <v>2630</v>
      </c>
      <c r="E1846">
        <v>2696</v>
      </c>
      <c r="F1846">
        <v>2973360</v>
      </c>
      <c r="G1846" s="4">
        <f t="shared" si="393"/>
        <v>92.050000000000182</v>
      </c>
      <c r="H1846" s="4">
        <f t="shared" si="394"/>
        <v>0</v>
      </c>
      <c r="I1846" s="6">
        <f t="shared" si="399"/>
        <v>25.524999999999995</v>
      </c>
      <c r="J1846" s="6">
        <f t="shared" si="400"/>
        <v>8.335714285714273</v>
      </c>
      <c r="K1846" s="4">
        <f t="shared" si="401"/>
        <v>3.0621251071122577</v>
      </c>
      <c r="L1846">
        <f t="shared" si="402"/>
        <v>75.382343634637721</v>
      </c>
      <c r="M1846" s="14" t="str">
        <f t="shared" si="395"/>
        <v>OVERBOUGHT</v>
      </c>
      <c r="N1846" s="7" t="str">
        <f t="shared" si="396"/>
        <v>SELL</v>
      </c>
      <c r="O1846" s="7">
        <f t="shared" si="403"/>
        <v>0</v>
      </c>
      <c r="P1846" s="7">
        <f t="shared" si="404"/>
        <v>-1</v>
      </c>
      <c r="Q1846" s="10" t="e">
        <f t="shared" si="397"/>
        <v>#N/A</v>
      </c>
      <c r="R1846" s="10" t="e">
        <f t="shared" si="398"/>
        <v>#N/A</v>
      </c>
      <c r="S1846" s="7">
        <f t="shared" si="405"/>
        <v>2429.15</v>
      </c>
      <c r="T1846" s="7">
        <f t="shared" si="406"/>
        <v>0</v>
      </c>
    </row>
    <row r="1847" spans="1:20" x14ac:dyDescent="0.25">
      <c r="A1847" s="1">
        <v>43861</v>
      </c>
      <c r="B1847">
        <v>2697</v>
      </c>
      <c r="C1847">
        <v>2700</v>
      </c>
      <c r="D1847">
        <v>2576.5500000000002</v>
      </c>
      <c r="E1847">
        <v>2615.25</v>
      </c>
      <c r="F1847">
        <v>2463888</v>
      </c>
      <c r="G1847" s="4">
        <f t="shared" si="393"/>
        <v>0</v>
      </c>
      <c r="H1847" s="4">
        <f t="shared" si="394"/>
        <v>80.75</v>
      </c>
      <c r="I1847" s="6">
        <f t="shared" si="399"/>
        <v>19.75</v>
      </c>
      <c r="J1847" s="6">
        <f t="shared" si="400"/>
        <v>14.103571428571415</v>
      </c>
      <c r="K1847" s="4">
        <f t="shared" si="401"/>
        <v>1.4003545201316803</v>
      </c>
      <c r="L1847">
        <f t="shared" si="402"/>
        <v>58.339487287688591</v>
      </c>
      <c r="M1847" s="14" t="str">
        <f t="shared" si="395"/>
        <v/>
      </c>
      <c r="N1847" s="7">
        <f t="shared" si="396"/>
        <v>0</v>
      </c>
      <c r="O1847" s="7">
        <f t="shared" si="403"/>
        <v>0</v>
      </c>
      <c r="P1847" s="7">
        <f t="shared" si="404"/>
        <v>-1</v>
      </c>
      <c r="Q1847" s="10" t="e">
        <f t="shared" si="397"/>
        <v>#N/A</v>
      </c>
      <c r="R1847" s="10" t="e">
        <f t="shared" si="398"/>
        <v>#N/A</v>
      </c>
      <c r="S1847" s="7">
        <f t="shared" si="405"/>
        <v>2429.15</v>
      </c>
      <c r="T1847" s="7">
        <f t="shared" si="406"/>
        <v>0</v>
      </c>
    </row>
    <row r="1848" spans="1:20" x14ac:dyDescent="0.25">
      <c r="A1848" s="1">
        <v>43864</v>
      </c>
      <c r="B1848">
        <v>2598</v>
      </c>
      <c r="C1848">
        <v>2604.9499999999998</v>
      </c>
      <c r="D1848">
        <v>2515.5</v>
      </c>
      <c r="E1848">
        <v>2521.6</v>
      </c>
      <c r="F1848">
        <v>1665357</v>
      </c>
      <c r="G1848" s="4">
        <f t="shared" si="393"/>
        <v>0</v>
      </c>
      <c r="H1848" s="4">
        <f t="shared" si="394"/>
        <v>93.650000000000091</v>
      </c>
      <c r="I1848" s="6">
        <f t="shared" si="399"/>
        <v>19.75</v>
      </c>
      <c r="J1848" s="6">
        <f t="shared" si="400"/>
        <v>18.717857142857156</v>
      </c>
      <c r="K1848" s="4">
        <f t="shared" si="401"/>
        <v>1.0551421484449526</v>
      </c>
      <c r="L1848">
        <f t="shared" si="402"/>
        <v>51.341565314269779</v>
      </c>
      <c r="M1848" s="14" t="str">
        <f t="shared" si="395"/>
        <v/>
      </c>
      <c r="N1848" s="7">
        <f t="shared" si="396"/>
        <v>0</v>
      </c>
      <c r="O1848" s="7">
        <f t="shared" si="403"/>
        <v>0</v>
      </c>
      <c r="P1848" s="7">
        <f t="shared" si="404"/>
        <v>-1</v>
      </c>
      <c r="Q1848" s="10" t="e">
        <f t="shared" si="397"/>
        <v>#N/A</v>
      </c>
      <c r="R1848" s="10" t="e">
        <f t="shared" si="398"/>
        <v>#N/A</v>
      </c>
      <c r="S1848" s="7">
        <f t="shared" si="405"/>
        <v>2429.15</v>
      </c>
      <c r="T1848" s="7">
        <f t="shared" si="406"/>
        <v>0</v>
      </c>
    </row>
    <row r="1849" spans="1:20" x14ac:dyDescent="0.25">
      <c r="A1849" s="1">
        <v>43865</v>
      </c>
      <c r="B1849">
        <v>2520</v>
      </c>
      <c r="C1849">
        <v>2547.4</v>
      </c>
      <c r="D1849">
        <v>2486</v>
      </c>
      <c r="E1849">
        <v>2507</v>
      </c>
      <c r="F1849">
        <v>1574017</v>
      </c>
      <c r="G1849" s="4">
        <f t="shared" si="393"/>
        <v>0</v>
      </c>
      <c r="H1849" s="4">
        <f t="shared" si="394"/>
        <v>14.599999999999909</v>
      </c>
      <c r="I1849" s="6">
        <f t="shared" si="399"/>
        <v>18.021428571428583</v>
      </c>
      <c r="J1849" s="6">
        <f t="shared" si="400"/>
        <v>19.760714285714293</v>
      </c>
      <c r="K1849" s="4">
        <f t="shared" si="401"/>
        <v>0.91198264955720243</v>
      </c>
      <c r="L1849">
        <f t="shared" si="402"/>
        <v>47.698270157859916</v>
      </c>
      <c r="M1849" s="14" t="str">
        <f t="shared" si="395"/>
        <v/>
      </c>
      <c r="N1849" s="7">
        <f t="shared" si="396"/>
        <v>0</v>
      </c>
      <c r="O1849" s="7">
        <f t="shared" si="403"/>
        <v>0</v>
      </c>
      <c r="P1849" s="7">
        <f t="shared" si="404"/>
        <v>-1</v>
      </c>
      <c r="Q1849" s="10" t="e">
        <f t="shared" si="397"/>
        <v>#N/A</v>
      </c>
      <c r="R1849" s="10" t="e">
        <f t="shared" si="398"/>
        <v>#N/A</v>
      </c>
      <c r="S1849" s="7">
        <f t="shared" si="405"/>
        <v>2429.15</v>
      </c>
      <c r="T1849" s="7">
        <f t="shared" si="406"/>
        <v>0</v>
      </c>
    </row>
    <row r="1850" spans="1:20" x14ac:dyDescent="0.25">
      <c r="A1850" s="1">
        <v>43866</v>
      </c>
      <c r="B1850">
        <v>2497</v>
      </c>
      <c r="C1850">
        <v>2512.9</v>
      </c>
      <c r="D1850">
        <v>2470.4</v>
      </c>
      <c r="E1850">
        <v>2487.1999999999998</v>
      </c>
      <c r="F1850">
        <v>813253</v>
      </c>
      <c r="G1850" s="4">
        <f t="shared" si="393"/>
        <v>0</v>
      </c>
      <c r="H1850" s="4">
        <f t="shared" si="394"/>
        <v>19.800000000000182</v>
      </c>
      <c r="I1850" s="6">
        <f t="shared" si="399"/>
        <v>18.021428571428583</v>
      </c>
      <c r="J1850" s="6">
        <f t="shared" si="400"/>
        <v>20.485714285714298</v>
      </c>
      <c r="K1850" s="4">
        <f t="shared" si="401"/>
        <v>0.87970711297071136</v>
      </c>
      <c r="L1850">
        <f t="shared" si="402"/>
        <v>46.800222593210904</v>
      </c>
      <c r="M1850" s="14" t="str">
        <f t="shared" si="395"/>
        <v/>
      </c>
      <c r="N1850" s="7">
        <f t="shared" si="396"/>
        <v>0</v>
      </c>
      <c r="O1850" s="7">
        <f t="shared" si="403"/>
        <v>0</v>
      </c>
      <c r="P1850" s="7">
        <f t="shared" si="404"/>
        <v>-1</v>
      </c>
      <c r="Q1850" s="10" t="e">
        <f t="shared" si="397"/>
        <v>#N/A</v>
      </c>
      <c r="R1850" s="10" t="e">
        <f t="shared" si="398"/>
        <v>#N/A</v>
      </c>
      <c r="S1850" s="7">
        <f t="shared" si="405"/>
        <v>2429.15</v>
      </c>
      <c r="T1850" s="7">
        <f t="shared" si="406"/>
        <v>0</v>
      </c>
    </row>
    <row r="1851" spans="1:20" x14ac:dyDescent="0.25">
      <c r="A1851" s="1">
        <v>43867</v>
      </c>
      <c r="B1851">
        <v>2465</v>
      </c>
      <c r="C1851">
        <v>2481.1</v>
      </c>
      <c r="D1851">
        <v>2447</v>
      </c>
      <c r="E1851">
        <v>2451.5500000000002</v>
      </c>
      <c r="F1851">
        <v>587707</v>
      </c>
      <c r="G1851" s="4">
        <f t="shared" si="393"/>
        <v>0</v>
      </c>
      <c r="H1851" s="4">
        <f t="shared" si="394"/>
        <v>35.649999999999636</v>
      </c>
      <c r="I1851" s="6">
        <f t="shared" si="399"/>
        <v>15.346428571428564</v>
      </c>
      <c r="J1851" s="6">
        <f t="shared" si="400"/>
        <v>23.032142857142844</v>
      </c>
      <c r="K1851" s="4">
        <f t="shared" si="401"/>
        <v>0.66630485346565371</v>
      </c>
      <c r="L1851">
        <f t="shared" si="402"/>
        <v>39.986971896519641</v>
      </c>
      <c r="M1851" s="14" t="str">
        <f t="shared" si="395"/>
        <v/>
      </c>
      <c r="N1851" s="7">
        <f t="shared" si="396"/>
        <v>0</v>
      </c>
      <c r="O1851" s="7">
        <f t="shared" si="403"/>
        <v>0</v>
      </c>
      <c r="P1851" s="7">
        <f t="shared" si="404"/>
        <v>-1</v>
      </c>
      <c r="Q1851" s="10" t="e">
        <f t="shared" si="397"/>
        <v>#N/A</v>
      </c>
      <c r="R1851" s="10" t="e">
        <f t="shared" si="398"/>
        <v>#N/A</v>
      </c>
      <c r="S1851" s="7">
        <f t="shared" si="405"/>
        <v>2429.15</v>
      </c>
      <c r="T1851" s="7">
        <f t="shared" si="406"/>
        <v>0</v>
      </c>
    </row>
    <row r="1852" spans="1:20" x14ac:dyDescent="0.25">
      <c r="A1852" s="1">
        <v>43868</v>
      </c>
      <c r="B1852">
        <v>2455</v>
      </c>
      <c r="C1852">
        <v>2476</v>
      </c>
      <c r="D1852">
        <v>2455</v>
      </c>
      <c r="E1852">
        <v>2470.1999999999998</v>
      </c>
      <c r="F1852">
        <v>744571</v>
      </c>
      <c r="G1852" s="4">
        <f t="shared" si="393"/>
        <v>18.649999999999636</v>
      </c>
      <c r="H1852" s="4">
        <f t="shared" si="394"/>
        <v>0</v>
      </c>
      <c r="I1852" s="6">
        <f t="shared" si="399"/>
        <v>12.003571428571409</v>
      </c>
      <c r="J1852" s="6">
        <f t="shared" si="400"/>
        <v>23.032142857142844</v>
      </c>
      <c r="K1852" s="4">
        <f t="shared" si="401"/>
        <v>0.52116607225926448</v>
      </c>
      <c r="L1852">
        <f t="shared" si="402"/>
        <v>34.260958205912303</v>
      </c>
      <c r="M1852" s="14" t="str">
        <f t="shared" si="395"/>
        <v/>
      </c>
      <c r="N1852" s="7">
        <f t="shared" si="396"/>
        <v>0</v>
      </c>
      <c r="O1852" s="7">
        <f t="shared" si="403"/>
        <v>0</v>
      </c>
      <c r="P1852" s="7">
        <f t="shared" si="404"/>
        <v>-1</v>
      </c>
      <c r="Q1852" s="10" t="e">
        <f t="shared" si="397"/>
        <v>#N/A</v>
      </c>
      <c r="R1852" s="10" t="e">
        <f t="shared" si="398"/>
        <v>#N/A</v>
      </c>
      <c r="S1852" s="7">
        <f t="shared" si="405"/>
        <v>2429.15</v>
      </c>
      <c r="T1852" s="7">
        <f t="shared" si="406"/>
        <v>0</v>
      </c>
    </row>
    <row r="1853" spans="1:20" x14ac:dyDescent="0.25">
      <c r="A1853" s="1">
        <v>43871</v>
      </c>
      <c r="B1853">
        <v>2469</v>
      </c>
      <c r="C1853">
        <v>2469.6999999999998</v>
      </c>
      <c r="D1853">
        <v>2405</v>
      </c>
      <c r="E1853">
        <v>2411.1999999999998</v>
      </c>
      <c r="F1853">
        <v>1498599</v>
      </c>
      <c r="G1853" s="4">
        <f t="shared" si="393"/>
        <v>0</v>
      </c>
      <c r="H1853" s="4">
        <f t="shared" si="394"/>
        <v>59</v>
      </c>
      <c r="I1853" s="6">
        <f t="shared" si="399"/>
        <v>12.003571428571409</v>
      </c>
      <c r="J1853" s="6">
        <f t="shared" si="400"/>
        <v>23.93571428571428</v>
      </c>
      <c r="K1853" s="4">
        <f t="shared" si="401"/>
        <v>0.50149209191286115</v>
      </c>
      <c r="L1853">
        <f t="shared" si="402"/>
        <v>33.399582629434533</v>
      </c>
      <c r="M1853" s="14" t="str">
        <f t="shared" si="395"/>
        <v/>
      </c>
      <c r="N1853" s="7">
        <f t="shared" si="396"/>
        <v>0</v>
      </c>
      <c r="O1853" s="7">
        <f t="shared" si="403"/>
        <v>0</v>
      </c>
      <c r="P1853" s="7">
        <f t="shared" si="404"/>
        <v>-1</v>
      </c>
      <c r="Q1853" s="10" t="e">
        <f t="shared" si="397"/>
        <v>#N/A</v>
      </c>
      <c r="R1853" s="10" t="e">
        <f t="shared" si="398"/>
        <v>#N/A</v>
      </c>
      <c r="S1853" s="7">
        <f t="shared" si="405"/>
        <v>2429.15</v>
      </c>
      <c r="T1853" s="7">
        <f t="shared" si="406"/>
        <v>0</v>
      </c>
    </row>
    <row r="1854" spans="1:20" x14ac:dyDescent="0.25">
      <c r="A1854" s="1">
        <v>43872</v>
      </c>
      <c r="B1854">
        <v>2414.9499999999998</v>
      </c>
      <c r="C1854">
        <v>2435</v>
      </c>
      <c r="D1854">
        <v>2386.5</v>
      </c>
      <c r="E1854">
        <v>2399.6999999999998</v>
      </c>
      <c r="F1854">
        <v>1225213</v>
      </c>
      <c r="G1854" s="4">
        <f t="shared" si="393"/>
        <v>0</v>
      </c>
      <c r="H1854" s="4">
        <f t="shared" si="394"/>
        <v>11.5</v>
      </c>
      <c r="I1854" s="6">
        <f t="shared" si="399"/>
        <v>12.003571428571409</v>
      </c>
      <c r="J1854" s="6">
        <f t="shared" si="400"/>
        <v>24.371428571428559</v>
      </c>
      <c r="K1854" s="4">
        <f t="shared" si="401"/>
        <v>0.49252637749120692</v>
      </c>
      <c r="L1854">
        <f t="shared" si="402"/>
        <v>32.999509081983291</v>
      </c>
      <c r="M1854" s="14" t="str">
        <f t="shared" si="395"/>
        <v/>
      </c>
      <c r="N1854" s="7">
        <f t="shared" si="396"/>
        <v>0</v>
      </c>
      <c r="O1854" s="7">
        <f t="shared" si="403"/>
        <v>0</v>
      </c>
      <c r="P1854" s="7">
        <f t="shared" si="404"/>
        <v>-1</v>
      </c>
      <c r="Q1854" s="10" t="e">
        <f t="shared" si="397"/>
        <v>#N/A</v>
      </c>
      <c r="R1854" s="10" t="e">
        <f t="shared" si="398"/>
        <v>#N/A</v>
      </c>
      <c r="S1854" s="7">
        <f t="shared" si="405"/>
        <v>2429.15</v>
      </c>
      <c r="T1854" s="7">
        <f t="shared" si="406"/>
        <v>0</v>
      </c>
    </row>
    <row r="1855" spans="1:20" x14ac:dyDescent="0.25">
      <c r="A1855" s="1">
        <v>43873</v>
      </c>
      <c r="B1855">
        <v>2416.9</v>
      </c>
      <c r="C1855">
        <v>2446.35</v>
      </c>
      <c r="D1855">
        <v>2405.15</v>
      </c>
      <c r="E1855">
        <v>2431.6999999999998</v>
      </c>
      <c r="F1855">
        <v>822371</v>
      </c>
      <c r="G1855" s="4">
        <f t="shared" si="393"/>
        <v>32</v>
      </c>
      <c r="H1855" s="4">
        <f t="shared" si="394"/>
        <v>0</v>
      </c>
      <c r="I1855" s="6">
        <f t="shared" si="399"/>
        <v>14.289285714285695</v>
      </c>
      <c r="J1855" s="6">
        <f t="shared" si="400"/>
        <v>22.817857142857129</v>
      </c>
      <c r="K1855" s="4">
        <f t="shared" si="401"/>
        <v>0.6262325872593516</v>
      </c>
      <c r="L1855">
        <f t="shared" si="402"/>
        <v>38.508180943214619</v>
      </c>
      <c r="M1855" s="14" t="str">
        <f t="shared" si="395"/>
        <v/>
      </c>
      <c r="N1855" s="7">
        <f t="shared" si="396"/>
        <v>0</v>
      </c>
      <c r="O1855" s="7">
        <f t="shared" si="403"/>
        <v>0</v>
      </c>
      <c r="P1855" s="7">
        <f t="shared" si="404"/>
        <v>-1</v>
      </c>
      <c r="Q1855" s="10" t="e">
        <f t="shared" si="397"/>
        <v>#N/A</v>
      </c>
      <c r="R1855" s="10" t="e">
        <f t="shared" si="398"/>
        <v>#N/A</v>
      </c>
      <c r="S1855" s="7">
        <f t="shared" si="405"/>
        <v>2429.15</v>
      </c>
      <c r="T1855" s="7">
        <f t="shared" si="406"/>
        <v>0</v>
      </c>
    </row>
    <row r="1856" spans="1:20" x14ac:dyDescent="0.25">
      <c r="A1856" s="1">
        <v>43874</v>
      </c>
      <c r="B1856">
        <v>2431</v>
      </c>
      <c r="C1856">
        <v>2449</v>
      </c>
      <c r="D1856">
        <v>2380.3000000000002</v>
      </c>
      <c r="E1856">
        <v>2445</v>
      </c>
      <c r="F1856">
        <v>835479</v>
      </c>
      <c r="G1856" s="4">
        <f t="shared" si="393"/>
        <v>13.300000000000182</v>
      </c>
      <c r="H1856" s="4">
        <f t="shared" si="394"/>
        <v>0</v>
      </c>
      <c r="I1856" s="6">
        <f t="shared" si="399"/>
        <v>15.239285714285709</v>
      </c>
      <c r="J1856" s="6">
        <f t="shared" si="400"/>
        <v>22.496428571428559</v>
      </c>
      <c r="K1856" s="4">
        <f t="shared" si="401"/>
        <v>0.67740911255754888</v>
      </c>
      <c r="L1856">
        <f t="shared" si="402"/>
        <v>40.384251372326332</v>
      </c>
      <c r="M1856" s="14" t="str">
        <f t="shared" si="395"/>
        <v/>
      </c>
      <c r="N1856" s="7">
        <f t="shared" si="396"/>
        <v>0</v>
      </c>
      <c r="O1856" s="7">
        <f t="shared" si="403"/>
        <v>0</v>
      </c>
      <c r="P1856" s="7">
        <f t="shared" si="404"/>
        <v>-1</v>
      </c>
      <c r="Q1856" s="10" t="e">
        <f t="shared" si="397"/>
        <v>#N/A</v>
      </c>
      <c r="R1856" s="10" t="e">
        <f t="shared" si="398"/>
        <v>#N/A</v>
      </c>
      <c r="S1856" s="7">
        <f t="shared" si="405"/>
        <v>2429.15</v>
      </c>
      <c r="T1856" s="7">
        <f t="shared" si="406"/>
        <v>0</v>
      </c>
    </row>
    <row r="1857" spans="1:20" x14ac:dyDescent="0.25">
      <c r="A1857" s="1">
        <v>43875</v>
      </c>
      <c r="B1857">
        <v>2440</v>
      </c>
      <c r="C1857">
        <v>2442.15</v>
      </c>
      <c r="D1857">
        <v>2397.1999999999998</v>
      </c>
      <c r="E1857">
        <v>2406.3000000000002</v>
      </c>
      <c r="F1857">
        <v>828909</v>
      </c>
      <c r="G1857" s="4">
        <f t="shared" si="393"/>
        <v>0</v>
      </c>
      <c r="H1857" s="4">
        <f t="shared" si="394"/>
        <v>38.699999999999818</v>
      </c>
      <c r="I1857" s="6">
        <f t="shared" si="399"/>
        <v>14.739285714285709</v>
      </c>
      <c r="J1857" s="6">
        <f t="shared" si="400"/>
        <v>25.260714285714261</v>
      </c>
      <c r="K1857" s="4">
        <f t="shared" si="401"/>
        <v>0.58348649794995089</v>
      </c>
      <c r="L1857">
        <f t="shared" si="402"/>
        <v>36.848214285714299</v>
      </c>
      <c r="M1857" s="14" t="str">
        <f t="shared" si="395"/>
        <v/>
      </c>
      <c r="N1857" s="7">
        <f t="shared" si="396"/>
        <v>0</v>
      </c>
      <c r="O1857" s="7">
        <f t="shared" si="403"/>
        <v>0</v>
      </c>
      <c r="P1857" s="7">
        <f t="shared" si="404"/>
        <v>-1</v>
      </c>
      <c r="Q1857" s="10" t="e">
        <f t="shared" si="397"/>
        <v>#N/A</v>
      </c>
      <c r="R1857" s="10" t="e">
        <f t="shared" si="398"/>
        <v>#N/A</v>
      </c>
      <c r="S1857" s="7">
        <f t="shared" si="405"/>
        <v>2429.15</v>
      </c>
      <c r="T1857" s="7">
        <f t="shared" si="406"/>
        <v>0</v>
      </c>
    </row>
    <row r="1858" spans="1:20" x14ac:dyDescent="0.25">
      <c r="A1858" s="1">
        <v>43878</v>
      </c>
      <c r="B1858">
        <v>2409</v>
      </c>
      <c r="C1858">
        <v>2431</v>
      </c>
      <c r="D1858">
        <v>2385</v>
      </c>
      <c r="E1858">
        <v>2394.85</v>
      </c>
      <c r="F1858">
        <v>2887941</v>
      </c>
      <c r="G1858" s="4">
        <f t="shared" si="393"/>
        <v>0</v>
      </c>
      <c r="H1858" s="4">
        <f t="shared" si="394"/>
        <v>11.450000000000273</v>
      </c>
      <c r="I1858" s="6">
        <f t="shared" si="399"/>
        <v>13.932142857142837</v>
      </c>
      <c r="J1858" s="6">
        <f t="shared" si="400"/>
        <v>26.078571428571422</v>
      </c>
      <c r="K1858" s="4">
        <f t="shared" si="401"/>
        <v>0.5342371952889613</v>
      </c>
      <c r="L1858">
        <f t="shared" si="402"/>
        <v>34.821030081228216</v>
      </c>
      <c r="M1858" s="14" t="str">
        <f t="shared" si="395"/>
        <v/>
      </c>
      <c r="N1858" s="7">
        <f t="shared" si="396"/>
        <v>0</v>
      </c>
      <c r="O1858" s="7">
        <f t="shared" si="403"/>
        <v>0</v>
      </c>
      <c r="P1858" s="7">
        <f t="shared" si="404"/>
        <v>-1</v>
      </c>
      <c r="Q1858" s="10" t="e">
        <f t="shared" si="397"/>
        <v>#N/A</v>
      </c>
      <c r="R1858" s="10" t="e">
        <f t="shared" si="398"/>
        <v>#N/A</v>
      </c>
      <c r="S1858" s="7">
        <f t="shared" si="405"/>
        <v>2429.15</v>
      </c>
      <c r="T1858" s="7">
        <f t="shared" si="406"/>
        <v>0</v>
      </c>
    </row>
    <row r="1859" spans="1:20" x14ac:dyDescent="0.25">
      <c r="A1859" s="1">
        <v>43879</v>
      </c>
      <c r="B1859">
        <v>2399.4</v>
      </c>
      <c r="C1859">
        <v>2413.9499999999998</v>
      </c>
      <c r="D1859">
        <v>2354</v>
      </c>
      <c r="E1859">
        <v>2361.6999999999998</v>
      </c>
      <c r="F1859">
        <v>712378</v>
      </c>
      <c r="G1859" s="4">
        <f t="shared" si="393"/>
        <v>0</v>
      </c>
      <c r="H1859" s="4">
        <f t="shared" si="394"/>
        <v>33.150000000000091</v>
      </c>
      <c r="I1859" s="6">
        <f t="shared" si="399"/>
        <v>11.142857142857142</v>
      </c>
      <c r="J1859" s="6">
        <f t="shared" si="400"/>
        <v>28.446428571428573</v>
      </c>
      <c r="K1859" s="4">
        <f t="shared" si="401"/>
        <v>0.39171374764595102</v>
      </c>
      <c r="L1859">
        <f t="shared" si="402"/>
        <v>28.146143437077143</v>
      </c>
      <c r="M1859" s="14" t="str">
        <f t="shared" si="395"/>
        <v>OVERSOLD</v>
      </c>
      <c r="N1859" s="7" t="str">
        <f t="shared" si="396"/>
        <v>BUY</v>
      </c>
      <c r="O1859" s="7" t="str">
        <f t="shared" si="403"/>
        <v>BUY</v>
      </c>
      <c r="P1859" s="7">
        <f t="shared" si="404"/>
        <v>1</v>
      </c>
      <c r="Q1859" s="10">
        <f t="shared" si="397"/>
        <v>2361.6999999999998</v>
      </c>
      <c r="R1859" s="10" t="e">
        <f t="shared" si="398"/>
        <v>#N/A</v>
      </c>
      <c r="S1859" s="7">
        <f t="shared" si="405"/>
        <v>2361.6999999999998</v>
      </c>
      <c r="T1859" s="7">
        <f t="shared" si="406"/>
        <v>2.7766914352757247E-2</v>
      </c>
    </row>
    <row r="1860" spans="1:20" x14ac:dyDescent="0.25">
      <c r="A1860" s="1">
        <v>43880</v>
      </c>
      <c r="B1860">
        <v>2350.6</v>
      </c>
      <c r="C1860">
        <v>2384.6999999999998</v>
      </c>
      <c r="D1860">
        <v>2331.6</v>
      </c>
      <c r="E1860">
        <v>2342.85</v>
      </c>
      <c r="F1860">
        <v>987165</v>
      </c>
      <c r="G1860" s="4">
        <f t="shared" ref="G1860:G1923" si="407">IF(E1860&gt;E1859,E1860-E1859,0)</f>
        <v>0</v>
      </c>
      <c r="H1860" s="4">
        <f t="shared" ref="H1860:H1923" si="408">IF(E1860&lt;E1859,E1859-E1860,0)</f>
        <v>18.849999999999909</v>
      </c>
      <c r="I1860" s="6">
        <f t="shared" si="399"/>
        <v>4.5678571428571297</v>
      </c>
      <c r="J1860" s="6">
        <f t="shared" si="400"/>
        <v>29.792857142857137</v>
      </c>
      <c r="K1860" s="4">
        <f t="shared" si="401"/>
        <v>0.15332054663150282</v>
      </c>
      <c r="L1860">
        <f t="shared" si="402"/>
        <v>13.293836399542641</v>
      </c>
      <c r="M1860" s="14" t="str">
        <f t="shared" si="395"/>
        <v>OVERSOLD</v>
      </c>
      <c r="N1860" s="7" t="str">
        <f t="shared" si="396"/>
        <v>BUY</v>
      </c>
      <c r="O1860" s="7">
        <f t="shared" si="403"/>
        <v>0</v>
      </c>
      <c r="P1860" s="7">
        <f t="shared" si="404"/>
        <v>1</v>
      </c>
      <c r="Q1860" s="10" t="e">
        <f t="shared" si="397"/>
        <v>#N/A</v>
      </c>
      <c r="R1860" s="10" t="e">
        <f t="shared" si="398"/>
        <v>#N/A</v>
      </c>
      <c r="S1860" s="7">
        <f t="shared" si="405"/>
        <v>2361.6999999999998</v>
      </c>
      <c r="T1860" s="7">
        <f t="shared" si="406"/>
        <v>0</v>
      </c>
    </row>
    <row r="1861" spans="1:20" x14ac:dyDescent="0.25">
      <c r="A1861" s="1">
        <v>43881</v>
      </c>
      <c r="B1861">
        <v>2349.9</v>
      </c>
      <c r="C1861">
        <v>2358</v>
      </c>
      <c r="D1861">
        <v>2335</v>
      </c>
      <c r="E1861">
        <v>2350.0500000000002</v>
      </c>
      <c r="F1861">
        <v>894863</v>
      </c>
      <c r="G1861" s="4">
        <f t="shared" si="407"/>
        <v>7.2000000000002728</v>
      </c>
      <c r="H1861" s="4">
        <f t="shared" si="408"/>
        <v>0</v>
      </c>
      <c r="I1861" s="6">
        <f t="shared" si="399"/>
        <v>5.0821428571428635</v>
      </c>
      <c r="J1861" s="6">
        <f t="shared" si="400"/>
        <v>24.024999999999995</v>
      </c>
      <c r="K1861" s="4">
        <f t="shared" si="401"/>
        <v>0.21153560279470821</v>
      </c>
      <c r="L1861">
        <f t="shared" si="402"/>
        <v>17.460122699386517</v>
      </c>
      <c r="M1861" s="14" t="str">
        <f t="shared" si="395"/>
        <v>OVERSOLD</v>
      </c>
      <c r="N1861" s="7" t="str">
        <f t="shared" si="396"/>
        <v>BUY</v>
      </c>
      <c r="O1861" s="7">
        <f t="shared" si="403"/>
        <v>0</v>
      </c>
      <c r="P1861" s="7">
        <f t="shared" si="404"/>
        <v>1</v>
      </c>
      <c r="Q1861" s="10" t="e">
        <f t="shared" si="397"/>
        <v>#N/A</v>
      </c>
      <c r="R1861" s="10" t="e">
        <f t="shared" si="398"/>
        <v>#N/A</v>
      </c>
      <c r="S1861" s="7">
        <f t="shared" si="405"/>
        <v>2361.6999999999998</v>
      </c>
      <c r="T1861" s="7">
        <f t="shared" si="406"/>
        <v>0</v>
      </c>
    </row>
    <row r="1862" spans="1:20" x14ac:dyDescent="0.25">
      <c r="A1862" s="1">
        <v>43882</v>
      </c>
      <c r="B1862">
        <v>2359</v>
      </c>
      <c r="C1862">
        <v>2372.0500000000002</v>
      </c>
      <c r="D1862">
        <v>2323.1</v>
      </c>
      <c r="E1862">
        <v>2333.25</v>
      </c>
      <c r="F1862">
        <v>1235913</v>
      </c>
      <c r="G1862" s="4">
        <f t="shared" si="407"/>
        <v>0</v>
      </c>
      <c r="H1862" s="4">
        <f t="shared" si="408"/>
        <v>16.800000000000182</v>
      </c>
      <c r="I1862" s="6">
        <f t="shared" si="399"/>
        <v>5.0821428571428635</v>
      </c>
      <c r="J1862" s="6">
        <f t="shared" si="400"/>
        <v>18.535714285714285</v>
      </c>
      <c r="K1862" s="4">
        <f t="shared" si="401"/>
        <v>0.27418111753371904</v>
      </c>
      <c r="L1862">
        <f t="shared" si="402"/>
        <v>21.518221684560729</v>
      </c>
      <c r="M1862" s="14" t="str">
        <f t="shared" si="395"/>
        <v>OVERSOLD</v>
      </c>
      <c r="N1862" s="7" t="str">
        <f t="shared" si="396"/>
        <v>BUY</v>
      </c>
      <c r="O1862" s="7">
        <f t="shared" si="403"/>
        <v>0</v>
      </c>
      <c r="P1862" s="7">
        <f t="shared" si="404"/>
        <v>1</v>
      </c>
      <c r="Q1862" s="10" t="e">
        <f t="shared" si="397"/>
        <v>#N/A</v>
      </c>
      <c r="R1862" s="10" t="e">
        <f t="shared" si="398"/>
        <v>#N/A</v>
      </c>
      <c r="S1862" s="7">
        <f t="shared" si="405"/>
        <v>2361.6999999999998</v>
      </c>
      <c r="T1862" s="7">
        <f t="shared" si="406"/>
        <v>0</v>
      </c>
    </row>
    <row r="1863" spans="1:20" x14ac:dyDescent="0.25">
      <c r="A1863" s="1">
        <v>43885</v>
      </c>
      <c r="B1863">
        <v>2324.4</v>
      </c>
      <c r="C1863">
        <v>2377</v>
      </c>
      <c r="D1863">
        <v>2323.1</v>
      </c>
      <c r="E1863">
        <v>2362.35</v>
      </c>
      <c r="F1863">
        <v>876924</v>
      </c>
      <c r="G1863" s="4">
        <f t="shared" si="407"/>
        <v>29.099999999999909</v>
      </c>
      <c r="H1863" s="4">
        <f t="shared" si="408"/>
        <v>0</v>
      </c>
      <c r="I1863" s="6">
        <f t="shared" si="399"/>
        <v>7.1607142857142856</v>
      </c>
      <c r="J1863" s="6">
        <f t="shared" si="400"/>
        <v>17.492857142857151</v>
      </c>
      <c r="K1863" s="4">
        <f t="shared" si="401"/>
        <v>0.40935075541037136</v>
      </c>
      <c r="L1863">
        <f t="shared" si="402"/>
        <v>29.04534260466464</v>
      </c>
      <c r="M1863" s="14" t="str">
        <f t="shared" si="395"/>
        <v>OVERSOLD</v>
      </c>
      <c r="N1863" s="7" t="str">
        <f t="shared" si="396"/>
        <v>BUY</v>
      </c>
      <c r="O1863" s="7">
        <f t="shared" si="403"/>
        <v>0</v>
      </c>
      <c r="P1863" s="7">
        <f t="shared" si="404"/>
        <v>1</v>
      </c>
      <c r="Q1863" s="10" t="e">
        <f t="shared" si="397"/>
        <v>#N/A</v>
      </c>
      <c r="R1863" s="10" t="e">
        <f t="shared" si="398"/>
        <v>#N/A</v>
      </c>
      <c r="S1863" s="7">
        <f t="shared" si="405"/>
        <v>2361.6999999999998</v>
      </c>
      <c r="T1863" s="7">
        <f t="shared" si="406"/>
        <v>0</v>
      </c>
    </row>
    <row r="1864" spans="1:20" x14ac:dyDescent="0.25">
      <c r="A1864" s="1">
        <v>43886</v>
      </c>
      <c r="B1864">
        <v>2357.4</v>
      </c>
      <c r="C1864">
        <v>2383.0500000000002</v>
      </c>
      <c r="D1864">
        <v>2343.1</v>
      </c>
      <c r="E1864">
        <v>2373.6</v>
      </c>
      <c r="F1864">
        <v>737978</v>
      </c>
      <c r="G1864" s="4">
        <f t="shared" si="407"/>
        <v>11.25</v>
      </c>
      <c r="H1864" s="4">
        <f t="shared" si="408"/>
        <v>0</v>
      </c>
      <c r="I1864" s="6">
        <f t="shared" si="399"/>
        <v>7.9642857142857144</v>
      </c>
      <c r="J1864" s="6">
        <f t="shared" si="400"/>
        <v>16.078571428571422</v>
      </c>
      <c r="K1864" s="4">
        <f t="shared" si="401"/>
        <v>0.49533540648600644</v>
      </c>
      <c r="L1864">
        <f t="shared" si="402"/>
        <v>33.125371360665497</v>
      </c>
      <c r="M1864" s="14" t="str">
        <f t="shared" si="395"/>
        <v/>
      </c>
      <c r="N1864" s="7">
        <f t="shared" si="396"/>
        <v>0</v>
      </c>
      <c r="O1864" s="7">
        <f t="shared" si="403"/>
        <v>0</v>
      </c>
      <c r="P1864" s="7">
        <f t="shared" si="404"/>
        <v>1</v>
      </c>
      <c r="Q1864" s="10" t="e">
        <f t="shared" si="397"/>
        <v>#N/A</v>
      </c>
      <c r="R1864" s="10" t="e">
        <f t="shared" si="398"/>
        <v>#N/A</v>
      </c>
      <c r="S1864" s="7">
        <f t="shared" si="405"/>
        <v>2361.6999999999998</v>
      </c>
      <c r="T1864" s="7">
        <f t="shared" si="406"/>
        <v>0</v>
      </c>
    </row>
    <row r="1865" spans="1:20" x14ac:dyDescent="0.25">
      <c r="A1865" s="1">
        <v>43887</v>
      </c>
      <c r="B1865">
        <v>2373.3000000000002</v>
      </c>
      <c r="C1865">
        <v>2380.4499999999998</v>
      </c>
      <c r="D1865">
        <v>2350.0500000000002</v>
      </c>
      <c r="E1865">
        <v>2366.85</v>
      </c>
      <c r="F1865">
        <v>607567</v>
      </c>
      <c r="G1865" s="4">
        <f t="shared" si="407"/>
        <v>0</v>
      </c>
      <c r="H1865" s="4">
        <f t="shared" si="408"/>
        <v>6.75</v>
      </c>
      <c r="I1865" s="6">
        <f t="shared" si="399"/>
        <v>7.9642857142857144</v>
      </c>
      <c r="J1865" s="6">
        <f t="shared" si="400"/>
        <v>14.014285714285734</v>
      </c>
      <c r="K1865" s="4">
        <f t="shared" si="401"/>
        <v>0.56829765545361799</v>
      </c>
      <c r="L1865">
        <f t="shared" si="402"/>
        <v>36.236594085147836</v>
      </c>
      <c r="M1865" s="14" t="str">
        <f t="shared" si="395"/>
        <v/>
      </c>
      <c r="N1865" s="7">
        <f t="shared" si="396"/>
        <v>0</v>
      </c>
      <c r="O1865" s="7">
        <f t="shared" si="403"/>
        <v>0</v>
      </c>
      <c r="P1865" s="7">
        <f t="shared" si="404"/>
        <v>1</v>
      </c>
      <c r="Q1865" s="10" t="e">
        <f t="shared" si="397"/>
        <v>#N/A</v>
      </c>
      <c r="R1865" s="10" t="e">
        <f t="shared" si="398"/>
        <v>#N/A</v>
      </c>
      <c r="S1865" s="7">
        <f t="shared" si="405"/>
        <v>2361.6999999999998</v>
      </c>
      <c r="T1865" s="7">
        <f t="shared" si="406"/>
        <v>0</v>
      </c>
    </row>
    <row r="1866" spans="1:20" x14ac:dyDescent="0.25">
      <c r="A1866" s="1">
        <v>43888</v>
      </c>
      <c r="B1866">
        <v>2360.8000000000002</v>
      </c>
      <c r="C1866">
        <v>2365</v>
      </c>
      <c r="D1866">
        <v>2345</v>
      </c>
      <c r="E1866">
        <v>2356</v>
      </c>
      <c r="F1866">
        <v>407928</v>
      </c>
      <c r="G1866" s="4">
        <f t="shared" si="407"/>
        <v>0</v>
      </c>
      <c r="H1866" s="4">
        <f t="shared" si="408"/>
        <v>10.849999999999909</v>
      </c>
      <c r="I1866" s="6">
        <f t="shared" si="399"/>
        <v>6.6321428571428829</v>
      </c>
      <c r="J1866" s="6">
        <f t="shared" si="400"/>
        <v>14.789285714285727</v>
      </c>
      <c r="K1866" s="4">
        <f t="shared" si="401"/>
        <v>0.44844240521613271</v>
      </c>
      <c r="L1866">
        <f t="shared" si="402"/>
        <v>30.960320106702298</v>
      </c>
      <c r="M1866" s="14" t="str">
        <f t="shared" si="395"/>
        <v/>
      </c>
      <c r="N1866" s="7">
        <f t="shared" si="396"/>
        <v>0</v>
      </c>
      <c r="O1866" s="7">
        <f t="shared" si="403"/>
        <v>0</v>
      </c>
      <c r="P1866" s="7">
        <f t="shared" si="404"/>
        <v>1</v>
      </c>
      <c r="Q1866" s="10" t="e">
        <f t="shared" si="397"/>
        <v>#N/A</v>
      </c>
      <c r="R1866" s="10" t="e">
        <f t="shared" si="398"/>
        <v>#N/A</v>
      </c>
      <c r="S1866" s="7">
        <f t="shared" si="405"/>
        <v>2361.6999999999998</v>
      </c>
      <c r="T1866" s="7">
        <f t="shared" si="406"/>
        <v>0</v>
      </c>
    </row>
    <row r="1867" spans="1:20" x14ac:dyDescent="0.25">
      <c r="A1867" s="1">
        <v>43889</v>
      </c>
      <c r="B1867">
        <v>2359</v>
      </c>
      <c r="C1867">
        <v>2361.9</v>
      </c>
      <c r="D1867">
        <v>2340.1</v>
      </c>
      <c r="E1867">
        <v>2347.5500000000002</v>
      </c>
      <c r="F1867">
        <v>513394</v>
      </c>
      <c r="G1867" s="4">
        <f t="shared" si="407"/>
        <v>0</v>
      </c>
      <c r="H1867" s="4">
        <f t="shared" si="408"/>
        <v>8.4499999999998181</v>
      </c>
      <c r="I1867" s="6">
        <f t="shared" si="399"/>
        <v>6.6321428571428829</v>
      </c>
      <c r="J1867" s="6">
        <f t="shared" si="400"/>
        <v>11.178571428571429</v>
      </c>
      <c r="K1867" s="4">
        <f t="shared" si="401"/>
        <v>0.59329073482428341</v>
      </c>
      <c r="L1867">
        <f t="shared" si="402"/>
        <v>37.236815720874361</v>
      </c>
      <c r="M1867" s="14" t="str">
        <f t="shared" si="395"/>
        <v/>
      </c>
      <c r="N1867" s="7">
        <f t="shared" si="396"/>
        <v>0</v>
      </c>
      <c r="O1867" s="7">
        <f t="shared" si="403"/>
        <v>0</v>
      </c>
      <c r="P1867" s="7">
        <f t="shared" si="404"/>
        <v>1</v>
      </c>
      <c r="Q1867" s="10" t="e">
        <f t="shared" si="397"/>
        <v>#N/A</v>
      </c>
      <c r="R1867" s="10" t="e">
        <f t="shared" si="398"/>
        <v>#N/A</v>
      </c>
      <c r="S1867" s="7">
        <f t="shared" si="405"/>
        <v>2361.6999999999998</v>
      </c>
      <c r="T1867" s="7">
        <f t="shared" si="406"/>
        <v>0</v>
      </c>
    </row>
    <row r="1868" spans="1:20" x14ac:dyDescent="0.25">
      <c r="A1868" s="1">
        <v>43892</v>
      </c>
      <c r="B1868">
        <v>2350</v>
      </c>
      <c r="C1868">
        <v>2356.4499999999998</v>
      </c>
      <c r="D1868">
        <v>2325.5</v>
      </c>
      <c r="E1868">
        <v>2331.9499999999998</v>
      </c>
      <c r="F1868">
        <v>616045</v>
      </c>
      <c r="G1868" s="4">
        <f t="shared" si="407"/>
        <v>0</v>
      </c>
      <c r="H1868" s="4">
        <f t="shared" si="408"/>
        <v>15.600000000000364</v>
      </c>
      <c r="I1868" s="6">
        <f t="shared" si="399"/>
        <v>6.6321428571428829</v>
      </c>
      <c r="J1868" s="6">
        <f t="shared" si="400"/>
        <v>11.471428571428598</v>
      </c>
      <c r="K1868" s="4">
        <f t="shared" si="401"/>
        <v>0.57814445828144545</v>
      </c>
      <c r="L1868">
        <f t="shared" si="402"/>
        <v>36.63444466364178</v>
      </c>
      <c r="M1868" s="14" t="str">
        <f t="shared" si="395"/>
        <v/>
      </c>
      <c r="N1868" s="7">
        <f t="shared" si="396"/>
        <v>0</v>
      </c>
      <c r="O1868" s="7">
        <f t="shared" si="403"/>
        <v>0</v>
      </c>
      <c r="P1868" s="7">
        <f t="shared" si="404"/>
        <v>1</v>
      </c>
      <c r="Q1868" s="10" t="e">
        <f t="shared" si="397"/>
        <v>#N/A</v>
      </c>
      <c r="R1868" s="10" t="e">
        <f t="shared" si="398"/>
        <v>#N/A</v>
      </c>
      <c r="S1868" s="7">
        <f t="shared" si="405"/>
        <v>2361.6999999999998</v>
      </c>
      <c r="T1868" s="7">
        <f t="shared" si="406"/>
        <v>0</v>
      </c>
    </row>
    <row r="1869" spans="1:20" x14ac:dyDescent="0.25">
      <c r="A1869" s="1">
        <v>43893</v>
      </c>
      <c r="B1869">
        <v>2341</v>
      </c>
      <c r="C1869">
        <v>2444.9</v>
      </c>
      <c r="D1869">
        <v>2341</v>
      </c>
      <c r="E1869">
        <v>2434.9499999999998</v>
      </c>
      <c r="F1869">
        <v>398392</v>
      </c>
      <c r="G1869" s="4">
        <f t="shared" si="407"/>
        <v>103</v>
      </c>
      <c r="H1869" s="4">
        <f t="shared" si="408"/>
        <v>0</v>
      </c>
      <c r="I1869" s="6">
        <f t="shared" si="399"/>
        <v>11.703571428571454</v>
      </c>
      <c r="J1869" s="6">
        <f t="shared" si="400"/>
        <v>11.471428571428598</v>
      </c>
      <c r="K1869" s="4">
        <f t="shared" si="401"/>
        <v>1.0202366127023659</v>
      </c>
      <c r="L1869">
        <f t="shared" si="402"/>
        <v>50.500847588226222</v>
      </c>
      <c r="M1869" s="14" t="str">
        <f t="shared" si="395"/>
        <v/>
      </c>
      <c r="N1869" s="7">
        <f t="shared" si="396"/>
        <v>0</v>
      </c>
      <c r="O1869" s="7">
        <f t="shared" si="403"/>
        <v>0</v>
      </c>
      <c r="P1869" s="7">
        <f t="shared" si="404"/>
        <v>1</v>
      </c>
      <c r="Q1869" s="10" t="e">
        <f t="shared" si="397"/>
        <v>#N/A</v>
      </c>
      <c r="R1869" s="10" t="e">
        <f t="shared" si="398"/>
        <v>#N/A</v>
      </c>
      <c r="S1869" s="7">
        <f t="shared" si="405"/>
        <v>2361.6999999999998</v>
      </c>
      <c r="T1869" s="7">
        <f t="shared" si="406"/>
        <v>0</v>
      </c>
    </row>
    <row r="1870" spans="1:20" x14ac:dyDescent="0.25">
      <c r="A1870" s="1">
        <v>43894</v>
      </c>
      <c r="B1870">
        <v>2426</v>
      </c>
      <c r="C1870">
        <v>2514.8000000000002</v>
      </c>
      <c r="D1870">
        <v>2426</v>
      </c>
      <c r="E1870">
        <v>2475.8000000000002</v>
      </c>
      <c r="F1870">
        <v>1768752</v>
      </c>
      <c r="G1870" s="4">
        <f t="shared" si="407"/>
        <v>40.850000000000364</v>
      </c>
      <c r="H1870" s="4">
        <f t="shared" si="408"/>
        <v>0</v>
      </c>
      <c r="I1870" s="6">
        <f t="shared" si="399"/>
        <v>13.67142857142861</v>
      </c>
      <c r="J1870" s="6">
        <f t="shared" si="400"/>
        <v>11.471428571428598</v>
      </c>
      <c r="K1870" s="4">
        <f t="shared" si="401"/>
        <v>1.1917808219178088</v>
      </c>
      <c r="L1870">
        <f t="shared" si="402"/>
        <v>54.375000000000014</v>
      </c>
      <c r="M1870" s="14" t="str">
        <f t="shared" si="395"/>
        <v/>
      </c>
      <c r="N1870" s="7">
        <f t="shared" si="396"/>
        <v>0</v>
      </c>
      <c r="O1870" s="7">
        <f t="shared" si="403"/>
        <v>0</v>
      </c>
      <c r="P1870" s="7">
        <f t="shared" si="404"/>
        <v>1</v>
      </c>
      <c r="Q1870" s="10" t="e">
        <f t="shared" si="397"/>
        <v>#N/A</v>
      </c>
      <c r="R1870" s="10" t="e">
        <f t="shared" si="398"/>
        <v>#N/A</v>
      </c>
      <c r="S1870" s="7">
        <f t="shared" si="405"/>
        <v>2361.6999999999998</v>
      </c>
      <c r="T1870" s="7">
        <f t="shared" si="406"/>
        <v>0</v>
      </c>
    </row>
    <row r="1871" spans="1:20" x14ac:dyDescent="0.25">
      <c r="A1871" s="1">
        <v>43895</v>
      </c>
      <c r="B1871">
        <v>2482.5</v>
      </c>
      <c r="C1871">
        <v>2483.3000000000002</v>
      </c>
      <c r="D1871">
        <v>2430.1</v>
      </c>
      <c r="E1871">
        <v>2439.4499999999998</v>
      </c>
      <c r="F1871">
        <v>1323225</v>
      </c>
      <c r="G1871" s="4">
        <f t="shared" si="407"/>
        <v>0</v>
      </c>
      <c r="H1871" s="4">
        <f t="shared" si="408"/>
        <v>36.350000000000364</v>
      </c>
      <c r="I1871" s="6">
        <f t="shared" si="399"/>
        <v>13.67142857142861</v>
      </c>
      <c r="J1871" s="6">
        <f t="shared" si="400"/>
        <v>11.303571428571493</v>
      </c>
      <c r="K1871" s="4">
        <f t="shared" si="401"/>
        <v>1.2094786729857785</v>
      </c>
      <c r="L1871">
        <f t="shared" si="402"/>
        <v>54.740454740454666</v>
      </c>
      <c r="M1871" s="14" t="str">
        <f t="shared" si="395"/>
        <v/>
      </c>
      <c r="N1871" s="7">
        <f t="shared" si="396"/>
        <v>0</v>
      </c>
      <c r="O1871" s="7">
        <f t="shared" si="403"/>
        <v>0</v>
      </c>
      <c r="P1871" s="7">
        <f t="shared" si="404"/>
        <v>1</v>
      </c>
      <c r="Q1871" s="10" t="e">
        <f t="shared" si="397"/>
        <v>#N/A</v>
      </c>
      <c r="R1871" s="10" t="e">
        <f t="shared" si="398"/>
        <v>#N/A</v>
      </c>
      <c r="S1871" s="7">
        <f t="shared" si="405"/>
        <v>2361.6999999999998</v>
      </c>
      <c r="T1871" s="7">
        <f t="shared" si="406"/>
        <v>0</v>
      </c>
    </row>
    <row r="1872" spans="1:20" x14ac:dyDescent="0.25">
      <c r="A1872" s="1">
        <v>43896</v>
      </c>
      <c r="B1872">
        <v>2445</v>
      </c>
      <c r="C1872">
        <v>2472</v>
      </c>
      <c r="D1872">
        <v>2426.6</v>
      </c>
      <c r="E1872">
        <v>2446.4</v>
      </c>
      <c r="F1872">
        <v>1565980</v>
      </c>
      <c r="G1872" s="4">
        <f t="shared" si="407"/>
        <v>6.9500000000002728</v>
      </c>
      <c r="H1872" s="4">
        <f t="shared" si="408"/>
        <v>0</v>
      </c>
      <c r="I1872" s="6">
        <f t="shared" si="399"/>
        <v>14.167857142857201</v>
      </c>
      <c r="J1872" s="6">
        <f t="shared" si="400"/>
        <v>10.485714285714332</v>
      </c>
      <c r="K1872" s="4">
        <f t="shared" si="401"/>
        <v>1.3511580381471386</v>
      </c>
      <c r="L1872">
        <f t="shared" si="402"/>
        <v>57.467767637259158</v>
      </c>
      <c r="M1872" s="14" t="str">
        <f t="shared" ref="M1872:M1935" si="409">IF(L1872&gt;RSI_Overbought,"OVERBOUGHT",IF(L1872&lt;RSI_Oversold,"OVERSOLD",""))</f>
        <v/>
      </c>
      <c r="N1872" s="7">
        <f t="shared" ref="N1872:N1935" si="410">IF(L1872&gt;RSI_Overbought,"SELL",IF(L1872&lt;RSI_Oversold,"BUY",0))</f>
        <v>0</v>
      </c>
      <c r="O1872" s="7">
        <f t="shared" si="403"/>
        <v>0</v>
      </c>
      <c r="P1872" s="7">
        <f t="shared" si="404"/>
        <v>1</v>
      </c>
      <c r="Q1872" s="10" t="e">
        <f t="shared" ref="Q1872:Q1935" si="411">IF($O1872="BUY",$E1872,NA())</f>
        <v>#N/A</v>
      </c>
      <c r="R1872" s="10" t="e">
        <f t="shared" ref="R1872:R1935" si="412">IF($O1872="SELL",$E1872,NA())</f>
        <v>#N/A</v>
      </c>
      <c r="S1872" s="7">
        <f t="shared" si="405"/>
        <v>2361.6999999999998</v>
      </c>
      <c r="T1872" s="7">
        <f t="shared" si="406"/>
        <v>0</v>
      </c>
    </row>
    <row r="1873" spans="1:20" x14ac:dyDescent="0.25">
      <c r="A1873" s="1">
        <v>43899</v>
      </c>
      <c r="B1873">
        <v>2383</v>
      </c>
      <c r="C1873">
        <v>2425</v>
      </c>
      <c r="D1873">
        <v>2375</v>
      </c>
      <c r="E1873">
        <v>2397.4499999999998</v>
      </c>
      <c r="F1873">
        <v>2254216</v>
      </c>
      <c r="G1873" s="4">
        <f t="shared" si="407"/>
        <v>0</v>
      </c>
      <c r="H1873" s="4">
        <f t="shared" si="408"/>
        <v>48.950000000000273</v>
      </c>
      <c r="I1873" s="6">
        <f t="shared" ref="I1873:I1936" si="413">AVERAGE(G1860:G1873)</f>
        <v>14.167857142857201</v>
      </c>
      <c r="J1873" s="6">
        <f t="shared" ref="J1873:J1936" si="414">AVERAGE(H1860:H1873)</f>
        <v>11.614285714285772</v>
      </c>
      <c r="K1873" s="4">
        <f t="shared" ref="K1873:K1936" si="415">I1873/J1873</f>
        <v>1.2198646986469854</v>
      </c>
      <c r="L1873">
        <f t="shared" ref="L1873:L1936" si="416">100-(100/(K1873+1))</f>
        <v>54.95220944729185</v>
      </c>
      <c r="M1873" s="14" t="str">
        <f t="shared" si="409"/>
        <v/>
      </c>
      <c r="N1873" s="7">
        <f t="shared" si="410"/>
        <v>0</v>
      </c>
      <c r="O1873" s="7">
        <f t="shared" ref="O1873:O1936" si="417">IF(AND(N1873="BUY",P1872&lt;&gt;1),"BUY",IF(AND(N1873="SELL",P1872&lt;&gt;-1),"SELL",0))</f>
        <v>0</v>
      </c>
      <c r="P1873" s="7">
        <f t="shared" ref="P1873:P1936" si="418">IF(O1873="BUY",1,IF(O1873="SELL",-1,P1872))</f>
        <v>1</v>
      </c>
      <c r="Q1873" s="10" t="e">
        <f t="shared" si="411"/>
        <v>#N/A</v>
      </c>
      <c r="R1873" s="10" t="e">
        <f t="shared" si="412"/>
        <v>#N/A</v>
      </c>
      <c r="S1873" s="7">
        <f t="shared" ref="S1873:S1936" si="419">IF(O1873&lt;&gt;0,E1873,S1872)</f>
        <v>2361.6999999999998</v>
      </c>
      <c r="T1873" s="7">
        <f t="shared" si="406"/>
        <v>0</v>
      </c>
    </row>
    <row r="1874" spans="1:20" x14ac:dyDescent="0.25">
      <c r="A1874" s="1">
        <v>43900</v>
      </c>
      <c r="B1874">
        <v>2397.6999999999998</v>
      </c>
      <c r="C1874">
        <v>2422.1</v>
      </c>
      <c r="D1874">
        <v>2382.1999999999998</v>
      </c>
      <c r="E1874">
        <v>2395.4499999999998</v>
      </c>
      <c r="F1874">
        <v>1105911</v>
      </c>
      <c r="G1874" s="4">
        <f t="shared" si="407"/>
        <v>0</v>
      </c>
      <c r="H1874" s="4">
        <f t="shared" si="408"/>
        <v>2</v>
      </c>
      <c r="I1874" s="6">
        <f t="shared" si="413"/>
        <v>14.167857142857201</v>
      </c>
      <c r="J1874" s="6">
        <f t="shared" si="414"/>
        <v>10.41071428571435</v>
      </c>
      <c r="K1874" s="4">
        <f t="shared" si="415"/>
        <v>1.3608919382504259</v>
      </c>
      <c r="L1874">
        <f t="shared" si="416"/>
        <v>57.643126997965652</v>
      </c>
      <c r="M1874" s="14" t="str">
        <f t="shared" si="409"/>
        <v/>
      </c>
      <c r="N1874" s="7">
        <f t="shared" si="410"/>
        <v>0</v>
      </c>
      <c r="O1874" s="7">
        <f t="shared" si="417"/>
        <v>0</v>
      </c>
      <c r="P1874" s="7">
        <f t="shared" si="418"/>
        <v>1</v>
      </c>
      <c r="Q1874" s="10" t="e">
        <f t="shared" si="411"/>
        <v>#N/A</v>
      </c>
      <c r="R1874" s="10" t="e">
        <f t="shared" si="412"/>
        <v>#N/A</v>
      </c>
      <c r="S1874" s="7">
        <f t="shared" si="419"/>
        <v>2361.6999999999998</v>
      </c>
      <c r="T1874" s="7">
        <f t="shared" si="406"/>
        <v>0</v>
      </c>
    </row>
    <row r="1875" spans="1:20" x14ac:dyDescent="0.25">
      <c r="A1875" s="1">
        <v>43901</v>
      </c>
      <c r="B1875">
        <v>2396.15</v>
      </c>
      <c r="C1875">
        <v>2443</v>
      </c>
      <c r="D1875">
        <v>2396.15</v>
      </c>
      <c r="E1875">
        <v>2408.35</v>
      </c>
      <c r="F1875">
        <v>954001</v>
      </c>
      <c r="G1875" s="4">
        <f t="shared" si="407"/>
        <v>12.900000000000091</v>
      </c>
      <c r="H1875" s="4">
        <f t="shared" si="408"/>
        <v>0</v>
      </c>
      <c r="I1875" s="6">
        <f t="shared" si="413"/>
        <v>14.575000000000045</v>
      </c>
      <c r="J1875" s="6">
        <f t="shared" si="414"/>
        <v>10.41071428571435</v>
      </c>
      <c r="K1875" s="4">
        <f t="shared" si="415"/>
        <v>1.3999999999999957</v>
      </c>
      <c r="L1875">
        <f t="shared" si="416"/>
        <v>58.333333333333265</v>
      </c>
      <c r="M1875" s="14" t="str">
        <f t="shared" si="409"/>
        <v/>
      </c>
      <c r="N1875" s="7">
        <f t="shared" si="410"/>
        <v>0</v>
      </c>
      <c r="O1875" s="7">
        <f t="shared" si="417"/>
        <v>0</v>
      </c>
      <c r="P1875" s="7">
        <f t="shared" si="418"/>
        <v>1</v>
      </c>
      <c r="Q1875" s="10" t="e">
        <f t="shared" si="411"/>
        <v>#N/A</v>
      </c>
      <c r="R1875" s="10" t="e">
        <f t="shared" si="412"/>
        <v>#N/A</v>
      </c>
      <c r="S1875" s="7">
        <f t="shared" si="419"/>
        <v>2361.6999999999998</v>
      </c>
      <c r="T1875" s="7">
        <f t="shared" si="406"/>
        <v>0</v>
      </c>
    </row>
    <row r="1876" spans="1:20" x14ac:dyDescent="0.25">
      <c r="A1876" s="1">
        <v>43902</v>
      </c>
      <c r="B1876">
        <v>2415.5</v>
      </c>
      <c r="C1876">
        <v>2460</v>
      </c>
      <c r="D1876">
        <v>2415.1</v>
      </c>
      <c r="E1876">
        <v>2449.6</v>
      </c>
      <c r="F1876">
        <v>1957788</v>
      </c>
      <c r="G1876" s="4">
        <f t="shared" si="407"/>
        <v>41.25</v>
      </c>
      <c r="H1876" s="4">
        <f t="shared" si="408"/>
        <v>0</v>
      </c>
      <c r="I1876" s="6">
        <f t="shared" si="413"/>
        <v>17.521428571428618</v>
      </c>
      <c r="J1876" s="6">
        <f t="shared" si="414"/>
        <v>9.2107142857143369</v>
      </c>
      <c r="K1876" s="4">
        <f t="shared" si="415"/>
        <v>1.9022877084141085</v>
      </c>
      <c r="L1876">
        <f t="shared" si="416"/>
        <v>65.544422177688645</v>
      </c>
      <c r="M1876" s="14" t="str">
        <f t="shared" si="409"/>
        <v/>
      </c>
      <c r="N1876" s="7">
        <f t="shared" si="410"/>
        <v>0</v>
      </c>
      <c r="O1876" s="7">
        <f t="shared" si="417"/>
        <v>0</v>
      </c>
      <c r="P1876" s="7">
        <f t="shared" si="418"/>
        <v>1</v>
      </c>
      <c r="Q1876" s="10" t="e">
        <f t="shared" si="411"/>
        <v>#N/A</v>
      </c>
      <c r="R1876" s="10" t="e">
        <f t="shared" si="412"/>
        <v>#N/A</v>
      </c>
      <c r="S1876" s="7">
        <f t="shared" si="419"/>
        <v>2361.6999999999998</v>
      </c>
      <c r="T1876" s="7">
        <f t="shared" si="406"/>
        <v>0</v>
      </c>
    </row>
    <row r="1877" spans="1:20" x14ac:dyDescent="0.25">
      <c r="A1877" s="1">
        <v>43903</v>
      </c>
      <c r="B1877">
        <v>2449.25</v>
      </c>
      <c r="C1877">
        <v>2456.9</v>
      </c>
      <c r="D1877">
        <v>2430.5</v>
      </c>
      <c r="E1877">
        <v>2444.6999999999998</v>
      </c>
      <c r="F1877">
        <v>591252</v>
      </c>
      <c r="G1877" s="4">
        <f t="shared" si="407"/>
        <v>0</v>
      </c>
      <c r="H1877" s="4">
        <f t="shared" si="408"/>
        <v>4.9000000000000909</v>
      </c>
      <c r="I1877" s="6">
        <f t="shared" si="413"/>
        <v>15.442857142857195</v>
      </c>
      <c r="J1877" s="6">
        <f t="shared" si="414"/>
        <v>9.5607142857143437</v>
      </c>
      <c r="K1877" s="4">
        <f t="shared" si="415"/>
        <v>1.6152409413522557</v>
      </c>
      <c r="L1877">
        <f t="shared" si="416"/>
        <v>61.762605342093927</v>
      </c>
      <c r="M1877" s="14" t="str">
        <f t="shared" si="409"/>
        <v/>
      </c>
      <c r="N1877" s="7">
        <f t="shared" si="410"/>
        <v>0</v>
      </c>
      <c r="O1877" s="7">
        <f t="shared" si="417"/>
        <v>0</v>
      </c>
      <c r="P1877" s="7">
        <f t="shared" si="418"/>
        <v>1</v>
      </c>
      <c r="Q1877" s="10" t="e">
        <f t="shared" si="411"/>
        <v>#N/A</v>
      </c>
      <c r="R1877" s="10" t="e">
        <f t="shared" si="412"/>
        <v>#N/A</v>
      </c>
      <c r="S1877" s="7">
        <f t="shared" si="419"/>
        <v>2361.6999999999998</v>
      </c>
      <c r="T1877" s="7">
        <f t="shared" si="406"/>
        <v>0</v>
      </c>
    </row>
    <row r="1878" spans="1:20" x14ac:dyDescent="0.25">
      <c r="A1878" s="1">
        <v>43906</v>
      </c>
      <c r="B1878">
        <v>2434.9</v>
      </c>
      <c r="C1878">
        <v>2500</v>
      </c>
      <c r="D1878">
        <v>2434.5500000000002</v>
      </c>
      <c r="E1878">
        <v>2491.1999999999998</v>
      </c>
      <c r="F1878">
        <v>1074208</v>
      </c>
      <c r="G1878" s="4">
        <f t="shared" si="407"/>
        <v>46.5</v>
      </c>
      <c r="H1878" s="4">
        <f t="shared" si="408"/>
        <v>0</v>
      </c>
      <c r="I1878" s="6">
        <f t="shared" si="413"/>
        <v>17.960714285714339</v>
      </c>
      <c r="J1878" s="6">
        <f t="shared" si="414"/>
        <v>9.5607142857143437</v>
      </c>
      <c r="K1878" s="4">
        <f t="shared" si="415"/>
        <v>1.8785954426596878</v>
      </c>
      <c r="L1878">
        <f t="shared" si="416"/>
        <v>65.260835712431799</v>
      </c>
      <c r="M1878" s="14" t="str">
        <f t="shared" si="409"/>
        <v/>
      </c>
      <c r="N1878" s="7">
        <f t="shared" si="410"/>
        <v>0</v>
      </c>
      <c r="O1878" s="7">
        <f t="shared" si="417"/>
        <v>0</v>
      </c>
      <c r="P1878" s="7">
        <f t="shared" si="418"/>
        <v>1</v>
      </c>
      <c r="Q1878" s="10" t="e">
        <f t="shared" si="411"/>
        <v>#N/A</v>
      </c>
      <c r="R1878" s="10" t="e">
        <f t="shared" si="412"/>
        <v>#N/A</v>
      </c>
      <c r="S1878" s="7">
        <f t="shared" si="419"/>
        <v>2361.6999999999998</v>
      </c>
      <c r="T1878" s="7">
        <f t="shared" si="406"/>
        <v>0</v>
      </c>
    </row>
    <row r="1879" spans="1:20" x14ac:dyDescent="0.25">
      <c r="A1879" s="1">
        <v>43907</v>
      </c>
      <c r="B1879">
        <v>2482</v>
      </c>
      <c r="C1879">
        <v>2540</v>
      </c>
      <c r="D1879">
        <v>2482</v>
      </c>
      <c r="E1879">
        <v>2530.6999999999998</v>
      </c>
      <c r="F1879">
        <v>1135701</v>
      </c>
      <c r="G1879" s="4">
        <f t="shared" si="407"/>
        <v>39.5</v>
      </c>
      <c r="H1879" s="4">
        <f t="shared" si="408"/>
        <v>0</v>
      </c>
      <c r="I1879" s="6">
        <f t="shared" si="413"/>
        <v>20.782142857142908</v>
      </c>
      <c r="J1879" s="6">
        <f t="shared" si="414"/>
        <v>9.0785714285714878</v>
      </c>
      <c r="K1879" s="4">
        <f t="shared" si="415"/>
        <v>2.2891424075530984</v>
      </c>
      <c r="L1879">
        <f t="shared" si="416"/>
        <v>69.596938165291149</v>
      </c>
      <c r="M1879" s="14" t="str">
        <f t="shared" si="409"/>
        <v/>
      </c>
      <c r="N1879" s="7">
        <f t="shared" si="410"/>
        <v>0</v>
      </c>
      <c r="O1879" s="7">
        <f t="shared" si="417"/>
        <v>0</v>
      </c>
      <c r="P1879" s="7">
        <f t="shared" si="418"/>
        <v>1</v>
      </c>
      <c r="Q1879" s="10" t="e">
        <f t="shared" si="411"/>
        <v>#N/A</v>
      </c>
      <c r="R1879" s="10" t="e">
        <f t="shared" si="412"/>
        <v>#N/A</v>
      </c>
      <c r="S1879" s="7">
        <f t="shared" si="419"/>
        <v>2361.6999999999998</v>
      </c>
      <c r="T1879" s="7">
        <f t="shared" si="406"/>
        <v>0</v>
      </c>
    </row>
    <row r="1880" spans="1:20" x14ac:dyDescent="0.25">
      <c r="A1880" s="1">
        <v>43908</v>
      </c>
      <c r="B1880">
        <v>2525.75</v>
      </c>
      <c r="C1880">
        <v>2580</v>
      </c>
      <c r="D1880">
        <v>2518.4</v>
      </c>
      <c r="E1880">
        <v>2571.5</v>
      </c>
      <c r="F1880">
        <v>1339416</v>
      </c>
      <c r="G1880" s="4">
        <f t="shared" si="407"/>
        <v>40.800000000000182</v>
      </c>
      <c r="H1880" s="4">
        <f t="shared" si="408"/>
        <v>0</v>
      </c>
      <c r="I1880" s="6">
        <f t="shared" si="413"/>
        <v>23.696428571428637</v>
      </c>
      <c r="J1880" s="6">
        <f t="shared" si="414"/>
        <v>8.3035714285714928</v>
      </c>
      <c r="K1880" s="4">
        <f t="shared" si="415"/>
        <v>2.8537634408602011</v>
      </c>
      <c r="L1880">
        <f t="shared" si="416"/>
        <v>74.051339285714192</v>
      </c>
      <c r="M1880" s="14" t="str">
        <f t="shared" si="409"/>
        <v>OVERBOUGHT</v>
      </c>
      <c r="N1880" s="7" t="str">
        <f t="shared" si="410"/>
        <v>SELL</v>
      </c>
      <c r="O1880" s="7" t="str">
        <f t="shared" si="417"/>
        <v>SELL</v>
      </c>
      <c r="P1880" s="7">
        <f t="shared" si="418"/>
        <v>-1</v>
      </c>
      <c r="Q1880" s="10" t="e">
        <f t="shared" si="411"/>
        <v>#N/A</v>
      </c>
      <c r="R1880" s="10">
        <f t="shared" si="412"/>
        <v>2571.5</v>
      </c>
      <c r="S1880" s="7">
        <f t="shared" si="419"/>
        <v>2571.5</v>
      </c>
      <c r="T1880" s="7">
        <f t="shared" si="406"/>
        <v>8.8834314265148068E-2</v>
      </c>
    </row>
    <row r="1881" spans="1:20" x14ac:dyDescent="0.25">
      <c r="A1881" s="1">
        <v>43909</v>
      </c>
      <c r="B1881">
        <v>2560</v>
      </c>
      <c r="C1881">
        <v>2575</v>
      </c>
      <c r="D1881">
        <v>2547</v>
      </c>
      <c r="E1881">
        <v>2556</v>
      </c>
      <c r="F1881">
        <v>729913</v>
      </c>
      <c r="G1881" s="4">
        <f t="shared" si="407"/>
        <v>0</v>
      </c>
      <c r="H1881" s="4">
        <f t="shared" si="408"/>
        <v>15.5</v>
      </c>
      <c r="I1881" s="6">
        <f t="shared" si="413"/>
        <v>23.696428571428637</v>
      </c>
      <c r="J1881" s="6">
        <f t="shared" si="414"/>
        <v>8.8071428571429351</v>
      </c>
      <c r="K1881" s="4">
        <f t="shared" si="415"/>
        <v>2.6905920519059041</v>
      </c>
      <c r="L1881">
        <f t="shared" si="416"/>
        <v>72.904076475112504</v>
      </c>
      <c r="M1881" s="14" t="str">
        <f t="shared" si="409"/>
        <v>OVERBOUGHT</v>
      </c>
      <c r="N1881" s="7" t="str">
        <f t="shared" si="410"/>
        <v>SELL</v>
      </c>
      <c r="O1881" s="7">
        <f t="shared" si="417"/>
        <v>0</v>
      </c>
      <c r="P1881" s="7">
        <f t="shared" si="418"/>
        <v>-1</v>
      </c>
      <c r="Q1881" s="10" t="e">
        <f t="shared" si="411"/>
        <v>#N/A</v>
      </c>
      <c r="R1881" s="10" t="e">
        <f t="shared" si="412"/>
        <v>#N/A</v>
      </c>
      <c r="S1881" s="7">
        <f t="shared" si="419"/>
        <v>2571.5</v>
      </c>
      <c r="T1881" s="7">
        <f t="shared" si="406"/>
        <v>0</v>
      </c>
    </row>
    <row r="1882" spans="1:20" x14ac:dyDescent="0.25">
      <c r="A1882" s="1">
        <v>43910</v>
      </c>
      <c r="B1882">
        <v>2542.1999999999998</v>
      </c>
      <c r="C1882">
        <v>2584.8000000000002</v>
      </c>
      <c r="D1882">
        <v>2466.5</v>
      </c>
      <c r="E1882">
        <v>2481.6999999999998</v>
      </c>
      <c r="F1882">
        <v>2127652</v>
      </c>
      <c r="G1882" s="4">
        <f t="shared" si="407"/>
        <v>0</v>
      </c>
      <c r="H1882" s="4">
        <f t="shared" si="408"/>
        <v>74.300000000000182</v>
      </c>
      <c r="I1882" s="6">
        <f t="shared" si="413"/>
        <v>23.696428571428637</v>
      </c>
      <c r="J1882" s="6">
        <f t="shared" si="414"/>
        <v>13.000000000000066</v>
      </c>
      <c r="K1882" s="4">
        <f t="shared" si="415"/>
        <v>1.8228021978021935</v>
      </c>
      <c r="L1882">
        <f t="shared" si="416"/>
        <v>64.57420924574204</v>
      </c>
      <c r="M1882" s="14" t="str">
        <f t="shared" si="409"/>
        <v/>
      </c>
      <c r="N1882" s="7">
        <f t="shared" si="410"/>
        <v>0</v>
      </c>
      <c r="O1882" s="7">
        <f t="shared" si="417"/>
        <v>0</v>
      </c>
      <c r="P1882" s="7">
        <f t="shared" si="418"/>
        <v>-1</v>
      </c>
      <c r="Q1882" s="10" t="e">
        <f t="shared" si="411"/>
        <v>#N/A</v>
      </c>
      <c r="R1882" s="10" t="e">
        <f t="shared" si="412"/>
        <v>#N/A</v>
      </c>
      <c r="S1882" s="7">
        <f t="shared" si="419"/>
        <v>2571.5</v>
      </c>
      <c r="T1882" s="7">
        <f t="shared" ref="T1882:T1945" si="420">IF(O1882="BUY",(S1881-S1882)/S1881,IF(O1882="SELL",(S1882-S1881)/S1881,0))</f>
        <v>0</v>
      </c>
    </row>
    <row r="1883" spans="1:20" x14ac:dyDescent="0.25">
      <c r="A1883" s="1">
        <v>43913</v>
      </c>
      <c r="B1883">
        <v>2481</v>
      </c>
      <c r="C1883">
        <v>2493.0500000000002</v>
      </c>
      <c r="D1883">
        <v>2442</v>
      </c>
      <c r="E1883">
        <v>2484.3000000000002</v>
      </c>
      <c r="F1883">
        <v>691376</v>
      </c>
      <c r="G1883" s="4">
        <f t="shared" si="407"/>
        <v>2.6000000000003638</v>
      </c>
      <c r="H1883" s="4">
        <f t="shared" si="408"/>
        <v>0</v>
      </c>
      <c r="I1883" s="6">
        <f t="shared" si="413"/>
        <v>16.525000000000091</v>
      </c>
      <c r="J1883" s="6">
        <f t="shared" si="414"/>
        <v>13.000000000000066</v>
      </c>
      <c r="K1883" s="4">
        <f t="shared" si="415"/>
        <v>1.2711538461538467</v>
      </c>
      <c r="L1883">
        <f t="shared" si="416"/>
        <v>55.969517358171046</v>
      </c>
      <c r="M1883" s="14" t="str">
        <f t="shared" si="409"/>
        <v/>
      </c>
      <c r="N1883" s="7">
        <f t="shared" si="410"/>
        <v>0</v>
      </c>
      <c r="O1883" s="7">
        <f t="shared" si="417"/>
        <v>0</v>
      </c>
      <c r="P1883" s="7">
        <f t="shared" si="418"/>
        <v>-1</v>
      </c>
      <c r="Q1883" s="10" t="e">
        <f t="shared" si="411"/>
        <v>#N/A</v>
      </c>
      <c r="R1883" s="10" t="e">
        <f t="shared" si="412"/>
        <v>#N/A</v>
      </c>
      <c r="S1883" s="7">
        <f t="shared" si="419"/>
        <v>2571.5</v>
      </c>
      <c r="T1883" s="7">
        <f t="shared" si="420"/>
        <v>0</v>
      </c>
    </row>
    <row r="1884" spans="1:20" x14ac:dyDescent="0.25">
      <c r="A1884" s="1">
        <v>43914</v>
      </c>
      <c r="B1884">
        <v>2471</v>
      </c>
      <c r="C1884">
        <v>2519</v>
      </c>
      <c r="D1884">
        <v>2463</v>
      </c>
      <c r="E1884">
        <v>2491.8000000000002</v>
      </c>
      <c r="F1884">
        <v>1009831</v>
      </c>
      <c r="G1884" s="4">
        <f t="shared" si="407"/>
        <v>7.5</v>
      </c>
      <c r="H1884" s="4">
        <f t="shared" si="408"/>
        <v>0</v>
      </c>
      <c r="I1884" s="6">
        <f t="shared" si="413"/>
        <v>14.142857142857208</v>
      </c>
      <c r="J1884" s="6">
        <f t="shared" si="414"/>
        <v>13.000000000000066</v>
      </c>
      <c r="K1884" s="4">
        <f t="shared" si="415"/>
        <v>1.0879120879120874</v>
      </c>
      <c r="L1884">
        <f t="shared" si="416"/>
        <v>52.105263157894733</v>
      </c>
      <c r="M1884" s="14" t="str">
        <f t="shared" si="409"/>
        <v/>
      </c>
      <c r="N1884" s="7">
        <f t="shared" si="410"/>
        <v>0</v>
      </c>
      <c r="O1884" s="7">
        <f t="shared" si="417"/>
        <v>0</v>
      </c>
      <c r="P1884" s="7">
        <f t="shared" si="418"/>
        <v>-1</v>
      </c>
      <c r="Q1884" s="10" t="e">
        <f t="shared" si="411"/>
        <v>#N/A</v>
      </c>
      <c r="R1884" s="10" t="e">
        <f t="shared" si="412"/>
        <v>#N/A</v>
      </c>
      <c r="S1884" s="7">
        <f t="shared" si="419"/>
        <v>2571.5</v>
      </c>
      <c r="T1884" s="7">
        <f t="shared" si="420"/>
        <v>0</v>
      </c>
    </row>
    <row r="1885" spans="1:20" x14ac:dyDescent="0.25">
      <c r="A1885" s="1">
        <v>43915</v>
      </c>
      <c r="B1885">
        <v>2500</v>
      </c>
      <c r="C1885">
        <v>2520.75</v>
      </c>
      <c r="D1885">
        <v>2491</v>
      </c>
      <c r="E1885">
        <v>2501.65</v>
      </c>
      <c r="F1885">
        <v>873730</v>
      </c>
      <c r="G1885" s="4">
        <f t="shared" si="407"/>
        <v>9.8499999999999091</v>
      </c>
      <c r="H1885" s="4">
        <f t="shared" si="408"/>
        <v>0</v>
      </c>
      <c r="I1885" s="6">
        <f t="shared" si="413"/>
        <v>14.84642857142863</v>
      </c>
      <c r="J1885" s="6">
        <f t="shared" si="414"/>
        <v>10.403571428571468</v>
      </c>
      <c r="K1885" s="4">
        <f t="shared" si="415"/>
        <v>1.4270511500171648</v>
      </c>
      <c r="L1885">
        <f t="shared" si="416"/>
        <v>58.7977369165488</v>
      </c>
      <c r="M1885" s="14" t="str">
        <f t="shared" si="409"/>
        <v/>
      </c>
      <c r="N1885" s="7">
        <f t="shared" si="410"/>
        <v>0</v>
      </c>
      <c r="O1885" s="7">
        <f t="shared" si="417"/>
        <v>0</v>
      </c>
      <c r="P1885" s="7">
        <f t="shared" si="418"/>
        <v>-1</v>
      </c>
      <c r="Q1885" s="10" t="e">
        <f t="shared" si="411"/>
        <v>#N/A</v>
      </c>
      <c r="R1885" s="10" t="e">
        <f t="shared" si="412"/>
        <v>#N/A</v>
      </c>
      <c r="S1885" s="7">
        <f t="shared" si="419"/>
        <v>2571.5</v>
      </c>
      <c r="T1885" s="7">
        <f t="shared" si="420"/>
        <v>0</v>
      </c>
    </row>
    <row r="1886" spans="1:20" x14ac:dyDescent="0.25">
      <c r="A1886" s="1">
        <v>43916</v>
      </c>
      <c r="B1886">
        <v>2500</v>
      </c>
      <c r="C1886">
        <v>2508</v>
      </c>
      <c r="D1886">
        <v>2462</v>
      </c>
      <c r="E1886">
        <v>2473.8000000000002</v>
      </c>
      <c r="F1886">
        <v>625512</v>
      </c>
      <c r="G1886" s="4">
        <f t="shared" si="407"/>
        <v>0</v>
      </c>
      <c r="H1886" s="4">
        <f t="shared" si="408"/>
        <v>27.849999999999909</v>
      </c>
      <c r="I1886" s="6">
        <f t="shared" si="413"/>
        <v>14.350000000000039</v>
      </c>
      <c r="J1886" s="6">
        <f t="shared" si="414"/>
        <v>12.392857142857176</v>
      </c>
      <c r="K1886" s="4">
        <f t="shared" si="415"/>
        <v>1.1579250720461096</v>
      </c>
      <c r="L1886">
        <f t="shared" si="416"/>
        <v>53.659188034188034</v>
      </c>
      <c r="M1886" s="14" t="str">
        <f t="shared" si="409"/>
        <v/>
      </c>
      <c r="N1886" s="7">
        <f t="shared" si="410"/>
        <v>0</v>
      </c>
      <c r="O1886" s="7">
        <f t="shared" si="417"/>
        <v>0</v>
      </c>
      <c r="P1886" s="7">
        <f t="shared" si="418"/>
        <v>-1</v>
      </c>
      <c r="Q1886" s="10" t="e">
        <f t="shared" si="411"/>
        <v>#N/A</v>
      </c>
      <c r="R1886" s="10" t="e">
        <f t="shared" si="412"/>
        <v>#N/A</v>
      </c>
      <c r="S1886" s="7">
        <f t="shared" si="419"/>
        <v>2571.5</v>
      </c>
      <c r="T1886" s="7">
        <f t="shared" si="420"/>
        <v>0</v>
      </c>
    </row>
    <row r="1887" spans="1:20" x14ac:dyDescent="0.25">
      <c r="A1887" s="1">
        <v>43917</v>
      </c>
      <c r="B1887">
        <v>2480</v>
      </c>
      <c r="C1887">
        <v>2502</v>
      </c>
      <c r="D1887">
        <v>2466.4499999999998</v>
      </c>
      <c r="E1887">
        <v>2489.4499999999998</v>
      </c>
      <c r="F1887">
        <v>941274</v>
      </c>
      <c r="G1887" s="4">
        <f t="shared" si="407"/>
        <v>15.649999999999636</v>
      </c>
      <c r="H1887" s="4">
        <f t="shared" si="408"/>
        <v>0</v>
      </c>
      <c r="I1887" s="6">
        <f t="shared" si="413"/>
        <v>15.467857142857156</v>
      </c>
      <c r="J1887" s="6">
        <f t="shared" si="414"/>
        <v>8.8964285714285847</v>
      </c>
      <c r="K1887" s="4">
        <f t="shared" si="415"/>
        <v>1.7386591730228813</v>
      </c>
      <c r="L1887">
        <f t="shared" si="416"/>
        <v>63.485781295807669</v>
      </c>
      <c r="M1887" s="14" t="str">
        <f t="shared" si="409"/>
        <v/>
      </c>
      <c r="N1887" s="7">
        <f t="shared" si="410"/>
        <v>0</v>
      </c>
      <c r="O1887" s="7">
        <f t="shared" si="417"/>
        <v>0</v>
      </c>
      <c r="P1887" s="7">
        <f t="shared" si="418"/>
        <v>-1</v>
      </c>
      <c r="Q1887" s="10" t="e">
        <f t="shared" si="411"/>
        <v>#N/A</v>
      </c>
      <c r="R1887" s="10" t="e">
        <f t="shared" si="412"/>
        <v>#N/A</v>
      </c>
      <c r="S1887" s="7">
        <f t="shared" si="419"/>
        <v>2571.5</v>
      </c>
      <c r="T1887" s="7">
        <f t="shared" si="420"/>
        <v>0</v>
      </c>
    </row>
    <row r="1888" spans="1:20" x14ac:dyDescent="0.25">
      <c r="A1888" s="1">
        <v>43920</v>
      </c>
      <c r="B1888">
        <v>2490.8000000000002</v>
      </c>
      <c r="C1888">
        <v>2528.3000000000002</v>
      </c>
      <c r="D1888">
        <v>2488</v>
      </c>
      <c r="E1888">
        <v>2522.8000000000002</v>
      </c>
      <c r="F1888">
        <v>693945</v>
      </c>
      <c r="G1888" s="4">
        <f t="shared" si="407"/>
        <v>33.350000000000364</v>
      </c>
      <c r="H1888" s="4">
        <f t="shared" si="408"/>
        <v>0</v>
      </c>
      <c r="I1888" s="6">
        <f t="shared" si="413"/>
        <v>17.850000000000041</v>
      </c>
      <c r="J1888" s="6">
        <f t="shared" si="414"/>
        <v>8.7535714285714423</v>
      </c>
      <c r="K1888" s="4">
        <f t="shared" si="415"/>
        <v>2.0391676866585082</v>
      </c>
      <c r="L1888">
        <f t="shared" si="416"/>
        <v>67.096254530809517</v>
      </c>
      <c r="M1888" s="14" t="str">
        <f t="shared" si="409"/>
        <v/>
      </c>
      <c r="N1888" s="7">
        <f t="shared" si="410"/>
        <v>0</v>
      </c>
      <c r="O1888" s="7">
        <f t="shared" si="417"/>
        <v>0</v>
      </c>
      <c r="P1888" s="7">
        <f t="shared" si="418"/>
        <v>-1</v>
      </c>
      <c r="Q1888" s="10" t="e">
        <f t="shared" si="411"/>
        <v>#N/A</v>
      </c>
      <c r="R1888" s="10" t="e">
        <f t="shared" si="412"/>
        <v>#N/A</v>
      </c>
      <c r="S1888" s="7">
        <f t="shared" si="419"/>
        <v>2571.5</v>
      </c>
      <c r="T1888" s="7">
        <f t="shared" si="420"/>
        <v>0</v>
      </c>
    </row>
    <row r="1889" spans="1:20" x14ac:dyDescent="0.25">
      <c r="A1889" s="1">
        <v>43921</v>
      </c>
      <c r="B1889">
        <v>2516.5</v>
      </c>
      <c r="C1889">
        <v>2520</v>
      </c>
      <c r="D1889">
        <v>2481.1999999999998</v>
      </c>
      <c r="E1889">
        <v>2503.4499999999998</v>
      </c>
      <c r="F1889">
        <v>942760</v>
      </c>
      <c r="G1889" s="4">
        <f t="shared" si="407"/>
        <v>0</v>
      </c>
      <c r="H1889" s="4">
        <f t="shared" si="408"/>
        <v>19.350000000000364</v>
      </c>
      <c r="I1889" s="6">
        <f t="shared" si="413"/>
        <v>16.928571428571463</v>
      </c>
      <c r="J1889" s="6">
        <f t="shared" si="414"/>
        <v>10.135714285714325</v>
      </c>
      <c r="K1889" s="4">
        <f t="shared" si="415"/>
        <v>1.6701902748414346</v>
      </c>
      <c r="L1889">
        <f t="shared" si="416"/>
        <v>62.549485352335665</v>
      </c>
      <c r="M1889" s="14" t="str">
        <f t="shared" si="409"/>
        <v/>
      </c>
      <c r="N1889" s="7">
        <f t="shared" si="410"/>
        <v>0</v>
      </c>
      <c r="O1889" s="7">
        <f t="shared" si="417"/>
        <v>0</v>
      </c>
      <c r="P1889" s="7">
        <f t="shared" si="418"/>
        <v>-1</v>
      </c>
      <c r="Q1889" s="10" t="e">
        <f t="shared" si="411"/>
        <v>#N/A</v>
      </c>
      <c r="R1889" s="10" t="e">
        <f t="shared" si="412"/>
        <v>#N/A</v>
      </c>
      <c r="S1889" s="7">
        <f t="shared" si="419"/>
        <v>2571.5</v>
      </c>
      <c r="T1889" s="7">
        <f t="shared" si="420"/>
        <v>0</v>
      </c>
    </row>
    <row r="1890" spans="1:20" x14ac:dyDescent="0.25">
      <c r="A1890" s="1">
        <v>43922</v>
      </c>
      <c r="B1890">
        <v>2512</v>
      </c>
      <c r="C1890">
        <v>2528.6</v>
      </c>
      <c r="D1890">
        <v>2496.3000000000002</v>
      </c>
      <c r="E1890">
        <v>2503.0500000000002</v>
      </c>
      <c r="F1890">
        <v>536979</v>
      </c>
      <c r="G1890" s="4">
        <f t="shared" si="407"/>
        <v>0</v>
      </c>
      <c r="H1890" s="4">
        <f t="shared" si="408"/>
        <v>0.3999999999996362</v>
      </c>
      <c r="I1890" s="6">
        <f t="shared" si="413"/>
        <v>13.98214285714289</v>
      </c>
      <c r="J1890" s="6">
        <f t="shared" si="414"/>
        <v>10.164285714285727</v>
      </c>
      <c r="K1890" s="4">
        <f t="shared" si="415"/>
        <v>1.3756148981026015</v>
      </c>
      <c r="L1890">
        <f t="shared" si="416"/>
        <v>57.905635261056084</v>
      </c>
      <c r="M1890" s="14" t="str">
        <f t="shared" si="409"/>
        <v/>
      </c>
      <c r="N1890" s="7">
        <f t="shared" si="410"/>
        <v>0</v>
      </c>
      <c r="O1890" s="7">
        <f t="shared" si="417"/>
        <v>0</v>
      </c>
      <c r="P1890" s="7">
        <f t="shared" si="418"/>
        <v>-1</v>
      </c>
      <c r="Q1890" s="10" t="e">
        <f t="shared" si="411"/>
        <v>#N/A</v>
      </c>
      <c r="R1890" s="10" t="e">
        <f t="shared" si="412"/>
        <v>#N/A</v>
      </c>
      <c r="S1890" s="7">
        <f t="shared" si="419"/>
        <v>2571.5</v>
      </c>
      <c r="T1890" s="7">
        <f t="shared" si="420"/>
        <v>0</v>
      </c>
    </row>
    <row r="1891" spans="1:20" x14ac:dyDescent="0.25">
      <c r="A1891" s="1">
        <v>43923</v>
      </c>
      <c r="B1891">
        <v>2500</v>
      </c>
      <c r="C1891">
        <v>2522.85</v>
      </c>
      <c r="D1891">
        <v>2493.3000000000002</v>
      </c>
      <c r="E1891">
        <v>2512</v>
      </c>
      <c r="F1891">
        <v>496473</v>
      </c>
      <c r="G1891" s="4">
        <f t="shared" si="407"/>
        <v>8.9499999999998181</v>
      </c>
      <c r="H1891" s="4">
        <f t="shared" si="408"/>
        <v>0</v>
      </c>
      <c r="I1891" s="6">
        <f t="shared" si="413"/>
        <v>14.621428571428591</v>
      </c>
      <c r="J1891" s="6">
        <f t="shared" si="414"/>
        <v>9.8142857142857203</v>
      </c>
      <c r="K1891" s="4">
        <f t="shared" si="415"/>
        <v>1.4898107714701612</v>
      </c>
      <c r="L1891">
        <f t="shared" si="416"/>
        <v>59.836305173925766</v>
      </c>
      <c r="M1891" s="14" t="str">
        <f t="shared" si="409"/>
        <v/>
      </c>
      <c r="N1891" s="7">
        <f t="shared" si="410"/>
        <v>0</v>
      </c>
      <c r="O1891" s="7">
        <f t="shared" si="417"/>
        <v>0</v>
      </c>
      <c r="P1891" s="7">
        <f t="shared" si="418"/>
        <v>-1</v>
      </c>
      <c r="Q1891" s="10" t="e">
        <f t="shared" si="411"/>
        <v>#N/A</v>
      </c>
      <c r="R1891" s="10" t="e">
        <f t="shared" si="412"/>
        <v>#N/A</v>
      </c>
      <c r="S1891" s="7">
        <f t="shared" si="419"/>
        <v>2571.5</v>
      </c>
      <c r="T1891" s="7">
        <f t="shared" si="420"/>
        <v>0</v>
      </c>
    </row>
    <row r="1892" spans="1:20" x14ac:dyDescent="0.25">
      <c r="A1892" s="1">
        <v>43924</v>
      </c>
      <c r="B1892">
        <v>2509</v>
      </c>
      <c r="C1892">
        <v>2520.6</v>
      </c>
      <c r="D1892">
        <v>2486.35</v>
      </c>
      <c r="E1892">
        <v>2511.4499999999998</v>
      </c>
      <c r="F1892">
        <v>763086</v>
      </c>
      <c r="G1892" s="4">
        <f t="shared" si="407"/>
        <v>0</v>
      </c>
      <c r="H1892" s="4">
        <f t="shared" si="408"/>
        <v>0.5500000000001819</v>
      </c>
      <c r="I1892" s="6">
        <f t="shared" si="413"/>
        <v>11.30000000000002</v>
      </c>
      <c r="J1892" s="6">
        <f t="shared" si="414"/>
        <v>9.8535714285714473</v>
      </c>
      <c r="K1892" s="4">
        <f t="shared" si="415"/>
        <v>1.1467923160565421</v>
      </c>
      <c r="L1892">
        <f t="shared" si="416"/>
        <v>53.418875569812599</v>
      </c>
      <c r="M1892" s="14" t="str">
        <f t="shared" si="409"/>
        <v/>
      </c>
      <c r="N1892" s="7">
        <f t="shared" si="410"/>
        <v>0</v>
      </c>
      <c r="O1892" s="7">
        <f t="shared" si="417"/>
        <v>0</v>
      </c>
      <c r="P1892" s="7">
        <f t="shared" si="418"/>
        <v>-1</v>
      </c>
      <c r="Q1892" s="10" t="e">
        <f t="shared" si="411"/>
        <v>#N/A</v>
      </c>
      <c r="R1892" s="10" t="e">
        <f t="shared" si="412"/>
        <v>#N/A</v>
      </c>
      <c r="S1892" s="7">
        <f t="shared" si="419"/>
        <v>2571.5</v>
      </c>
      <c r="T1892" s="7">
        <f t="shared" si="420"/>
        <v>0</v>
      </c>
    </row>
    <row r="1893" spans="1:20" x14ac:dyDescent="0.25">
      <c r="A1893" s="1">
        <v>43927</v>
      </c>
      <c r="B1893">
        <v>2499.9</v>
      </c>
      <c r="C1893">
        <v>2535</v>
      </c>
      <c r="D1893">
        <v>2483</v>
      </c>
      <c r="E1893">
        <v>2496.0500000000002</v>
      </c>
      <c r="F1893">
        <v>697368</v>
      </c>
      <c r="G1893" s="4">
        <f t="shared" si="407"/>
        <v>0</v>
      </c>
      <c r="H1893" s="4">
        <f t="shared" si="408"/>
        <v>15.399999999999636</v>
      </c>
      <c r="I1893" s="6">
        <f t="shared" si="413"/>
        <v>8.4785714285714473</v>
      </c>
      <c r="J1893" s="6">
        <f t="shared" si="414"/>
        <v>10.953571428571422</v>
      </c>
      <c r="K1893" s="4">
        <f t="shared" si="415"/>
        <v>0.77404629931529401</v>
      </c>
      <c r="L1893">
        <f t="shared" si="416"/>
        <v>43.631685351957437</v>
      </c>
      <c r="M1893" s="14" t="str">
        <f t="shared" si="409"/>
        <v/>
      </c>
      <c r="N1893" s="7">
        <f t="shared" si="410"/>
        <v>0</v>
      </c>
      <c r="O1893" s="7">
        <f t="shared" si="417"/>
        <v>0</v>
      </c>
      <c r="P1893" s="7">
        <f t="shared" si="418"/>
        <v>-1</v>
      </c>
      <c r="Q1893" s="10" t="e">
        <f t="shared" si="411"/>
        <v>#N/A</v>
      </c>
      <c r="R1893" s="10" t="e">
        <f t="shared" si="412"/>
        <v>#N/A</v>
      </c>
      <c r="S1893" s="7">
        <f t="shared" si="419"/>
        <v>2571.5</v>
      </c>
      <c r="T1893" s="7">
        <f t="shared" si="420"/>
        <v>0</v>
      </c>
    </row>
    <row r="1894" spans="1:20" x14ac:dyDescent="0.25">
      <c r="A1894" s="1">
        <v>43928</v>
      </c>
      <c r="B1894">
        <v>2503</v>
      </c>
      <c r="C1894">
        <v>2509.9</v>
      </c>
      <c r="D1894">
        <v>2463</v>
      </c>
      <c r="E1894">
        <v>2469.4</v>
      </c>
      <c r="F1894">
        <v>393252</v>
      </c>
      <c r="G1894" s="4">
        <f t="shared" si="407"/>
        <v>0</v>
      </c>
      <c r="H1894" s="4">
        <f t="shared" si="408"/>
        <v>26.650000000000091</v>
      </c>
      <c r="I1894" s="6">
        <f t="shared" si="413"/>
        <v>5.5642857142857212</v>
      </c>
      <c r="J1894" s="6">
        <f t="shared" si="414"/>
        <v>12.857142857142858</v>
      </c>
      <c r="K1894" s="4">
        <f t="shared" si="415"/>
        <v>0.43277777777777832</v>
      </c>
      <c r="L1894">
        <f t="shared" si="416"/>
        <v>30.20550601008145</v>
      </c>
      <c r="M1894" s="14" t="str">
        <f t="shared" si="409"/>
        <v/>
      </c>
      <c r="N1894" s="7">
        <f t="shared" si="410"/>
        <v>0</v>
      </c>
      <c r="O1894" s="7">
        <f t="shared" si="417"/>
        <v>0</v>
      </c>
      <c r="P1894" s="7">
        <f t="shared" si="418"/>
        <v>-1</v>
      </c>
      <c r="Q1894" s="10" t="e">
        <f t="shared" si="411"/>
        <v>#N/A</v>
      </c>
      <c r="R1894" s="10" t="e">
        <f t="shared" si="412"/>
        <v>#N/A</v>
      </c>
      <c r="S1894" s="7">
        <f t="shared" si="419"/>
        <v>2571.5</v>
      </c>
      <c r="T1894" s="7">
        <f t="shared" si="420"/>
        <v>0</v>
      </c>
    </row>
    <row r="1895" spans="1:20" x14ac:dyDescent="0.25">
      <c r="A1895" s="1">
        <v>43929</v>
      </c>
      <c r="B1895">
        <v>2484</v>
      </c>
      <c r="C1895">
        <v>2543.8000000000002</v>
      </c>
      <c r="D1895">
        <v>2465.1999999999998</v>
      </c>
      <c r="E1895">
        <v>2492.35</v>
      </c>
      <c r="F1895">
        <v>686670</v>
      </c>
      <c r="G1895" s="4">
        <f t="shared" si="407"/>
        <v>22.949999999999818</v>
      </c>
      <c r="H1895" s="4">
        <f t="shared" si="408"/>
        <v>0</v>
      </c>
      <c r="I1895" s="6">
        <f t="shared" si="413"/>
        <v>7.2035714285714221</v>
      </c>
      <c r="J1895" s="6">
        <f t="shared" si="414"/>
        <v>11.75</v>
      </c>
      <c r="K1895" s="4">
        <f t="shared" si="415"/>
        <v>0.61306990881458912</v>
      </c>
      <c r="L1895">
        <f t="shared" si="416"/>
        <v>38.006406632749183</v>
      </c>
      <c r="M1895" s="14" t="str">
        <f t="shared" si="409"/>
        <v/>
      </c>
      <c r="N1895" s="7">
        <f t="shared" si="410"/>
        <v>0</v>
      </c>
      <c r="O1895" s="7">
        <f t="shared" si="417"/>
        <v>0</v>
      </c>
      <c r="P1895" s="7">
        <f t="shared" si="418"/>
        <v>-1</v>
      </c>
      <c r="Q1895" s="10" t="e">
        <f t="shared" si="411"/>
        <v>#N/A</v>
      </c>
      <c r="R1895" s="10" t="e">
        <f t="shared" si="412"/>
        <v>#N/A</v>
      </c>
      <c r="S1895" s="7">
        <f t="shared" si="419"/>
        <v>2571.5</v>
      </c>
      <c r="T1895" s="7">
        <f t="shared" si="420"/>
        <v>0</v>
      </c>
    </row>
    <row r="1896" spans="1:20" x14ac:dyDescent="0.25">
      <c r="A1896" s="1">
        <v>43930</v>
      </c>
      <c r="B1896">
        <v>2500.6999999999998</v>
      </c>
      <c r="C1896">
        <v>2505</v>
      </c>
      <c r="D1896">
        <v>2462.1</v>
      </c>
      <c r="E1896">
        <v>2485.65</v>
      </c>
      <c r="F1896">
        <v>876187</v>
      </c>
      <c r="G1896" s="4">
        <f t="shared" si="407"/>
        <v>0</v>
      </c>
      <c r="H1896" s="4">
        <f t="shared" si="408"/>
        <v>6.6999999999998181</v>
      </c>
      <c r="I1896" s="6">
        <f t="shared" si="413"/>
        <v>7.2035714285714221</v>
      </c>
      <c r="J1896" s="6">
        <f t="shared" si="414"/>
        <v>6.9214285714285451</v>
      </c>
      <c r="K1896" s="4">
        <f t="shared" si="415"/>
        <v>1.0407636738906119</v>
      </c>
      <c r="L1896">
        <f t="shared" si="416"/>
        <v>50.998735777496911</v>
      </c>
      <c r="M1896" s="14" t="str">
        <f t="shared" si="409"/>
        <v/>
      </c>
      <c r="N1896" s="7">
        <f t="shared" si="410"/>
        <v>0</v>
      </c>
      <c r="O1896" s="7">
        <f t="shared" si="417"/>
        <v>0</v>
      </c>
      <c r="P1896" s="7">
        <f t="shared" si="418"/>
        <v>-1</v>
      </c>
      <c r="Q1896" s="10" t="e">
        <f t="shared" si="411"/>
        <v>#N/A</v>
      </c>
      <c r="R1896" s="10" t="e">
        <f t="shared" si="412"/>
        <v>#N/A</v>
      </c>
      <c r="S1896" s="7">
        <f t="shared" si="419"/>
        <v>2571.5</v>
      </c>
      <c r="T1896" s="7">
        <f t="shared" si="420"/>
        <v>0</v>
      </c>
    </row>
    <row r="1897" spans="1:20" x14ac:dyDescent="0.25">
      <c r="A1897" s="1">
        <v>43931</v>
      </c>
      <c r="B1897">
        <v>2474</v>
      </c>
      <c r="C1897">
        <v>2549.9</v>
      </c>
      <c r="D1897">
        <v>2471.4</v>
      </c>
      <c r="E1897">
        <v>2513.8000000000002</v>
      </c>
      <c r="F1897">
        <v>1418678</v>
      </c>
      <c r="G1897" s="4">
        <f t="shared" si="407"/>
        <v>28.150000000000091</v>
      </c>
      <c r="H1897" s="4">
        <f t="shared" si="408"/>
        <v>0</v>
      </c>
      <c r="I1897" s="6">
        <f t="shared" si="413"/>
        <v>9.0285714285714018</v>
      </c>
      <c r="J1897" s="6">
        <f t="shared" si="414"/>
        <v>6.9214285714285451</v>
      </c>
      <c r="K1897" s="4">
        <f t="shared" si="415"/>
        <v>1.304437564499485</v>
      </c>
      <c r="L1897">
        <f t="shared" si="416"/>
        <v>56.605463502015247</v>
      </c>
      <c r="M1897" s="14" t="str">
        <f t="shared" si="409"/>
        <v/>
      </c>
      <c r="N1897" s="7">
        <f t="shared" si="410"/>
        <v>0</v>
      </c>
      <c r="O1897" s="7">
        <f t="shared" si="417"/>
        <v>0</v>
      </c>
      <c r="P1897" s="7">
        <f t="shared" si="418"/>
        <v>-1</v>
      </c>
      <c r="Q1897" s="10" t="e">
        <f t="shared" si="411"/>
        <v>#N/A</v>
      </c>
      <c r="R1897" s="10" t="e">
        <f t="shared" si="412"/>
        <v>#N/A</v>
      </c>
      <c r="S1897" s="7">
        <f t="shared" si="419"/>
        <v>2571.5</v>
      </c>
      <c r="T1897" s="7">
        <f t="shared" si="420"/>
        <v>0</v>
      </c>
    </row>
    <row r="1898" spans="1:20" x14ac:dyDescent="0.25">
      <c r="A1898" s="1">
        <v>43934</v>
      </c>
      <c r="B1898">
        <v>2505.5</v>
      </c>
      <c r="C1898">
        <v>2549</v>
      </c>
      <c r="D1898">
        <v>2494.3000000000002</v>
      </c>
      <c r="E1898">
        <v>2528.8000000000002</v>
      </c>
      <c r="F1898">
        <v>1152417</v>
      </c>
      <c r="G1898" s="4">
        <f t="shared" si="407"/>
        <v>15</v>
      </c>
      <c r="H1898" s="4">
        <f t="shared" si="408"/>
        <v>0</v>
      </c>
      <c r="I1898" s="6">
        <f t="shared" si="413"/>
        <v>9.5642857142856883</v>
      </c>
      <c r="J1898" s="6">
        <f t="shared" si="414"/>
        <v>6.9214285714285451</v>
      </c>
      <c r="K1898" s="4">
        <f t="shared" si="415"/>
        <v>1.381836945304439</v>
      </c>
      <c r="L1898">
        <f t="shared" si="416"/>
        <v>58.015597920277322</v>
      </c>
      <c r="M1898" s="14" t="str">
        <f t="shared" si="409"/>
        <v/>
      </c>
      <c r="N1898" s="7">
        <f t="shared" si="410"/>
        <v>0</v>
      </c>
      <c r="O1898" s="7">
        <f t="shared" si="417"/>
        <v>0</v>
      </c>
      <c r="P1898" s="7">
        <f t="shared" si="418"/>
        <v>-1</v>
      </c>
      <c r="Q1898" s="10" t="e">
        <f t="shared" si="411"/>
        <v>#N/A</v>
      </c>
      <c r="R1898" s="10" t="e">
        <f t="shared" si="412"/>
        <v>#N/A</v>
      </c>
      <c r="S1898" s="7">
        <f t="shared" si="419"/>
        <v>2571.5</v>
      </c>
      <c r="T1898" s="7">
        <f t="shared" si="420"/>
        <v>0</v>
      </c>
    </row>
    <row r="1899" spans="1:20" x14ac:dyDescent="0.25">
      <c r="A1899" s="1">
        <v>43935</v>
      </c>
      <c r="B1899">
        <v>2523</v>
      </c>
      <c r="C1899">
        <v>2539.5</v>
      </c>
      <c r="D1899">
        <v>2492</v>
      </c>
      <c r="E1899">
        <v>2497.5500000000002</v>
      </c>
      <c r="F1899">
        <v>565663</v>
      </c>
      <c r="G1899" s="4">
        <f t="shared" si="407"/>
        <v>0</v>
      </c>
      <c r="H1899" s="4">
        <f t="shared" si="408"/>
        <v>31.25</v>
      </c>
      <c r="I1899" s="6">
        <f t="shared" si="413"/>
        <v>8.8607142857142662</v>
      </c>
      <c r="J1899" s="6">
        <f t="shared" si="414"/>
        <v>9.1535714285714018</v>
      </c>
      <c r="K1899" s="4">
        <f t="shared" si="415"/>
        <v>0.96800624268435498</v>
      </c>
      <c r="L1899">
        <f t="shared" si="416"/>
        <v>49.187153053132455</v>
      </c>
      <c r="M1899" s="14" t="str">
        <f t="shared" si="409"/>
        <v/>
      </c>
      <c r="N1899" s="7">
        <f t="shared" si="410"/>
        <v>0</v>
      </c>
      <c r="O1899" s="7">
        <f t="shared" si="417"/>
        <v>0</v>
      </c>
      <c r="P1899" s="7">
        <f t="shared" si="418"/>
        <v>-1</v>
      </c>
      <c r="Q1899" s="10" t="e">
        <f t="shared" si="411"/>
        <v>#N/A</v>
      </c>
      <c r="R1899" s="10" t="e">
        <f t="shared" si="412"/>
        <v>#N/A</v>
      </c>
      <c r="S1899" s="7">
        <f t="shared" si="419"/>
        <v>2571.5</v>
      </c>
      <c r="T1899" s="7">
        <f t="shared" si="420"/>
        <v>0</v>
      </c>
    </row>
    <row r="1900" spans="1:20" x14ac:dyDescent="0.25">
      <c r="A1900" s="1">
        <v>43936</v>
      </c>
      <c r="B1900">
        <v>2505</v>
      </c>
      <c r="C1900">
        <v>2516.8000000000002</v>
      </c>
      <c r="D1900">
        <v>2473.15</v>
      </c>
      <c r="E1900">
        <v>2489.4499999999998</v>
      </c>
      <c r="F1900">
        <v>781136</v>
      </c>
      <c r="G1900" s="4">
        <f t="shared" si="407"/>
        <v>0</v>
      </c>
      <c r="H1900" s="4">
        <f t="shared" si="408"/>
        <v>8.1000000000003638</v>
      </c>
      <c r="I1900" s="6">
        <f t="shared" si="413"/>
        <v>8.8607142857142662</v>
      </c>
      <c r="J1900" s="6">
        <f t="shared" si="414"/>
        <v>7.7428571428571491</v>
      </c>
      <c r="K1900" s="4">
        <f t="shared" si="415"/>
        <v>1.1443726937269338</v>
      </c>
      <c r="L1900">
        <f t="shared" si="416"/>
        <v>53.366315336631459</v>
      </c>
      <c r="M1900" s="14" t="str">
        <f t="shared" si="409"/>
        <v/>
      </c>
      <c r="N1900" s="7">
        <f t="shared" si="410"/>
        <v>0</v>
      </c>
      <c r="O1900" s="7">
        <f t="shared" si="417"/>
        <v>0</v>
      </c>
      <c r="P1900" s="7">
        <f t="shared" si="418"/>
        <v>-1</v>
      </c>
      <c r="Q1900" s="10" t="e">
        <f t="shared" si="411"/>
        <v>#N/A</v>
      </c>
      <c r="R1900" s="10" t="e">
        <f t="shared" si="412"/>
        <v>#N/A</v>
      </c>
      <c r="S1900" s="7">
        <f t="shared" si="419"/>
        <v>2571.5</v>
      </c>
      <c r="T1900" s="7">
        <f t="shared" si="420"/>
        <v>0</v>
      </c>
    </row>
    <row r="1901" spans="1:20" x14ac:dyDescent="0.25">
      <c r="A1901" s="1">
        <v>43937</v>
      </c>
      <c r="B1901">
        <v>2497.6999999999998</v>
      </c>
      <c r="C1901">
        <v>2517.9499999999998</v>
      </c>
      <c r="D1901">
        <v>2486.15</v>
      </c>
      <c r="E1901">
        <v>2496.6</v>
      </c>
      <c r="F1901">
        <v>811954</v>
      </c>
      <c r="G1901" s="4">
        <f t="shared" si="407"/>
        <v>7.1500000000000909</v>
      </c>
      <c r="H1901" s="4">
        <f t="shared" si="408"/>
        <v>0</v>
      </c>
      <c r="I1901" s="6">
        <f t="shared" si="413"/>
        <v>8.2535714285714423</v>
      </c>
      <c r="J1901" s="6">
        <f t="shared" si="414"/>
        <v>7.7428571428571491</v>
      </c>
      <c r="K1901" s="4">
        <f t="shared" si="415"/>
        <v>1.065959409594097</v>
      </c>
      <c r="L1901">
        <f t="shared" si="416"/>
        <v>51.596338468408149</v>
      </c>
      <c r="M1901" s="14" t="str">
        <f t="shared" si="409"/>
        <v/>
      </c>
      <c r="N1901" s="7">
        <f t="shared" si="410"/>
        <v>0</v>
      </c>
      <c r="O1901" s="7">
        <f t="shared" si="417"/>
        <v>0</v>
      </c>
      <c r="P1901" s="7">
        <f t="shared" si="418"/>
        <v>-1</v>
      </c>
      <c r="Q1901" s="10" t="e">
        <f t="shared" si="411"/>
        <v>#N/A</v>
      </c>
      <c r="R1901" s="10" t="e">
        <f t="shared" si="412"/>
        <v>#N/A</v>
      </c>
      <c r="S1901" s="7">
        <f t="shared" si="419"/>
        <v>2571.5</v>
      </c>
      <c r="T1901" s="7">
        <f t="shared" si="420"/>
        <v>0</v>
      </c>
    </row>
    <row r="1902" spans="1:20" x14ac:dyDescent="0.25">
      <c r="A1902" s="1">
        <v>43938</v>
      </c>
      <c r="B1902">
        <v>2504.6</v>
      </c>
      <c r="C1902">
        <v>2505.4</v>
      </c>
      <c r="D1902">
        <v>2461</v>
      </c>
      <c r="E1902">
        <v>2487.3000000000002</v>
      </c>
      <c r="F1902">
        <v>1018398</v>
      </c>
      <c r="G1902" s="4">
        <f t="shared" si="407"/>
        <v>0</v>
      </c>
      <c r="H1902" s="4">
        <f t="shared" si="408"/>
        <v>9.2999999999997272</v>
      </c>
      <c r="I1902" s="6">
        <f t="shared" si="413"/>
        <v>5.8714285714285586</v>
      </c>
      <c r="J1902" s="6">
        <f t="shared" si="414"/>
        <v>8.4071428571428442</v>
      </c>
      <c r="K1902" s="4">
        <f t="shared" si="415"/>
        <v>0.69838572642310914</v>
      </c>
      <c r="L1902">
        <f t="shared" si="416"/>
        <v>41.120560280140054</v>
      </c>
      <c r="M1902" s="14" t="str">
        <f t="shared" si="409"/>
        <v/>
      </c>
      <c r="N1902" s="7">
        <f t="shared" si="410"/>
        <v>0</v>
      </c>
      <c r="O1902" s="7">
        <f t="shared" si="417"/>
        <v>0</v>
      </c>
      <c r="P1902" s="7">
        <f t="shared" si="418"/>
        <v>-1</v>
      </c>
      <c r="Q1902" s="10" t="e">
        <f t="shared" si="411"/>
        <v>#N/A</v>
      </c>
      <c r="R1902" s="10" t="e">
        <f t="shared" si="412"/>
        <v>#N/A</v>
      </c>
      <c r="S1902" s="7">
        <f t="shared" si="419"/>
        <v>2571.5</v>
      </c>
      <c r="T1902" s="7">
        <f t="shared" si="420"/>
        <v>0</v>
      </c>
    </row>
    <row r="1903" spans="1:20" x14ac:dyDescent="0.25">
      <c r="A1903" s="1">
        <v>43941</v>
      </c>
      <c r="B1903">
        <v>2482</v>
      </c>
      <c r="C1903">
        <v>2496</v>
      </c>
      <c r="D1903">
        <v>2463.9499999999998</v>
      </c>
      <c r="E1903">
        <v>2470.85</v>
      </c>
      <c r="F1903">
        <v>656301</v>
      </c>
      <c r="G1903" s="4">
        <f t="shared" si="407"/>
        <v>0</v>
      </c>
      <c r="H1903" s="4">
        <f t="shared" si="408"/>
        <v>16.450000000000273</v>
      </c>
      <c r="I1903" s="6">
        <f t="shared" si="413"/>
        <v>5.8714285714285586</v>
      </c>
      <c r="J1903" s="6">
        <f t="shared" si="414"/>
        <v>8.1999999999999797</v>
      </c>
      <c r="K1903" s="4">
        <f t="shared" si="415"/>
        <v>0.71602787456446015</v>
      </c>
      <c r="L1903">
        <f t="shared" si="416"/>
        <v>41.725888324873104</v>
      </c>
      <c r="M1903" s="14" t="str">
        <f t="shared" si="409"/>
        <v/>
      </c>
      <c r="N1903" s="7">
        <f t="shared" si="410"/>
        <v>0</v>
      </c>
      <c r="O1903" s="7">
        <f t="shared" si="417"/>
        <v>0</v>
      </c>
      <c r="P1903" s="7">
        <f t="shared" si="418"/>
        <v>-1</v>
      </c>
      <c r="Q1903" s="10" t="e">
        <f t="shared" si="411"/>
        <v>#N/A</v>
      </c>
      <c r="R1903" s="10" t="e">
        <f t="shared" si="412"/>
        <v>#N/A</v>
      </c>
      <c r="S1903" s="7">
        <f t="shared" si="419"/>
        <v>2571.5</v>
      </c>
      <c r="T1903" s="7">
        <f t="shared" si="420"/>
        <v>0</v>
      </c>
    </row>
    <row r="1904" spans="1:20" x14ac:dyDescent="0.25">
      <c r="A1904" s="1">
        <v>43942</v>
      </c>
      <c r="B1904">
        <v>2481</v>
      </c>
      <c r="C1904">
        <v>2490</v>
      </c>
      <c r="D1904">
        <v>2460.1</v>
      </c>
      <c r="E1904">
        <v>2484.5500000000002</v>
      </c>
      <c r="F1904">
        <v>485391</v>
      </c>
      <c r="G1904" s="4">
        <f t="shared" si="407"/>
        <v>13.700000000000273</v>
      </c>
      <c r="H1904" s="4">
        <f t="shared" si="408"/>
        <v>0</v>
      </c>
      <c r="I1904" s="6">
        <f t="shared" si="413"/>
        <v>6.8500000000000068</v>
      </c>
      <c r="J1904" s="6">
        <f t="shared" si="414"/>
        <v>8.1714285714285779</v>
      </c>
      <c r="K1904" s="4">
        <f t="shared" si="415"/>
        <v>0.83828671328671345</v>
      </c>
      <c r="L1904">
        <f t="shared" si="416"/>
        <v>45.601521635758445</v>
      </c>
      <c r="M1904" s="14" t="str">
        <f t="shared" si="409"/>
        <v/>
      </c>
      <c r="N1904" s="7">
        <f t="shared" si="410"/>
        <v>0</v>
      </c>
      <c r="O1904" s="7">
        <f t="shared" si="417"/>
        <v>0</v>
      </c>
      <c r="P1904" s="7">
        <f t="shared" si="418"/>
        <v>-1</v>
      </c>
      <c r="Q1904" s="10" t="e">
        <f t="shared" si="411"/>
        <v>#N/A</v>
      </c>
      <c r="R1904" s="10" t="e">
        <f t="shared" si="412"/>
        <v>#N/A</v>
      </c>
      <c r="S1904" s="7">
        <f t="shared" si="419"/>
        <v>2571.5</v>
      </c>
      <c r="T1904" s="7">
        <f t="shared" si="420"/>
        <v>0</v>
      </c>
    </row>
    <row r="1905" spans="1:20" x14ac:dyDescent="0.25">
      <c r="A1905" s="1">
        <v>43943</v>
      </c>
      <c r="B1905">
        <v>2485</v>
      </c>
      <c r="C1905">
        <v>2504.4</v>
      </c>
      <c r="D1905">
        <v>2466.65</v>
      </c>
      <c r="E1905">
        <v>2496.35</v>
      </c>
      <c r="F1905">
        <v>892332</v>
      </c>
      <c r="G1905" s="4">
        <f t="shared" si="407"/>
        <v>11.799999999999727</v>
      </c>
      <c r="H1905" s="4">
        <f t="shared" si="408"/>
        <v>0</v>
      </c>
      <c r="I1905" s="6">
        <f t="shared" si="413"/>
        <v>7.0535714285714288</v>
      </c>
      <c r="J1905" s="6">
        <f t="shared" si="414"/>
        <v>8.1714285714285779</v>
      </c>
      <c r="K1905" s="4">
        <f t="shared" si="415"/>
        <v>0.86319930069930006</v>
      </c>
      <c r="L1905">
        <f t="shared" si="416"/>
        <v>46.328876378137437</v>
      </c>
      <c r="M1905" s="14" t="str">
        <f t="shared" si="409"/>
        <v/>
      </c>
      <c r="N1905" s="7">
        <f t="shared" si="410"/>
        <v>0</v>
      </c>
      <c r="O1905" s="7">
        <f t="shared" si="417"/>
        <v>0</v>
      </c>
      <c r="P1905" s="7">
        <f t="shared" si="418"/>
        <v>-1</v>
      </c>
      <c r="Q1905" s="10" t="e">
        <f t="shared" si="411"/>
        <v>#N/A</v>
      </c>
      <c r="R1905" s="10" t="e">
        <f t="shared" si="412"/>
        <v>#N/A</v>
      </c>
      <c r="S1905" s="7">
        <f t="shared" si="419"/>
        <v>2571.5</v>
      </c>
      <c r="T1905" s="7">
        <f t="shared" si="420"/>
        <v>0</v>
      </c>
    </row>
    <row r="1906" spans="1:20" x14ac:dyDescent="0.25">
      <c r="A1906" s="1">
        <v>43944</v>
      </c>
      <c r="B1906">
        <v>2480</v>
      </c>
      <c r="C1906">
        <v>2498.0500000000002</v>
      </c>
      <c r="D1906">
        <v>2436.5500000000002</v>
      </c>
      <c r="E1906">
        <v>2456.4499999999998</v>
      </c>
      <c r="F1906">
        <v>851165</v>
      </c>
      <c r="G1906" s="4">
        <f t="shared" si="407"/>
        <v>0</v>
      </c>
      <c r="H1906" s="4">
        <f t="shared" si="408"/>
        <v>39.900000000000091</v>
      </c>
      <c r="I1906" s="6">
        <f t="shared" si="413"/>
        <v>7.0535714285714288</v>
      </c>
      <c r="J1906" s="6">
        <f t="shared" si="414"/>
        <v>10.982142857142858</v>
      </c>
      <c r="K1906" s="4">
        <f t="shared" si="415"/>
        <v>0.64227642276422758</v>
      </c>
      <c r="L1906">
        <f t="shared" si="416"/>
        <v>39.108910891089103</v>
      </c>
      <c r="M1906" s="14" t="str">
        <f t="shared" si="409"/>
        <v/>
      </c>
      <c r="N1906" s="7">
        <f t="shared" si="410"/>
        <v>0</v>
      </c>
      <c r="O1906" s="7">
        <f t="shared" si="417"/>
        <v>0</v>
      </c>
      <c r="P1906" s="7">
        <f t="shared" si="418"/>
        <v>-1</v>
      </c>
      <c r="Q1906" s="10" t="e">
        <f t="shared" si="411"/>
        <v>#N/A</v>
      </c>
      <c r="R1906" s="10" t="e">
        <f t="shared" si="412"/>
        <v>#N/A</v>
      </c>
      <c r="S1906" s="7">
        <f t="shared" si="419"/>
        <v>2571.5</v>
      </c>
      <c r="T1906" s="7">
        <f t="shared" si="420"/>
        <v>0</v>
      </c>
    </row>
    <row r="1907" spans="1:20" x14ac:dyDescent="0.25">
      <c r="A1907" s="1">
        <v>43945</v>
      </c>
      <c r="B1907">
        <v>2453.1</v>
      </c>
      <c r="C1907">
        <v>2461</v>
      </c>
      <c r="D1907">
        <v>2438</v>
      </c>
      <c r="E1907">
        <v>2456.1999999999998</v>
      </c>
      <c r="F1907">
        <v>531272</v>
      </c>
      <c r="G1907" s="4">
        <f t="shared" si="407"/>
        <v>0</v>
      </c>
      <c r="H1907" s="4">
        <f t="shared" si="408"/>
        <v>0.25</v>
      </c>
      <c r="I1907" s="6">
        <f t="shared" si="413"/>
        <v>7.0535714285714288</v>
      </c>
      <c r="J1907" s="6">
        <f t="shared" si="414"/>
        <v>9.9000000000000252</v>
      </c>
      <c r="K1907" s="4">
        <f t="shared" si="415"/>
        <v>0.71248196248196072</v>
      </c>
      <c r="L1907">
        <f t="shared" si="416"/>
        <v>41.605224352222393</v>
      </c>
      <c r="M1907" s="14" t="str">
        <f t="shared" si="409"/>
        <v/>
      </c>
      <c r="N1907" s="7">
        <f t="shared" si="410"/>
        <v>0</v>
      </c>
      <c r="O1907" s="7">
        <f t="shared" si="417"/>
        <v>0</v>
      </c>
      <c r="P1907" s="7">
        <f t="shared" si="418"/>
        <v>-1</v>
      </c>
      <c r="Q1907" s="10" t="e">
        <f t="shared" si="411"/>
        <v>#N/A</v>
      </c>
      <c r="R1907" s="10" t="e">
        <f t="shared" si="412"/>
        <v>#N/A</v>
      </c>
      <c r="S1907" s="7">
        <f t="shared" si="419"/>
        <v>2571.5</v>
      </c>
      <c r="T1907" s="7">
        <f t="shared" si="420"/>
        <v>0</v>
      </c>
    </row>
    <row r="1908" spans="1:20" x14ac:dyDescent="0.25">
      <c r="A1908" s="1">
        <v>43948</v>
      </c>
      <c r="B1908">
        <v>2460</v>
      </c>
      <c r="C1908">
        <v>2490</v>
      </c>
      <c r="D1908">
        <v>2437.0500000000002</v>
      </c>
      <c r="E1908">
        <v>2484.35</v>
      </c>
      <c r="F1908">
        <v>582997</v>
      </c>
      <c r="G1908" s="4">
        <f t="shared" si="407"/>
        <v>28.150000000000091</v>
      </c>
      <c r="H1908" s="4">
        <f t="shared" si="408"/>
        <v>0</v>
      </c>
      <c r="I1908" s="6">
        <f t="shared" si="413"/>
        <v>9.0642857142857203</v>
      </c>
      <c r="J1908" s="6">
        <f t="shared" si="414"/>
        <v>7.9964285714285905</v>
      </c>
      <c r="K1908" s="4">
        <f t="shared" si="415"/>
        <v>1.1335417597141562</v>
      </c>
      <c r="L1908">
        <f t="shared" si="416"/>
        <v>53.129579233828721</v>
      </c>
      <c r="M1908" s="14" t="str">
        <f t="shared" si="409"/>
        <v/>
      </c>
      <c r="N1908" s="7">
        <f t="shared" si="410"/>
        <v>0</v>
      </c>
      <c r="O1908" s="7">
        <f t="shared" si="417"/>
        <v>0</v>
      </c>
      <c r="P1908" s="7">
        <f t="shared" si="418"/>
        <v>-1</v>
      </c>
      <c r="Q1908" s="10" t="e">
        <f t="shared" si="411"/>
        <v>#N/A</v>
      </c>
      <c r="R1908" s="10" t="e">
        <f t="shared" si="412"/>
        <v>#N/A</v>
      </c>
      <c r="S1908" s="7">
        <f t="shared" si="419"/>
        <v>2571.5</v>
      </c>
      <c r="T1908" s="7">
        <f t="shared" si="420"/>
        <v>0</v>
      </c>
    </row>
    <row r="1909" spans="1:20" x14ac:dyDescent="0.25">
      <c r="A1909" s="1">
        <v>43949</v>
      </c>
      <c r="B1909">
        <v>2468.15</v>
      </c>
      <c r="C1909">
        <v>2474.85</v>
      </c>
      <c r="D1909">
        <v>2450</v>
      </c>
      <c r="E1909">
        <v>2453.1999999999998</v>
      </c>
      <c r="F1909">
        <v>614382</v>
      </c>
      <c r="G1909" s="4">
        <f t="shared" si="407"/>
        <v>0</v>
      </c>
      <c r="H1909" s="4">
        <f t="shared" si="408"/>
        <v>31.150000000000091</v>
      </c>
      <c r="I1909" s="6">
        <f t="shared" si="413"/>
        <v>7.4250000000000194</v>
      </c>
      <c r="J1909" s="6">
        <f t="shared" si="414"/>
        <v>10.221428571428598</v>
      </c>
      <c r="K1909" s="4">
        <f t="shared" si="415"/>
        <v>0.72641509433962259</v>
      </c>
      <c r="L1909">
        <f t="shared" si="416"/>
        <v>42.076502732240435</v>
      </c>
      <c r="M1909" s="14" t="str">
        <f t="shared" si="409"/>
        <v/>
      </c>
      <c r="N1909" s="7">
        <f t="shared" si="410"/>
        <v>0</v>
      </c>
      <c r="O1909" s="7">
        <f t="shared" si="417"/>
        <v>0</v>
      </c>
      <c r="P1909" s="7">
        <f t="shared" si="418"/>
        <v>-1</v>
      </c>
      <c r="Q1909" s="10" t="e">
        <f t="shared" si="411"/>
        <v>#N/A</v>
      </c>
      <c r="R1909" s="10" t="e">
        <f t="shared" si="412"/>
        <v>#N/A</v>
      </c>
      <c r="S1909" s="7">
        <f t="shared" si="419"/>
        <v>2571.5</v>
      </c>
      <c r="T1909" s="7">
        <f t="shared" si="420"/>
        <v>0</v>
      </c>
    </row>
    <row r="1910" spans="1:20" x14ac:dyDescent="0.25">
      <c r="A1910" s="1">
        <v>43950</v>
      </c>
      <c r="B1910">
        <v>2458</v>
      </c>
      <c r="C1910">
        <v>2468.4</v>
      </c>
      <c r="D1910">
        <v>2451.0500000000002</v>
      </c>
      <c r="E1910">
        <v>2460.1</v>
      </c>
      <c r="F1910">
        <v>435318</v>
      </c>
      <c r="G1910" s="4">
        <f t="shared" si="407"/>
        <v>6.9000000000000909</v>
      </c>
      <c r="H1910" s="4">
        <f t="shared" si="408"/>
        <v>0</v>
      </c>
      <c r="I1910" s="6">
        <f t="shared" si="413"/>
        <v>7.9178571428571685</v>
      </c>
      <c r="J1910" s="6">
        <f t="shared" si="414"/>
        <v>9.7428571428571811</v>
      </c>
      <c r="K1910" s="4">
        <f t="shared" si="415"/>
        <v>0.8126832844574774</v>
      </c>
      <c r="L1910">
        <f t="shared" si="416"/>
        <v>44.83316481294235</v>
      </c>
      <c r="M1910" s="14" t="str">
        <f t="shared" si="409"/>
        <v/>
      </c>
      <c r="N1910" s="7">
        <f t="shared" si="410"/>
        <v>0</v>
      </c>
      <c r="O1910" s="7">
        <f t="shared" si="417"/>
        <v>0</v>
      </c>
      <c r="P1910" s="7">
        <f t="shared" si="418"/>
        <v>-1</v>
      </c>
      <c r="Q1910" s="10" t="e">
        <f t="shared" si="411"/>
        <v>#N/A</v>
      </c>
      <c r="R1910" s="10" t="e">
        <f t="shared" si="412"/>
        <v>#N/A</v>
      </c>
      <c r="S1910" s="7">
        <f t="shared" si="419"/>
        <v>2571.5</v>
      </c>
      <c r="T1910" s="7">
        <f t="shared" si="420"/>
        <v>0</v>
      </c>
    </row>
    <row r="1911" spans="1:20" x14ac:dyDescent="0.25">
      <c r="A1911" s="1">
        <v>43951</v>
      </c>
      <c r="B1911">
        <v>2453.75</v>
      </c>
      <c r="C1911">
        <v>2474</v>
      </c>
      <c r="D1911">
        <v>2452.5500000000002</v>
      </c>
      <c r="E1911">
        <v>2470.6</v>
      </c>
      <c r="F1911">
        <v>510567</v>
      </c>
      <c r="G1911" s="4">
        <f t="shared" si="407"/>
        <v>10.5</v>
      </c>
      <c r="H1911" s="4">
        <f t="shared" si="408"/>
        <v>0</v>
      </c>
      <c r="I1911" s="6">
        <f t="shared" si="413"/>
        <v>6.657142857142877</v>
      </c>
      <c r="J1911" s="6">
        <f t="shared" si="414"/>
        <v>9.7428571428571811</v>
      </c>
      <c r="K1911" s="4">
        <f t="shared" si="415"/>
        <v>0.68328445747800526</v>
      </c>
      <c r="L1911">
        <f t="shared" si="416"/>
        <v>40.592334494773496</v>
      </c>
      <c r="M1911" s="14" t="str">
        <f t="shared" si="409"/>
        <v/>
      </c>
      <c r="N1911" s="7">
        <f t="shared" si="410"/>
        <v>0</v>
      </c>
      <c r="O1911" s="7">
        <f t="shared" si="417"/>
        <v>0</v>
      </c>
      <c r="P1911" s="7">
        <f t="shared" si="418"/>
        <v>-1</v>
      </c>
      <c r="Q1911" s="10" t="e">
        <f t="shared" si="411"/>
        <v>#N/A</v>
      </c>
      <c r="R1911" s="10" t="e">
        <f t="shared" si="412"/>
        <v>#N/A</v>
      </c>
      <c r="S1911" s="7">
        <f t="shared" si="419"/>
        <v>2571.5</v>
      </c>
      <c r="T1911" s="7">
        <f t="shared" si="420"/>
        <v>0</v>
      </c>
    </row>
    <row r="1912" spans="1:20" x14ac:dyDescent="0.25">
      <c r="A1912" s="1">
        <v>43952</v>
      </c>
      <c r="B1912">
        <v>2471.1999999999998</v>
      </c>
      <c r="C1912">
        <v>2482.9499999999998</v>
      </c>
      <c r="D1912">
        <v>2450</v>
      </c>
      <c r="E1912">
        <v>2454.4499999999998</v>
      </c>
      <c r="F1912">
        <v>366382</v>
      </c>
      <c r="G1912" s="4">
        <f t="shared" si="407"/>
        <v>0</v>
      </c>
      <c r="H1912" s="4">
        <f t="shared" si="408"/>
        <v>16.150000000000091</v>
      </c>
      <c r="I1912" s="6">
        <f t="shared" si="413"/>
        <v>5.5857142857143049</v>
      </c>
      <c r="J1912" s="6">
        <f t="shared" si="414"/>
        <v>10.896428571428617</v>
      </c>
      <c r="K1912" s="4">
        <f t="shared" si="415"/>
        <v>0.51261881350376892</v>
      </c>
      <c r="L1912">
        <f t="shared" si="416"/>
        <v>33.889490790899231</v>
      </c>
      <c r="M1912" s="14" t="str">
        <f t="shared" si="409"/>
        <v/>
      </c>
      <c r="N1912" s="7">
        <f t="shared" si="410"/>
        <v>0</v>
      </c>
      <c r="O1912" s="7">
        <f t="shared" si="417"/>
        <v>0</v>
      </c>
      <c r="P1912" s="7">
        <f t="shared" si="418"/>
        <v>-1</v>
      </c>
      <c r="Q1912" s="10" t="e">
        <f t="shared" si="411"/>
        <v>#N/A</v>
      </c>
      <c r="R1912" s="10" t="e">
        <f t="shared" si="412"/>
        <v>#N/A</v>
      </c>
      <c r="S1912" s="7">
        <f t="shared" si="419"/>
        <v>2571.5</v>
      </c>
      <c r="T1912" s="7">
        <f t="shared" si="420"/>
        <v>0</v>
      </c>
    </row>
    <row r="1913" spans="1:20" x14ac:dyDescent="0.25">
      <c r="A1913" s="1">
        <v>43955</v>
      </c>
      <c r="B1913">
        <v>2473.9</v>
      </c>
      <c r="C1913">
        <v>2497</v>
      </c>
      <c r="D1913">
        <v>2457</v>
      </c>
      <c r="E1913">
        <v>2488.4499999999998</v>
      </c>
      <c r="F1913">
        <v>698230</v>
      </c>
      <c r="G1913" s="4">
        <f t="shared" si="407"/>
        <v>34</v>
      </c>
      <c r="H1913" s="4">
        <f t="shared" si="408"/>
        <v>0</v>
      </c>
      <c r="I1913" s="6">
        <f t="shared" si="413"/>
        <v>8.0142857142857338</v>
      </c>
      <c r="J1913" s="6">
        <f t="shared" si="414"/>
        <v>8.664285714285759</v>
      </c>
      <c r="K1913" s="4">
        <f t="shared" si="415"/>
        <v>0.92497938994228934</v>
      </c>
      <c r="L1913">
        <f t="shared" si="416"/>
        <v>48.051391862954965</v>
      </c>
      <c r="M1913" s="14" t="str">
        <f t="shared" si="409"/>
        <v/>
      </c>
      <c r="N1913" s="7">
        <f t="shared" si="410"/>
        <v>0</v>
      </c>
      <c r="O1913" s="7">
        <f t="shared" si="417"/>
        <v>0</v>
      </c>
      <c r="P1913" s="7">
        <f t="shared" si="418"/>
        <v>-1</v>
      </c>
      <c r="Q1913" s="10" t="e">
        <f t="shared" si="411"/>
        <v>#N/A</v>
      </c>
      <c r="R1913" s="10" t="e">
        <f t="shared" si="412"/>
        <v>#N/A</v>
      </c>
      <c r="S1913" s="7">
        <f t="shared" si="419"/>
        <v>2571.5</v>
      </c>
      <c r="T1913" s="7">
        <f t="shared" si="420"/>
        <v>0</v>
      </c>
    </row>
    <row r="1914" spans="1:20" x14ac:dyDescent="0.25">
      <c r="A1914" s="1">
        <v>43956</v>
      </c>
      <c r="B1914">
        <v>2500</v>
      </c>
      <c r="C1914">
        <v>2531.65</v>
      </c>
      <c r="D1914">
        <v>2475.1999999999998</v>
      </c>
      <c r="E1914">
        <v>2489.1999999999998</v>
      </c>
      <c r="F1914">
        <v>639490</v>
      </c>
      <c r="G1914" s="4">
        <f t="shared" si="407"/>
        <v>0.75</v>
      </c>
      <c r="H1914" s="4">
        <f t="shared" si="408"/>
        <v>0</v>
      </c>
      <c r="I1914" s="6">
        <f t="shared" si="413"/>
        <v>8.0678571428571626</v>
      </c>
      <c r="J1914" s="6">
        <f t="shared" si="414"/>
        <v>8.0857142857143049</v>
      </c>
      <c r="K1914" s="4">
        <f t="shared" si="415"/>
        <v>0.99779151943462907</v>
      </c>
      <c r="L1914">
        <f t="shared" si="416"/>
        <v>49.944726951138627</v>
      </c>
      <c r="M1914" s="14" t="str">
        <f t="shared" si="409"/>
        <v/>
      </c>
      <c r="N1914" s="7">
        <f t="shared" si="410"/>
        <v>0</v>
      </c>
      <c r="O1914" s="7">
        <f t="shared" si="417"/>
        <v>0</v>
      </c>
      <c r="P1914" s="7">
        <f t="shared" si="418"/>
        <v>-1</v>
      </c>
      <c r="Q1914" s="10" t="e">
        <f t="shared" si="411"/>
        <v>#N/A</v>
      </c>
      <c r="R1914" s="10" t="e">
        <f t="shared" si="412"/>
        <v>#N/A</v>
      </c>
      <c r="S1914" s="7">
        <f t="shared" si="419"/>
        <v>2571.5</v>
      </c>
      <c r="T1914" s="7">
        <f t="shared" si="420"/>
        <v>0</v>
      </c>
    </row>
    <row r="1915" spans="1:20" x14ac:dyDescent="0.25">
      <c r="A1915" s="1">
        <v>43957</v>
      </c>
      <c r="B1915">
        <v>2482</v>
      </c>
      <c r="C1915">
        <v>2497.6</v>
      </c>
      <c r="D1915">
        <v>2471.9</v>
      </c>
      <c r="E1915">
        <v>2486.9499999999998</v>
      </c>
      <c r="F1915">
        <v>540755</v>
      </c>
      <c r="G1915" s="4">
        <f t="shared" si="407"/>
        <v>0</v>
      </c>
      <c r="H1915" s="4">
        <f t="shared" si="408"/>
        <v>2.25</v>
      </c>
      <c r="I1915" s="6">
        <f t="shared" si="413"/>
        <v>7.5571428571428703</v>
      </c>
      <c r="J1915" s="6">
        <f t="shared" si="414"/>
        <v>8.2464285714285914</v>
      </c>
      <c r="K1915" s="4">
        <f t="shared" si="415"/>
        <v>0.91641403204850524</v>
      </c>
      <c r="L1915">
        <f t="shared" si="416"/>
        <v>47.819209039548007</v>
      </c>
      <c r="M1915" s="14" t="str">
        <f t="shared" si="409"/>
        <v/>
      </c>
      <c r="N1915" s="7">
        <f t="shared" si="410"/>
        <v>0</v>
      </c>
      <c r="O1915" s="7">
        <f t="shared" si="417"/>
        <v>0</v>
      </c>
      <c r="P1915" s="7">
        <f t="shared" si="418"/>
        <v>-1</v>
      </c>
      <c r="Q1915" s="10" t="e">
        <f t="shared" si="411"/>
        <v>#N/A</v>
      </c>
      <c r="R1915" s="10" t="e">
        <f t="shared" si="412"/>
        <v>#N/A</v>
      </c>
      <c r="S1915" s="7">
        <f t="shared" si="419"/>
        <v>2571.5</v>
      </c>
      <c r="T1915" s="7">
        <f t="shared" si="420"/>
        <v>0</v>
      </c>
    </row>
    <row r="1916" spans="1:20" x14ac:dyDescent="0.25">
      <c r="A1916" s="1">
        <v>43958</v>
      </c>
      <c r="B1916">
        <v>2499</v>
      </c>
      <c r="C1916">
        <v>2517</v>
      </c>
      <c r="D1916">
        <v>2485</v>
      </c>
      <c r="E1916">
        <v>2506.0500000000002</v>
      </c>
      <c r="F1916">
        <v>1472036</v>
      </c>
      <c r="G1916" s="4">
        <f t="shared" si="407"/>
        <v>19.100000000000364</v>
      </c>
      <c r="H1916" s="4">
        <f t="shared" si="408"/>
        <v>0</v>
      </c>
      <c r="I1916" s="6">
        <f t="shared" si="413"/>
        <v>8.9214285714286099</v>
      </c>
      <c r="J1916" s="6">
        <f t="shared" si="414"/>
        <v>7.5821428571428964</v>
      </c>
      <c r="K1916" s="4">
        <f t="shared" si="415"/>
        <v>1.1766368346679217</v>
      </c>
      <c r="L1916">
        <f t="shared" si="416"/>
        <v>54.057563297987429</v>
      </c>
      <c r="M1916" s="14" t="str">
        <f t="shared" si="409"/>
        <v/>
      </c>
      <c r="N1916" s="7">
        <f t="shared" si="410"/>
        <v>0</v>
      </c>
      <c r="O1916" s="7">
        <f t="shared" si="417"/>
        <v>0</v>
      </c>
      <c r="P1916" s="7">
        <f t="shared" si="418"/>
        <v>-1</v>
      </c>
      <c r="Q1916" s="10" t="e">
        <f t="shared" si="411"/>
        <v>#N/A</v>
      </c>
      <c r="R1916" s="10" t="e">
        <f t="shared" si="412"/>
        <v>#N/A</v>
      </c>
      <c r="S1916" s="7">
        <f t="shared" si="419"/>
        <v>2571.5</v>
      </c>
      <c r="T1916" s="7">
        <f t="shared" si="420"/>
        <v>0</v>
      </c>
    </row>
    <row r="1917" spans="1:20" x14ac:dyDescent="0.25">
      <c r="A1917" s="1">
        <v>43959</v>
      </c>
      <c r="B1917">
        <v>2504.9499999999998</v>
      </c>
      <c r="C1917">
        <v>2518.9499999999998</v>
      </c>
      <c r="D1917">
        <v>2489.25</v>
      </c>
      <c r="E1917">
        <v>2499.0500000000002</v>
      </c>
      <c r="F1917">
        <v>363300</v>
      </c>
      <c r="G1917" s="4">
        <f t="shared" si="407"/>
        <v>0</v>
      </c>
      <c r="H1917" s="4">
        <f t="shared" si="408"/>
        <v>7</v>
      </c>
      <c r="I1917" s="6">
        <f t="shared" si="413"/>
        <v>8.9214285714286099</v>
      </c>
      <c r="J1917" s="6">
        <f t="shared" si="414"/>
        <v>6.907142857142877</v>
      </c>
      <c r="K1917" s="4">
        <f t="shared" si="415"/>
        <v>1.2916235780765273</v>
      </c>
      <c r="L1917">
        <f t="shared" si="416"/>
        <v>56.362815884476575</v>
      </c>
      <c r="M1917" s="14" t="str">
        <f t="shared" si="409"/>
        <v/>
      </c>
      <c r="N1917" s="7">
        <f t="shared" si="410"/>
        <v>0</v>
      </c>
      <c r="O1917" s="7">
        <f t="shared" si="417"/>
        <v>0</v>
      </c>
      <c r="P1917" s="7">
        <f t="shared" si="418"/>
        <v>-1</v>
      </c>
      <c r="Q1917" s="10" t="e">
        <f t="shared" si="411"/>
        <v>#N/A</v>
      </c>
      <c r="R1917" s="10" t="e">
        <f t="shared" si="412"/>
        <v>#N/A</v>
      </c>
      <c r="S1917" s="7">
        <f t="shared" si="419"/>
        <v>2571.5</v>
      </c>
      <c r="T1917" s="7">
        <f t="shared" si="420"/>
        <v>0</v>
      </c>
    </row>
    <row r="1918" spans="1:20" x14ac:dyDescent="0.25">
      <c r="A1918" s="1">
        <v>43962</v>
      </c>
      <c r="B1918">
        <v>2505</v>
      </c>
      <c r="C1918">
        <v>2505</v>
      </c>
      <c r="D1918">
        <v>2491.5</v>
      </c>
      <c r="E1918">
        <v>2498.25</v>
      </c>
      <c r="F1918">
        <v>391377</v>
      </c>
      <c r="G1918" s="4">
        <f t="shared" si="407"/>
        <v>0</v>
      </c>
      <c r="H1918" s="4">
        <f t="shared" si="408"/>
        <v>0.8000000000001819</v>
      </c>
      <c r="I1918" s="6">
        <f t="shared" si="413"/>
        <v>7.9428571428571626</v>
      </c>
      <c r="J1918" s="6">
        <f t="shared" si="414"/>
        <v>6.9642857142857464</v>
      </c>
      <c r="K1918" s="4">
        <f t="shared" si="415"/>
        <v>1.1405128205128181</v>
      </c>
      <c r="L1918">
        <f t="shared" si="416"/>
        <v>53.282223287014794</v>
      </c>
      <c r="M1918" s="14" t="str">
        <f t="shared" si="409"/>
        <v/>
      </c>
      <c r="N1918" s="7">
        <f t="shared" si="410"/>
        <v>0</v>
      </c>
      <c r="O1918" s="7">
        <f t="shared" si="417"/>
        <v>0</v>
      </c>
      <c r="P1918" s="7">
        <f t="shared" si="418"/>
        <v>-1</v>
      </c>
      <c r="Q1918" s="10" t="e">
        <f t="shared" si="411"/>
        <v>#N/A</v>
      </c>
      <c r="R1918" s="10" t="e">
        <f t="shared" si="412"/>
        <v>#N/A</v>
      </c>
      <c r="S1918" s="7">
        <f t="shared" si="419"/>
        <v>2571.5</v>
      </c>
      <c r="T1918" s="7">
        <f t="shared" si="420"/>
        <v>0</v>
      </c>
    </row>
    <row r="1919" spans="1:20" x14ac:dyDescent="0.25">
      <c r="A1919" s="1">
        <v>43963</v>
      </c>
      <c r="B1919">
        <v>2514</v>
      </c>
      <c r="C1919">
        <v>2514</v>
      </c>
      <c r="D1919">
        <v>2474.3000000000002</v>
      </c>
      <c r="E1919">
        <v>2493.5500000000002</v>
      </c>
      <c r="F1919">
        <v>667321</v>
      </c>
      <c r="G1919" s="4">
        <f t="shared" si="407"/>
        <v>0</v>
      </c>
      <c r="H1919" s="4">
        <f t="shared" si="408"/>
        <v>4.6999999999998181</v>
      </c>
      <c r="I1919" s="6">
        <f t="shared" si="413"/>
        <v>7.1000000000000387</v>
      </c>
      <c r="J1919" s="6">
        <f t="shared" si="414"/>
        <v>7.3000000000000194</v>
      </c>
      <c r="K1919" s="4">
        <f t="shared" si="415"/>
        <v>0.97260273972603017</v>
      </c>
      <c r="L1919">
        <f t="shared" si="416"/>
        <v>49.305555555555628</v>
      </c>
      <c r="M1919" s="14" t="str">
        <f t="shared" si="409"/>
        <v/>
      </c>
      <c r="N1919" s="7">
        <f t="shared" si="410"/>
        <v>0</v>
      </c>
      <c r="O1919" s="7">
        <f t="shared" si="417"/>
        <v>0</v>
      </c>
      <c r="P1919" s="7">
        <f t="shared" si="418"/>
        <v>-1</v>
      </c>
      <c r="Q1919" s="10" t="e">
        <f t="shared" si="411"/>
        <v>#N/A</v>
      </c>
      <c r="R1919" s="10" t="e">
        <f t="shared" si="412"/>
        <v>#N/A</v>
      </c>
      <c r="S1919" s="7">
        <f t="shared" si="419"/>
        <v>2571.5</v>
      </c>
      <c r="T1919" s="7">
        <f t="shared" si="420"/>
        <v>0</v>
      </c>
    </row>
    <row r="1920" spans="1:20" x14ac:dyDescent="0.25">
      <c r="A1920" s="1">
        <v>43964</v>
      </c>
      <c r="B1920">
        <v>2491.0500000000002</v>
      </c>
      <c r="C1920">
        <v>2541</v>
      </c>
      <c r="D1920">
        <v>2480</v>
      </c>
      <c r="E1920">
        <v>2524.9</v>
      </c>
      <c r="F1920">
        <v>1219370</v>
      </c>
      <c r="G1920" s="4">
        <f t="shared" si="407"/>
        <v>31.349999999999909</v>
      </c>
      <c r="H1920" s="4">
        <f t="shared" si="408"/>
        <v>0</v>
      </c>
      <c r="I1920" s="6">
        <f t="shared" si="413"/>
        <v>9.3392857142857473</v>
      </c>
      <c r="J1920" s="6">
        <f t="shared" si="414"/>
        <v>4.4500000000000126</v>
      </c>
      <c r="K1920" s="4">
        <f t="shared" si="415"/>
        <v>2.0987158908507237</v>
      </c>
      <c r="L1920">
        <f t="shared" si="416"/>
        <v>67.728567728567754</v>
      </c>
      <c r="M1920" s="14" t="str">
        <f t="shared" si="409"/>
        <v/>
      </c>
      <c r="N1920" s="7">
        <f t="shared" si="410"/>
        <v>0</v>
      </c>
      <c r="O1920" s="7">
        <f t="shared" si="417"/>
        <v>0</v>
      </c>
      <c r="P1920" s="7">
        <f t="shared" si="418"/>
        <v>-1</v>
      </c>
      <c r="Q1920" s="10" t="e">
        <f t="shared" si="411"/>
        <v>#N/A</v>
      </c>
      <c r="R1920" s="10" t="e">
        <f t="shared" si="412"/>
        <v>#N/A</v>
      </c>
      <c r="S1920" s="7">
        <f t="shared" si="419"/>
        <v>2571.5</v>
      </c>
      <c r="T1920" s="7">
        <f t="shared" si="420"/>
        <v>0</v>
      </c>
    </row>
    <row r="1921" spans="1:20" x14ac:dyDescent="0.25">
      <c r="A1921" s="1">
        <v>43965</v>
      </c>
      <c r="B1921">
        <v>2519.9</v>
      </c>
      <c r="C1921">
        <v>2526.9</v>
      </c>
      <c r="D1921">
        <v>2492</v>
      </c>
      <c r="E1921">
        <v>2503.6</v>
      </c>
      <c r="F1921">
        <v>1217698</v>
      </c>
      <c r="G1921" s="4">
        <f t="shared" si="407"/>
        <v>0</v>
      </c>
      <c r="H1921" s="4">
        <f t="shared" si="408"/>
        <v>21.300000000000182</v>
      </c>
      <c r="I1921" s="6">
        <f t="shared" si="413"/>
        <v>9.3392857142857473</v>
      </c>
      <c r="J1921" s="6">
        <f t="shared" si="414"/>
        <v>5.9535714285714549</v>
      </c>
      <c r="K1921" s="4">
        <f t="shared" si="415"/>
        <v>1.5686862627474492</v>
      </c>
      <c r="L1921">
        <f t="shared" si="416"/>
        <v>61.0695936478281</v>
      </c>
      <c r="M1921" s="14" t="str">
        <f t="shared" si="409"/>
        <v/>
      </c>
      <c r="N1921" s="7">
        <f t="shared" si="410"/>
        <v>0</v>
      </c>
      <c r="O1921" s="7">
        <f t="shared" si="417"/>
        <v>0</v>
      </c>
      <c r="P1921" s="7">
        <f t="shared" si="418"/>
        <v>-1</v>
      </c>
      <c r="Q1921" s="10" t="e">
        <f t="shared" si="411"/>
        <v>#N/A</v>
      </c>
      <c r="R1921" s="10" t="e">
        <f t="shared" si="412"/>
        <v>#N/A</v>
      </c>
      <c r="S1921" s="7">
        <f t="shared" si="419"/>
        <v>2571.5</v>
      </c>
      <c r="T1921" s="7">
        <f t="shared" si="420"/>
        <v>0</v>
      </c>
    </row>
    <row r="1922" spans="1:20" x14ac:dyDescent="0.25">
      <c r="A1922" s="1">
        <v>43966</v>
      </c>
      <c r="B1922">
        <v>2496.5500000000002</v>
      </c>
      <c r="C1922">
        <v>2534</v>
      </c>
      <c r="D1922">
        <v>2492.75</v>
      </c>
      <c r="E1922">
        <v>2510.75</v>
      </c>
      <c r="F1922">
        <v>799779</v>
      </c>
      <c r="G1922" s="4">
        <f t="shared" si="407"/>
        <v>7.1500000000000909</v>
      </c>
      <c r="H1922" s="4">
        <f t="shared" si="408"/>
        <v>0</v>
      </c>
      <c r="I1922" s="6">
        <f t="shared" si="413"/>
        <v>7.8392857142857464</v>
      </c>
      <c r="J1922" s="6">
        <f t="shared" si="414"/>
        <v>5.9535714285714549</v>
      </c>
      <c r="K1922" s="4">
        <f t="shared" si="415"/>
        <v>1.3167366526694657</v>
      </c>
      <c r="L1922">
        <f t="shared" si="416"/>
        <v>56.835836354220604</v>
      </c>
      <c r="M1922" s="14" t="str">
        <f t="shared" si="409"/>
        <v/>
      </c>
      <c r="N1922" s="7">
        <f t="shared" si="410"/>
        <v>0</v>
      </c>
      <c r="O1922" s="7">
        <f t="shared" si="417"/>
        <v>0</v>
      </c>
      <c r="P1922" s="7">
        <f t="shared" si="418"/>
        <v>-1</v>
      </c>
      <c r="Q1922" s="10" t="e">
        <f t="shared" si="411"/>
        <v>#N/A</v>
      </c>
      <c r="R1922" s="10" t="e">
        <f t="shared" si="412"/>
        <v>#N/A</v>
      </c>
      <c r="S1922" s="7">
        <f t="shared" si="419"/>
        <v>2571.5</v>
      </c>
      <c r="T1922" s="7">
        <f t="shared" si="420"/>
        <v>0</v>
      </c>
    </row>
    <row r="1923" spans="1:20" x14ac:dyDescent="0.25">
      <c r="A1923" s="1">
        <v>43969</v>
      </c>
      <c r="B1923">
        <v>2510</v>
      </c>
      <c r="C1923">
        <v>2526.4</v>
      </c>
      <c r="D1923">
        <v>2466</v>
      </c>
      <c r="E1923">
        <v>2474.65</v>
      </c>
      <c r="F1923">
        <v>724615</v>
      </c>
      <c r="G1923" s="4">
        <f t="shared" si="407"/>
        <v>0</v>
      </c>
      <c r="H1923" s="4">
        <f t="shared" si="408"/>
        <v>36.099999999999909</v>
      </c>
      <c r="I1923" s="6">
        <f t="shared" si="413"/>
        <v>7.8392857142857464</v>
      </c>
      <c r="J1923" s="6">
        <f t="shared" si="414"/>
        <v>6.3071428571428703</v>
      </c>
      <c r="K1923" s="4">
        <f t="shared" si="415"/>
        <v>1.2429218573046457</v>
      </c>
      <c r="L1923">
        <f t="shared" si="416"/>
        <v>55.415299166877105</v>
      </c>
      <c r="M1923" s="14" t="str">
        <f t="shared" si="409"/>
        <v/>
      </c>
      <c r="N1923" s="7">
        <f t="shared" si="410"/>
        <v>0</v>
      </c>
      <c r="O1923" s="7">
        <f t="shared" si="417"/>
        <v>0</v>
      </c>
      <c r="P1923" s="7">
        <f t="shared" si="418"/>
        <v>-1</v>
      </c>
      <c r="Q1923" s="10" t="e">
        <f t="shared" si="411"/>
        <v>#N/A</v>
      </c>
      <c r="R1923" s="10" t="e">
        <f t="shared" si="412"/>
        <v>#N/A</v>
      </c>
      <c r="S1923" s="7">
        <f t="shared" si="419"/>
        <v>2571.5</v>
      </c>
      <c r="T1923" s="7">
        <f t="shared" si="420"/>
        <v>0</v>
      </c>
    </row>
    <row r="1924" spans="1:20" x14ac:dyDescent="0.25">
      <c r="A1924" s="1">
        <v>43970</v>
      </c>
      <c r="B1924">
        <v>2490</v>
      </c>
      <c r="C1924">
        <v>2512.1999999999998</v>
      </c>
      <c r="D1924">
        <v>2473.75</v>
      </c>
      <c r="E1924">
        <v>2495</v>
      </c>
      <c r="F1924">
        <v>1005178</v>
      </c>
      <c r="G1924" s="4">
        <f t="shared" ref="G1924:G1987" si="421">IF(E1924&gt;E1923,E1924-E1923,0)</f>
        <v>20.349999999999909</v>
      </c>
      <c r="H1924" s="4">
        <f t="shared" ref="H1924:H1987" si="422">IF(E1924&lt;E1923,E1923-E1924,0)</f>
        <v>0</v>
      </c>
      <c r="I1924" s="6">
        <f t="shared" si="413"/>
        <v>8.8000000000000203</v>
      </c>
      <c r="J1924" s="6">
        <f t="shared" si="414"/>
        <v>6.3071428571428703</v>
      </c>
      <c r="K1924" s="4">
        <f t="shared" si="415"/>
        <v>1.3952434881087206</v>
      </c>
      <c r="L1924">
        <f t="shared" si="416"/>
        <v>58.250591016548462</v>
      </c>
      <c r="M1924" s="14" t="str">
        <f t="shared" si="409"/>
        <v/>
      </c>
      <c r="N1924" s="7">
        <f t="shared" si="410"/>
        <v>0</v>
      </c>
      <c r="O1924" s="7">
        <f t="shared" si="417"/>
        <v>0</v>
      </c>
      <c r="P1924" s="7">
        <f t="shared" si="418"/>
        <v>-1</v>
      </c>
      <c r="Q1924" s="10" t="e">
        <f t="shared" si="411"/>
        <v>#N/A</v>
      </c>
      <c r="R1924" s="10" t="e">
        <f t="shared" si="412"/>
        <v>#N/A</v>
      </c>
      <c r="S1924" s="7">
        <f t="shared" si="419"/>
        <v>2571.5</v>
      </c>
      <c r="T1924" s="7">
        <f t="shared" si="420"/>
        <v>0</v>
      </c>
    </row>
    <row r="1925" spans="1:20" x14ac:dyDescent="0.25">
      <c r="A1925" s="1">
        <v>43971</v>
      </c>
      <c r="B1925">
        <v>2494.6999999999998</v>
      </c>
      <c r="C1925">
        <v>2514</v>
      </c>
      <c r="D1925">
        <v>2452</v>
      </c>
      <c r="E1925">
        <v>2476.4499999999998</v>
      </c>
      <c r="F1925">
        <v>2166433</v>
      </c>
      <c r="G1925" s="4">
        <f t="shared" si="421"/>
        <v>0</v>
      </c>
      <c r="H1925" s="4">
        <f t="shared" si="422"/>
        <v>18.550000000000182</v>
      </c>
      <c r="I1925" s="6">
        <f t="shared" si="413"/>
        <v>8.0500000000000203</v>
      </c>
      <c r="J1925" s="6">
        <f t="shared" si="414"/>
        <v>7.6321428571428829</v>
      </c>
      <c r="K1925" s="4">
        <f t="shared" si="415"/>
        <v>1.0547496490407104</v>
      </c>
      <c r="L1925">
        <f t="shared" si="416"/>
        <v>51.332270553404669</v>
      </c>
      <c r="M1925" s="14" t="str">
        <f t="shared" si="409"/>
        <v/>
      </c>
      <c r="N1925" s="7">
        <f t="shared" si="410"/>
        <v>0</v>
      </c>
      <c r="O1925" s="7">
        <f t="shared" si="417"/>
        <v>0</v>
      </c>
      <c r="P1925" s="7">
        <f t="shared" si="418"/>
        <v>-1</v>
      </c>
      <c r="Q1925" s="10" t="e">
        <f t="shared" si="411"/>
        <v>#N/A</v>
      </c>
      <c r="R1925" s="10" t="e">
        <f t="shared" si="412"/>
        <v>#N/A</v>
      </c>
      <c r="S1925" s="7">
        <f t="shared" si="419"/>
        <v>2571.5</v>
      </c>
      <c r="T1925" s="7">
        <f t="shared" si="420"/>
        <v>0</v>
      </c>
    </row>
    <row r="1926" spans="1:20" x14ac:dyDescent="0.25">
      <c r="A1926" s="1">
        <v>43972</v>
      </c>
      <c r="B1926">
        <v>2479</v>
      </c>
      <c r="C1926">
        <v>2484</v>
      </c>
      <c r="D1926">
        <v>2421.5</v>
      </c>
      <c r="E1926">
        <v>2435.9499999999998</v>
      </c>
      <c r="F1926">
        <v>992507</v>
      </c>
      <c r="G1926" s="4">
        <f t="shared" si="421"/>
        <v>0</v>
      </c>
      <c r="H1926" s="4">
        <f t="shared" si="422"/>
        <v>40.5</v>
      </c>
      <c r="I1926" s="6">
        <f t="shared" si="413"/>
        <v>8.0500000000000203</v>
      </c>
      <c r="J1926" s="6">
        <f t="shared" si="414"/>
        <v>9.3714285714285914</v>
      </c>
      <c r="K1926" s="4">
        <f t="shared" si="415"/>
        <v>0.85899390243902474</v>
      </c>
      <c r="L1926">
        <f t="shared" si="416"/>
        <v>46.207462074620757</v>
      </c>
      <c r="M1926" s="14" t="str">
        <f t="shared" si="409"/>
        <v/>
      </c>
      <c r="N1926" s="7">
        <f t="shared" si="410"/>
        <v>0</v>
      </c>
      <c r="O1926" s="7">
        <f t="shared" si="417"/>
        <v>0</v>
      </c>
      <c r="P1926" s="7">
        <f t="shared" si="418"/>
        <v>-1</v>
      </c>
      <c r="Q1926" s="10" t="e">
        <f t="shared" si="411"/>
        <v>#N/A</v>
      </c>
      <c r="R1926" s="10" t="e">
        <f t="shared" si="412"/>
        <v>#N/A</v>
      </c>
      <c r="S1926" s="7">
        <f t="shared" si="419"/>
        <v>2571.5</v>
      </c>
      <c r="T1926" s="7">
        <f t="shared" si="420"/>
        <v>0</v>
      </c>
    </row>
    <row r="1927" spans="1:20" x14ac:dyDescent="0.25">
      <c r="A1927" s="1">
        <v>43973</v>
      </c>
      <c r="B1927">
        <v>2440</v>
      </c>
      <c r="C1927">
        <v>2454.3000000000002</v>
      </c>
      <c r="D1927">
        <v>2427.0500000000002</v>
      </c>
      <c r="E1927">
        <v>2448.4499999999998</v>
      </c>
      <c r="F1927">
        <v>961503</v>
      </c>
      <c r="G1927" s="4">
        <f t="shared" si="421"/>
        <v>12.5</v>
      </c>
      <c r="H1927" s="4">
        <f t="shared" si="422"/>
        <v>0</v>
      </c>
      <c r="I1927" s="6">
        <f t="shared" si="413"/>
        <v>6.5142857142857338</v>
      </c>
      <c r="J1927" s="6">
        <f t="shared" si="414"/>
        <v>9.3714285714285914</v>
      </c>
      <c r="K1927" s="4">
        <f t="shared" si="415"/>
        <v>0.69512195121951281</v>
      </c>
      <c r="L1927">
        <f t="shared" si="416"/>
        <v>41.007194244604335</v>
      </c>
      <c r="M1927" s="14" t="str">
        <f t="shared" si="409"/>
        <v/>
      </c>
      <c r="N1927" s="7">
        <f t="shared" si="410"/>
        <v>0</v>
      </c>
      <c r="O1927" s="7">
        <f t="shared" si="417"/>
        <v>0</v>
      </c>
      <c r="P1927" s="7">
        <f t="shared" si="418"/>
        <v>-1</v>
      </c>
      <c r="Q1927" s="10" t="e">
        <f t="shared" si="411"/>
        <v>#N/A</v>
      </c>
      <c r="R1927" s="10" t="e">
        <f t="shared" si="412"/>
        <v>#N/A</v>
      </c>
      <c r="S1927" s="7">
        <f t="shared" si="419"/>
        <v>2571.5</v>
      </c>
      <c r="T1927" s="7">
        <f t="shared" si="420"/>
        <v>0</v>
      </c>
    </row>
    <row r="1928" spans="1:20" x14ac:dyDescent="0.25">
      <c r="A1928" s="1">
        <v>43976</v>
      </c>
      <c r="B1928">
        <v>2449.6</v>
      </c>
      <c r="C1928">
        <v>2454</v>
      </c>
      <c r="D1928">
        <v>2425</v>
      </c>
      <c r="E1928">
        <v>2442.3000000000002</v>
      </c>
      <c r="F1928">
        <v>650389</v>
      </c>
      <c r="G1928" s="4">
        <f t="shared" si="421"/>
        <v>0</v>
      </c>
      <c r="H1928" s="4">
        <f t="shared" si="422"/>
        <v>6.1499999999996362</v>
      </c>
      <c r="I1928" s="6">
        <f t="shared" si="413"/>
        <v>6.4607142857143049</v>
      </c>
      <c r="J1928" s="6">
        <f t="shared" si="414"/>
        <v>9.8107142857142797</v>
      </c>
      <c r="K1928" s="4">
        <f t="shared" si="415"/>
        <v>0.65853658536585602</v>
      </c>
      <c r="L1928">
        <f t="shared" si="416"/>
        <v>39.705882352941259</v>
      </c>
      <c r="M1928" s="14" t="str">
        <f t="shared" si="409"/>
        <v/>
      </c>
      <c r="N1928" s="7">
        <f t="shared" si="410"/>
        <v>0</v>
      </c>
      <c r="O1928" s="7">
        <f t="shared" si="417"/>
        <v>0</v>
      </c>
      <c r="P1928" s="7">
        <f t="shared" si="418"/>
        <v>-1</v>
      </c>
      <c r="Q1928" s="10" t="e">
        <f t="shared" si="411"/>
        <v>#N/A</v>
      </c>
      <c r="R1928" s="10" t="e">
        <f t="shared" si="412"/>
        <v>#N/A</v>
      </c>
      <c r="S1928" s="7">
        <f t="shared" si="419"/>
        <v>2571.5</v>
      </c>
      <c r="T1928" s="7">
        <f t="shared" si="420"/>
        <v>0</v>
      </c>
    </row>
    <row r="1929" spans="1:20" x14ac:dyDescent="0.25">
      <c r="A1929" s="1">
        <v>43977</v>
      </c>
      <c r="B1929">
        <v>2441</v>
      </c>
      <c r="C1929">
        <v>2443.4499999999998</v>
      </c>
      <c r="D1929">
        <v>2424.4</v>
      </c>
      <c r="E1929">
        <v>2429.6</v>
      </c>
      <c r="F1929">
        <v>842343</v>
      </c>
      <c r="G1929" s="4">
        <f t="shared" si="421"/>
        <v>0</v>
      </c>
      <c r="H1929" s="4">
        <f t="shared" si="422"/>
        <v>12.700000000000273</v>
      </c>
      <c r="I1929" s="6">
        <f t="shared" si="413"/>
        <v>6.4607142857143049</v>
      </c>
      <c r="J1929" s="6">
        <f t="shared" si="414"/>
        <v>10.557142857142869</v>
      </c>
      <c r="K1929" s="4">
        <f t="shared" si="415"/>
        <v>0.61197564276048821</v>
      </c>
      <c r="L1929">
        <f t="shared" si="416"/>
        <v>37.964323189926581</v>
      </c>
      <c r="M1929" s="14" t="str">
        <f t="shared" si="409"/>
        <v/>
      </c>
      <c r="N1929" s="7">
        <f t="shared" si="410"/>
        <v>0</v>
      </c>
      <c r="O1929" s="7">
        <f t="shared" si="417"/>
        <v>0</v>
      </c>
      <c r="P1929" s="7">
        <f t="shared" si="418"/>
        <v>-1</v>
      </c>
      <c r="Q1929" s="10" t="e">
        <f t="shared" si="411"/>
        <v>#N/A</v>
      </c>
      <c r="R1929" s="10" t="e">
        <f t="shared" si="412"/>
        <v>#N/A</v>
      </c>
      <c r="S1929" s="7">
        <f t="shared" si="419"/>
        <v>2571.5</v>
      </c>
      <c r="T1929" s="7">
        <f t="shared" si="420"/>
        <v>0</v>
      </c>
    </row>
    <row r="1930" spans="1:20" x14ac:dyDescent="0.25">
      <c r="A1930" s="1">
        <v>43978</v>
      </c>
      <c r="B1930">
        <v>2430</v>
      </c>
      <c r="C1930">
        <v>2455</v>
      </c>
      <c r="D1930">
        <v>2428.0500000000002</v>
      </c>
      <c r="E1930">
        <v>2446.65</v>
      </c>
      <c r="F1930">
        <v>694594</v>
      </c>
      <c r="G1930" s="4">
        <f t="shared" si="421"/>
        <v>17.050000000000182</v>
      </c>
      <c r="H1930" s="4">
        <f t="shared" si="422"/>
        <v>0</v>
      </c>
      <c r="I1930" s="6">
        <f t="shared" si="413"/>
        <v>6.3142857142857212</v>
      </c>
      <c r="J1930" s="6">
        <f t="shared" si="414"/>
        <v>10.557142857142869</v>
      </c>
      <c r="K1930" s="4">
        <f t="shared" si="415"/>
        <v>0.59810554803788896</v>
      </c>
      <c r="L1930">
        <f t="shared" si="416"/>
        <v>37.425910245554611</v>
      </c>
      <c r="M1930" s="14" t="str">
        <f t="shared" si="409"/>
        <v/>
      </c>
      <c r="N1930" s="7">
        <f t="shared" si="410"/>
        <v>0</v>
      </c>
      <c r="O1930" s="7">
        <f t="shared" si="417"/>
        <v>0</v>
      </c>
      <c r="P1930" s="7">
        <f t="shared" si="418"/>
        <v>-1</v>
      </c>
      <c r="Q1930" s="10" t="e">
        <f t="shared" si="411"/>
        <v>#N/A</v>
      </c>
      <c r="R1930" s="10" t="e">
        <f t="shared" si="412"/>
        <v>#N/A</v>
      </c>
      <c r="S1930" s="7">
        <f t="shared" si="419"/>
        <v>2571.5</v>
      </c>
      <c r="T1930" s="7">
        <f t="shared" si="420"/>
        <v>0</v>
      </c>
    </row>
    <row r="1931" spans="1:20" x14ac:dyDescent="0.25">
      <c r="A1931" s="1">
        <v>43979</v>
      </c>
      <c r="B1931">
        <v>2441.0500000000002</v>
      </c>
      <c r="C1931">
        <v>2467.9499999999998</v>
      </c>
      <c r="D1931">
        <v>2441.0500000000002</v>
      </c>
      <c r="E1931">
        <v>2454.1</v>
      </c>
      <c r="F1931">
        <v>886808</v>
      </c>
      <c r="G1931" s="4">
        <f t="shared" si="421"/>
        <v>7.4499999999998181</v>
      </c>
      <c r="H1931" s="4">
        <f t="shared" si="422"/>
        <v>0</v>
      </c>
      <c r="I1931" s="6">
        <f t="shared" si="413"/>
        <v>6.8464285714285653</v>
      </c>
      <c r="J1931" s="6">
        <f t="shared" si="414"/>
        <v>10.057142857142869</v>
      </c>
      <c r="K1931" s="4">
        <f t="shared" si="415"/>
        <v>0.6807528409090895</v>
      </c>
      <c r="L1931">
        <f t="shared" si="416"/>
        <v>40.502852313543158</v>
      </c>
      <c r="M1931" s="14" t="str">
        <f t="shared" si="409"/>
        <v/>
      </c>
      <c r="N1931" s="7">
        <f t="shared" si="410"/>
        <v>0</v>
      </c>
      <c r="O1931" s="7">
        <f t="shared" si="417"/>
        <v>0</v>
      </c>
      <c r="P1931" s="7">
        <f t="shared" si="418"/>
        <v>-1</v>
      </c>
      <c r="Q1931" s="10" t="e">
        <f t="shared" si="411"/>
        <v>#N/A</v>
      </c>
      <c r="R1931" s="10" t="e">
        <f t="shared" si="412"/>
        <v>#N/A</v>
      </c>
      <c r="S1931" s="7">
        <f t="shared" si="419"/>
        <v>2571.5</v>
      </c>
      <c r="T1931" s="7">
        <f t="shared" si="420"/>
        <v>0</v>
      </c>
    </row>
    <row r="1932" spans="1:20" x14ac:dyDescent="0.25">
      <c r="A1932" s="1">
        <v>43980</v>
      </c>
      <c r="B1932">
        <v>2455</v>
      </c>
      <c r="C1932">
        <v>2469.9499999999998</v>
      </c>
      <c r="D1932">
        <v>2451.25</v>
      </c>
      <c r="E1932">
        <v>2459.25</v>
      </c>
      <c r="F1932">
        <v>611005</v>
      </c>
      <c r="G1932" s="4">
        <f t="shared" si="421"/>
        <v>5.1500000000000909</v>
      </c>
      <c r="H1932" s="4">
        <f t="shared" si="422"/>
        <v>0</v>
      </c>
      <c r="I1932" s="6">
        <f t="shared" si="413"/>
        <v>7.2142857142857144</v>
      </c>
      <c r="J1932" s="6">
        <f t="shared" si="414"/>
        <v>10</v>
      </c>
      <c r="K1932" s="4">
        <f t="shared" si="415"/>
        <v>0.72142857142857142</v>
      </c>
      <c r="L1932">
        <f t="shared" si="416"/>
        <v>41.908713692946058</v>
      </c>
      <c r="M1932" s="14" t="str">
        <f t="shared" si="409"/>
        <v/>
      </c>
      <c r="N1932" s="7">
        <f t="shared" si="410"/>
        <v>0</v>
      </c>
      <c r="O1932" s="7">
        <f t="shared" si="417"/>
        <v>0</v>
      </c>
      <c r="P1932" s="7">
        <f t="shared" si="418"/>
        <v>-1</v>
      </c>
      <c r="Q1932" s="10" t="e">
        <f t="shared" si="411"/>
        <v>#N/A</v>
      </c>
      <c r="R1932" s="10" t="e">
        <f t="shared" si="412"/>
        <v>#N/A</v>
      </c>
      <c r="S1932" s="7">
        <f t="shared" si="419"/>
        <v>2571.5</v>
      </c>
      <c r="T1932" s="7">
        <f t="shared" si="420"/>
        <v>0</v>
      </c>
    </row>
    <row r="1933" spans="1:20" x14ac:dyDescent="0.25">
      <c r="A1933" s="1">
        <v>43983</v>
      </c>
      <c r="B1933">
        <v>2460</v>
      </c>
      <c r="C1933">
        <v>2514.4499999999998</v>
      </c>
      <c r="D1933">
        <v>2456.75</v>
      </c>
      <c r="E1933">
        <v>2500.35</v>
      </c>
      <c r="F1933">
        <v>763873</v>
      </c>
      <c r="G1933" s="4">
        <f t="shared" si="421"/>
        <v>41.099999999999909</v>
      </c>
      <c r="H1933" s="4">
        <f t="shared" si="422"/>
        <v>0</v>
      </c>
      <c r="I1933" s="6">
        <f t="shared" si="413"/>
        <v>10.149999999999993</v>
      </c>
      <c r="J1933" s="6">
        <f t="shared" si="414"/>
        <v>9.664285714285727</v>
      </c>
      <c r="K1933" s="4">
        <f t="shared" si="415"/>
        <v>1.0502586844050237</v>
      </c>
      <c r="L1933">
        <f t="shared" si="416"/>
        <v>51.22566690699346</v>
      </c>
      <c r="M1933" s="14" t="str">
        <f t="shared" si="409"/>
        <v/>
      </c>
      <c r="N1933" s="7">
        <f t="shared" si="410"/>
        <v>0</v>
      </c>
      <c r="O1933" s="7">
        <f t="shared" si="417"/>
        <v>0</v>
      </c>
      <c r="P1933" s="7">
        <f t="shared" si="418"/>
        <v>-1</v>
      </c>
      <c r="Q1933" s="10" t="e">
        <f t="shared" si="411"/>
        <v>#N/A</v>
      </c>
      <c r="R1933" s="10" t="e">
        <f t="shared" si="412"/>
        <v>#N/A</v>
      </c>
      <c r="S1933" s="7">
        <f t="shared" si="419"/>
        <v>2571.5</v>
      </c>
      <c r="T1933" s="7">
        <f t="shared" si="420"/>
        <v>0</v>
      </c>
    </row>
    <row r="1934" spans="1:20" x14ac:dyDescent="0.25">
      <c r="A1934" s="1">
        <v>43984</v>
      </c>
      <c r="B1934">
        <v>2513</v>
      </c>
      <c r="C1934">
        <v>2555</v>
      </c>
      <c r="D1934">
        <v>2507</v>
      </c>
      <c r="E1934">
        <v>2548.1999999999998</v>
      </c>
      <c r="F1934">
        <v>2503178</v>
      </c>
      <c r="G1934" s="4">
        <f t="shared" si="421"/>
        <v>47.849999999999909</v>
      </c>
      <c r="H1934" s="4">
        <f t="shared" si="422"/>
        <v>0</v>
      </c>
      <c r="I1934" s="6">
        <f t="shared" si="413"/>
        <v>11.328571428571422</v>
      </c>
      <c r="J1934" s="6">
        <f t="shared" si="414"/>
        <v>9.664285714285727</v>
      </c>
      <c r="K1934" s="4">
        <f t="shared" si="415"/>
        <v>1.1722099039172187</v>
      </c>
      <c r="L1934">
        <f t="shared" si="416"/>
        <v>53.963933310649836</v>
      </c>
      <c r="M1934" s="14" t="str">
        <f t="shared" si="409"/>
        <v/>
      </c>
      <c r="N1934" s="7">
        <f t="shared" si="410"/>
        <v>0</v>
      </c>
      <c r="O1934" s="7">
        <f t="shared" si="417"/>
        <v>0</v>
      </c>
      <c r="P1934" s="7">
        <f t="shared" si="418"/>
        <v>-1</v>
      </c>
      <c r="Q1934" s="10" t="e">
        <f t="shared" si="411"/>
        <v>#N/A</v>
      </c>
      <c r="R1934" s="10" t="e">
        <f t="shared" si="412"/>
        <v>#N/A</v>
      </c>
      <c r="S1934" s="7">
        <f t="shared" si="419"/>
        <v>2571.5</v>
      </c>
      <c r="T1934" s="7">
        <f t="shared" si="420"/>
        <v>0</v>
      </c>
    </row>
    <row r="1935" spans="1:20" x14ac:dyDescent="0.25">
      <c r="A1935" s="1">
        <v>43985</v>
      </c>
      <c r="B1935">
        <v>2548.1999999999998</v>
      </c>
      <c r="C1935">
        <v>2608.9499999999998</v>
      </c>
      <c r="D1935">
        <v>2523</v>
      </c>
      <c r="E1935">
        <v>2558.6</v>
      </c>
      <c r="F1935">
        <v>2033160</v>
      </c>
      <c r="G1935" s="4">
        <f t="shared" si="421"/>
        <v>10.400000000000091</v>
      </c>
      <c r="H1935" s="4">
        <f t="shared" si="422"/>
        <v>0</v>
      </c>
      <c r="I1935" s="6">
        <f t="shared" si="413"/>
        <v>12.071428571428571</v>
      </c>
      <c r="J1935" s="6">
        <f t="shared" si="414"/>
        <v>8.1428571428571423</v>
      </c>
      <c r="K1935" s="4">
        <f t="shared" si="415"/>
        <v>1.4824561403508774</v>
      </c>
      <c r="L1935">
        <f t="shared" si="416"/>
        <v>59.717314487632514</v>
      </c>
      <c r="M1935" s="14" t="str">
        <f t="shared" si="409"/>
        <v/>
      </c>
      <c r="N1935" s="7">
        <f t="shared" si="410"/>
        <v>0</v>
      </c>
      <c r="O1935" s="7">
        <f t="shared" si="417"/>
        <v>0</v>
      </c>
      <c r="P1935" s="7">
        <f t="shared" si="418"/>
        <v>-1</v>
      </c>
      <c r="Q1935" s="10" t="e">
        <f t="shared" si="411"/>
        <v>#N/A</v>
      </c>
      <c r="R1935" s="10" t="e">
        <f t="shared" si="412"/>
        <v>#N/A</v>
      </c>
      <c r="S1935" s="7">
        <f t="shared" si="419"/>
        <v>2571.5</v>
      </c>
      <c r="T1935" s="7">
        <f t="shared" si="420"/>
        <v>0</v>
      </c>
    </row>
    <row r="1936" spans="1:20" x14ac:dyDescent="0.25">
      <c r="A1936" s="1">
        <v>43986</v>
      </c>
      <c r="B1936">
        <v>2555.0500000000002</v>
      </c>
      <c r="C1936">
        <v>2590</v>
      </c>
      <c r="D1936">
        <v>2555.0500000000002</v>
      </c>
      <c r="E1936">
        <v>2584.4</v>
      </c>
      <c r="F1936">
        <v>609295</v>
      </c>
      <c r="G1936" s="4">
        <f t="shared" si="421"/>
        <v>25.800000000000182</v>
      </c>
      <c r="H1936" s="4">
        <f t="shared" si="422"/>
        <v>0</v>
      </c>
      <c r="I1936" s="6">
        <f t="shared" si="413"/>
        <v>13.403571428571436</v>
      </c>
      <c r="J1936" s="6">
        <f t="shared" si="414"/>
        <v>8.1428571428571423</v>
      </c>
      <c r="K1936" s="4">
        <f t="shared" si="415"/>
        <v>1.6460526315789483</v>
      </c>
      <c r="L1936">
        <f t="shared" si="416"/>
        <v>62.207856787667843</v>
      </c>
      <c r="M1936" s="14" t="str">
        <f t="shared" ref="M1936:M1988" si="423">IF(L1936&gt;RSI_Overbought,"OVERBOUGHT",IF(L1936&lt;RSI_Oversold,"OVERSOLD",""))</f>
        <v/>
      </c>
      <c r="N1936" s="7">
        <f t="shared" ref="N1936:N1988" si="424">IF(L1936&gt;RSI_Overbought,"SELL",IF(L1936&lt;RSI_Oversold,"BUY",0))</f>
        <v>0</v>
      </c>
      <c r="O1936" s="7">
        <f t="shared" si="417"/>
        <v>0</v>
      </c>
      <c r="P1936" s="7">
        <f t="shared" si="418"/>
        <v>-1</v>
      </c>
      <c r="Q1936" s="10" t="e">
        <f t="shared" ref="Q1936:Q1988" si="425">IF($O1936="BUY",$E1936,NA())</f>
        <v>#N/A</v>
      </c>
      <c r="R1936" s="10" t="e">
        <f t="shared" ref="R1936:R1988" si="426">IF($O1936="SELL",$E1936,NA())</f>
        <v>#N/A</v>
      </c>
      <c r="S1936" s="7">
        <f t="shared" si="419"/>
        <v>2571.5</v>
      </c>
      <c r="T1936" s="7">
        <f t="shared" si="420"/>
        <v>0</v>
      </c>
    </row>
    <row r="1937" spans="1:20" x14ac:dyDescent="0.25">
      <c r="A1937" s="1">
        <v>43987</v>
      </c>
      <c r="B1937">
        <v>2585</v>
      </c>
      <c r="C1937">
        <v>2614.9499999999998</v>
      </c>
      <c r="D1937">
        <v>2577.5500000000002</v>
      </c>
      <c r="E1937">
        <v>2594.5500000000002</v>
      </c>
      <c r="F1937">
        <v>721508</v>
      </c>
      <c r="G1937" s="4">
        <f t="shared" si="421"/>
        <v>10.150000000000091</v>
      </c>
      <c r="H1937" s="4">
        <f t="shared" si="422"/>
        <v>0</v>
      </c>
      <c r="I1937" s="6">
        <f t="shared" ref="I1937:I1988" si="427">AVERAGE(G1924:G1937)</f>
        <v>14.128571428571442</v>
      </c>
      <c r="J1937" s="6">
        <f t="shared" ref="J1937:J1988" si="428">AVERAGE(H1924:H1937)</f>
        <v>5.5642857142857212</v>
      </c>
      <c r="K1937" s="4">
        <f t="shared" ref="K1937:K1988" si="429">I1937/J1937</f>
        <v>2.5391527599486516</v>
      </c>
      <c r="L1937">
        <f t="shared" ref="L1937:L1988" si="430">100-(100/(K1937+1))</f>
        <v>71.744649981864342</v>
      </c>
      <c r="M1937" s="14" t="str">
        <f t="shared" si="423"/>
        <v>OVERBOUGHT</v>
      </c>
      <c r="N1937" s="7" t="str">
        <f t="shared" si="424"/>
        <v>SELL</v>
      </c>
      <c r="O1937" s="7">
        <f t="shared" ref="O1937:O1987" si="431">IF(AND(N1937="BUY",P1936&lt;&gt;1),"BUY",IF(AND(N1937="SELL",P1936&lt;&gt;-1),"SELL",0))</f>
        <v>0</v>
      </c>
      <c r="P1937" s="7">
        <f t="shared" ref="P1937:P1986" si="432">IF(O1937="BUY",1,IF(O1937="SELL",-1,P1936))</f>
        <v>-1</v>
      </c>
      <c r="Q1937" s="10" t="e">
        <f t="shared" si="425"/>
        <v>#N/A</v>
      </c>
      <c r="R1937" s="10" t="e">
        <f t="shared" si="426"/>
        <v>#N/A</v>
      </c>
      <c r="S1937" s="7">
        <f t="shared" ref="S1937:S1988" si="433">IF(O1937&lt;&gt;0,E1937,S1936)</f>
        <v>2571.5</v>
      </c>
      <c r="T1937" s="7">
        <f t="shared" si="420"/>
        <v>0</v>
      </c>
    </row>
    <row r="1938" spans="1:20" x14ac:dyDescent="0.25">
      <c r="A1938" s="1">
        <v>43990</v>
      </c>
      <c r="B1938">
        <v>2595</v>
      </c>
      <c r="C1938">
        <v>2613.65</v>
      </c>
      <c r="D1938">
        <v>2580</v>
      </c>
      <c r="E1938">
        <v>2586.6</v>
      </c>
      <c r="F1938">
        <v>757072</v>
      </c>
      <c r="G1938" s="4">
        <f t="shared" si="421"/>
        <v>0</v>
      </c>
      <c r="H1938" s="4">
        <f t="shared" si="422"/>
        <v>7.9500000000002728</v>
      </c>
      <c r="I1938" s="6">
        <f t="shared" si="427"/>
        <v>12.67500000000002</v>
      </c>
      <c r="J1938" s="6">
        <f t="shared" si="428"/>
        <v>6.1321428571428829</v>
      </c>
      <c r="K1938" s="4">
        <f t="shared" si="429"/>
        <v>2.0669772859638851</v>
      </c>
      <c r="L1938">
        <f t="shared" si="430"/>
        <v>67.394606912267321</v>
      </c>
      <c r="M1938" s="14" t="str">
        <f t="shared" si="423"/>
        <v/>
      </c>
      <c r="N1938" s="7">
        <f t="shared" si="424"/>
        <v>0</v>
      </c>
      <c r="O1938" s="7">
        <f t="shared" si="431"/>
        <v>0</v>
      </c>
      <c r="P1938" s="7">
        <f t="shared" si="432"/>
        <v>-1</v>
      </c>
      <c r="Q1938" s="10" t="e">
        <f t="shared" si="425"/>
        <v>#N/A</v>
      </c>
      <c r="R1938" s="10" t="e">
        <f t="shared" si="426"/>
        <v>#N/A</v>
      </c>
      <c r="S1938" s="7">
        <f t="shared" si="433"/>
        <v>2571.5</v>
      </c>
      <c r="T1938" s="7">
        <f t="shared" si="420"/>
        <v>0</v>
      </c>
    </row>
    <row r="1939" spans="1:20" x14ac:dyDescent="0.25">
      <c r="A1939" s="1">
        <v>43991</v>
      </c>
      <c r="B1939">
        <v>2592</v>
      </c>
      <c r="C1939">
        <v>2595.8000000000002</v>
      </c>
      <c r="D1939">
        <v>2571</v>
      </c>
      <c r="E1939">
        <v>2583.9</v>
      </c>
      <c r="F1939">
        <v>43411</v>
      </c>
      <c r="G1939" s="4">
        <f t="shared" si="421"/>
        <v>0</v>
      </c>
      <c r="H1939" s="4">
        <f t="shared" si="422"/>
        <v>2.6999999999998181</v>
      </c>
      <c r="I1939" s="6">
        <f t="shared" si="427"/>
        <v>12.67500000000002</v>
      </c>
      <c r="J1939" s="6">
        <f t="shared" si="428"/>
        <v>5</v>
      </c>
      <c r="K1939" s="4">
        <f t="shared" si="429"/>
        <v>2.5350000000000041</v>
      </c>
      <c r="L1939">
        <f t="shared" si="430"/>
        <v>71.711456859971747</v>
      </c>
      <c r="M1939" s="14" t="str">
        <f t="shared" si="423"/>
        <v>OVERBOUGHT</v>
      </c>
      <c r="N1939" s="7" t="str">
        <f t="shared" si="424"/>
        <v>SELL</v>
      </c>
      <c r="O1939" s="7">
        <f t="shared" si="431"/>
        <v>0</v>
      </c>
      <c r="P1939" s="7">
        <f t="shared" si="432"/>
        <v>-1</v>
      </c>
      <c r="Q1939" s="10" t="e">
        <f t="shared" si="425"/>
        <v>#N/A</v>
      </c>
      <c r="R1939" s="10" t="e">
        <f t="shared" si="426"/>
        <v>#N/A</v>
      </c>
      <c r="S1939" s="7">
        <f t="shared" si="433"/>
        <v>2571.5</v>
      </c>
      <c r="T1939" s="7">
        <f t="shared" si="420"/>
        <v>0</v>
      </c>
    </row>
    <row r="1940" spans="1:20" x14ac:dyDescent="0.25">
      <c r="A1940" s="1">
        <v>43992</v>
      </c>
      <c r="B1940">
        <v>2584</v>
      </c>
      <c r="C1940">
        <v>2629</v>
      </c>
      <c r="D1940">
        <v>2547.4499999999998</v>
      </c>
      <c r="E1940">
        <v>2587.9</v>
      </c>
      <c r="F1940">
        <v>943044</v>
      </c>
      <c r="G1940" s="4">
        <f t="shared" si="421"/>
        <v>4</v>
      </c>
      <c r="H1940" s="4">
        <f t="shared" si="422"/>
        <v>0</v>
      </c>
      <c r="I1940" s="6">
        <f t="shared" si="427"/>
        <v>12.960714285714305</v>
      </c>
      <c r="J1940" s="6">
        <f t="shared" si="428"/>
        <v>2.1071428571428572</v>
      </c>
      <c r="K1940" s="4">
        <f t="shared" si="429"/>
        <v>6.1508474576271279</v>
      </c>
      <c r="L1940">
        <f t="shared" si="430"/>
        <v>86.015643517421211</v>
      </c>
      <c r="M1940" s="14" t="str">
        <f t="shared" si="423"/>
        <v>OVERBOUGHT</v>
      </c>
      <c r="N1940" s="7" t="str">
        <f t="shared" si="424"/>
        <v>SELL</v>
      </c>
      <c r="O1940" s="7">
        <f t="shared" si="431"/>
        <v>0</v>
      </c>
      <c r="P1940" s="7">
        <f t="shared" si="432"/>
        <v>-1</v>
      </c>
      <c r="Q1940" s="10" t="e">
        <f t="shared" si="425"/>
        <v>#N/A</v>
      </c>
      <c r="R1940" s="10" t="e">
        <f t="shared" si="426"/>
        <v>#N/A</v>
      </c>
      <c r="S1940" s="7">
        <f t="shared" si="433"/>
        <v>2571.5</v>
      </c>
      <c r="T1940" s="7">
        <f t="shared" si="420"/>
        <v>0</v>
      </c>
    </row>
    <row r="1941" spans="1:20" x14ac:dyDescent="0.25">
      <c r="A1941" s="1">
        <v>43993</v>
      </c>
      <c r="B1941">
        <v>2620</v>
      </c>
      <c r="C1941">
        <v>2620.9</v>
      </c>
      <c r="D1941">
        <v>2569.0500000000002</v>
      </c>
      <c r="E1941">
        <v>2578.4</v>
      </c>
      <c r="F1941">
        <v>669510</v>
      </c>
      <c r="G1941" s="4">
        <f t="shared" si="421"/>
        <v>0</v>
      </c>
      <c r="H1941" s="4">
        <f t="shared" si="422"/>
        <v>9.5</v>
      </c>
      <c r="I1941" s="6">
        <f t="shared" si="427"/>
        <v>12.067857142857163</v>
      </c>
      <c r="J1941" s="6">
        <f t="shared" si="428"/>
        <v>2.7857142857142856</v>
      </c>
      <c r="K1941" s="4">
        <f t="shared" si="429"/>
        <v>4.3320512820512898</v>
      </c>
      <c r="L1941">
        <f t="shared" si="430"/>
        <v>81.245491704736736</v>
      </c>
      <c r="M1941" s="14" t="str">
        <f t="shared" si="423"/>
        <v>OVERBOUGHT</v>
      </c>
      <c r="N1941" s="7" t="str">
        <f t="shared" si="424"/>
        <v>SELL</v>
      </c>
      <c r="O1941" s="7">
        <f t="shared" si="431"/>
        <v>0</v>
      </c>
      <c r="P1941" s="7">
        <f t="shared" si="432"/>
        <v>-1</v>
      </c>
      <c r="Q1941" s="10" t="e">
        <f t="shared" si="425"/>
        <v>#N/A</v>
      </c>
      <c r="R1941" s="10" t="e">
        <f t="shared" si="426"/>
        <v>#N/A</v>
      </c>
      <c r="S1941" s="7">
        <f t="shared" si="433"/>
        <v>2571.5</v>
      </c>
      <c r="T1941" s="7">
        <f t="shared" si="420"/>
        <v>0</v>
      </c>
    </row>
    <row r="1942" spans="1:20" x14ac:dyDescent="0.25">
      <c r="A1942" s="1">
        <v>43994</v>
      </c>
      <c r="B1942">
        <v>2578.5</v>
      </c>
      <c r="C1942">
        <v>2614</v>
      </c>
      <c r="D1942">
        <v>2555</v>
      </c>
      <c r="E1942">
        <v>2559.9</v>
      </c>
      <c r="F1942">
        <v>552553</v>
      </c>
      <c r="G1942" s="4">
        <f t="shared" si="421"/>
        <v>0</v>
      </c>
      <c r="H1942" s="4">
        <f t="shared" si="422"/>
        <v>18.5</v>
      </c>
      <c r="I1942" s="6">
        <f t="shared" si="427"/>
        <v>12.067857142857163</v>
      </c>
      <c r="J1942" s="6">
        <f t="shared" si="428"/>
        <v>3.6678571428571689</v>
      </c>
      <c r="K1942" s="4">
        <f t="shared" si="429"/>
        <v>3.2901655306718416</v>
      </c>
      <c r="L1942">
        <f t="shared" si="430"/>
        <v>76.690876078075249</v>
      </c>
      <c r="M1942" s="14" t="str">
        <f t="shared" si="423"/>
        <v>OVERBOUGHT</v>
      </c>
      <c r="N1942" s="7" t="str">
        <f t="shared" si="424"/>
        <v>SELL</v>
      </c>
      <c r="O1942" s="7">
        <f t="shared" si="431"/>
        <v>0</v>
      </c>
      <c r="P1942" s="7">
        <f t="shared" si="432"/>
        <v>-1</v>
      </c>
      <c r="Q1942" s="10" t="e">
        <f t="shared" si="425"/>
        <v>#N/A</v>
      </c>
      <c r="R1942" s="10" t="e">
        <f t="shared" si="426"/>
        <v>#N/A</v>
      </c>
      <c r="S1942" s="7">
        <f t="shared" si="433"/>
        <v>2571.5</v>
      </c>
      <c r="T1942" s="7">
        <f t="shared" si="420"/>
        <v>0</v>
      </c>
    </row>
    <row r="1943" spans="1:20" x14ac:dyDescent="0.25">
      <c r="A1943" s="1">
        <v>43997</v>
      </c>
      <c r="B1943">
        <v>2535.1</v>
      </c>
      <c r="C1943">
        <v>2569.15</v>
      </c>
      <c r="D1943">
        <v>2517.9</v>
      </c>
      <c r="E1943">
        <v>2538.85</v>
      </c>
      <c r="F1943">
        <v>1503776</v>
      </c>
      <c r="G1943" s="4">
        <f t="shared" si="421"/>
        <v>0</v>
      </c>
      <c r="H1943" s="4">
        <f t="shared" si="422"/>
        <v>21.050000000000182</v>
      </c>
      <c r="I1943" s="6">
        <f t="shared" si="427"/>
        <v>12.067857142857163</v>
      </c>
      <c r="J1943" s="6">
        <f t="shared" si="428"/>
        <v>4.2642857142857338</v>
      </c>
      <c r="K1943" s="4">
        <f t="shared" si="429"/>
        <v>2.8299832495812312</v>
      </c>
      <c r="L1943">
        <f t="shared" si="430"/>
        <v>73.890225235075377</v>
      </c>
      <c r="M1943" s="14" t="str">
        <f t="shared" si="423"/>
        <v>OVERBOUGHT</v>
      </c>
      <c r="N1943" s="7" t="str">
        <f t="shared" si="424"/>
        <v>SELL</v>
      </c>
      <c r="O1943" s="7">
        <f t="shared" si="431"/>
        <v>0</v>
      </c>
      <c r="P1943" s="7">
        <f t="shared" si="432"/>
        <v>-1</v>
      </c>
      <c r="Q1943" s="10" t="e">
        <f t="shared" si="425"/>
        <v>#N/A</v>
      </c>
      <c r="R1943" s="10" t="e">
        <f t="shared" si="426"/>
        <v>#N/A</v>
      </c>
      <c r="S1943" s="7">
        <f t="shared" si="433"/>
        <v>2571.5</v>
      </c>
      <c r="T1943" s="7">
        <f t="shared" si="420"/>
        <v>0</v>
      </c>
    </row>
    <row r="1944" spans="1:20" x14ac:dyDescent="0.25">
      <c r="A1944" s="1">
        <v>43998</v>
      </c>
      <c r="B1944">
        <v>2538</v>
      </c>
      <c r="C1944">
        <v>2593.15</v>
      </c>
      <c r="D1944">
        <v>2530.3000000000002</v>
      </c>
      <c r="E1944">
        <v>2584.3000000000002</v>
      </c>
      <c r="F1944">
        <v>704635</v>
      </c>
      <c r="G1944" s="4">
        <f t="shared" si="421"/>
        <v>45.450000000000273</v>
      </c>
      <c r="H1944" s="4">
        <f t="shared" si="422"/>
        <v>0</v>
      </c>
      <c r="I1944" s="6">
        <f t="shared" si="427"/>
        <v>14.096428571428598</v>
      </c>
      <c r="J1944" s="6">
        <f t="shared" si="428"/>
        <v>4.2642857142857338</v>
      </c>
      <c r="K1944" s="4">
        <f t="shared" si="429"/>
        <v>3.3056951423785508</v>
      </c>
      <c r="L1944">
        <f t="shared" si="430"/>
        <v>76.77494650846134</v>
      </c>
      <c r="M1944" s="14" t="str">
        <f t="shared" si="423"/>
        <v>OVERBOUGHT</v>
      </c>
      <c r="N1944" s="7" t="str">
        <f t="shared" si="424"/>
        <v>SELL</v>
      </c>
      <c r="O1944" s="7">
        <f t="shared" si="431"/>
        <v>0</v>
      </c>
      <c r="P1944" s="7">
        <f t="shared" si="432"/>
        <v>-1</v>
      </c>
      <c r="Q1944" s="10" t="e">
        <f t="shared" si="425"/>
        <v>#N/A</v>
      </c>
      <c r="R1944" s="10" t="e">
        <f t="shared" si="426"/>
        <v>#N/A</v>
      </c>
      <c r="S1944" s="7">
        <f t="shared" si="433"/>
        <v>2571.5</v>
      </c>
      <c r="T1944" s="7">
        <f t="shared" si="420"/>
        <v>0</v>
      </c>
    </row>
    <row r="1945" spans="1:20" x14ac:dyDescent="0.25">
      <c r="A1945" s="1">
        <v>43999</v>
      </c>
      <c r="B1945">
        <v>2586</v>
      </c>
      <c r="C1945">
        <v>2620</v>
      </c>
      <c r="D1945">
        <v>2581.6999999999998</v>
      </c>
      <c r="E1945">
        <v>2616.1999999999998</v>
      </c>
      <c r="F1945">
        <v>568626</v>
      </c>
      <c r="G1945" s="4">
        <f t="shared" si="421"/>
        <v>31.899999999999636</v>
      </c>
      <c r="H1945" s="4">
        <f t="shared" si="422"/>
        <v>0</v>
      </c>
      <c r="I1945" s="6">
        <f t="shared" si="427"/>
        <v>15.842857142857156</v>
      </c>
      <c r="J1945" s="6">
        <f t="shared" si="428"/>
        <v>4.2642857142857338</v>
      </c>
      <c r="K1945" s="4">
        <f t="shared" si="429"/>
        <v>3.7152428810720131</v>
      </c>
      <c r="L1945">
        <f t="shared" si="430"/>
        <v>78.792184724689108</v>
      </c>
      <c r="M1945" s="14" t="str">
        <f t="shared" si="423"/>
        <v>OVERBOUGHT</v>
      </c>
      <c r="N1945" s="7" t="str">
        <f t="shared" si="424"/>
        <v>SELL</v>
      </c>
      <c r="O1945" s="7">
        <f t="shared" si="431"/>
        <v>0</v>
      </c>
      <c r="P1945" s="7">
        <f t="shared" si="432"/>
        <v>-1</v>
      </c>
      <c r="Q1945" s="10" t="e">
        <f t="shared" si="425"/>
        <v>#N/A</v>
      </c>
      <c r="R1945" s="10" t="e">
        <f t="shared" si="426"/>
        <v>#N/A</v>
      </c>
      <c r="S1945" s="7">
        <f t="shared" si="433"/>
        <v>2571.5</v>
      </c>
      <c r="T1945" s="7">
        <f t="shared" si="420"/>
        <v>0</v>
      </c>
    </row>
    <row r="1946" spans="1:20" x14ac:dyDescent="0.25">
      <c r="A1946" s="1">
        <v>44000</v>
      </c>
      <c r="B1946">
        <v>2601.3000000000002</v>
      </c>
      <c r="C1946">
        <v>2640</v>
      </c>
      <c r="D1946">
        <v>2601.3000000000002</v>
      </c>
      <c r="E1946">
        <v>2624</v>
      </c>
      <c r="F1946">
        <v>796317</v>
      </c>
      <c r="G1946" s="4">
        <f t="shared" si="421"/>
        <v>7.8000000000001819</v>
      </c>
      <c r="H1946" s="4">
        <f t="shared" si="422"/>
        <v>0</v>
      </c>
      <c r="I1946" s="6">
        <f t="shared" si="427"/>
        <v>16.032142857142876</v>
      </c>
      <c r="J1946" s="6">
        <f t="shared" si="428"/>
        <v>4.2642857142857338</v>
      </c>
      <c r="K1946" s="4">
        <f t="shared" si="429"/>
        <v>3.7596314907872568</v>
      </c>
      <c r="L1946">
        <f t="shared" si="430"/>
        <v>78.989970086222002</v>
      </c>
      <c r="M1946" s="14" t="str">
        <f t="shared" si="423"/>
        <v>OVERBOUGHT</v>
      </c>
      <c r="N1946" s="7" t="str">
        <f t="shared" si="424"/>
        <v>SELL</v>
      </c>
      <c r="O1946" s="7">
        <f t="shared" si="431"/>
        <v>0</v>
      </c>
      <c r="P1946" s="7">
        <f t="shared" si="432"/>
        <v>-1</v>
      </c>
      <c r="Q1946" s="10" t="e">
        <f t="shared" si="425"/>
        <v>#N/A</v>
      </c>
      <c r="R1946" s="10" t="e">
        <f t="shared" si="426"/>
        <v>#N/A</v>
      </c>
      <c r="S1946" s="7">
        <f t="shared" si="433"/>
        <v>2571.5</v>
      </c>
      <c r="T1946" s="7">
        <f t="shared" ref="T1946:T1988" si="434">IF(O1946="BUY",(S1945-S1946)/S1945,IF(O1946="SELL",(S1946-S1945)/S1945,0))</f>
        <v>0</v>
      </c>
    </row>
    <row r="1947" spans="1:20" x14ac:dyDescent="0.25">
      <c r="A1947" s="1">
        <v>44001</v>
      </c>
      <c r="B1947">
        <v>2624</v>
      </c>
      <c r="C1947">
        <v>2626.85</v>
      </c>
      <c r="D1947">
        <v>2578.85</v>
      </c>
      <c r="E1947">
        <v>2602.85</v>
      </c>
      <c r="F1947">
        <v>370941</v>
      </c>
      <c r="G1947" s="4">
        <f t="shared" si="421"/>
        <v>0</v>
      </c>
      <c r="H1947" s="4">
        <f t="shared" si="422"/>
        <v>21.150000000000091</v>
      </c>
      <c r="I1947" s="6">
        <f t="shared" si="427"/>
        <v>13.096428571428598</v>
      </c>
      <c r="J1947" s="6">
        <f t="shared" si="428"/>
        <v>5.7750000000000261</v>
      </c>
      <c r="K1947" s="4">
        <f t="shared" si="429"/>
        <v>2.267779839208405</v>
      </c>
      <c r="L1947">
        <f t="shared" si="430"/>
        <v>69.398183194549532</v>
      </c>
      <c r="M1947" s="14" t="str">
        <f t="shared" si="423"/>
        <v/>
      </c>
      <c r="N1947" s="7">
        <f t="shared" si="424"/>
        <v>0</v>
      </c>
      <c r="O1947" s="7">
        <f t="shared" si="431"/>
        <v>0</v>
      </c>
      <c r="P1947" s="7">
        <f t="shared" si="432"/>
        <v>-1</v>
      </c>
      <c r="Q1947" s="10" t="e">
        <f t="shared" si="425"/>
        <v>#N/A</v>
      </c>
      <c r="R1947" s="10" t="e">
        <f t="shared" si="426"/>
        <v>#N/A</v>
      </c>
      <c r="S1947" s="7">
        <f t="shared" si="433"/>
        <v>2571.5</v>
      </c>
      <c r="T1947" s="7">
        <f t="shared" si="434"/>
        <v>0</v>
      </c>
    </row>
    <row r="1948" spans="1:20" x14ac:dyDescent="0.25">
      <c r="A1948" s="1">
        <v>44004</v>
      </c>
      <c r="B1948">
        <v>2608.5</v>
      </c>
      <c r="C1948">
        <v>2674</v>
      </c>
      <c r="D1948">
        <v>2606.75</v>
      </c>
      <c r="E1948">
        <v>2626.15</v>
      </c>
      <c r="F1948">
        <v>734211</v>
      </c>
      <c r="G1948" s="4">
        <f t="shared" si="421"/>
        <v>23.300000000000182</v>
      </c>
      <c r="H1948" s="4">
        <f t="shared" si="422"/>
        <v>0</v>
      </c>
      <c r="I1948" s="6">
        <f t="shared" si="427"/>
        <v>11.342857142857188</v>
      </c>
      <c r="J1948" s="6">
        <f t="shared" si="428"/>
        <v>5.7750000000000261</v>
      </c>
      <c r="K1948" s="4">
        <f t="shared" si="429"/>
        <v>1.9641311069882488</v>
      </c>
      <c r="L1948">
        <f t="shared" si="430"/>
        <v>66.263300646776543</v>
      </c>
      <c r="M1948" s="14" t="str">
        <f t="shared" si="423"/>
        <v/>
      </c>
      <c r="N1948" s="7">
        <f t="shared" si="424"/>
        <v>0</v>
      </c>
      <c r="O1948" s="7">
        <f t="shared" si="431"/>
        <v>0</v>
      </c>
      <c r="P1948" s="7">
        <f t="shared" si="432"/>
        <v>-1</v>
      </c>
      <c r="Q1948" s="10" t="e">
        <f t="shared" si="425"/>
        <v>#N/A</v>
      </c>
      <c r="R1948" s="10" t="e">
        <f t="shared" si="426"/>
        <v>#N/A</v>
      </c>
      <c r="S1948" s="7">
        <f t="shared" si="433"/>
        <v>2571.5</v>
      </c>
      <c r="T1948" s="7">
        <f t="shared" si="434"/>
        <v>0</v>
      </c>
    </row>
    <row r="1949" spans="1:20" x14ac:dyDescent="0.25">
      <c r="A1949" s="1">
        <v>44005</v>
      </c>
      <c r="B1949">
        <v>2632.4</v>
      </c>
      <c r="C1949">
        <v>2636.7</v>
      </c>
      <c r="D1949">
        <v>2602.8000000000002</v>
      </c>
      <c r="E1949">
        <v>2620.1</v>
      </c>
      <c r="F1949">
        <v>333443</v>
      </c>
      <c r="G1949" s="4">
        <f t="shared" si="421"/>
        <v>0</v>
      </c>
      <c r="H1949" s="4">
        <f t="shared" si="422"/>
        <v>6.0500000000001819</v>
      </c>
      <c r="I1949" s="6">
        <f t="shared" si="427"/>
        <v>10.600000000000039</v>
      </c>
      <c r="J1949" s="6">
        <f t="shared" si="428"/>
        <v>6.2071428571428964</v>
      </c>
      <c r="K1949" s="4">
        <f t="shared" si="429"/>
        <v>1.7077100115074753</v>
      </c>
      <c r="L1949">
        <f t="shared" si="430"/>
        <v>63.068423289417701</v>
      </c>
      <c r="M1949" s="14" t="str">
        <f t="shared" si="423"/>
        <v/>
      </c>
      <c r="N1949" s="7">
        <f t="shared" si="424"/>
        <v>0</v>
      </c>
      <c r="O1949" s="7">
        <f t="shared" si="431"/>
        <v>0</v>
      </c>
      <c r="P1949" s="7">
        <f t="shared" si="432"/>
        <v>-1</v>
      </c>
      <c r="Q1949" s="10" t="e">
        <f t="shared" si="425"/>
        <v>#N/A</v>
      </c>
      <c r="R1949" s="10" t="e">
        <f t="shared" si="426"/>
        <v>#N/A</v>
      </c>
      <c r="S1949" s="7">
        <f t="shared" si="433"/>
        <v>2571.5</v>
      </c>
      <c r="T1949" s="7">
        <f t="shared" si="434"/>
        <v>0</v>
      </c>
    </row>
    <row r="1950" spans="1:20" x14ac:dyDescent="0.25">
      <c r="A1950" s="1">
        <v>44006</v>
      </c>
      <c r="B1950">
        <v>2620</v>
      </c>
      <c r="C1950">
        <v>2671.8</v>
      </c>
      <c r="D1950">
        <v>2611.75</v>
      </c>
      <c r="E1950">
        <v>2665.55</v>
      </c>
      <c r="F1950">
        <v>688500</v>
      </c>
      <c r="G1950" s="4">
        <f t="shared" si="421"/>
        <v>45.450000000000273</v>
      </c>
      <c r="H1950" s="4">
        <f t="shared" si="422"/>
        <v>0</v>
      </c>
      <c r="I1950" s="6">
        <f t="shared" si="427"/>
        <v>12.003571428571474</v>
      </c>
      <c r="J1950" s="6">
        <f t="shared" si="428"/>
        <v>6.2071428571428964</v>
      </c>
      <c r="K1950" s="4">
        <f t="shared" si="429"/>
        <v>1.9338319907940114</v>
      </c>
      <c r="L1950">
        <f t="shared" si="430"/>
        <v>65.914885271621841</v>
      </c>
      <c r="M1950" s="14" t="str">
        <f t="shared" si="423"/>
        <v/>
      </c>
      <c r="N1950" s="7">
        <f t="shared" si="424"/>
        <v>0</v>
      </c>
      <c r="O1950" s="7">
        <f t="shared" si="431"/>
        <v>0</v>
      </c>
      <c r="P1950" s="7">
        <f t="shared" si="432"/>
        <v>-1</v>
      </c>
      <c r="Q1950" s="10" t="e">
        <f t="shared" si="425"/>
        <v>#N/A</v>
      </c>
      <c r="R1950" s="10" t="e">
        <f t="shared" si="426"/>
        <v>#N/A</v>
      </c>
      <c r="S1950" s="7">
        <f t="shared" si="433"/>
        <v>2571.5</v>
      </c>
      <c r="T1950" s="7">
        <f t="shared" si="434"/>
        <v>0</v>
      </c>
    </row>
    <row r="1951" spans="1:20" x14ac:dyDescent="0.25">
      <c r="A1951" s="1">
        <v>44007</v>
      </c>
      <c r="B1951">
        <v>2670</v>
      </c>
      <c r="C1951">
        <v>2768</v>
      </c>
      <c r="D1951">
        <v>2666.05</v>
      </c>
      <c r="E1951">
        <v>2710.05</v>
      </c>
      <c r="F1951">
        <v>1348446</v>
      </c>
      <c r="G1951" s="4">
        <f t="shared" si="421"/>
        <v>44.5</v>
      </c>
      <c r="H1951" s="4">
        <f t="shared" si="422"/>
        <v>0</v>
      </c>
      <c r="I1951" s="6">
        <f t="shared" si="427"/>
        <v>14.457142857142896</v>
      </c>
      <c r="J1951" s="6">
        <f t="shared" si="428"/>
        <v>6.2071428571428964</v>
      </c>
      <c r="K1951" s="4">
        <f t="shared" si="429"/>
        <v>2.3291139240506245</v>
      </c>
      <c r="L1951">
        <f t="shared" si="430"/>
        <v>69.961977186311714</v>
      </c>
      <c r="M1951" s="14" t="str">
        <f t="shared" si="423"/>
        <v/>
      </c>
      <c r="N1951" s="7">
        <f t="shared" si="424"/>
        <v>0</v>
      </c>
      <c r="O1951" s="7">
        <f t="shared" si="431"/>
        <v>0</v>
      </c>
      <c r="P1951" s="7">
        <f t="shared" si="432"/>
        <v>-1</v>
      </c>
      <c r="Q1951" s="10" t="e">
        <f t="shared" si="425"/>
        <v>#N/A</v>
      </c>
      <c r="R1951" s="10" t="e">
        <f t="shared" si="426"/>
        <v>#N/A</v>
      </c>
      <c r="S1951" s="7">
        <f t="shared" si="433"/>
        <v>2571.5</v>
      </c>
      <c r="T1951" s="7">
        <f t="shared" si="434"/>
        <v>0</v>
      </c>
    </row>
    <row r="1952" spans="1:20" x14ac:dyDescent="0.25">
      <c r="A1952" s="1">
        <v>44008</v>
      </c>
      <c r="B1952">
        <v>2723</v>
      </c>
      <c r="C1952">
        <v>2759</v>
      </c>
      <c r="D1952">
        <v>2718.25</v>
      </c>
      <c r="E1952">
        <v>2735</v>
      </c>
      <c r="F1952">
        <v>701126</v>
      </c>
      <c r="G1952" s="4">
        <f t="shared" si="421"/>
        <v>24.949999999999818</v>
      </c>
      <c r="H1952" s="4">
        <f t="shared" si="422"/>
        <v>0</v>
      </c>
      <c r="I1952" s="6">
        <f t="shared" si="427"/>
        <v>16.239285714285739</v>
      </c>
      <c r="J1952" s="6">
        <f t="shared" si="428"/>
        <v>5.6392857142857338</v>
      </c>
      <c r="K1952" s="4">
        <f t="shared" si="429"/>
        <v>2.8796706776440728</v>
      </c>
      <c r="L1952">
        <f t="shared" si="430"/>
        <v>74.224616389160914</v>
      </c>
      <c r="M1952" s="14" t="str">
        <f t="shared" si="423"/>
        <v>OVERBOUGHT</v>
      </c>
      <c r="N1952" s="7" t="str">
        <f t="shared" si="424"/>
        <v>SELL</v>
      </c>
      <c r="O1952" s="7">
        <f t="shared" si="431"/>
        <v>0</v>
      </c>
      <c r="P1952" s="7">
        <f t="shared" si="432"/>
        <v>-1</v>
      </c>
      <c r="Q1952" s="10" t="e">
        <f t="shared" si="425"/>
        <v>#N/A</v>
      </c>
      <c r="R1952" s="10" t="e">
        <f t="shared" si="426"/>
        <v>#N/A</v>
      </c>
      <c r="S1952" s="7">
        <f t="shared" si="433"/>
        <v>2571.5</v>
      </c>
      <c r="T1952" s="7">
        <f t="shared" si="434"/>
        <v>0</v>
      </c>
    </row>
    <row r="1953" spans="1:20" x14ac:dyDescent="0.25">
      <c r="A1953" s="1">
        <v>44011</v>
      </c>
      <c r="B1953">
        <v>2750</v>
      </c>
      <c r="C1953">
        <v>2750</v>
      </c>
      <c r="D1953">
        <v>2719.3</v>
      </c>
      <c r="E1953">
        <v>2736.4</v>
      </c>
      <c r="F1953">
        <v>576216</v>
      </c>
      <c r="G1953" s="4">
        <f t="shared" si="421"/>
        <v>1.4000000000000909</v>
      </c>
      <c r="H1953" s="4">
        <f t="shared" si="422"/>
        <v>0</v>
      </c>
      <c r="I1953" s="6">
        <f t="shared" si="427"/>
        <v>16.339285714285747</v>
      </c>
      <c r="J1953" s="6">
        <f t="shared" si="428"/>
        <v>5.446428571428604</v>
      </c>
      <c r="K1953" s="4">
        <f t="shared" si="429"/>
        <v>2.999999999999988</v>
      </c>
      <c r="L1953">
        <f t="shared" si="430"/>
        <v>74.999999999999929</v>
      </c>
      <c r="M1953" s="14" t="str">
        <f t="shared" si="423"/>
        <v>OVERBOUGHT</v>
      </c>
      <c r="N1953" s="7" t="str">
        <f t="shared" si="424"/>
        <v>SELL</v>
      </c>
      <c r="O1953" s="7">
        <f t="shared" si="431"/>
        <v>0</v>
      </c>
      <c r="P1953" s="7">
        <f t="shared" si="432"/>
        <v>-1</v>
      </c>
      <c r="Q1953" s="10" t="e">
        <f t="shared" si="425"/>
        <v>#N/A</v>
      </c>
      <c r="R1953" s="10" t="e">
        <f t="shared" si="426"/>
        <v>#N/A</v>
      </c>
      <c r="S1953" s="7">
        <f t="shared" si="433"/>
        <v>2571.5</v>
      </c>
      <c r="T1953" s="7">
        <f t="shared" si="434"/>
        <v>0</v>
      </c>
    </row>
    <row r="1954" spans="1:20" x14ac:dyDescent="0.25">
      <c r="A1954" s="1">
        <v>44012</v>
      </c>
      <c r="B1954">
        <v>2722.2</v>
      </c>
      <c r="C1954">
        <v>2726</v>
      </c>
      <c r="D1954">
        <v>2693.35</v>
      </c>
      <c r="E1954">
        <v>2708.75</v>
      </c>
      <c r="F1954">
        <v>678283</v>
      </c>
      <c r="G1954" s="4">
        <f t="shared" si="421"/>
        <v>0</v>
      </c>
      <c r="H1954" s="4">
        <f t="shared" si="422"/>
        <v>27.650000000000091</v>
      </c>
      <c r="I1954" s="6">
        <f t="shared" si="427"/>
        <v>16.053571428571463</v>
      </c>
      <c r="J1954" s="6">
        <f t="shared" si="428"/>
        <v>7.4214285714286108</v>
      </c>
      <c r="K1954" s="4">
        <f t="shared" si="429"/>
        <v>2.1631376323387803</v>
      </c>
      <c r="L1954">
        <f t="shared" si="430"/>
        <v>68.385820781986851</v>
      </c>
      <c r="M1954" s="14" t="str">
        <f t="shared" si="423"/>
        <v/>
      </c>
      <c r="N1954" s="7">
        <f t="shared" si="424"/>
        <v>0</v>
      </c>
      <c r="O1954" s="7">
        <f t="shared" si="431"/>
        <v>0</v>
      </c>
      <c r="P1954" s="7">
        <f t="shared" si="432"/>
        <v>-1</v>
      </c>
      <c r="Q1954" s="10" t="e">
        <f t="shared" si="425"/>
        <v>#N/A</v>
      </c>
      <c r="R1954" s="10" t="e">
        <f t="shared" si="426"/>
        <v>#N/A</v>
      </c>
      <c r="S1954" s="7">
        <f t="shared" si="433"/>
        <v>2571.5</v>
      </c>
      <c r="T1954" s="7">
        <f t="shared" si="434"/>
        <v>0</v>
      </c>
    </row>
    <row r="1955" spans="1:20" x14ac:dyDescent="0.25">
      <c r="A1955" s="1">
        <v>44013</v>
      </c>
      <c r="B1955">
        <v>2702.05</v>
      </c>
      <c r="C1955">
        <v>2777.4</v>
      </c>
      <c r="D1955">
        <v>2702.05</v>
      </c>
      <c r="E1955">
        <v>2758.95</v>
      </c>
      <c r="F1955">
        <v>748498</v>
      </c>
      <c r="G1955" s="4">
        <f t="shared" si="421"/>
        <v>50.199999999999818</v>
      </c>
      <c r="H1955" s="4">
        <f t="shared" si="422"/>
        <v>0</v>
      </c>
      <c r="I1955" s="6">
        <f t="shared" si="427"/>
        <v>19.639285714285734</v>
      </c>
      <c r="J1955" s="6">
        <f t="shared" si="428"/>
        <v>6.742857142857182</v>
      </c>
      <c r="K1955" s="4">
        <f t="shared" si="429"/>
        <v>2.9126059322033759</v>
      </c>
      <c r="L1955">
        <f t="shared" si="430"/>
        <v>74.441586571003029</v>
      </c>
      <c r="M1955" s="14" t="str">
        <f t="shared" si="423"/>
        <v>OVERBOUGHT</v>
      </c>
      <c r="N1955" s="7" t="str">
        <f t="shared" si="424"/>
        <v>SELL</v>
      </c>
      <c r="O1955" s="7">
        <f t="shared" si="431"/>
        <v>0</v>
      </c>
      <c r="P1955" s="7">
        <f t="shared" si="432"/>
        <v>-1</v>
      </c>
      <c r="Q1955" s="10" t="e">
        <f t="shared" si="425"/>
        <v>#N/A</v>
      </c>
      <c r="R1955" s="10" t="e">
        <f t="shared" si="426"/>
        <v>#N/A</v>
      </c>
      <c r="S1955" s="7">
        <f t="shared" si="433"/>
        <v>2571.5</v>
      </c>
      <c r="T1955" s="7">
        <f t="shared" si="434"/>
        <v>0</v>
      </c>
    </row>
    <row r="1956" spans="1:20" x14ac:dyDescent="0.25">
      <c r="A1956" s="1">
        <v>44014</v>
      </c>
      <c r="B1956">
        <v>2756.55</v>
      </c>
      <c r="C1956">
        <v>2756.55</v>
      </c>
      <c r="D1956">
        <v>2707.5</v>
      </c>
      <c r="E1956">
        <v>2714.6</v>
      </c>
      <c r="F1956">
        <v>828626</v>
      </c>
      <c r="G1956" s="4">
        <f t="shared" si="421"/>
        <v>0</v>
      </c>
      <c r="H1956" s="4">
        <f t="shared" si="422"/>
        <v>44.349999999999909</v>
      </c>
      <c r="I1956" s="6">
        <f t="shared" si="427"/>
        <v>19.639285714285734</v>
      </c>
      <c r="J1956" s="6">
        <f t="shared" si="428"/>
        <v>8.5892857142857473</v>
      </c>
      <c r="K1956" s="4">
        <f t="shared" si="429"/>
        <v>2.28648648648648</v>
      </c>
      <c r="L1956">
        <f t="shared" si="430"/>
        <v>69.572368421052573</v>
      </c>
      <c r="M1956" s="14" t="str">
        <f t="shared" si="423"/>
        <v/>
      </c>
      <c r="N1956" s="7">
        <f t="shared" si="424"/>
        <v>0</v>
      </c>
      <c r="O1956" s="7">
        <f t="shared" si="431"/>
        <v>0</v>
      </c>
      <c r="P1956" s="7">
        <f t="shared" si="432"/>
        <v>-1</v>
      </c>
      <c r="Q1956" s="10" t="e">
        <f t="shared" si="425"/>
        <v>#N/A</v>
      </c>
      <c r="R1956" s="10" t="e">
        <f t="shared" si="426"/>
        <v>#N/A</v>
      </c>
      <c r="S1956" s="7">
        <f t="shared" si="433"/>
        <v>2571.5</v>
      </c>
      <c r="T1956" s="7">
        <f t="shared" si="434"/>
        <v>0</v>
      </c>
    </row>
    <row r="1957" spans="1:20" x14ac:dyDescent="0.25">
      <c r="A1957" s="1">
        <v>44015</v>
      </c>
      <c r="B1957">
        <v>2706</v>
      </c>
      <c r="C1957">
        <v>2755</v>
      </c>
      <c r="D1957">
        <v>2701.35</v>
      </c>
      <c r="E1957">
        <v>2705.3</v>
      </c>
      <c r="F1957">
        <v>3335417</v>
      </c>
      <c r="G1957" s="4">
        <f t="shared" si="421"/>
        <v>0</v>
      </c>
      <c r="H1957" s="4">
        <f t="shared" si="422"/>
        <v>9.2999999999997272</v>
      </c>
      <c r="I1957" s="6">
        <f t="shared" si="427"/>
        <v>19.639285714285734</v>
      </c>
      <c r="J1957" s="6">
        <f t="shared" si="428"/>
        <v>7.75</v>
      </c>
      <c r="K1957" s="4">
        <f t="shared" si="429"/>
        <v>2.5341013824884819</v>
      </c>
      <c r="L1957">
        <f t="shared" si="430"/>
        <v>71.704263919676634</v>
      </c>
      <c r="M1957" s="14" t="str">
        <f t="shared" si="423"/>
        <v>OVERBOUGHT</v>
      </c>
      <c r="N1957" s="7" t="str">
        <f t="shared" si="424"/>
        <v>SELL</v>
      </c>
      <c r="O1957" s="7">
        <f t="shared" si="431"/>
        <v>0</v>
      </c>
      <c r="P1957" s="7">
        <f t="shared" si="432"/>
        <v>-1</v>
      </c>
      <c r="Q1957" s="10" t="e">
        <f t="shared" si="425"/>
        <v>#N/A</v>
      </c>
      <c r="R1957" s="10" t="e">
        <f t="shared" si="426"/>
        <v>#N/A</v>
      </c>
      <c r="S1957" s="7">
        <f t="shared" si="433"/>
        <v>2571.5</v>
      </c>
      <c r="T1957" s="7">
        <f t="shared" si="434"/>
        <v>0</v>
      </c>
    </row>
    <row r="1958" spans="1:20" x14ac:dyDescent="0.25">
      <c r="A1958" s="1">
        <v>44018</v>
      </c>
      <c r="B1958">
        <v>2710</v>
      </c>
      <c r="C1958">
        <v>2763</v>
      </c>
      <c r="D1958">
        <v>2686.95</v>
      </c>
      <c r="E1958">
        <v>2746.65</v>
      </c>
      <c r="F1958">
        <v>826741</v>
      </c>
      <c r="G1958" s="4">
        <f t="shared" si="421"/>
        <v>41.349999999999909</v>
      </c>
      <c r="H1958" s="4">
        <f t="shared" si="422"/>
        <v>0</v>
      </c>
      <c r="I1958" s="6">
        <f t="shared" si="427"/>
        <v>19.346428571428564</v>
      </c>
      <c r="J1958" s="6">
        <f t="shared" si="428"/>
        <v>7.75</v>
      </c>
      <c r="K1958" s="4">
        <f t="shared" si="429"/>
        <v>2.4963133640552986</v>
      </c>
      <c r="L1958">
        <f t="shared" si="430"/>
        <v>71.398444708053233</v>
      </c>
      <c r="M1958" s="14" t="str">
        <f t="shared" si="423"/>
        <v>OVERBOUGHT</v>
      </c>
      <c r="N1958" s="7" t="str">
        <f t="shared" si="424"/>
        <v>SELL</v>
      </c>
      <c r="O1958" s="7">
        <f t="shared" si="431"/>
        <v>0</v>
      </c>
      <c r="P1958" s="7">
        <f t="shared" si="432"/>
        <v>-1</v>
      </c>
      <c r="Q1958" s="10" t="e">
        <f t="shared" si="425"/>
        <v>#N/A</v>
      </c>
      <c r="R1958" s="10" t="e">
        <f t="shared" si="426"/>
        <v>#N/A</v>
      </c>
      <c r="S1958" s="7">
        <f t="shared" si="433"/>
        <v>2571.5</v>
      </c>
      <c r="T1958" s="7">
        <f t="shared" si="434"/>
        <v>0</v>
      </c>
    </row>
    <row r="1959" spans="1:20" x14ac:dyDescent="0.25">
      <c r="A1959" s="1">
        <v>44019</v>
      </c>
      <c r="B1959">
        <v>2748.1</v>
      </c>
      <c r="C1959">
        <v>2748.1</v>
      </c>
      <c r="D1959">
        <v>2703.6</v>
      </c>
      <c r="E1959">
        <v>2707.3</v>
      </c>
      <c r="F1959">
        <v>662732</v>
      </c>
      <c r="G1959" s="4">
        <f t="shared" si="421"/>
        <v>0</v>
      </c>
      <c r="H1959" s="4">
        <f t="shared" si="422"/>
        <v>39.349999999999909</v>
      </c>
      <c r="I1959" s="6">
        <f t="shared" si="427"/>
        <v>17.067857142857161</v>
      </c>
      <c r="J1959" s="6">
        <f t="shared" si="428"/>
        <v>10.56071428571428</v>
      </c>
      <c r="K1959" s="4">
        <f t="shared" si="429"/>
        <v>1.6161650321271586</v>
      </c>
      <c r="L1959">
        <f t="shared" si="430"/>
        <v>61.776111685625679</v>
      </c>
      <c r="M1959" s="14" t="str">
        <f t="shared" si="423"/>
        <v/>
      </c>
      <c r="N1959" s="7">
        <f t="shared" si="424"/>
        <v>0</v>
      </c>
      <c r="O1959" s="7">
        <f t="shared" si="431"/>
        <v>0</v>
      </c>
      <c r="P1959" s="7">
        <f t="shared" si="432"/>
        <v>-1</v>
      </c>
      <c r="Q1959" s="10" t="e">
        <f t="shared" si="425"/>
        <v>#N/A</v>
      </c>
      <c r="R1959" s="10" t="e">
        <f t="shared" si="426"/>
        <v>#N/A</v>
      </c>
      <c r="S1959" s="7">
        <f t="shared" si="433"/>
        <v>2571.5</v>
      </c>
      <c r="T1959" s="7">
        <f t="shared" si="434"/>
        <v>0</v>
      </c>
    </row>
    <row r="1960" spans="1:20" x14ac:dyDescent="0.25">
      <c r="A1960" s="1">
        <v>44020</v>
      </c>
      <c r="B1960">
        <v>2715</v>
      </c>
      <c r="C1960">
        <v>2726.9</v>
      </c>
      <c r="D1960">
        <v>2695.3</v>
      </c>
      <c r="E1960">
        <v>2703.45</v>
      </c>
      <c r="F1960">
        <v>507249</v>
      </c>
      <c r="G1960" s="4">
        <f t="shared" si="421"/>
        <v>0</v>
      </c>
      <c r="H1960" s="4">
        <f t="shared" si="422"/>
        <v>3.8500000000003638</v>
      </c>
      <c r="I1960" s="6">
        <f t="shared" si="427"/>
        <v>16.510714285714293</v>
      </c>
      <c r="J1960" s="6">
        <f t="shared" si="428"/>
        <v>10.835714285714305</v>
      </c>
      <c r="K1960" s="4">
        <f t="shared" si="429"/>
        <v>1.52373104812129</v>
      </c>
      <c r="L1960">
        <f t="shared" si="430"/>
        <v>60.376126420269003</v>
      </c>
      <c r="M1960" s="14" t="str">
        <f t="shared" si="423"/>
        <v/>
      </c>
      <c r="N1960" s="7">
        <f t="shared" si="424"/>
        <v>0</v>
      </c>
      <c r="O1960" s="7">
        <f t="shared" si="431"/>
        <v>0</v>
      </c>
      <c r="P1960" s="7">
        <f t="shared" si="432"/>
        <v>-1</v>
      </c>
      <c r="Q1960" s="10" t="e">
        <f t="shared" si="425"/>
        <v>#N/A</v>
      </c>
      <c r="R1960" s="10" t="e">
        <f t="shared" si="426"/>
        <v>#N/A</v>
      </c>
      <c r="S1960" s="7">
        <f t="shared" si="433"/>
        <v>2571.5</v>
      </c>
      <c r="T1960" s="7">
        <f t="shared" si="434"/>
        <v>0</v>
      </c>
    </row>
    <row r="1961" spans="1:20" x14ac:dyDescent="0.25">
      <c r="A1961" s="1">
        <v>44021</v>
      </c>
      <c r="B1961">
        <v>2701</v>
      </c>
      <c r="C1961">
        <v>2701</v>
      </c>
      <c r="D1961">
        <v>2666</v>
      </c>
      <c r="E1961">
        <v>2672.95</v>
      </c>
      <c r="F1961">
        <v>763870</v>
      </c>
      <c r="G1961" s="4">
        <f t="shared" si="421"/>
        <v>0</v>
      </c>
      <c r="H1961" s="4">
        <f t="shared" si="422"/>
        <v>30.5</v>
      </c>
      <c r="I1961" s="6">
        <f t="shared" si="427"/>
        <v>16.510714285714293</v>
      </c>
      <c r="J1961" s="6">
        <f t="shared" si="428"/>
        <v>11.503571428571442</v>
      </c>
      <c r="K1961" s="4">
        <f t="shared" si="429"/>
        <v>1.4352685501397071</v>
      </c>
      <c r="L1961">
        <f t="shared" si="430"/>
        <v>58.936766955634859</v>
      </c>
      <c r="M1961" s="14" t="str">
        <f t="shared" si="423"/>
        <v/>
      </c>
      <c r="N1961" s="7">
        <f t="shared" si="424"/>
        <v>0</v>
      </c>
      <c r="O1961" s="7">
        <f t="shared" si="431"/>
        <v>0</v>
      </c>
      <c r="P1961" s="7">
        <f t="shared" si="432"/>
        <v>-1</v>
      </c>
      <c r="Q1961" s="10" t="e">
        <f t="shared" si="425"/>
        <v>#N/A</v>
      </c>
      <c r="R1961" s="10" t="e">
        <f t="shared" si="426"/>
        <v>#N/A</v>
      </c>
      <c r="S1961" s="7">
        <f t="shared" si="433"/>
        <v>2571.5</v>
      </c>
      <c r="T1961" s="7">
        <f t="shared" si="434"/>
        <v>0</v>
      </c>
    </row>
    <row r="1962" spans="1:20" x14ac:dyDescent="0.25">
      <c r="A1962" s="1">
        <v>44022</v>
      </c>
      <c r="B1962">
        <v>2673</v>
      </c>
      <c r="C1962">
        <v>2709.7</v>
      </c>
      <c r="D1962">
        <v>2672.4</v>
      </c>
      <c r="E1962">
        <v>2680.65</v>
      </c>
      <c r="F1962">
        <v>911312</v>
      </c>
      <c r="G1962" s="4">
        <f t="shared" si="421"/>
        <v>7.7000000000002728</v>
      </c>
      <c r="H1962" s="4">
        <f t="shared" si="422"/>
        <v>0</v>
      </c>
      <c r="I1962" s="6">
        <f t="shared" si="427"/>
        <v>15.396428571428585</v>
      </c>
      <c r="J1962" s="6">
        <f t="shared" si="428"/>
        <v>11.503571428571442</v>
      </c>
      <c r="K1962" s="4">
        <f t="shared" si="429"/>
        <v>1.3384042222912134</v>
      </c>
      <c r="L1962">
        <f t="shared" si="430"/>
        <v>57.235793945831112</v>
      </c>
      <c r="M1962" s="14" t="str">
        <f t="shared" si="423"/>
        <v/>
      </c>
      <c r="N1962" s="7">
        <f t="shared" si="424"/>
        <v>0</v>
      </c>
      <c r="O1962" s="7">
        <f t="shared" si="431"/>
        <v>0</v>
      </c>
      <c r="P1962" s="7">
        <f t="shared" si="432"/>
        <v>-1</v>
      </c>
      <c r="Q1962" s="10" t="e">
        <f t="shared" si="425"/>
        <v>#N/A</v>
      </c>
      <c r="R1962" s="10" t="e">
        <f t="shared" si="426"/>
        <v>#N/A</v>
      </c>
      <c r="S1962" s="7">
        <f t="shared" si="433"/>
        <v>2571.5</v>
      </c>
      <c r="T1962" s="7">
        <f t="shared" si="434"/>
        <v>0</v>
      </c>
    </row>
    <row r="1963" spans="1:20" x14ac:dyDescent="0.25">
      <c r="A1963" s="1">
        <v>44025</v>
      </c>
      <c r="B1963">
        <v>2681</v>
      </c>
      <c r="C1963">
        <v>2693</v>
      </c>
      <c r="D1963">
        <v>2669</v>
      </c>
      <c r="E1963">
        <v>2681.25</v>
      </c>
      <c r="F1963">
        <v>396735</v>
      </c>
      <c r="G1963" s="4">
        <f t="shared" si="421"/>
        <v>0.59999999999990905</v>
      </c>
      <c r="H1963" s="4">
        <f t="shared" si="422"/>
        <v>0</v>
      </c>
      <c r="I1963" s="6">
        <f t="shared" si="427"/>
        <v>15.43928571428572</v>
      </c>
      <c r="J1963" s="6">
        <f t="shared" si="428"/>
        <v>11.071428571428571</v>
      </c>
      <c r="K1963" s="4">
        <f t="shared" si="429"/>
        <v>1.3945161290322587</v>
      </c>
      <c r="L1963">
        <f t="shared" si="430"/>
        <v>58.237909201131636</v>
      </c>
      <c r="M1963" s="14" t="str">
        <f t="shared" si="423"/>
        <v/>
      </c>
      <c r="N1963" s="7">
        <f t="shared" si="424"/>
        <v>0</v>
      </c>
      <c r="O1963" s="7">
        <f t="shared" si="431"/>
        <v>0</v>
      </c>
      <c r="P1963" s="7">
        <f t="shared" si="432"/>
        <v>-1</v>
      </c>
      <c r="Q1963" s="10" t="e">
        <f t="shared" si="425"/>
        <v>#N/A</v>
      </c>
      <c r="R1963" s="10" t="e">
        <f t="shared" si="426"/>
        <v>#N/A</v>
      </c>
      <c r="S1963" s="7">
        <f t="shared" si="433"/>
        <v>2571.5</v>
      </c>
      <c r="T1963" s="7">
        <f t="shared" si="434"/>
        <v>0</v>
      </c>
    </row>
    <row r="1964" spans="1:20" x14ac:dyDescent="0.25">
      <c r="A1964" s="1">
        <v>44026</v>
      </c>
      <c r="B1964">
        <v>2682</v>
      </c>
      <c r="C1964">
        <v>2702.9</v>
      </c>
      <c r="D1964">
        <v>2673.1</v>
      </c>
      <c r="E1964">
        <v>2688.05</v>
      </c>
      <c r="F1964">
        <v>1143756</v>
      </c>
      <c r="G1964" s="4">
        <f t="shared" si="421"/>
        <v>6.8000000000001819</v>
      </c>
      <c r="H1964" s="4">
        <f t="shared" si="422"/>
        <v>0</v>
      </c>
      <c r="I1964" s="6">
        <f t="shared" si="427"/>
        <v>12.678571428571429</v>
      </c>
      <c r="J1964" s="6">
        <f t="shared" si="428"/>
        <v>11.071428571428571</v>
      </c>
      <c r="K1964" s="4">
        <f t="shared" si="429"/>
        <v>1.1451612903225807</v>
      </c>
      <c r="L1964">
        <f t="shared" si="430"/>
        <v>53.383458646616546</v>
      </c>
      <c r="M1964" s="14" t="str">
        <f t="shared" si="423"/>
        <v/>
      </c>
      <c r="N1964" s="7">
        <f t="shared" si="424"/>
        <v>0</v>
      </c>
      <c r="O1964" s="7">
        <f t="shared" si="431"/>
        <v>0</v>
      </c>
      <c r="P1964" s="7">
        <f t="shared" si="432"/>
        <v>-1</v>
      </c>
      <c r="Q1964" s="10" t="e">
        <f t="shared" si="425"/>
        <v>#N/A</v>
      </c>
      <c r="R1964" s="10" t="e">
        <f t="shared" si="426"/>
        <v>#N/A</v>
      </c>
      <c r="S1964" s="7">
        <f t="shared" si="433"/>
        <v>2571.5</v>
      </c>
      <c r="T1964" s="7">
        <f t="shared" si="434"/>
        <v>0</v>
      </c>
    </row>
    <row r="1965" spans="1:20" x14ac:dyDescent="0.25">
      <c r="A1965" s="1">
        <v>44027</v>
      </c>
      <c r="B1965">
        <v>2688</v>
      </c>
      <c r="C1965">
        <v>2695.9</v>
      </c>
      <c r="D1965">
        <v>2662.2</v>
      </c>
      <c r="E1965">
        <v>2685.85</v>
      </c>
      <c r="F1965">
        <v>928393</v>
      </c>
      <c r="G1965" s="4">
        <f t="shared" si="421"/>
        <v>0</v>
      </c>
      <c r="H1965" s="4">
        <f t="shared" si="422"/>
        <v>2.2000000000002728</v>
      </c>
      <c r="I1965" s="6">
        <f t="shared" si="427"/>
        <v>9.5</v>
      </c>
      <c r="J1965" s="6">
        <f t="shared" si="428"/>
        <v>11.228571428571447</v>
      </c>
      <c r="K1965" s="4">
        <f t="shared" si="429"/>
        <v>0.84605597964376444</v>
      </c>
      <c r="L1965">
        <f t="shared" si="430"/>
        <v>45.830461750516847</v>
      </c>
      <c r="M1965" s="14" t="str">
        <f t="shared" si="423"/>
        <v/>
      </c>
      <c r="N1965" s="7">
        <f t="shared" si="424"/>
        <v>0</v>
      </c>
      <c r="O1965" s="7">
        <f t="shared" si="431"/>
        <v>0</v>
      </c>
      <c r="P1965" s="7">
        <f t="shared" si="432"/>
        <v>-1</v>
      </c>
      <c r="Q1965" s="10" t="e">
        <f t="shared" si="425"/>
        <v>#N/A</v>
      </c>
      <c r="R1965" s="10" t="e">
        <f t="shared" si="426"/>
        <v>#N/A</v>
      </c>
      <c r="S1965" s="7">
        <f t="shared" si="433"/>
        <v>2571.5</v>
      </c>
      <c r="T1965" s="7">
        <f t="shared" si="434"/>
        <v>0</v>
      </c>
    </row>
    <row r="1966" spans="1:20" x14ac:dyDescent="0.25">
      <c r="A1966" s="1">
        <v>44028</v>
      </c>
      <c r="B1966">
        <v>2686</v>
      </c>
      <c r="C1966">
        <v>2702.4</v>
      </c>
      <c r="D1966">
        <v>2670</v>
      </c>
      <c r="E1966">
        <v>2685.3</v>
      </c>
      <c r="F1966">
        <v>455858</v>
      </c>
      <c r="G1966" s="4">
        <f t="shared" si="421"/>
        <v>0</v>
      </c>
      <c r="H1966" s="4">
        <f t="shared" si="422"/>
        <v>0.54999999999972715</v>
      </c>
      <c r="I1966" s="6">
        <f t="shared" si="427"/>
        <v>7.7178571428571558</v>
      </c>
      <c r="J1966" s="6">
        <f t="shared" si="428"/>
        <v>11.267857142857142</v>
      </c>
      <c r="K1966" s="4">
        <f t="shared" si="429"/>
        <v>0.68494453248811527</v>
      </c>
      <c r="L1966">
        <f t="shared" si="430"/>
        <v>40.650865312264898</v>
      </c>
      <c r="M1966" s="14" t="str">
        <f t="shared" si="423"/>
        <v/>
      </c>
      <c r="N1966" s="7">
        <f t="shared" si="424"/>
        <v>0</v>
      </c>
      <c r="O1966" s="7">
        <f t="shared" si="431"/>
        <v>0</v>
      </c>
      <c r="P1966" s="7">
        <f t="shared" si="432"/>
        <v>-1</v>
      </c>
      <c r="Q1966" s="10" t="e">
        <f t="shared" si="425"/>
        <v>#N/A</v>
      </c>
      <c r="R1966" s="10" t="e">
        <f t="shared" si="426"/>
        <v>#N/A</v>
      </c>
      <c r="S1966" s="7">
        <f t="shared" si="433"/>
        <v>2571.5</v>
      </c>
      <c r="T1966" s="7">
        <f t="shared" si="434"/>
        <v>0</v>
      </c>
    </row>
    <row r="1967" spans="1:20" x14ac:dyDescent="0.25">
      <c r="A1967" s="1">
        <v>44029</v>
      </c>
      <c r="B1967">
        <v>2677.5</v>
      </c>
      <c r="C1967">
        <v>2693</v>
      </c>
      <c r="D1967">
        <v>2650</v>
      </c>
      <c r="E1967">
        <v>2658.15</v>
      </c>
      <c r="F1967">
        <v>723766</v>
      </c>
      <c r="G1967" s="4">
        <f t="shared" si="421"/>
        <v>0</v>
      </c>
      <c r="H1967" s="4">
        <f t="shared" si="422"/>
        <v>27.150000000000091</v>
      </c>
      <c r="I1967" s="6">
        <f t="shared" si="427"/>
        <v>7.6178571428571491</v>
      </c>
      <c r="J1967" s="6">
        <f t="shared" si="428"/>
        <v>13.207142857142864</v>
      </c>
      <c r="K1967" s="4">
        <f t="shared" si="429"/>
        <v>0.57679826933477574</v>
      </c>
      <c r="L1967">
        <f t="shared" si="430"/>
        <v>36.580346424284009</v>
      </c>
      <c r="M1967" s="14" t="str">
        <f t="shared" si="423"/>
        <v/>
      </c>
      <c r="N1967" s="7">
        <f t="shared" si="424"/>
        <v>0</v>
      </c>
      <c r="O1967" s="7">
        <f t="shared" si="431"/>
        <v>0</v>
      </c>
      <c r="P1967" s="7">
        <f t="shared" si="432"/>
        <v>-1</v>
      </c>
      <c r="Q1967" s="10" t="e">
        <f t="shared" si="425"/>
        <v>#N/A</v>
      </c>
      <c r="R1967" s="10" t="e">
        <f t="shared" si="426"/>
        <v>#N/A</v>
      </c>
      <c r="S1967" s="7">
        <f t="shared" si="433"/>
        <v>2571.5</v>
      </c>
      <c r="T1967" s="7">
        <f t="shared" si="434"/>
        <v>0</v>
      </c>
    </row>
    <row r="1968" spans="1:20" x14ac:dyDescent="0.25">
      <c r="A1968" s="1">
        <v>44032</v>
      </c>
      <c r="B1968">
        <v>2653.65</v>
      </c>
      <c r="C1968">
        <v>2666.95</v>
      </c>
      <c r="D1968">
        <v>2623</v>
      </c>
      <c r="E1968">
        <v>2637</v>
      </c>
      <c r="F1968">
        <v>2149981</v>
      </c>
      <c r="G1968" s="4">
        <f t="shared" si="421"/>
        <v>0</v>
      </c>
      <c r="H1968" s="4">
        <f t="shared" si="422"/>
        <v>21.150000000000091</v>
      </c>
      <c r="I1968" s="6">
        <f t="shared" si="427"/>
        <v>7.6178571428571491</v>
      </c>
      <c r="J1968" s="6">
        <f t="shared" si="428"/>
        <v>12.742857142857149</v>
      </c>
      <c r="K1968" s="4">
        <f t="shared" si="429"/>
        <v>0.59781390134529167</v>
      </c>
      <c r="L1968">
        <f t="shared" si="430"/>
        <v>37.414488686195412</v>
      </c>
      <c r="M1968" s="14" t="str">
        <f t="shared" si="423"/>
        <v/>
      </c>
      <c r="N1968" s="7">
        <f t="shared" si="424"/>
        <v>0</v>
      </c>
      <c r="O1968" s="7">
        <f t="shared" si="431"/>
        <v>0</v>
      </c>
      <c r="P1968" s="7">
        <f t="shared" si="432"/>
        <v>-1</v>
      </c>
      <c r="Q1968" s="10" t="e">
        <f t="shared" si="425"/>
        <v>#N/A</v>
      </c>
      <c r="R1968" s="10" t="e">
        <f t="shared" si="426"/>
        <v>#N/A</v>
      </c>
      <c r="S1968" s="7">
        <f t="shared" si="433"/>
        <v>2571.5</v>
      </c>
      <c r="T1968" s="7">
        <f t="shared" si="434"/>
        <v>0</v>
      </c>
    </row>
    <row r="1969" spans="1:20" x14ac:dyDescent="0.25">
      <c r="A1969" s="1">
        <v>44033</v>
      </c>
      <c r="B1969">
        <v>2635</v>
      </c>
      <c r="C1969">
        <v>2668</v>
      </c>
      <c r="D1969">
        <v>2621.5</v>
      </c>
      <c r="E1969">
        <v>2629.95</v>
      </c>
      <c r="F1969">
        <v>515572</v>
      </c>
      <c r="G1969" s="4">
        <f t="shared" si="421"/>
        <v>0</v>
      </c>
      <c r="H1969" s="4">
        <f t="shared" si="422"/>
        <v>7.0500000000001819</v>
      </c>
      <c r="I1969" s="6">
        <f t="shared" si="427"/>
        <v>4.032142857142877</v>
      </c>
      <c r="J1969" s="6">
        <f t="shared" si="428"/>
        <v>13.246428571428591</v>
      </c>
      <c r="K1969" s="4">
        <f t="shared" si="429"/>
        <v>0.3043947155567549</v>
      </c>
      <c r="L1969">
        <f t="shared" si="430"/>
        <v>23.336089293096393</v>
      </c>
      <c r="M1969" s="14" t="str">
        <f t="shared" si="423"/>
        <v>OVERSOLD</v>
      </c>
      <c r="N1969" s="7" t="str">
        <f t="shared" si="424"/>
        <v>BUY</v>
      </c>
      <c r="O1969" s="7" t="str">
        <f t="shared" si="431"/>
        <v>BUY</v>
      </c>
      <c r="P1969" s="7">
        <f t="shared" si="432"/>
        <v>1</v>
      </c>
      <c r="Q1969" s="10">
        <f t="shared" si="425"/>
        <v>2629.95</v>
      </c>
      <c r="R1969" s="10" t="e">
        <f t="shared" si="426"/>
        <v>#N/A</v>
      </c>
      <c r="S1969" s="7">
        <f t="shared" si="433"/>
        <v>2629.95</v>
      </c>
      <c r="T1969" s="7">
        <f t="shared" si="434"/>
        <v>-2.2729924168773018E-2</v>
      </c>
    </row>
    <row r="1970" spans="1:20" x14ac:dyDescent="0.25">
      <c r="A1970" s="1">
        <v>44034</v>
      </c>
      <c r="B1970">
        <v>2622</v>
      </c>
      <c r="C1970">
        <v>2658.5</v>
      </c>
      <c r="D1970">
        <v>2602.9499999999998</v>
      </c>
      <c r="E1970">
        <v>2632.35</v>
      </c>
      <c r="F1970">
        <v>629552</v>
      </c>
      <c r="G1970" s="4">
        <f t="shared" si="421"/>
        <v>2.4000000000000909</v>
      </c>
      <c r="H1970" s="4">
        <f t="shared" si="422"/>
        <v>0</v>
      </c>
      <c r="I1970" s="6">
        <f t="shared" si="427"/>
        <v>4.2035714285714549</v>
      </c>
      <c r="J1970" s="6">
        <f t="shared" si="428"/>
        <v>10.078571428571454</v>
      </c>
      <c r="K1970" s="4">
        <f t="shared" si="429"/>
        <v>0.41708008504606819</v>
      </c>
      <c r="L1970">
        <f t="shared" si="430"/>
        <v>29.432358089522467</v>
      </c>
      <c r="M1970" s="14" t="str">
        <f t="shared" si="423"/>
        <v>OVERSOLD</v>
      </c>
      <c r="N1970" s="7" t="str">
        <f t="shared" si="424"/>
        <v>BUY</v>
      </c>
      <c r="O1970" s="7">
        <f t="shared" si="431"/>
        <v>0</v>
      </c>
      <c r="P1970" s="7">
        <f t="shared" si="432"/>
        <v>1</v>
      </c>
      <c r="Q1970" s="10" t="e">
        <f t="shared" si="425"/>
        <v>#N/A</v>
      </c>
      <c r="R1970" s="10" t="e">
        <f t="shared" si="426"/>
        <v>#N/A</v>
      </c>
      <c r="S1970" s="7">
        <f t="shared" si="433"/>
        <v>2629.95</v>
      </c>
      <c r="T1970" s="7">
        <f t="shared" si="434"/>
        <v>0</v>
      </c>
    </row>
    <row r="1971" spans="1:20" x14ac:dyDescent="0.25">
      <c r="A1971" s="1">
        <v>44035</v>
      </c>
      <c r="B1971">
        <v>2631</v>
      </c>
      <c r="C1971">
        <v>2651.7</v>
      </c>
      <c r="D1971">
        <v>2628.15</v>
      </c>
      <c r="E1971">
        <v>2635.55</v>
      </c>
      <c r="F1971">
        <v>583957</v>
      </c>
      <c r="G1971" s="4">
        <f t="shared" si="421"/>
        <v>3.2000000000002728</v>
      </c>
      <c r="H1971" s="4">
        <f t="shared" si="422"/>
        <v>0</v>
      </c>
      <c r="I1971" s="6">
        <f t="shared" si="427"/>
        <v>4.4321428571429022</v>
      </c>
      <c r="J1971" s="6">
        <f t="shared" si="428"/>
        <v>9.414285714285759</v>
      </c>
      <c r="K1971" s="4">
        <f t="shared" si="429"/>
        <v>0.47078907435508599</v>
      </c>
      <c r="L1971">
        <f t="shared" si="430"/>
        <v>32.009285530049127</v>
      </c>
      <c r="M1971" s="14" t="str">
        <f t="shared" si="423"/>
        <v/>
      </c>
      <c r="N1971" s="7">
        <f t="shared" si="424"/>
        <v>0</v>
      </c>
      <c r="O1971" s="7">
        <f t="shared" si="431"/>
        <v>0</v>
      </c>
      <c r="P1971" s="7">
        <f t="shared" si="432"/>
        <v>1</v>
      </c>
      <c r="Q1971" s="10" t="e">
        <f t="shared" si="425"/>
        <v>#N/A</v>
      </c>
      <c r="R1971" s="10" t="e">
        <f t="shared" si="426"/>
        <v>#N/A</v>
      </c>
      <c r="S1971" s="7">
        <f t="shared" si="433"/>
        <v>2629.95</v>
      </c>
      <c r="T1971" s="7">
        <f t="shared" si="434"/>
        <v>0</v>
      </c>
    </row>
    <row r="1972" spans="1:20" x14ac:dyDescent="0.25">
      <c r="A1972" s="1">
        <v>44036</v>
      </c>
      <c r="B1972">
        <v>2636</v>
      </c>
      <c r="C1972">
        <v>2645</v>
      </c>
      <c r="D1972">
        <v>2612.85</v>
      </c>
      <c r="E1972">
        <v>2633.3</v>
      </c>
      <c r="F1972">
        <v>703759</v>
      </c>
      <c r="G1972" s="4">
        <f t="shared" si="421"/>
        <v>0</v>
      </c>
      <c r="H1972" s="4">
        <f t="shared" si="422"/>
        <v>2.25</v>
      </c>
      <c r="I1972" s="6">
        <f t="shared" si="427"/>
        <v>1.4785714285714806</v>
      </c>
      <c r="J1972" s="6">
        <f t="shared" si="428"/>
        <v>9.5750000000000455</v>
      </c>
      <c r="K1972" s="4">
        <f t="shared" si="429"/>
        <v>0.15441999254010169</v>
      </c>
      <c r="L1972">
        <f t="shared" si="430"/>
        <v>13.376413570274991</v>
      </c>
      <c r="M1972" s="14" t="str">
        <f t="shared" si="423"/>
        <v>OVERSOLD</v>
      </c>
      <c r="N1972" s="7" t="str">
        <f t="shared" si="424"/>
        <v>BUY</v>
      </c>
      <c r="O1972" s="7">
        <f t="shared" si="431"/>
        <v>0</v>
      </c>
      <c r="P1972" s="7">
        <f t="shared" si="432"/>
        <v>1</v>
      </c>
      <c r="Q1972" s="10" t="e">
        <f t="shared" si="425"/>
        <v>#N/A</v>
      </c>
      <c r="R1972" s="10" t="e">
        <f t="shared" si="426"/>
        <v>#N/A</v>
      </c>
      <c r="S1972" s="7">
        <f t="shared" si="433"/>
        <v>2629.95</v>
      </c>
      <c r="T1972" s="7">
        <f t="shared" si="434"/>
        <v>0</v>
      </c>
    </row>
    <row r="1973" spans="1:20" x14ac:dyDescent="0.25">
      <c r="A1973" s="1">
        <v>44039</v>
      </c>
      <c r="B1973">
        <v>2632.3</v>
      </c>
      <c r="C1973">
        <v>2645.95</v>
      </c>
      <c r="D1973">
        <v>2615</v>
      </c>
      <c r="E1973">
        <v>2617.25</v>
      </c>
      <c r="F1973">
        <v>663150</v>
      </c>
      <c r="G1973" s="4">
        <f t="shared" si="421"/>
        <v>0</v>
      </c>
      <c r="H1973" s="4">
        <f t="shared" si="422"/>
        <v>16.050000000000182</v>
      </c>
      <c r="I1973" s="6">
        <f t="shared" si="427"/>
        <v>1.4785714285714806</v>
      </c>
      <c r="J1973" s="6">
        <f t="shared" si="428"/>
        <v>7.9107142857143504</v>
      </c>
      <c r="K1973" s="4">
        <f t="shared" si="429"/>
        <v>0.18690744920993732</v>
      </c>
      <c r="L1973">
        <f t="shared" si="430"/>
        <v>15.747432483834515</v>
      </c>
      <c r="M1973" s="14" t="str">
        <f t="shared" si="423"/>
        <v>OVERSOLD</v>
      </c>
      <c r="N1973" s="7" t="str">
        <f t="shared" si="424"/>
        <v>BUY</v>
      </c>
      <c r="O1973" s="7">
        <f t="shared" si="431"/>
        <v>0</v>
      </c>
      <c r="P1973" s="7">
        <f t="shared" si="432"/>
        <v>1</v>
      </c>
      <c r="Q1973" s="10" t="e">
        <f t="shared" si="425"/>
        <v>#N/A</v>
      </c>
      <c r="R1973" s="10" t="e">
        <f t="shared" si="426"/>
        <v>#N/A</v>
      </c>
      <c r="S1973" s="7">
        <f t="shared" si="433"/>
        <v>2629.95</v>
      </c>
      <c r="T1973" s="7">
        <f t="shared" si="434"/>
        <v>0</v>
      </c>
    </row>
    <row r="1974" spans="1:20" x14ac:dyDescent="0.25">
      <c r="A1974" s="1">
        <v>44040</v>
      </c>
      <c r="B1974">
        <v>2618</v>
      </c>
      <c r="C1974">
        <v>2645</v>
      </c>
      <c r="D1974">
        <v>2597</v>
      </c>
      <c r="E1974">
        <v>2601.5</v>
      </c>
      <c r="F1974">
        <v>692774</v>
      </c>
      <c r="G1974" s="4">
        <f t="shared" si="421"/>
        <v>0</v>
      </c>
      <c r="H1974" s="4">
        <f t="shared" si="422"/>
        <v>15.75</v>
      </c>
      <c r="I1974" s="6">
        <f t="shared" si="427"/>
        <v>1.4785714285714806</v>
      </c>
      <c r="J1974" s="6">
        <f t="shared" si="428"/>
        <v>8.7607142857143252</v>
      </c>
      <c r="K1974" s="4">
        <f t="shared" si="429"/>
        <v>0.16877293110477484</v>
      </c>
      <c r="L1974">
        <f t="shared" si="430"/>
        <v>14.440181374259183</v>
      </c>
      <c r="M1974" s="14" t="str">
        <f t="shared" si="423"/>
        <v>OVERSOLD</v>
      </c>
      <c r="N1974" s="7" t="str">
        <f t="shared" si="424"/>
        <v>BUY</v>
      </c>
      <c r="O1974" s="7">
        <f t="shared" si="431"/>
        <v>0</v>
      </c>
      <c r="P1974" s="7">
        <f t="shared" si="432"/>
        <v>1</v>
      </c>
      <c r="Q1974" s="10" t="e">
        <f t="shared" si="425"/>
        <v>#N/A</v>
      </c>
      <c r="R1974" s="10" t="e">
        <f t="shared" si="426"/>
        <v>#N/A</v>
      </c>
      <c r="S1974" s="7">
        <f t="shared" si="433"/>
        <v>2629.95</v>
      </c>
      <c r="T1974" s="7">
        <f t="shared" si="434"/>
        <v>0</v>
      </c>
    </row>
    <row r="1975" spans="1:20" x14ac:dyDescent="0.25">
      <c r="A1975" s="1">
        <v>44041</v>
      </c>
      <c r="B1975">
        <v>2608.35</v>
      </c>
      <c r="C1975">
        <v>2672.65</v>
      </c>
      <c r="D1975">
        <v>2608.35</v>
      </c>
      <c r="E1975">
        <v>2661.1</v>
      </c>
      <c r="F1975">
        <v>504001</v>
      </c>
      <c r="G1975" s="4">
        <f t="shared" si="421"/>
        <v>59.599999999999909</v>
      </c>
      <c r="H1975" s="4">
        <f t="shared" si="422"/>
        <v>0</v>
      </c>
      <c r="I1975" s="6">
        <f t="shared" si="427"/>
        <v>5.7357142857143311</v>
      </c>
      <c r="J1975" s="6">
        <f t="shared" si="428"/>
        <v>6.5821428571428964</v>
      </c>
      <c r="K1975" s="4">
        <f t="shared" si="429"/>
        <v>0.87140531741725613</v>
      </c>
      <c r="L1975">
        <f t="shared" si="430"/>
        <v>46.564221513482217</v>
      </c>
      <c r="M1975" s="14" t="str">
        <f t="shared" si="423"/>
        <v/>
      </c>
      <c r="N1975" s="7">
        <f t="shared" si="424"/>
        <v>0</v>
      </c>
      <c r="O1975" s="7">
        <f t="shared" si="431"/>
        <v>0</v>
      </c>
      <c r="P1975" s="7">
        <f t="shared" si="432"/>
        <v>1</v>
      </c>
      <c r="Q1975" s="10" t="e">
        <f t="shared" si="425"/>
        <v>#N/A</v>
      </c>
      <c r="R1975" s="10" t="e">
        <f t="shared" si="426"/>
        <v>#N/A</v>
      </c>
      <c r="S1975" s="7">
        <f t="shared" si="433"/>
        <v>2629.95</v>
      </c>
      <c r="T1975" s="7">
        <f t="shared" si="434"/>
        <v>0</v>
      </c>
    </row>
    <row r="1976" spans="1:20" x14ac:dyDescent="0.25">
      <c r="A1976" s="1">
        <v>44042</v>
      </c>
      <c r="B1976">
        <v>2661</v>
      </c>
      <c r="C1976">
        <v>2662</v>
      </c>
      <c r="D1976">
        <v>2607.4</v>
      </c>
      <c r="E1976">
        <v>2612.15</v>
      </c>
      <c r="F1976">
        <v>941123</v>
      </c>
      <c r="G1976" s="4">
        <f t="shared" si="421"/>
        <v>0</v>
      </c>
      <c r="H1976" s="4">
        <f t="shared" si="422"/>
        <v>48.949999999999818</v>
      </c>
      <c r="I1976" s="6">
        <f t="shared" si="427"/>
        <v>5.1857142857143117</v>
      </c>
      <c r="J1976" s="6">
        <f t="shared" si="428"/>
        <v>10.078571428571454</v>
      </c>
      <c r="K1976" s="4">
        <f t="shared" si="429"/>
        <v>0.51452870304748533</v>
      </c>
      <c r="L1976">
        <f t="shared" si="430"/>
        <v>33.972859148338856</v>
      </c>
      <c r="M1976" s="14" t="str">
        <f t="shared" si="423"/>
        <v/>
      </c>
      <c r="N1976" s="7">
        <f t="shared" si="424"/>
        <v>0</v>
      </c>
      <c r="O1976" s="7">
        <f t="shared" si="431"/>
        <v>0</v>
      </c>
      <c r="P1976" s="7">
        <f t="shared" si="432"/>
        <v>1</v>
      </c>
      <c r="Q1976" s="10" t="e">
        <f t="shared" si="425"/>
        <v>#N/A</v>
      </c>
      <c r="R1976" s="10" t="e">
        <f t="shared" si="426"/>
        <v>#N/A</v>
      </c>
      <c r="S1976" s="7">
        <f t="shared" si="433"/>
        <v>2629.95</v>
      </c>
      <c r="T1976" s="7">
        <f t="shared" si="434"/>
        <v>0</v>
      </c>
    </row>
    <row r="1977" spans="1:20" x14ac:dyDescent="0.25">
      <c r="A1977" s="1">
        <v>44043</v>
      </c>
      <c r="B1977">
        <v>2611.4</v>
      </c>
      <c r="C1977">
        <v>2651.45</v>
      </c>
      <c r="D1977">
        <v>2601</v>
      </c>
      <c r="E1977">
        <v>2628.4</v>
      </c>
      <c r="F1977">
        <v>1480729</v>
      </c>
      <c r="G1977" s="4">
        <f t="shared" si="421"/>
        <v>16.25</v>
      </c>
      <c r="H1977" s="4">
        <f t="shared" si="422"/>
        <v>0</v>
      </c>
      <c r="I1977" s="6">
        <f t="shared" si="427"/>
        <v>6.3035714285714608</v>
      </c>
      <c r="J1977" s="6">
        <f t="shared" si="428"/>
        <v>10.078571428571454</v>
      </c>
      <c r="K1977" s="4">
        <f t="shared" si="429"/>
        <v>0.62544294826364444</v>
      </c>
      <c r="L1977">
        <f t="shared" si="430"/>
        <v>38.478308262480994</v>
      </c>
      <c r="M1977" s="14" t="str">
        <f t="shared" si="423"/>
        <v/>
      </c>
      <c r="N1977" s="7">
        <f t="shared" si="424"/>
        <v>0</v>
      </c>
      <c r="O1977" s="7">
        <f t="shared" si="431"/>
        <v>0</v>
      </c>
      <c r="P1977" s="7">
        <f t="shared" si="432"/>
        <v>1</v>
      </c>
      <c r="Q1977" s="10" t="e">
        <f t="shared" si="425"/>
        <v>#N/A</v>
      </c>
      <c r="R1977" s="10" t="e">
        <f t="shared" si="426"/>
        <v>#N/A</v>
      </c>
      <c r="S1977" s="7">
        <f t="shared" si="433"/>
        <v>2629.95</v>
      </c>
      <c r="T1977" s="7">
        <f t="shared" si="434"/>
        <v>0</v>
      </c>
    </row>
    <row r="1978" spans="1:20" x14ac:dyDescent="0.25">
      <c r="A1978" s="1">
        <v>44046</v>
      </c>
      <c r="B1978">
        <v>2632</v>
      </c>
      <c r="C1978">
        <v>2632</v>
      </c>
      <c r="D1978">
        <v>2531.1</v>
      </c>
      <c r="E1978">
        <v>2557.8000000000002</v>
      </c>
      <c r="F1978">
        <v>2752075</v>
      </c>
      <c r="G1978" s="4">
        <f t="shared" si="421"/>
        <v>0</v>
      </c>
      <c r="H1978" s="4">
        <f t="shared" si="422"/>
        <v>70.599999999999909</v>
      </c>
      <c r="I1978" s="6">
        <f t="shared" si="427"/>
        <v>5.8178571428571626</v>
      </c>
      <c r="J1978" s="6">
        <f t="shared" si="428"/>
        <v>15.121428571428591</v>
      </c>
      <c r="K1978" s="4">
        <f t="shared" si="429"/>
        <v>0.38474256022673675</v>
      </c>
      <c r="L1978">
        <f t="shared" si="430"/>
        <v>27.784410711240014</v>
      </c>
      <c r="M1978" s="14" t="str">
        <f t="shared" si="423"/>
        <v>OVERSOLD</v>
      </c>
      <c r="N1978" s="7" t="str">
        <f t="shared" si="424"/>
        <v>BUY</v>
      </c>
      <c r="O1978" s="7">
        <f t="shared" si="431"/>
        <v>0</v>
      </c>
      <c r="P1978" s="7">
        <f t="shared" si="432"/>
        <v>1</v>
      </c>
      <c r="Q1978" s="10" t="e">
        <f t="shared" si="425"/>
        <v>#N/A</v>
      </c>
      <c r="R1978" s="10" t="e">
        <f t="shared" si="426"/>
        <v>#N/A</v>
      </c>
      <c r="S1978" s="7">
        <f t="shared" si="433"/>
        <v>2629.95</v>
      </c>
      <c r="T1978" s="7">
        <f t="shared" si="434"/>
        <v>0</v>
      </c>
    </row>
    <row r="1979" spans="1:20" x14ac:dyDescent="0.25">
      <c r="A1979" s="1">
        <v>44047</v>
      </c>
      <c r="B1979">
        <v>2563.75</v>
      </c>
      <c r="C1979">
        <v>2584.4499999999998</v>
      </c>
      <c r="D1979">
        <v>2536.85</v>
      </c>
      <c r="E1979">
        <v>2545.6</v>
      </c>
      <c r="F1979">
        <v>1359069</v>
      </c>
      <c r="G1979" s="4">
        <f t="shared" si="421"/>
        <v>0</v>
      </c>
      <c r="H1979" s="4">
        <f t="shared" si="422"/>
        <v>12.200000000000273</v>
      </c>
      <c r="I1979" s="6">
        <f t="shared" si="427"/>
        <v>5.8178571428571626</v>
      </c>
      <c r="J1979" s="6">
        <f t="shared" si="428"/>
        <v>15.835714285714305</v>
      </c>
      <c r="K1979" s="4">
        <f t="shared" si="429"/>
        <v>0.36738836265223357</v>
      </c>
      <c r="L1979">
        <f t="shared" si="430"/>
        <v>26.86788718456215</v>
      </c>
      <c r="M1979" s="14" t="str">
        <f t="shared" si="423"/>
        <v>OVERSOLD</v>
      </c>
      <c r="N1979" s="7" t="str">
        <f t="shared" si="424"/>
        <v>BUY</v>
      </c>
      <c r="O1979" s="7">
        <f t="shared" si="431"/>
        <v>0</v>
      </c>
      <c r="P1979" s="7">
        <f t="shared" si="432"/>
        <v>1</v>
      </c>
      <c r="Q1979" s="10" t="e">
        <f t="shared" si="425"/>
        <v>#N/A</v>
      </c>
      <c r="R1979" s="10" t="e">
        <f t="shared" si="426"/>
        <v>#N/A</v>
      </c>
      <c r="S1979" s="7">
        <f t="shared" si="433"/>
        <v>2629.95</v>
      </c>
      <c r="T1979" s="7">
        <f t="shared" si="434"/>
        <v>0</v>
      </c>
    </row>
    <row r="1980" spans="1:20" x14ac:dyDescent="0.25">
      <c r="A1980" s="1">
        <v>44048</v>
      </c>
      <c r="B1980">
        <v>2537</v>
      </c>
      <c r="C1980">
        <v>2588.9499999999998</v>
      </c>
      <c r="D1980">
        <v>2494.35</v>
      </c>
      <c r="E1980">
        <v>2580.5</v>
      </c>
      <c r="F1980">
        <v>1090332</v>
      </c>
      <c r="G1980" s="4">
        <f t="shared" si="421"/>
        <v>34.900000000000091</v>
      </c>
      <c r="H1980" s="4">
        <f t="shared" si="422"/>
        <v>0</v>
      </c>
      <c r="I1980" s="6">
        <f t="shared" si="427"/>
        <v>8.3107142857143117</v>
      </c>
      <c r="J1980" s="6">
        <f t="shared" si="428"/>
        <v>15.79642857142861</v>
      </c>
      <c r="K1980" s="4">
        <f t="shared" si="429"/>
        <v>0.52611349762604609</v>
      </c>
      <c r="L1980">
        <f t="shared" si="430"/>
        <v>34.474074074074096</v>
      </c>
      <c r="M1980" s="14" t="str">
        <f t="shared" si="423"/>
        <v/>
      </c>
      <c r="N1980" s="7">
        <f t="shared" si="424"/>
        <v>0</v>
      </c>
      <c r="O1980" s="7">
        <f t="shared" si="431"/>
        <v>0</v>
      </c>
      <c r="P1980" s="7">
        <f t="shared" si="432"/>
        <v>1</v>
      </c>
      <c r="Q1980" s="10" t="e">
        <f t="shared" si="425"/>
        <v>#N/A</v>
      </c>
      <c r="R1980" s="10" t="e">
        <f t="shared" si="426"/>
        <v>#N/A</v>
      </c>
      <c r="S1980" s="7">
        <f t="shared" si="433"/>
        <v>2629.95</v>
      </c>
      <c r="T1980" s="7">
        <f t="shared" si="434"/>
        <v>0</v>
      </c>
    </row>
    <row r="1981" spans="1:20" x14ac:dyDescent="0.25">
      <c r="A1981" s="1">
        <v>44049</v>
      </c>
      <c r="B1981">
        <v>2576</v>
      </c>
      <c r="C1981">
        <v>2597.8000000000002</v>
      </c>
      <c r="D1981">
        <v>2564.6999999999998</v>
      </c>
      <c r="E1981">
        <v>2575.3000000000002</v>
      </c>
      <c r="F1981">
        <v>900976</v>
      </c>
      <c r="G1981" s="4">
        <f t="shared" si="421"/>
        <v>0</v>
      </c>
      <c r="H1981" s="4">
        <f t="shared" si="422"/>
        <v>5.1999999999998181</v>
      </c>
      <c r="I1981" s="6">
        <f t="shared" si="427"/>
        <v>8.3107142857143117</v>
      </c>
      <c r="J1981" s="6">
        <f t="shared" si="428"/>
        <v>14.228571428571447</v>
      </c>
      <c r="K1981" s="4">
        <f t="shared" si="429"/>
        <v>0.58408634538152715</v>
      </c>
      <c r="L1981">
        <f t="shared" si="430"/>
        <v>36.872128030423106</v>
      </c>
      <c r="M1981" s="14" t="str">
        <f t="shared" si="423"/>
        <v/>
      </c>
      <c r="N1981" s="7">
        <f t="shared" si="424"/>
        <v>0</v>
      </c>
      <c r="O1981" s="7">
        <f t="shared" si="431"/>
        <v>0</v>
      </c>
      <c r="P1981" s="7">
        <f t="shared" si="432"/>
        <v>1</v>
      </c>
      <c r="Q1981" s="10" t="e">
        <f t="shared" si="425"/>
        <v>#N/A</v>
      </c>
      <c r="R1981" s="10" t="e">
        <f t="shared" si="426"/>
        <v>#N/A</v>
      </c>
      <c r="S1981" s="7">
        <f t="shared" si="433"/>
        <v>2629.95</v>
      </c>
      <c r="T1981" s="7">
        <f t="shared" si="434"/>
        <v>0</v>
      </c>
    </row>
    <row r="1982" spans="1:20" x14ac:dyDescent="0.25">
      <c r="A1982" s="1">
        <v>44050</v>
      </c>
      <c r="B1982">
        <v>2582</v>
      </c>
      <c r="C1982">
        <v>2592.75</v>
      </c>
      <c r="D1982">
        <v>2550.65</v>
      </c>
      <c r="E1982">
        <v>2588.9499999999998</v>
      </c>
      <c r="F1982">
        <v>788785</v>
      </c>
      <c r="G1982" s="4">
        <f t="shared" si="421"/>
        <v>13.649999999999636</v>
      </c>
      <c r="H1982" s="4">
        <f t="shared" si="422"/>
        <v>0</v>
      </c>
      <c r="I1982" s="6">
        <f t="shared" si="427"/>
        <v>9.2857142857142865</v>
      </c>
      <c r="J1982" s="6">
        <f t="shared" si="428"/>
        <v>12.717857142857156</v>
      </c>
      <c r="K1982" s="4">
        <f t="shared" si="429"/>
        <v>0.73013198539735957</v>
      </c>
      <c r="L1982">
        <f t="shared" si="430"/>
        <v>42.20094140561595</v>
      </c>
      <c r="M1982" s="14" t="str">
        <f t="shared" si="423"/>
        <v/>
      </c>
      <c r="N1982" s="7">
        <f t="shared" si="424"/>
        <v>0</v>
      </c>
      <c r="O1982" s="7">
        <f t="shared" si="431"/>
        <v>0</v>
      </c>
      <c r="P1982" s="7">
        <f t="shared" si="432"/>
        <v>1</v>
      </c>
      <c r="Q1982" s="10" t="e">
        <f t="shared" si="425"/>
        <v>#N/A</v>
      </c>
      <c r="R1982" s="10" t="e">
        <f t="shared" si="426"/>
        <v>#N/A</v>
      </c>
      <c r="S1982" s="7">
        <f t="shared" si="433"/>
        <v>2629.95</v>
      </c>
      <c r="T1982" s="7">
        <f t="shared" si="434"/>
        <v>0</v>
      </c>
    </row>
    <row r="1983" spans="1:20" x14ac:dyDescent="0.25">
      <c r="A1983" s="1">
        <v>44053</v>
      </c>
      <c r="B1983">
        <v>2587</v>
      </c>
      <c r="C1983">
        <v>2608</v>
      </c>
      <c r="D1983">
        <v>2580.0500000000002</v>
      </c>
      <c r="E1983">
        <v>2595.6999999999998</v>
      </c>
      <c r="F1983">
        <v>646824</v>
      </c>
      <c r="G1983" s="4">
        <f t="shared" si="421"/>
        <v>6.75</v>
      </c>
      <c r="H1983" s="4">
        <f t="shared" si="422"/>
        <v>0</v>
      </c>
      <c r="I1983" s="6">
        <f t="shared" si="427"/>
        <v>9.7678571428571423</v>
      </c>
      <c r="J1983" s="6">
        <f t="shared" si="428"/>
        <v>12.214285714285714</v>
      </c>
      <c r="K1983" s="4">
        <f t="shared" si="429"/>
        <v>0.79970760233918126</v>
      </c>
      <c r="L1983">
        <f t="shared" si="430"/>
        <v>44.435418359057678</v>
      </c>
      <c r="M1983" s="14" t="str">
        <f t="shared" si="423"/>
        <v/>
      </c>
      <c r="N1983" s="7">
        <f t="shared" si="424"/>
        <v>0</v>
      </c>
      <c r="O1983" s="7">
        <f t="shared" si="431"/>
        <v>0</v>
      </c>
      <c r="P1983" s="7">
        <f t="shared" si="432"/>
        <v>1</v>
      </c>
      <c r="Q1983" s="10" t="e">
        <f t="shared" si="425"/>
        <v>#N/A</v>
      </c>
      <c r="R1983" s="10" t="e">
        <f t="shared" si="426"/>
        <v>#N/A</v>
      </c>
      <c r="S1983" s="7">
        <f t="shared" si="433"/>
        <v>2629.95</v>
      </c>
      <c r="T1983" s="7">
        <f t="shared" si="434"/>
        <v>0</v>
      </c>
    </row>
    <row r="1984" spans="1:20" x14ac:dyDescent="0.25">
      <c r="A1984" s="1">
        <v>44054</v>
      </c>
      <c r="B1984">
        <v>2604</v>
      </c>
      <c r="C1984">
        <v>2663.9</v>
      </c>
      <c r="D1984">
        <v>2590.1999999999998</v>
      </c>
      <c r="E1984">
        <v>2646.75</v>
      </c>
      <c r="F1984">
        <v>1832832</v>
      </c>
      <c r="G1984" s="4">
        <f t="shared" si="421"/>
        <v>51.050000000000182</v>
      </c>
      <c r="H1984" s="4">
        <f t="shared" si="422"/>
        <v>0</v>
      </c>
      <c r="I1984" s="6">
        <f t="shared" si="427"/>
        <v>13.242857142857149</v>
      </c>
      <c r="J1984" s="6">
        <f t="shared" si="428"/>
        <v>12.214285714285714</v>
      </c>
      <c r="K1984" s="4">
        <f t="shared" si="429"/>
        <v>1.08421052631579</v>
      </c>
      <c r="L1984">
        <f t="shared" si="430"/>
        <v>52.020202020202028</v>
      </c>
      <c r="M1984" s="14" t="str">
        <f t="shared" si="423"/>
        <v/>
      </c>
      <c r="N1984" s="7">
        <f t="shared" si="424"/>
        <v>0</v>
      </c>
      <c r="O1984" s="7">
        <f t="shared" si="431"/>
        <v>0</v>
      </c>
      <c r="P1984" s="7">
        <f t="shared" si="432"/>
        <v>1</v>
      </c>
      <c r="Q1984" s="10" t="e">
        <f t="shared" si="425"/>
        <v>#N/A</v>
      </c>
      <c r="R1984" s="10" t="e">
        <f t="shared" si="426"/>
        <v>#N/A</v>
      </c>
      <c r="S1984" s="7">
        <f t="shared" si="433"/>
        <v>2629.95</v>
      </c>
      <c r="T1984" s="7">
        <f t="shared" si="434"/>
        <v>0</v>
      </c>
    </row>
    <row r="1985" spans="1:21" x14ac:dyDescent="0.25">
      <c r="A1985" s="1">
        <v>44055</v>
      </c>
      <c r="B1985">
        <v>2686</v>
      </c>
      <c r="C1985">
        <v>2689.75</v>
      </c>
      <c r="D1985">
        <v>2631.6</v>
      </c>
      <c r="E1985">
        <v>2649.45</v>
      </c>
      <c r="F1985">
        <v>1087893</v>
      </c>
      <c r="G1985" s="4">
        <f t="shared" si="421"/>
        <v>2.6999999999998181</v>
      </c>
      <c r="H1985" s="4">
        <f t="shared" si="422"/>
        <v>0</v>
      </c>
      <c r="I1985" s="6">
        <f t="shared" si="427"/>
        <v>13.207142857142831</v>
      </c>
      <c r="J1985" s="6">
        <f t="shared" si="428"/>
        <v>12.214285714285714</v>
      </c>
      <c r="K1985" s="4">
        <f t="shared" si="429"/>
        <v>1.0812865497076003</v>
      </c>
      <c r="L1985">
        <f t="shared" si="430"/>
        <v>51.95279572913735</v>
      </c>
      <c r="M1985" s="14" t="str">
        <f t="shared" si="423"/>
        <v/>
      </c>
      <c r="N1985" s="7">
        <f t="shared" si="424"/>
        <v>0</v>
      </c>
      <c r="O1985" s="7">
        <f t="shared" si="431"/>
        <v>0</v>
      </c>
      <c r="P1985" s="7">
        <f t="shared" si="432"/>
        <v>1</v>
      </c>
      <c r="Q1985" s="10" t="e">
        <f t="shared" si="425"/>
        <v>#N/A</v>
      </c>
      <c r="R1985" s="10" t="e">
        <f t="shared" si="426"/>
        <v>#N/A</v>
      </c>
      <c r="S1985" s="7">
        <f t="shared" si="433"/>
        <v>2629.95</v>
      </c>
      <c r="T1985" s="7">
        <f t="shared" si="434"/>
        <v>0</v>
      </c>
    </row>
    <row r="1986" spans="1:21" x14ac:dyDescent="0.25">
      <c r="A1986" s="1">
        <v>44056</v>
      </c>
      <c r="B1986">
        <v>2649.45</v>
      </c>
      <c r="C1986">
        <v>2658.5</v>
      </c>
      <c r="D1986">
        <v>2610.5</v>
      </c>
      <c r="E1986">
        <v>2619.9</v>
      </c>
      <c r="F1986">
        <v>369642</v>
      </c>
      <c r="G1986" s="4">
        <f t="shared" si="421"/>
        <v>0</v>
      </c>
      <c r="H1986" s="4">
        <f t="shared" si="422"/>
        <v>29.549999999999727</v>
      </c>
      <c r="I1986" s="6">
        <f t="shared" si="427"/>
        <v>13.207142857142831</v>
      </c>
      <c r="J1986" s="6">
        <f t="shared" si="428"/>
        <v>14.164285714285695</v>
      </c>
      <c r="K1986" s="4">
        <f t="shared" si="429"/>
        <v>0.93242561775088195</v>
      </c>
      <c r="L1986">
        <f t="shared" si="430"/>
        <v>48.251565762004155</v>
      </c>
      <c r="M1986" s="14" t="str">
        <f t="shared" si="423"/>
        <v/>
      </c>
      <c r="N1986" s="7">
        <f t="shared" si="424"/>
        <v>0</v>
      </c>
      <c r="O1986" s="7">
        <f t="shared" si="431"/>
        <v>0</v>
      </c>
      <c r="P1986" s="7">
        <f t="shared" si="432"/>
        <v>1</v>
      </c>
      <c r="Q1986" s="10" t="e">
        <f t="shared" si="425"/>
        <v>#N/A</v>
      </c>
      <c r="R1986" s="10" t="e">
        <f t="shared" si="426"/>
        <v>#N/A</v>
      </c>
      <c r="S1986" s="7">
        <f t="shared" si="433"/>
        <v>2629.95</v>
      </c>
      <c r="T1986" s="7">
        <f t="shared" si="434"/>
        <v>0</v>
      </c>
    </row>
    <row r="1987" spans="1:21" x14ac:dyDescent="0.25">
      <c r="A1987" s="1">
        <v>44057</v>
      </c>
      <c r="B1987">
        <v>2608.8000000000002</v>
      </c>
      <c r="C1987">
        <v>2653.5</v>
      </c>
      <c r="D1987">
        <v>2605.65</v>
      </c>
      <c r="E1987">
        <v>2626.95</v>
      </c>
      <c r="F1987">
        <v>1302544</v>
      </c>
      <c r="G1987" s="4">
        <f t="shared" si="421"/>
        <v>7.0499999999997272</v>
      </c>
      <c r="H1987" s="4">
        <f t="shared" si="422"/>
        <v>0</v>
      </c>
      <c r="I1987" s="6">
        <f t="shared" si="427"/>
        <v>13.710714285714241</v>
      </c>
      <c r="J1987" s="6">
        <f t="shared" si="428"/>
        <v>13.01785714285711</v>
      </c>
      <c r="K1987" s="4">
        <f t="shared" si="429"/>
        <v>1.053223593964334</v>
      </c>
      <c r="L1987">
        <f t="shared" si="430"/>
        <v>51.296098343131995</v>
      </c>
      <c r="M1987" s="14" t="str">
        <f t="shared" si="423"/>
        <v/>
      </c>
      <c r="N1987" s="7">
        <f t="shared" si="424"/>
        <v>0</v>
      </c>
      <c r="O1987" s="7">
        <f t="shared" si="431"/>
        <v>0</v>
      </c>
      <c r="P1987" s="7">
        <f>IF(O1987="BUY",1,IF(O1987="SELL",-1,P1986))</f>
        <v>1</v>
      </c>
      <c r="Q1987" s="10" t="e">
        <f t="shared" si="425"/>
        <v>#N/A</v>
      </c>
      <c r="R1987" s="10" t="e">
        <f t="shared" si="426"/>
        <v>#N/A</v>
      </c>
      <c r="S1987" s="7">
        <f t="shared" si="433"/>
        <v>2629.95</v>
      </c>
      <c r="T1987" s="7">
        <f t="shared" si="434"/>
        <v>0</v>
      </c>
    </row>
    <row r="1988" spans="1:21" x14ac:dyDescent="0.25">
      <c r="A1988" s="1">
        <v>44060</v>
      </c>
      <c r="B1988">
        <v>2623.1</v>
      </c>
      <c r="C1988">
        <v>2708.9</v>
      </c>
      <c r="D1988">
        <v>2618.5500000000002</v>
      </c>
      <c r="E1988">
        <v>2701.2</v>
      </c>
      <c r="F1988">
        <v>1304771</v>
      </c>
      <c r="G1988" s="4">
        <f t="shared" ref="G1988" si="435">IF(E1988&gt;E1987,E1988-E1987,0)</f>
        <v>74.25</v>
      </c>
      <c r="H1988" s="4">
        <f t="shared" ref="H1988" si="436">IF(E1988&lt;E1987,E1987-E1988,0)</f>
        <v>0</v>
      </c>
      <c r="I1988" s="6">
        <f t="shared" si="427"/>
        <v>19.01428571428567</v>
      </c>
      <c r="J1988" s="6">
        <f t="shared" si="428"/>
        <v>11.89285714285711</v>
      </c>
      <c r="K1988" s="4">
        <f t="shared" si="429"/>
        <v>1.5987987987987995</v>
      </c>
      <c r="L1988">
        <f t="shared" si="430"/>
        <v>61.520684076727534</v>
      </c>
      <c r="M1988" s="14" t="str">
        <f t="shared" si="423"/>
        <v/>
      </c>
      <c r="N1988" s="7">
        <f t="shared" si="424"/>
        <v>0</v>
      </c>
      <c r="O1988" s="17" t="str">
        <f>IF(P1987=1,"SELL",IF(P1987=-1,"BUY",0))</f>
        <v>SELL</v>
      </c>
      <c r="P1988" s="17">
        <v>0</v>
      </c>
      <c r="Q1988" s="10" t="e">
        <f t="shared" si="425"/>
        <v>#N/A</v>
      </c>
      <c r="R1988" s="10">
        <f t="shared" si="426"/>
        <v>2701.2</v>
      </c>
      <c r="S1988" s="7">
        <f t="shared" si="433"/>
        <v>2701.2</v>
      </c>
      <c r="T1988" s="7">
        <f t="shared" si="434"/>
        <v>2.7091769805509612E-2</v>
      </c>
      <c r="U1988" s="11" t="s">
        <v>28</v>
      </c>
    </row>
  </sheetData>
  <conditionalFormatting sqref="M1:M1048576">
    <cfRule type="cellIs" dxfId="1" priority="1" operator="equal">
      <formula>"OVERSOLD"</formula>
    </cfRule>
    <cfRule type="cellIs" dxfId="0" priority="2" operator="equal">
      <formula>"OVERBOUGHT"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RSI Strategy</vt:lpstr>
      <vt:lpstr>RSI Chart</vt:lpstr>
      <vt:lpstr>RSI Signal Chart</vt:lpstr>
      <vt:lpstr>RSI_Overbought</vt:lpstr>
      <vt:lpstr>RSI_Oversold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2023-08-14T10:26:55Z</dcterms:modified>
  <cp:category>Version 10.0.1</cp:category>
  <cp:contentStatus/>
</cp:coreProperties>
</file>