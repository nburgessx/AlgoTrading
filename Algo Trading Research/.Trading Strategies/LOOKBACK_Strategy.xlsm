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6626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burg\Documents\MY_DOCUMENTS\QUANT\PROJECTS\ALGO TRADING\.AlgoTrading\"/>
    </mc:Choice>
  </mc:AlternateContent>
  <xr:revisionPtr revIDLastSave="0" documentId="13_ncr:1_{9279D67A-E489-426E-9BDE-FEBDEFCBED94}" xr6:coauthVersionLast="47" xr6:coauthVersionMax="47" xr10:uidLastSave="{00000000-0000-0000-0000-000000000000}"/>
  <bookViews>
    <workbookView xWindow="10710" yWindow="2340" windowWidth="30330" windowHeight="15345" xr2:uid="{00000000-000D-0000-FFFF-FFFF00000000}"/>
  </bookViews>
  <sheets>
    <sheet name="LOOKBACK Strategy" sheetId="4" r:id="rId1"/>
  </sheets>
  <definedNames>
    <definedName name="RSI_Overbought">#REF!</definedName>
    <definedName name="RSI_Oversold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8" i="4" l="1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O8" i="4" s="1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L1282" i="4"/>
  <c r="L1283" i="4"/>
  <c r="L1284" i="4"/>
  <c r="L1285" i="4"/>
  <c r="L1286" i="4"/>
  <c r="L1287" i="4"/>
  <c r="L1288" i="4"/>
  <c r="L1289" i="4"/>
  <c r="L1290" i="4"/>
  <c r="L1291" i="4"/>
  <c r="L1292" i="4"/>
  <c r="L1293" i="4"/>
  <c r="L1294" i="4"/>
  <c r="L1295" i="4"/>
  <c r="L1296" i="4"/>
  <c r="L1297" i="4"/>
  <c r="L1298" i="4"/>
  <c r="L1299" i="4"/>
  <c r="L1300" i="4"/>
  <c r="L1301" i="4"/>
  <c r="L1302" i="4"/>
  <c r="L1303" i="4"/>
  <c r="L1304" i="4"/>
  <c r="L1305" i="4"/>
  <c r="L1306" i="4"/>
  <c r="L1307" i="4"/>
  <c r="L1308" i="4"/>
  <c r="L1309" i="4"/>
  <c r="L1310" i="4"/>
  <c r="L1311" i="4"/>
  <c r="L1312" i="4"/>
  <c r="L1313" i="4"/>
  <c r="L1314" i="4"/>
  <c r="L1315" i="4"/>
  <c r="L1316" i="4"/>
  <c r="L1317" i="4"/>
  <c r="L1318" i="4"/>
  <c r="L1319" i="4"/>
  <c r="L1320" i="4"/>
  <c r="L1321" i="4"/>
  <c r="L1322" i="4"/>
  <c r="L1323" i="4"/>
  <c r="L1324" i="4"/>
  <c r="L1325" i="4"/>
  <c r="L1326" i="4"/>
  <c r="L1327" i="4"/>
  <c r="L1328" i="4"/>
  <c r="L1329" i="4"/>
  <c r="L1330" i="4"/>
  <c r="L1331" i="4"/>
  <c r="L1332" i="4"/>
  <c r="L1333" i="4"/>
  <c r="L1334" i="4"/>
  <c r="L1335" i="4"/>
  <c r="L1336" i="4"/>
  <c r="L1337" i="4"/>
  <c r="L1338" i="4"/>
  <c r="L1339" i="4"/>
  <c r="L1340" i="4"/>
  <c r="L1341" i="4"/>
  <c r="L1342" i="4"/>
  <c r="L1343" i="4"/>
  <c r="L1344" i="4"/>
  <c r="L1345" i="4"/>
  <c r="L1346" i="4"/>
  <c r="L1347" i="4"/>
  <c r="L1348" i="4"/>
  <c r="L1349" i="4"/>
  <c r="L1350" i="4"/>
  <c r="L1351" i="4"/>
  <c r="L1352" i="4"/>
  <c r="L1353" i="4"/>
  <c r="L1354" i="4"/>
  <c r="L1355" i="4"/>
  <c r="L1356" i="4"/>
  <c r="L1357" i="4"/>
  <c r="L1358" i="4"/>
  <c r="L1359" i="4"/>
  <c r="L1360" i="4"/>
  <c r="L1361" i="4"/>
  <c r="L1362" i="4"/>
  <c r="L1363" i="4"/>
  <c r="L1364" i="4"/>
  <c r="L1365" i="4"/>
  <c r="L1366" i="4"/>
  <c r="L1367" i="4"/>
  <c r="L1368" i="4"/>
  <c r="L1369" i="4"/>
  <c r="L1370" i="4"/>
  <c r="L1371" i="4"/>
  <c r="L1372" i="4"/>
  <c r="L1373" i="4"/>
  <c r="L1374" i="4"/>
  <c r="L1375" i="4"/>
  <c r="L1376" i="4"/>
  <c r="L1377" i="4"/>
  <c r="L1378" i="4"/>
  <c r="L1379" i="4"/>
  <c r="L1380" i="4"/>
  <c r="L1381" i="4"/>
  <c r="L1382" i="4"/>
  <c r="L1383" i="4"/>
  <c r="L1384" i="4"/>
  <c r="L1385" i="4"/>
  <c r="L1386" i="4"/>
  <c r="L1387" i="4"/>
  <c r="L1388" i="4"/>
  <c r="L1389" i="4"/>
  <c r="L1390" i="4"/>
  <c r="L1391" i="4"/>
  <c r="L1392" i="4"/>
  <c r="L1393" i="4"/>
  <c r="L1394" i="4"/>
  <c r="L1395" i="4"/>
  <c r="L1396" i="4"/>
  <c r="L1397" i="4"/>
  <c r="L1398" i="4"/>
  <c r="L1399" i="4"/>
  <c r="L1400" i="4"/>
  <c r="L1401" i="4"/>
  <c r="L1402" i="4"/>
  <c r="L1403" i="4"/>
  <c r="L1404" i="4"/>
  <c r="L1405" i="4"/>
  <c r="L1406" i="4"/>
  <c r="L1407" i="4"/>
  <c r="L1408" i="4"/>
  <c r="L1409" i="4"/>
  <c r="L1410" i="4"/>
  <c r="L1411" i="4"/>
  <c r="L1412" i="4"/>
  <c r="L1413" i="4"/>
  <c r="L1414" i="4"/>
  <c r="L1415" i="4"/>
  <c r="L1416" i="4"/>
  <c r="L1417" i="4"/>
  <c r="L1418" i="4"/>
  <c r="L1419" i="4"/>
  <c r="L1420" i="4"/>
  <c r="L1421" i="4"/>
  <c r="L1422" i="4"/>
  <c r="L1423" i="4"/>
  <c r="L1424" i="4"/>
  <c r="L1425" i="4"/>
  <c r="L1426" i="4"/>
  <c r="L1427" i="4"/>
  <c r="L1428" i="4"/>
  <c r="L1429" i="4"/>
  <c r="L1430" i="4"/>
  <c r="L1431" i="4"/>
  <c r="L1432" i="4"/>
  <c r="L1433" i="4"/>
  <c r="L1434" i="4"/>
  <c r="L1435" i="4"/>
  <c r="L1436" i="4"/>
  <c r="L1437" i="4"/>
  <c r="L1438" i="4"/>
  <c r="L1439" i="4"/>
  <c r="L1440" i="4"/>
  <c r="L1441" i="4"/>
  <c r="L1442" i="4"/>
  <c r="L1443" i="4"/>
  <c r="L1444" i="4"/>
  <c r="L1445" i="4"/>
  <c r="L1446" i="4"/>
  <c r="L1447" i="4"/>
  <c r="L1448" i="4"/>
  <c r="L1449" i="4"/>
  <c r="L1450" i="4"/>
  <c r="L1451" i="4"/>
  <c r="L1452" i="4"/>
  <c r="L1453" i="4"/>
  <c r="L1454" i="4"/>
  <c r="L1455" i="4"/>
  <c r="L1456" i="4"/>
  <c r="L1457" i="4"/>
  <c r="L1458" i="4"/>
  <c r="L1459" i="4"/>
  <c r="L1460" i="4"/>
  <c r="L1461" i="4"/>
  <c r="L1462" i="4"/>
  <c r="L1463" i="4"/>
  <c r="L1464" i="4"/>
  <c r="L1465" i="4"/>
  <c r="L1466" i="4"/>
  <c r="L1467" i="4"/>
  <c r="L1468" i="4"/>
  <c r="L1469" i="4"/>
  <c r="L1470" i="4"/>
  <c r="L1471" i="4"/>
  <c r="L1472" i="4"/>
  <c r="L1473" i="4"/>
  <c r="L1474" i="4"/>
  <c r="L1475" i="4"/>
  <c r="L1476" i="4"/>
  <c r="L1477" i="4"/>
  <c r="L1478" i="4"/>
  <c r="L1479" i="4"/>
  <c r="L1480" i="4"/>
  <c r="L1481" i="4"/>
  <c r="L1482" i="4"/>
  <c r="L1483" i="4"/>
  <c r="L1484" i="4"/>
  <c r="L1485" i="4"/>
  <c r="L1486" i="4"/>
  <c r="L1487" i="4"/>
  <c r="L1488" i="4"/>
  <c r="L1489" i="4"/>
  <c r="L1490" i="4"/>
  <c r="L1491" i="4"/>
  <c r="L1492" i="4"/>
  <c r="L1493" i="4"/>
  <c r="L1494" i="4"/>
  <c r="L1495" i="4"/>
  <c r="L1496" i="4"/>
  <c r="L1497" i="4"/>
  <c r="L1498" i="4"/>
  <c r="L1499" i="4"/>
  <c r="L1500" i="4"/>
  <c r="L1501" i="4"/>
  <c r="L1502" i="4"/>
  <c r="L1503" i="4"/>
  <c r="L1504" i="4"/>
  <c r="L1505" i="4"/>
  <c r="L1506" i="4"/>
  <c r="L1507" i="4"/>
  <c r="L1508" i="4"/>
  <c r="L1509" i="4"/>
  <c r="L1510" i="4"/>
  <c r="L1511" i="4"/>
  <c r="L1512" i="4"/>
  <c r="L1513" i="4"/>
  <c r="L1514" i="4"/>
  <c r="L1515" i="4"/>
  <c r="L1516" i="4"/>
  <c r="L1517" i="4"/>
  <c r="L1518" i="4"/>
  <c r="L1519" i="4"/>
  <c r="L1520" i="4"/>
  <c r="L1521" i="4"/>
  <c r="L1522" i="4"/>
  <c r="L1523" i="4"/>
  <c r="L1524" i="4"/>
  <c r="L1525" i="4"/>
  <c r="L1526" i="4"/>
  <c r="L1527" i="4"/>
  <c r="L1528" i="4"/>
  <c r="L1529" i="4"/>
  <c r="L1530" i="4"/>
  <c r="L1531" i="4"/>
  <c r="L1532" i="4"/>
  <c r="L1533" i="4"/>
  <c r="L1534" i="4"/>
  <c r="L1535" i="4"/>
  <c r="L1536" i="4"/>
  <c r="L1537" i="4"/>
  <c r="L1538" i="4"/>
  <c r="L1539" i="4"/>
  <c r="L1540" i="4"/>
  <c r="L1541" i="4"/>
  <c r="L1542" i="4"/>
  <c r="L1543" i="4"/>
  <c r="L1544" i="4"/>
  <c r="L1545" i="4"/>
  <c r="L1546" i="4"/>
  <c r="L1547" i="4"/>
  <c r="L1548" i="4"/>
  <c r="L1549" i="4"/>
  <c r="L1550" i="4"/>
  <c r="L1551" i="4"/>
  <c r="L1552" i="4"/>
  <c r="L1553" i="4"/>
  <c r="L1554" i="4"/>
  <c r="L1555" i="4"/>
  <c r="L1556" i="4"/>
  <c r="L1557" i="4"/>
  <c r="L1558" i="4"/>
  <c r="L1559" i="4"/>
  <c r="L1560" i="4"/>
  <c r="L1561" i="4"/>
  <c r="L1562" i="4"/>
  <c r="L1563" i="4"/>
  <c r="L1564" i="4"/>
  <c r="L1565" i="4"/>
  <c r="L1566" i="4"/>
  <c r="L1567" i="4"/>
  <c r="L1568" i="4"/>
  <c r="L1569" i="4"/>
  <c r="L1570" i="4"/>
  <c r="L1571" i="4"/>
  <c r="L1572" i="4"/>
  <c r="L1573" i="4"/>
  <c r="L1574" i="4"/>
  <c r="L1575" i="4"/>
  <c r="L1576" i="4"/>
  <c r="L1577" i="4"/>
  <c r="L1578" i="4"/>
  <c r="L1579" i="4"/>
  <c r="L1580" i="4"/>
  <c r="L1581" i="4"/>
  <c r="L1582" i="4"/>
  <c r="L1583" i="4"/>
  <c r="L1584" i="4"/>
  <c r="L1585" i="4"/>
  <c r="L1586" i="4"/>
  <c r="L1587" i="4"/>
  <c r="L1588" i="4"/>
  <c r="L1589" i="4"/>
  <c r="L1590" i="4"/>
  <c r="L1591" i="4"/>
  <c r="L1592" i="4"/>
  <c r="L1593" i="4"/>
  <c r="L1594" i="4"/>
  <c r="L1595" i="4"/>
  <c r="L1596" i="4"/>
  <c r="L1597" i="4"/>
  <c r="L1598" i="4"/>
  <c r="L1599" i="4"/>
  <c r="L1600" i="4"/>
  <c r="L1601" i="4"/>
  <c r="L1602" i="4"/>
  <c r="L1603" i="4"/>
  <c r="L1604" i="4"/>
  <c r="L1605" i="4"/>
  <c r="L1606" i="4"/>
  <c r="L1607" i="4"/>
  <c r="L1608" i="4"/>
  <c r="L1609" i="4"/>
  <c r="L1610" i="4"/>
  <c r="L1611" i="4"/>
  <c r="L1612" i="4"/>
  <c r="L1613" i="4"/>
  <c r="L1614" i="4"/>
  <c r="L1615" i="4"/>
  <c r="L1616" i="4"/>
  <c r="L1617" i="4"/>
  <c r="L1618" i="4"/>
  <c r="L1619" i="4"/>
  <c r="L1620" i="4"/>
  <c r="L1621" i="4"/>
  <c r="L1622" i="4"/>
  <c r="L1623" i="4"/>
  <c r="L1624" i="4"/>
  <c r="L1625" i="4"/>
  <c r="L1626" i="4"/>
  <c r="L1627" i="4"/>
  <c r="L1628" i="4"/>
  <c r="L1629" i="4"/>
  <c r="L1630" i="4"/>
  <c r="L1631" i="4"/>
  <c r="L1632" i="4"/>
  <c r="L1633" i="4"/>
  <c r="L1634" i="4"/>
  <c r="L1635" i="4"/>
  <c r="L1636" i="4"/>
  <c r="L1637" i="4"/>
  <c r="L1638" i="4"/>
  <c r="L1639" i="4"/>
  <c r="L1640" i="4"/>
  <c r="L1641" i="4"/>
  <c r="L1642" i="4"/>
  <c r="L1643" i="4"/>
  <c r="L1644" i="4"/>
  <c r="L1645" i="4"/>
  <c r="L1646" i="4"/>
  <c r="L1647" i="4"/>
  <c r="L1648" i="4"/>
  <c r="L1649" i="4"/>
  <c r="L1650" i="4"/>
  <c r="L1651" i="4"/>
  <c r="L1652" i="4"/>
  <c r="L1653" i="4"/>
  <c r="L1654" i="4"/>
  <c r="L1655" i="4"/>
  <c r="L1656" i="4"/>
  <c r="L1657" i="4"/>
  <c r="L1658" i="4"/>
  <c r="L1659" i="4"/>
  <c r="L1660" i="4"/>
  <c r="L1661" i="4"/>
  <c r="L1662" i="4"/>
  <c r="L1663" i="4"/>
  <c r="L1664" i="4"/>
  <c r="L1665" i="4"/>
  <c r="L1666" i="4"/>
  <c r="L1667" i="4"/>
  <c r="L1668" i="4"/>
  <c r="L1669" i="4"/>
  <c r="L1670" i="4"/>
  <c r="L1671" i="4"/>
  <c r="L1672" i="4"/>
  <c r="L1673" i="4"/>
  <c r="L1674" i="4"/>
  <c r="L1675" i="4"/>
  <c r="L1676" i="4"/>
  <c r="L1677" i="4"/>
  <c r="L1678" i="4"/>
  <c r="L1679" i="4"/>
  <c r="L1680" i="4"/>
  <c r="L1681" i="4"/>
  <c r="L1682" i="4"/>
  <c r="L1683" i="4"/>
  <c r="L1684" i="4"/>
  <c r="L1685" i="4"/>
  <c r="L1686" i="4"/>
  <c r="L1687" i="4"/>
  <c r="L1688" i="4"/>
  <c r="L1689" i="4"/>
  <c r="L1690" i="4"/>
  <c r="L1691" i="4"/>
  <c r="L1692" i="4"/>
  <c r="L1693" i="4"/>
  <c r="L1694" i="4"/>
  <c r="L1695" i="4"/>
  <c r="L1696" i="4"/>
  <c r="L1697" i="4"/>
  <c r="L1698" i="4"/>
  <c r="L1699" i="4"/>
  <c r="L1700" i="4"/>
  <c r="L1701" i="4"/>
  <c r="L1702" i="4"/>
  <c r="L1703" i="4"/>
  <c r="L1704" i="4"/>
  <c r="L1705" i="4"/>
  <c r="L1706" i="4"/>
  <c r="L1707" i="4"/>
  <c r="L1708" i="4"/>
  <c r="L1709" i="4"/>
  <c r="L1710" i="4"/>
  <c r="L1711" i="4"/>
  <c r="L1712" i="4"/>
  <c r="L1713" i="4"/>
  <c r="L1714" i="4"/>
  <c r="L1715" i="4"/>
  <c r="L1716" i="4"/>
  <c r="L1717" i="4"/>
  <c r="L1718" i="4"/>
  <c r="L1719" i="4"/>
  <c r="L1720" i="4"/>
  <c r="L1721" i="4"/>
  <c r="L1722" i="4"/>
  <c r="L1723" i="4"/>
  <c r="L1724" i="4"/>
  <c r="L1725" i="4"/>
  <c r="L1726" i="4"/>
  <c r="L1727" i="4"/>
  <c r="L1728" i="4"/>
  <c r="L1729" i="4"/>
  <c r="L1730" i="4"/>
  <c r="L1731" i="4"/>
  <c r="L1732" i="4"/>
  <c r="L1733" i="4"/>
  <c r="L1734" i="4"/>
  <c r="L1735" i="4"/>
  <c r="L1736" i="4"/>
  <c r="L1737" i="4"/>
  <c r="L1738" i="4"/>
  <c r="L1739" i="4"/>
  <c r="L1740" i="4"/>
  <c r="L1741" i="4"/>
  <c r="L1742" i="4"/>
  <c r="L1743" i="4"/>
  <c r="L1744" i="4"/>
  <c r="L1745" i="4"/>
  <c r="L1746" i="4"/>
  <c r="L1747" i="4"/>
  <c r="L1748" i="4"/>
  <c r="L1749" i="4"/>
  <c r="L1750" i="4"/>
  <c r="L1751" i="4"/>
  <c r="L1752" i="4"/>
  <c r="L1753" i="4"/>
  <c r="L1754" i="4"/>
  <c r="L1755" i="4"/>
  <c r="L1756" i="4"/>
  <c r="L1757" i="4"/>
  <c r="L1758" i="4"/>
  <c r="L1759" i="4"/>
  <c r="L1760" i="4"/>
  <c r="L1761" i="4"/>
  <c r="L1762" i="4"/>
  <c r="L1763" i="4"/>
  <c r="L1764" i="4"/>
  <c r="L1765" i="4"/>
  <c r="L1766" i="4"/>
  <c r="L1767" i="4"/>
  <c r="L1768" i="4"/>
  <c r="L1769" i="4"/>
  <c r="L1770" i="4"/>
  <c r="L1771" i="4"/>
  <c r="L1772" i="4"/>
  <c r="L1773" i="4"/>
  <c r="L1774" i="4"/>
  <c r="L1775" i="4"/>
  <c r="L1776" i="4"/>
  <c r="L1777" i="4"/>
  <c r="L1778" i="4"/>
  <c r="L1779" i="4"/>
  <c r="L1780" i="4"/>
  <c r="L1781" i="4"/>
  <c r="L1782" i="4"/>
  <c r="L1783" i="4"/>
  <c r="L1784" i="4"/>
  <c r="L1785" i="4"/>
  <c r="L1786" i="4"/>
  <c r="L1787" i="4"/>
  <c r="L1788" i="4"/>
  <c r="L1789" i="4"/>
  <c r="L1790" i="4"/>
  <c r="L1791" i="4"/>
  <c r="L1792" i="4"/>
  <c r="L1793" i="4"/>
  <c r="L1794" i="4"/>
  <c r="L1795" i="4"/>
  <c r="L1796" i="4"/>
  <c r="L1797" i="4"/>
  <c r="L1798" i="4"/>
  <c r="L1799" i="4"/>
  <c r="L1800" i="4"/>
  <c r="L1801" i="4"/>
  <c r="L1802" i="4"/>
  <c r="L1803" i="4"/>
  <c r="L1804" i="4"/>
  <c r="L1805" i="4"/>
  <c r="L1806" i="4"/>
  <c r="L1807" i="4"/>
  <c r="L1808" i="4"/>
  <c r="L1809" i="4"/>
  <c r="L1810" i="4"/>
  <c r="L1811" i="4"/>
  <c r="L1812" i="4"/>
  <c r="L1813" i="4"/>
  <c r="L1814" i="4"/>
  <c r="L1815" i="4"/>
  <c r="L1816" i="4"/>
  <c r="L1817" i="4"/>
  <c r="L1818" i="4"/>
  <c r="L1819" i="4"/>
  <c r="L1820" i="4"/>
  <c r="L1821" i="4"/>
  <c r="L1822" i="4"/>
  <c r="L1823" i="4"/>
  <c r="L1824" i="4"/>
  <c r="L1825" i="4"/>
  <c r="L1826" i="4"/>
  <c r="L1827" i="4"/>
  <c r="L1828" i="4"/>
  <c r="L1829" i="4"/>
  <c r="L1830" i="4"/>
  <c r="L1831" i="4"/>
  <c r="L1832" i="4"/>
  <c r="L1833" i="4"/>
  <c r="L1834" i="4"/>
  <c r="L1835" i="4"/>
  <c r="L1836" i="4"/>
  <c r="L1837" i="4"/>
  <c r="L1838" i="4"/>
  <c r="L1839" i="4"/>
  <c r="L1840" i="4"/>
  <c r="L1841" i="4"/>
  <c r="L1842" i="4"/>
  <c r="L1843" i="4"/>
  <c r="L1844" i="4"/>
  <c r="L1845" i="4"/>
  <c r="L1846" i="4"/>
  <c r="L1847" i="4"/>
  <c r="L1848" i="4"/>
  <c r="L1849" i="4"/>
  <c r="L1850" i="4"/>
  <c r="L1851" i="4"/>
  <c r="L1852" i="4"/>
  <c r="L1853" i="4"/>
  <c r="L1854" i="4"/>
  <c r="L1855" i="4"/>
  <c r="L1856" i="4"/>
  <c r="L1857" i="4"/>
  <c r="L1858" i="4"/>
  <c r="L1859" i="4"/>
  <c r="L1860" i="4"/>
  <c r="L1861" i="4"/>
  <c r="L1862" i="4"/>
  <c r="L1863" i="4"/>
  <c r="L1864" i="4"/>
  <c r="L1865" i="4"/>
  <c r="L1866" i="4"/>
  <c r="L1867" i="4"/>
  <c r="L1868" i="4"/>
  <c r="L1869" i="4"/>
  <c r="L1870" i="4"/>
  <c r="L1871" i="4"/>
  <c r="L1872" i="4"/>
  <c r="L1873" i="4"/>
  <c r="L1874" i="4"/>
  <c r="L1875" i="4"/>
  <c r="L1876" i="4"/>
  <c r="L1877" i="4"/>
  <c r="L1878" i="4"/>
  <c r="L1879" i="4"/>
  <c r="L1880" i="4"/>
  <c r="L1881" i="4"/>
  <c r="L1882" i="4"/>
  <c r="L1883" i="4"/>
  <c r="L1884" i="4"/>
  <c r="L1885" i="4"/>
  <c r="L1886" i="4"/>
  <c r="L1887" i="4"/>
  <c r="L1888" i="4"/>
  <c r="L1889" i="4"/>
  <c r="L1890" i="4"/>
  <c r="L1891" i="4"/>
  <c r="L1892" i="4"/>
  <c r="L1893" i="4"/>
  <c r="L1894" i="4"/>
  <c r="L1895" i="4"/>
  <c r="L1896" i="4"/>
  <c r="L1897" i="4"/>
  <c r="L1898" i="4"/>
  <c r="L1899" i="4"/>
  <c r="L1900" i="4"/>
  <c r="L1901" i="4"/>
  <c r="L1902" i="4"/>
  <c r="L1903" i="4"/>
  <c r="L1904" i="4"/>
  <c r="L1905" i="4"/>
  <c r="L1906" i="4"/>
  <c r="L1907" i="4"/>
  <c r="L1908" i="4"/>
  <c r="L1909" i="4"/>
  <c r="L1910" i="4"/>
  <c r="L1911" i="4"/>
  <c r="L1912" i="4"/>
  <c r="L1913" i="4"/>
  <c r="L1914" i="4"/>
  <c r="L1915" i="4"/>
  <c r="L1916" i="4"/>
  <c r="L1917" i="4"/>
  <c r="L1918" i="4"/>
  <c r="L1919" i="4"/>
  <c r="L1920" i="4"/>
  <c r="L1921" i="4"/>
  <c r="L1922" i="4"/>
  <c r="L1923" i="4"/>
  <c r="L1924" i="4"/>
  <c r="L1925" i="4"/>
  <c r="L1926" i="4"/>
  <c r="L1927" i="4"/>
  <c r="L1928" i="4"/>
  <c r="L1929" i="4"/>
  <c r="L1930" i="4"/>
  <c r="L1931" i="4"/>
  <c r="L1932" i="4"/>
  <c r="L1933" i="4"/>
  <c r="L1934" i="4"/>
  <c r="L1935" i="4"/>
  <c r="L1936" i="4"/>
  <c r="L1937" i="4"/>
  <c r="L1938" i="4"/>
  <c r="H12" i="4"/>
  <c r="H30" i="4"/>
  <c r="H35" i="4"/>
  <c r="H43" i="4"/>
  <c r="H48" i="4"/>
  <c r="H52" i="4"/>
  <c r="H60" i="4"/>
  <c r="H63" i="4"/>
  <c r="H72" i="4"/>
  <c r="H74" i="4"/>
  <c r="H75" i="4"/>
  <c r="H80" i="4"/>
  <c r="H88" i="4"/>
  <c r="H100" i="4"/>
  <c r="H110" i="4"/>
  <c r="H112" i="4"/>
  <c r="H114" i="4"/>
  <c r="H117" i="4"/>
  <c r="H118" i="4"/>
  <c r="H120" i="4"/>
  <c r="H148" i="4"/>
  <c r="H168" i="4"/>
  <c r="H170" i="4"/>
  <c r="H184" i="4"/>
  <c r="H188" i="4"/>
  <c r="H190" i="4"/>
  <c r="H195" i="4"/>
  <c r="H197" i="4"/>
  <c r="H198" i="4"/>
  <c r="H199" i="4"/>
  <c r="H204" i="4"/>
  <c r="H208" i="4"/>
  <c r="H223" i="4"/>
  <c r="H240" i="4"/>
  <c r="H242" i="4"/>
  <c r="H243" i="4"/>
  <c r="H244" i="4"/>
  <c r="H248" i="4"/>
  <c r="H263" i="4"/>
  <c r="H282" i="4"/>
  <c r="H283" i="4"/>
  <c r="H303" i="4"/>
  <c r="H310" i="4"/>
  <c r="H312" i="4"/>
  <c r="H318" i="4"/>
  <c r="H321" i="4"/>
  <c r="H323" i="4"/>
  <c r="H338" i="4"/>
  <c r="H344" i="4"/>
  <c r="H348" i="4"/>
  <c r="H350" i="4"/>
  <c r="H355" i="4"/>
  <c r="H358" i="4"/>
  <c r="H359" i="4"/>
  <c r="H368" i="4"/>
  <c r="H378" i="4"/>
  <c r="H382" i="4"/>
  <c r="H388" i="4"/>
  <c r="H398" i="4"/>
  <c r="H408" i="4"/>
  <c r="H418" i="4"/>
  <c r="H419" i="4"/>
  <c r="H422" i="4"/>
  <c r="H423" i="4"/>
  <c r="H424" i="4"/>
  <c r="H428" i="4"/>
  <c r="H430" i="4"/>
  <c r="H432" i="4"/>
  <c r="H434" i="4"/>
  <c r="H435" i="4"/>
  <c r="H448" i="4"/>
  <c r="H458" i="4"/>
  <c r="H461" i="4"/>
  <c r="H462" i="4"/>
  <c r="H468" i="4"/>
  <c r="H480" i="4"/>
  <c r="H481" i="4"/>
  <c r="H484" i="4"/>
  <c r="H488" i="4"/>
  <c r="H490" i="4"/>
  <c r="H492" i="4"/>
  <c r="H494" i="4"/>
  <c r="H502" i="4"/>
  <c r="H510" i="4"/>
  <c r="H524" i="4"/>
  <c r="H529" i="4"/>
  <c r="H532" i="4"/>
  <c r="H538" i="4"/>
  <c r="H541" i="4"/>
  <c r="H542" i="4"/>
  <c r="H543" i="4"/>
  <c r="H564" i="4"/>
  <c r="H568" i="4"/>
  <c r="H578" i="4"/>
  <c r="H579" i="4"/>
  <c r="H588" i="4"/>
  <c r="H595" i="4"/>
  <c r="H599" i="4"/>
  <c r="H600" i="4"/>
  <c r="H601" i="4"/>
  <c r="H602" i="4"/>
  <c r="H604" i="4"/>
  <c r="H608" i="4"/>
  <c r="H623" i="4"/>
  <c r="H628" i="4"/>
  <c r="H637" i="4"/>
  <c r="H642" i="4"/>
  <c r="H643" i="4"/>
  <c r="H644" i="4"/>
  <c r="H648" i="4"/>
  <c r="H652" i="4"/>
  <c r="H654" i="4"/>
  <c r="H660" i="4"/>
  <c r="H661" i="4"/>
  <c r="H662" i="4"/>
  <c r="H677" i="4"/>
  <c r="H682" i="4"/>
  <c r="H688" i="4"/>
  <c r="H700" i="4"/>
  <c r="H701" i="4"/>
  <c r="H703" i="4"/>
  <c r="H712" i="4"/>
  <c r="H718" i="4"/>
  <c r="H720" i="4"/>
  <c r="H738" i="4"/>
  <c r="H741" i="4"/>
  <c r="H742" i="4"/>
  <c r="H743" i="4"/>
  <c r="H744" i="4"/>
  <c r="H748" i="4"/>
  <c r="H749" i="4"/>
  <c r="H750" i="4"/>
  <c r="H758" i="4"/>
  <c r="H768" i="4"/>
  <c r="H772" i="4"/>
  <c r="H788" i="4"/>
  <c r="H804" i="4"/>
  <c r="H808" i="4"/>
  <c r="H812" i="4"/>
  <c r="H815" i="4"/>
  <c r="H818" i="4"/>
  <c r="H819" i="4"/>
  <c r="H822" i="4"/>
  <c r="H823" i="4"/>
  <c r="H828" i="4"/>
  <c r="H848" i="4"/>
  <c r="H857" i="4"/>
  <c r="H858" i="4"/>
  <c r="H860" i="4"/>
  <c r="H861" i="4"/>
  <c r="H862" i="4"/>
  <c r="H881" i="4"/>
  <c r="H883" i="4"/>
  <c r="H884" i="4"/>
  <c r="H888" i="4"/>
  <c r="H898" i="4"/>
  <c r="H915" i="4"/>
  <c r="H919" i="4"/>
  <c r="H921" i="4"/>
  <c r="H923" i="4"/>
  <c r="H938" i="4"/>
  <c r="H948" i="4"/>
  <c r="H968" i="4"/>
  <c r="H970" i="4"/>
  <c r="H984" i="4"/>
  <c r="H988" i="4"/>
  <c r="H990" i="4"/>
  <c r="H995" i="4"/>
  <c r="H997" i="4"/>
  <c r="H998" i="4"/>
  <c r="H1000" i="4"/>
  <c r="H1008" i="4"/>
  <c r="H1028" i="4"/>
  <c r="H1035" i="4"/>
  <c r="H1042" i="4"/>
  <c r="H1043" i="4"/>
  <c r="H1058" i="4"/>
  <c r="H1068" i="4"/>
  <c r="H1074" i="4"/>
  <c r="H1080" i="4"/>
  <c r="H1081" i="4"/>
  <c r="H1088" i="4"/>
  <c r="H1090" i="4"/>
  <c r="H1097" i="4"/>
  <c r="H1101" i="4"/>
  <c r="H1102" i="4"/>
  <c r="H1108" i="4"/>
  <c r="H1121" i="4"/>
  <c r="H1134" i="4"/>
  <c r="H1138" i="4"/>
  <c r="H1139" i="4"/>
  <c r="H1141" i="4"/>
  <c r="H1142" i="4"/>
  <c r="H1143" i="4"/>
  <c r="H1144" i="4"/>
  <c r="H1163" i="4"/>
  <c r="H1164" i="4"/>
  <c r="H1168" i="4"/>
  <c r="H1174" i="4"/>
  <c r="H1178" i="4"/>
  <c r="H1188" i="4"/>
  <c r="H1197" i="4"/>
  <c r="H1200" i="4"/>
  <c r="H1202" i="4"/>
  <c r="H1203" i="4"/>
  <c r="H1204" i="4"/>
  <c r="H1206" i="4"/>
  <c r="H1220" i="4"/>
  <c r="H1224" i="4"/>
  <c r="H1228" i="4"/>
  <c r="H1229" i="4"/>
  <c r="H1237" i="4"/>
  <c r="H1238" i="4"/>
  <c r="H1241" i="4"/>
  <c r="H1248" i="4"/>
  <c r="H1252" i="4"/>
  <c r="H1261" i="4"/>
  <c r="H1262" i="4"/>
  <c r="H1264" i="4"/>
  <c r="H1268" i="4"/>
  <c r="H1270" i="4"/>
  <c r="H1288" i="4"/>
  <c r="H1290" i="4"/>
  <c r="H1292" i="4"/>
  <c r="H1294" i="4"/>
  <c r="H1295" i="4"/>
  <c r="H1297" i="4"/>
  <c r="H1302" i="4"/>
  <c r="H1303" i="4"/>
  <c r="H1328" i="4"/>
  <c r="H1335" i="4"/>
  <c r="H1340" i="4"/>
  <c r="H1344" i="4"/>
  <c r="H1361" i="4"/>
  <c r="H1362" i="4"/>
  <c r="H1384" i="4"/>
  <c r="H1388" i="4"/>
  <c r="H1390" i="4"/>
  <c r="H1397" i="4"/>
  <c r="H1415" i="4"/>
  <c r="H1421" i="4"/>
  <c r="H1423" i="4"/>
  <c r="H1428" i="4"/>
  <c r="H1443" i="4"/>
  <c r="H1444" i="4"/>
  <c r="H1446" i="4"/>
  <c r="H1448" i="4"/>
  <c r="H1449" i="4"/>
  <c r="H1452" i="4"/>
  <c r="H1454" i="4"/>
  <c r="H1461" i="4"/>
  <c r="H1468" i="4"/>
  <c r="H1478" i="4"/>
  <c r="H1481" i="4"/>
  <c r="H1488" i="4"/>
  <c r="H1490" i="4"/>
  <c r="H1502" i="4"/>
  <c r="H1510" i="4"/>
  <c r="H1512" i="4"/>
  <c r="H1514" i="4"/>
  <c r="H1515" i="4"/>
  <c r="H1521" i="4"/>
  <c r="H1528" i="4"/>
  <c r="H1540" i="4"/>
  <c r="H1541" i="4"/>
  <c r="H1542" i="4"/>
  <c r="H1544" i="4"/>
  <c r="H1548" i="4"/>
  <c r="H1560" i="4"/>
  <c r="H1564" i="4"/>
  <c r="H1568" i="4"/>
  <c r="H1574" i="4"/>
  <c r="H1578" i="4"/>
  <c r="H1579" i="4"/>
  <c r="H1584" i="4"/>
  <c r="H1586" i="4"/>
  <c r="H1595" i="4"/>
  <c r="H1602" i="4"/>
  <c r="H1610" i="4"/>
  <c r="H1620" i="4"/>
  <c r="H1621" i="4"/>
  <c r="H1628" i="4"/>
  <c r="H1637" i="4"/>
  <c r="H1638" i="4"/>
  <c r="H1639" i="4"/>
  <c r="H1640" i="4"/>
  <c r="H1641" i="4"/>
  <c r="H1642" i="4"/>
  <c r="H1643" i="4"/>
  <c r="H1644" i="4"/>
  <c r="H1668" i="4"/>
  <c r="H1670" i="4"/>
  <c r="H1674" i="4"/>
  <c r="H1688" i="4"/>
  <c r="H1699" i="4"/>
  <c r="H1702" i="4"/>
  <c r="H1703" i="4"/>
  <c r="H1704" i="4"/>
  <c r="H1708" i="4"/>
  <c r="H1723" i="4"/>
  <c r="H1728" i="4"/>
  <c r="H1732" i="4"/>
  <c r="H1733" i="4"/>
  <c r="H1748" i="4"/>
  <c r="H1757" i="4"/>
  <c r="H1768" i="4"/>
  <c r="H1772" i="4"/>
  <c r="H1773" i="4"/>
  <c r="H1774" i="4"/>
  <c r="H1775" i="4"/>
  <c r="H1776" i="4"/>
  <c r="H1777" i="4"/>
  <c r="H1779" i="4"/>
  <c r="H1780" i="4"/>
  <c r="H1783" i="4"/>
  <c r="H1788" i="4"/>
  <c r="H1800" i="4"/>
  <c r="H1808" i="4"/>
  <c r="H1822" i="4"/>
  <c r="H1823" i="4"/>
  <c r="H1824" i="4"/>
  <c r="H1825" i="4"/>
  <c r="H1828" i="4"/>
  <c r="H1840" i="4"/>
  <c r="H1845" i="4"/>
  <c r="H1848" i="4"/>
  <c r="H1850" i="4"/>
  <c r="H1852" i="4"/>
  <c r="H1853" i="4"/>
  <c r="H1854" i="4"/>
  <c r="H1855" i="4"/>
  <c r="H1868" i="4"/>
  <c r="H1883" i="4"/>
  <c r="H1888" i="4"/>
  <c r="H1892" i="4"/>
  <c r="H1896" i="4"/>
  <c r="H1899" i="4"/>
  <c r="H1902" i="4"/>
  <c r="H1908" i="4"/>
  <c r="H1928" i="4"/>
  <c r="K6" i="4"/>
  <c r="G7" i="4"/>
  <c r="H8" i="4" s="1"/>
  <c r="G8" i="4"/>
  <c r="H9" i="4" s="1"/>
  <c r="G9" i="4"/>
  <c r="H10" i="4" s="1"/>
  <c r="G10" i="4"/>
  <c r="H11" i="4" s="1"/>
  <c r="G11" i="4"/>
  <c r="G12" i="4"/>
  <c r="H13" i="4" s="1"/>
  <c r="G13" i="4"/>
  <c r="G14" i="4"/>
  <c r="G15" i="4"/>
  <c r="H16" i="4" s="1"/>
  <c r="G16" i="4"/>
  <c r="H17" i="4" s="1"/>
  <c r="G17" i="4"/>
  <c r="H18" i="4" s="1"/>
  <c r="G18" i="4"/>
  <c r="H19" i="4" s="1"/>
  <c r="G19" i="4"/>
  <c r="G20" i="4"/>
  <c r="H21" i="4" s="1"/>
  <c r="G21" i="4"/>
  <c r="H22" i="4" s="1"/>
  <c r="G22" i="4"/>
  <c r="G23" i="4"/>
  <c r="H24" i="4" s="1"/>
  <c r="G24" i="4"/>
  <c r="G25" i="4"/>
  <c r="G26" i="4"/>
  <c r="G27" i="4"/>
  <c r="H28" i="4" s="1"/>
  <c r="G28" i="4"/>
  <c r="H29" i="4" s="1"/>
  <c r="G29" i="4"/>
  <c r="G30" i="4"/>
  <c r="H31" i="4" s="1"/>
  <c r="G31" i="4"/>
  <c r="H32" i="4" s="1"/>
  <c r="G32" i="4"/>
  <c r="G33" i="4"/>
  <c r="G34" i="4"/>
  <c r="G35" i="4"/>
  <c r="H36" i="4" s="1"/>
  <c r="G36" i="4"/>
  <c r="G37" i="4"/>
  <c r="H38" i="4" s="1"/>
  <c r="G38" i="4"/>
  <c r="H39" i="4" s="1"/>
  <c r="G39" i="4"/>
  <c r="G40" i="4"/>
  <c r="G41" i="4"/>
  <c r="G42" i="4"/>
  <c r="G43" i="4"/>
  <c r="G44" i="4"/>
  <c r="G45" i="4"/>
  <c r="G46" i="4"/>
  <c r="G47" i="4"/>
  <c r="G48" i="4"/>
  <c r="H49" i="4" s="1"/>
  <c r="G49" i="4"/>
  <c r="G50" i="4"/>
  <c r="G51" i="4"/>
  <c r="G52" i="4"/>
  <c r="G53" i="4"/>
  <c r="G54" i="4"/>
  <c r="H55" i="4" s="1"/>
  <c r="G55" i="4"/>
  <c r="H56" i="4" s="1"/>
  <c r="G56" i="4"/>
  <c r="G57" i="4"/>
  <c r="H58" i="4" s="1"/>
  <c r="G58" i="4"/>
  <c r="H59" i="4" s="1"/>
  <c r="G59" i="4"/>
  <c r="G60" i="4"/>
  <c r="G61" i="4"/>
  <c r="H62" i="4" s="1"/>
  <c r="G62" i="4"/>
  <c r="G63" i="4"/>
  <c r="G64" i="4"/>
  <c r="G65" i="4"/>
  <c r="G66" i="4"/>
  <c r="G67" i="4"/>
  <c r="G68" i="4"/>
  <c r="H69" i="4" s="1"/>
  <c r="G69" i="4"/>
  <c r="G70" i="4"/>
  <c r="H71" i="4" s="1"/>
  <c r="G71" i="4"/>
  <c r="G72" i="4"/>
  <c r="G73" i="4"/>
  <c r="G74" i="4"/>
  <c r="G75" i="4"/>
  <c r="H76" i="4" s="1"/>
  <c r="G76" i="4"/>
  <c r="G77" i="4"/>
  <c r="H78" i="4" s="1"/>
  <c r="G78" i="4"/>
  <c r="H79" i="4" s="1"/>
  <c r="G79" i="4"/>
  <c r="G80" i="4"/>
  <c r="G81" i="4"/>
  <c r="G82" i="4"/>
  <c r="G83" i="4"/>
  <c r="G84" i="4"/>
  <c r="G85" i="4"/>
  <c r="G86" i="4"/>
  <c r="G87" i="4"/>
  <c r="G88" i="4"/>
  <c r="H89" i="4" s="1"/>
  <c r="G89" i="4"/>
  <c r="G90" i="4"/>
  <c r="G91" i="4"/>
  <c r="H92" i="4" s="1"/>
  <c r="G92" i="4"/>
  <c r="G93" i="4"/>
  <c r="G94" i="4"/>
  <c r="G95" i="4"/>
  <c r="H96" i="4" s="1"/>
  <c r="G96" i="4"/>
  <c r="G97" i="4"/>
  <c r="H98" i="4" s="1"/>
  <c r="G98" i="4"/>
  <c r="H99" i="4" s="1"/>
  <c r="G99" i="4"/>
  <c r="G100" i="4"/>
  <c r="G101" i="4"/>
  <c r="G102" i="4"/>
  <c r="G103" i="4"/>
  <c r="G104" i="4"/>
  <c r="G105" i="4"/>
  <c r="G106" i="4"/>
  <c r="H107" i="4" s="1"/>
  <c r="G107" i="4"/>
  <c r="H108" i="4" s="1"/>
  <c r="G108" i="4"/>
  <c r="H109" i="4" s="1"/>
  <c r="G109" i="4"/>
  <c r="G110" i="4"/>
  <c r="G111" i="4"/>
  <c r="G112" i="4"/>
  <c r="G113" i="4"/>
  <c r="G114" i="4"/>
  <c r="G115" i="4"/>
  <c r="H116" i="4" s="1"/>
  <c r="G116" i="4"/>
  <c r="G117" i="4"/>
  <c r="G118" i="4"/>
  <c r="H119" i="4" s="1"/>
  <c r="G119" i="4"/>
  <c r="G120" i="4"/>
  <c r="G121" i="4"/>
  <c r="G122" i="4"/>
  <c r="G123" i="4"/>
  <c r="G124" i="4"/>
  <c r="G125" i="4"/>
  <c r="G126" i="4"/>
  <c r="G127" i="4"/>
  <c r="G128" i="4"/>
  <c r="H129" i="4" s="1"/>
  <c r="G129" i="4"/>
  <c r="G130" i="4"/>
  <c r="G131" i="4"/>
  <c r="H132" i="4" s="1"/>
  <c r="G132" i="4"/>
  <c r="G133" i="4"/>
  <c r="G134" i="4"/>
  <c r="H135" i="4" s="1"/>
  <c r="G135" i="4"/>
  <c r="H136" i="4" s="1"/>
  <c r="G136" i="4"/>
  <c r="G137" i="4"/>
  <c r="H138" i="4" s="1"/>
  <c r="G138" i="4"/>
  <c r="H139" i="4" s="1"/>
  <c r="G139" i="4"/>
  <c r="G140" i="4"/>
  <c r="G141" i="4"/>
  <c r="G142" i="4"/>
  <c r="G143" i="4"/>
  <c r="H144" i="4" s="1"/>
  <c r="G144" i="4"/>
  <c r="H145" i="4" s="1"/>
  <c r="G145" i="4"/>
  <c r="H146" i="4" s="1"/>
  <c r="G146" i="4"/>
  <c r="H147" i="4" s="1"/>
  <c r="G147" i="4"/>
  <c r="G148" i="4"/>
  <c r="H149" i="4" s="1"/>
  <c r="G149" i="4"/>
  <c r="H150" i="4" s="1"/>
  <c r="G150" i="4"/>
  <c r="G151" i="4"/>
  <c r="H152" i="4" s="1"/>
  <c r="G152" i="4"/>
  <c r="H153" i="4" s="1"/>
  <c r="G153" i="4"/>
  <c r="G154" i="4"/>
  <c r="H155" i="4" s="1"/>
  <c r="G155" i="4"/>
  <c r="H156" i="4" s="1"/>
  <c r="G156" i="4"/>
  <c r="H157" i="4" s="1"/>
  <c r="G157" i="4"/>
  <c r="H158" i="4" s="1"/>
  <c r="G158" i="4"/>
  <c r="H159" i="4" s="1"/>
  <c r="G159" i="4"/>
  <c r="G160" i="4"/>
  <c r="G161" i="4"/>
  <c r="G162" i="4"/>
  <c r="G163" i="4"/>
  <c r="G164" i="4"/>
  <c r="G165" i="4"/>
  <c r="H166" i="4" s="1"/>
  <c r="G166" i="4"/>
  <c r="H167" i="4" s="1"/>
  <c r="G167" i="4"/>
  <c r="G168" i="4"/>
  <c r="H169" i="4" s="1"/>
  <c r="G169" i="4"/>
  <c r="G170" i="4"/>
  <c r="G171" i="4"/>
  <c r="H172" i="4" s="1"/>
  <c r="G172" i="4"/>
  <c r="G173" i="4"/>
  <c r="G174" i="4"/>
  <c r="G175" i="4"/>
  <c r="H176" i="4" s="1"/>
  <c r="G176" i="4"/>
  <c r="G177" i="4"/>
  <c r="H178" i="4" s="1"/>
  <c r="G178" i="4"/>
  <c r="H179" i="4" s="1"/>
  <c r="G179" i="4"/>
  <c r="G180" i="4"/>
  <c r="G181" i="4"/>
  <c r="H182" i="4" s="1"/>
  <c r="G182" i="4"/>
  <c r="G183" i="4"/>
  <c r="G184" i="4"/>
  <c r="G185" i="4"/>
  <c r="H186" i="4" s="1"/>
  <c r="G186" i="4"/>
  <c r="H187" i="4" s="1"/>
  <c r="G187" i="4"/>
  <c r="G188" i="4"/>
  <c r="H189" i="4" s="1"/>
  <c r="G189" i="4"/>
  <c r="G190" i="4"/>
  <c r="G191" i="4"/>
  <c r="H192" i="4" s="1"/>
  <c r="G192" i="4"/>
  <c r="G193" i="4"/>
  <c r="G194" i="4"/>
  <c r="G195" i="4"/>
  <c r="H196" i="4" s="1"/>
  <c r="G196" i="4"/>
  <c r="G197" i="4"/>
  <c r="G198" i="4"/>
  <c r="G199" i="4"/>
  <c r="G200" i="4"/>
  <c r="G201" i="4"/>
  <c r="G202" i="4"/>
  <c r="G203" i="4"/>
  <c r="G204" i="4"/>
  <c r="H205" i="4" s="1"/>
  <c r="G205" i="4"/>
  <c r="H206" i="4" s="1"/>
  <c r="G206" i="4"/>
  <c r="G207" i="4"/>
  <c r="G208" i="4"/>
  <c r="H209" i="4" s="1"/>
  <c r="G209" i="4"/>
  <c r="G210" i="4"/>
  <c r="H211" i="4" s="1"/>
  <c r="G211" i="4"/>
  <c r="H212" i="4" s="1"/>
  <c r="G212" i="4"/>
  <c r="H213" i="4" s="1"/>
  <c r="G213" i="4"/>
  <c r="H214" i="4" s="1"/>
  <c r="G214" i="4"/>
  <c r="G215" i="4"/>
  <c r="H216" i="4" s="1"/>
  <c r="G216" i="4"/>
  <c r="G217" i="4"/>
  <c r="H218" i="4" s="1"/>
  <c r="G218" i="4"/>
  <c r="H219" i="4" s="1"/>
  <c r="G219" i="4"/>
  <c r="G220" i="4"/>
  <c r="H221" i="4" s="1"/>
  <c r="G221" i="4"/>
  <c r="H222" i="4" s="1"/>
  <c r="G222" i="4"/>
  <c r="G223" i="4"/>
  <c r="H224" i="4" s="1"/>
  <c r="G224" i="4"/>
  <c r="H225" i="4" s="1"/>
  <c r="G225" i="4"/>
  <c r="H226" i="4" s="1"/>
  <c r="G226" i="4"/>
  <c r="H227" i="4" s="1"/>
  <c r="G227" i="4"/>
  <c r="H228" i="4" s="1"/>
  <c r="G228" i="4"/>
  <c r="H229" i="4" s="1"/>
  <c r="G229" i="4"/>
  <c r="G230" i="4"/>
  <c r="G231" i="4"/>
  <c r="H232" i="4" s="1"/>
  <c r="G232" i="4"/>
  <c r="G233" i="4"/>
  <c r="G234" i="4"/>
  <c r="G235" i="4"/>
  <c r="H236" i="4" s="1"/>
  <c r="G236" i="4"/>
  <c r="G237" i="4"/>
  <c r="H238" i="4" s="1"/>
  <c r="G238" i="4"/>
  <c r="H239" i="4" s="1"/>
  <c r="G239" i="4"/>
  <c r="G240" i="4"/>
  <c r="G241" i="4"/>
  <c r="G242" i="4"/>
  <c r="G243" i="4"/>
  <c r="G244" i="4"/>
  <c r="G245" i="4"/>
  <c r="H246" i="4" s="1"/>
  <c r="G246" i="4"/>
  <c r="G247" i="4"/>
  <c r="G248" i="4"/>
  <c r="H249" i="4" s="1"/>
  <c r="G249" i="4"/>
  <c r="G250" i="4"/>
  <c r="G251" i="4"/>
  <c r="H252" i="4" s="1"/>
  <c r="G252" i="4"/>
  <c r="G253" i="4"/>
  <c r="H254" i="4" s="1"/>
  <c r="G254" i="4"/>
  <c r="G255" i="4"/>
  <c r="H256" i="4" s="1"/>
  <c r="G256" i="4"/>
  <c r="G257" i="4"/>
  <c r="H258" i="4" s="1"/>
  <c r="G258" i="4"/>
  <c r="H259" i="4" s="1"/>
  <c r="G259" i="4"/>
  <c r="G260" i="4"/>
  <c r="G261" i="4"/>
  <c r="H262" i="4" s="1"/>
  <c r="G262" i="4"/>
  <c r="G263" i="4"/>
  <c r="G264" i="4"/>
  <c r="G265" i="4"/>
  <c r="H266" i="4" s="1"/>
  <c r="G266" i="4"/>
  <c r="G267" i="4"/>
  <c r="G268" i="4"/>
  <c r="H269" i="4" s="1"/>
  <c r="G269" i="4"/>
  <c r="G270" i="4"/>
  <c r="G271" i="4"/>
  <c r="H272" i="4" s="1"/>
  <c r="G272" i="4"/>
  <c r="G273" i="4"/>
  <c r="G274" i="4"/>
  <c r="G275" i="4"/>
  <c r="H276" i="4" s="1"/>
  <c r="G276" i="4"/>
  <c r="G277" i="4"/>
  <c r="H278" i="4" s="1"/>
  <c r="G278" i="4"/>
  <c r="H279" i="4" s="1"/>
  <c r="G279" i="4"/>
  <c r="G280" i="4"/>
  <c r="G281" i="4"/>
  <c r="G282" i="4"/>
  <c r="G283" i="4"/>
  <c r="G284" i="4"/>
  <c r="G285" i="4"/>
  <c r="H286" i="4" s="1"/>
  <c r="G286" i="4"/>
  <c r="H287" i="4" s="1"/>
  <c r="G287" i="4"/>
  <c r="H288" i="4" s="1"/>
  <c r="G288" i="4"/>
  <c r="H289" i="4" s="1"/>
  <c r="G289" i="4"/>
  <c r="G290" i="4"/>
  <c r="G291" i="4"/>
  <c r="H292" i="4" s="1"/>
  <c r="G292" i="4"/>
  <c r="G293" i="4"/>
  <c r="G294" i="4"/>
  <c r="G295" i="4"/>
  <c r="H296" i="4" s="1"/>
  <c r="G296" i="4"/>
  <c r="G297" i="4"/>
  <c r="H298" i="4" s="1"/>
  <c r="G298" i="4"/>
  <c r="H299" i="4" s="1"/>
  <c r="G299" i="4"/>
  <c r="G300" i="4"/>
  <c r="G301" i="4"/>
  <c r="H302" i="4" s="1"/>
  <c r="G302" i="4"/>
  <c r="G303" i="4"/>
  <c r="G304" i="4"/>
  <c r="G305" i="4"/>
  <c r="H306" i="4" s="1"/>
  <c r="G306" i="4"/>
  <c r="G307" i="4"/>
  <c r="G308" i="4"/>
  <c r="H309" i="4" s="1"/>
  <c r="G309" i="4"/>
  <c r="G310" i="4"/>
  <c r="G311" i="4"/>
  <c r="G312" i="4"/>
  <c r="H313" i="4" s="1"/>
  <c r="G313" i="4"/>
  <c r="G314" i="4"/>
  <c r="G315" i="4"/>
  <c r="H316" i="4" s="1"/>
  <c r="G316" i="4"/>
  <c r="G317" i="4"/>
  <c r="G318" i="4"/>
  <c r="H319" i="4" s="1"/>
  <c r="G319" i="4"/>
  <c r="G320" i="4"/>
  <c r="G321" i="4"/>
  <c r="H322" i="4" s="1"/>
  <c r="G322" i="4"/>
  <c r="G323" i="4"/>
  <c r="H324" i="4" s="1"/>
  <c r="G324" i="4"/>
  <c r="G325" i="4"/>
  <c r="H326" i="4" s="1"/>
  <c r="G326" i="4"/>
  <c r="G327" i="4"/>
  <c r="G328" i="4"/>
  <c r="H329" i="4" s="1"/>
  <c r="G329" i="4"/>
  <c r="G330" i="4"/>
  <c r="G331" i="4"/>
  <c r="H332" i="4" s="1"/>
  <c r="G332" i="4"/>
  <c r="G333" i="4"/>
  <c r="G334" i="4"/>
  <c r="G335" i="4"/>
  <c r="H336" i="4" s="1"/>
  <c r="G336" i="4"/>
  <c r="G337" i="4"/>
  <c r="G338" i="4"/>
  <c r="H339" i="4" s="1"/>
  <c r="G339" i="4"/>
  <c r="H340" i="4" s="1"/>
  <c r="G340" i="4"/>
  <c r="G341" i="4"/>
  <c r="G342" i="4"/>
  <c r="G343" i="4"/>
  <c r="G344" i="4"/>
  <c r="G345" i="4"/>
  <c r="H346" i="4" s="1"/>
  <c r="G346" i="4"/>
  <c r="H347" i="4" s="1"/>
  <c r="G347" i="4"/>
  <c r="G348" i="4"/>
  <c r="H349" i="4" s="1"/>
  <c r="G349" i="4"/>
  <c r="G350" i="4"/>
  <c r="G351" i="4"/>
  <c r="H352" i="4" s="1"/>
  <c r="G352" i="4"/>
  <c r="G353" i="4"/>
  <c r="G354" i="4"/>
  <c r="G355" i="4"/>
  <c r="H356" i="4" s="1"/>
  <c r="G356" i="4"/>
  <c r="G357" i="4"/>
  <c r="G358" i="4"/>
  <c r="G359" i="4"/>
  <c r="G360" i="4"/>
  <c r="G361" i="4"/>
  <c r="G362" i="4"/>
  <c r="G363" i="4"/>
  <c r="H364" i="4" s="1"/>
  <c r="G364" i="4"/>
  <c r="G365" i="4"/>
  <c r="H366" i="4" s="1"/>
  <c r="G366" i="4"/>
  <c r="H367" i="4" s="1"/>
  <c r="G367" i="4"/>
  <c r="G368" i="4"/>
  <c r="H369" i="4" s="1"/>
  <c r="G369" i="4"/>
  <c r="H370" i="4" s="1"/>
  <c r="G370" i="4"/>
  <c r="H371" i="4" s="1"/>
  <c r="G371" i="4"/>
  <c r="H372" i="4" s="1"/>
  <c r="G372" i="4"/>
  <c r="H373" i="4" s="1"/>
  <c r="G373" i="4"/>
  <c r="G374" i="4"/>
  <c r="H375" i="4" s="1"/>
  <c r="G375" i="4"/>
  <c r="H376" i="4" s="1"/>
  <c r="G376" i="4"/>
  <c r="H377" i="4" s="1"/>
  <c r="G377" i="4"/>
  <c r="G378" i="4"/>
  <c r="H379" i="4" s="1"/>
  <c r="G379" i="4"/>
  <c r="G380" i="4"/>
  <c r="H381" i="4" s="1"/>
  <c r="G381" i="4"/>
  <c r="G382" i="4"/>
  <c r="H383" i="4" s="1"/>
  <c r="G383" i="4"/>
  <c r="G384" i="4"/>
  <c r="H385" i="4" s="1"/>
  <c r="G385" i="4"/>
  <c r="H386" i="4" s="1"/>
  <c r="G386" i="4"/>
  <c r="G387" i="4"/>
  <c r="G388" i="4"/>
  <c r="H389" i="4" s="1"/>
  <c r="G389" i="4"/>
  <c r="G390" i="4"/>
  <c r="G391" i="4"/>
  <c r="H392" i="4" s="1"/>
  <c r="G392" i="4"/>
  <c r="H393" i="4" s="1"/>
  <c r="G393" i="4"/>
  <c r="G394" i="4"/>
  <c r="G395" i="4"/>
  <c r="H396" i="4" s="1"/>
  <c r="G396" i="4"/>
  <c r="H397" i="4" s="1"/>
  <c r="G397" i="4"/>
  <c r="G398" i="4"/>
  <c r="H399" i="4" s="1"/>
  <c r="G399" i="4"/>
  <c r="H400" i="4" s="1"/>
  <c r="G400" i="4"/>
  <c r="G401" i="4"/>
  <c r="H402" i="4" s="1"/>
  <c r="G402" i="4"/>
  <c r="G403" i="4"/>
  <c r="H404" i="4" s="1"/>
  <c r="G404" i="4"/>
  <c r="G405" i="4"/>
  <c r="H406" i="4" s="1"/>
  <c r="G406" i="4"/>
  <c r="H407" i="4" s="1"/>
  <c r="G407" i="4"/>
  <c r="G408" i="4"/>
  <c r="H409" i="4" s="1"/>
  <c r="G409" i="4"/>
  <c r="G410" i="4"/>
  <c r="G411" i="4"/>
  <c r="H412" i="4" s="1"/>
  <c r="G412" i="4"/>
  <c r="G413" i="4"/>
  <c r="H414" i="4" s="1"/>
  <c r="G414" i="4"/>
  <c r="H415" i="4" s="1"/>
  <c r="G415" i="4"/>
  <c r="H416" i="4" s="1"/>
  <c r="G416" i="4"/>
  <c r="H417" i="4" s="1"/>
  <c r="G417" i="4"/>
  <c r="G418" i="4"/>
  <c r="G419" i="4"/>
  <c r="H420" i="4" s="1"/>
  <c r="G420" i="4"/>
  <c r="H421" i="4" s="1"/>
  <c r="G421" i="4"/>
  <c r="G422" i="4"/>
  <c r="G423" i="4"/>
  <c r="G424" i="4"/>
  <c r="G425" i="4"/>
  <c r="H426" i="4" s="1"/>
  <c r="G426" i="4"/>
  <c r="G427" i="4"/>
  <c r="G428" i="4"/>
  <c r="H429" i="4" s="1"/>
  <c r="G429" i="4"/>
  <c r="G430" i="4"/>
  <c r="G431" i="4"/>
  <c r="G432" i="4"/>
  <c r="G433" i="4"/>
  <c r="G434" i="4"/>
  <c r="G435" i="4"/>
  <c r="H436" i="4" s="1"/>
  <c r="G436" i="4"/>
  <c r="H437" i="4" s="1"/>
  <c r="G437" i="4"/>
  <c r="H438" i="4" s="1"/>
  <c r="G438" i="4"/>
  <c r="H439" i="4" s="1"/>
  <c r="G439" i="4"/>
  <c r="G440" i="4"/>
  <c r="H441" i="4" s="1"/>
  <c r="G441" i="4"/>
  <c r="H442" i="4" s="1"/>
  <c r="G442" i="4"/>
  <c r="G443" i="4"/>
  <c r="H444" i="4" s="1"/>
  <c r="G444" i="4"/>
  <c r="G445" i="4"/>
  <c r="H446" i="4" s="1"/>
  <c r="G446" i="4"/>
  <c r="G447" i="4"/>
  <c r="G448" i="4"/>
  <c r="H449" i="4" s="1"/>
  <c r="G449" i="4"/>
  <c r="G450" i="4"/>
  <c r="H451" i="4" s="1"/>
  <c r="G451" i="4"/>
  <c r="H452" i="4" s="1"/>
  <c r="G452" i="4"/>
  <c r="G453" i="4"/>
  <c r="G454" i="4"/>
  <c r="H455" i="4" s="1"/>
  <c r="G455" i="4"/>
  <c r="H456" i="4" s="1"/>
  <c r="G456" i="4"/>
  <c r="H457" i="4" s="1"/>
  <c r="G457" i="4"/>
  <c r="G458" i="4"/>
  <c r="H459" i="4" s="1"/>
  <c r="G459" i="4"/>
  <c r="G460" i="4"/>
  <c r="G461" i="4"/>
  <c r="G462" i="4"/>
  <c r="G463" i="4"/>
  <c r="G464" i="4"/>
  <c r="G465" i="4"/>
  <c r="H466" i="4" s="1"/>
  <c r="G466" i="4"/>
  <c r="G467" i="4"/>
  <c r="G468" i="4"/>
  <c r="H469" i="4" s="1"/>
  <c r="G469" i="4"/>
  <c r="H470" i="4" s="1"/>
  <c r="G470" i="4"/>
  <c r="G471" i="4"/>
  <c r="G472" i="4"/>
  <c r="G473" i="4"/>
  <c r="G474" i="4"/>
  <c r="G475" i="4"/>
  <c r="H476" i="4" s="1"/>
  <c r="G476" i="4"/>
  <c r="H477" i="4" s="1"/>
  <c r="G477" i="4"/>
  <c r="H478" i="4" s="1"/>
  <c r="G478" i="4"/>
  <c r="H479" i="4" s="1"/>
  <c r="G479" i="4"/>
  <c r="G480" i="4"/>
  <c r="G481" i="4"/>
  <c r="H482" i="4" s="1"/>
  <c r="G482" i="4"/>
  <c r="G483" i="4"/>
  <c r="G484" i="4"/>
  <c r="G485" i="4"/>
  <c r="H486" i="4" s="1"/>
  <c r="G486" i="4"/>
  <c r="H487" i="4" s="1"/>
  <c r="G487" i="4"/>
  <c r="G488" i="4"/>
  <c r="H489" i="4" s="1"/>
  <c r="G489" i="4"/>
  <c r="G490" i="4"/>
  <c r="H491" i="4" s="1"/>
  <c r="G491" i="4"/>
  <c r="G492" i="4"/>
  <c r="H493" i="4" s="1"/>
  <c r="G493" i="4"/>
  <c r="G494" i="4"/>
  <c r="H495" i="4" s="1"/>
  <c r="G495" i="4"/>
  <c r="H496" i="4" s="1"/>
  <c r="G496" i="4"/>
  <c r="H497" i="4" s="1"/>
  <c r="G497" i="4"/>
  <c r="H498" i="4" s="1"/>
  <c r="G498" i="4"/>
  <c r="H499" i="4" s="1"/>
  <c r="G499" i="4"/>
  <c r="G500" i="4"/>
  <c r="G501" i="4"/>
  <c r="G502" i="4"/>
  <c r="G503" i="4"/>
  <c r="G504" i="4"/>
  <c r="G505" i="4"/>
  <c r="H506" i="4" s="1"/>
  <c r="G506" i="4"/>
  <c r="G507" i="4"/>
  <c r="G508" i="4"/>
  <c r="H509" i="4" s="1"/>
  <c r="G509" i="4"/>
  <c r="G510" i="4"/>
  <c r="G511" i="4"/>
  <c r="H512" i="4" s="1"/>
  <c r="G512" i="4"/>
  <c r="G513" i="4"/>
  <c r="G514" i="4"/>
  <c r="G515" i="4"/>
  <c r="H516" i="4" s="1"/>
  <c r="G516" i="4"/>
  <c r="G517" i="4"/>
  <c r="H518" i="4" s="1"/>
  <c r="G518" i="4"/>
  <c r="H519" i="4" s="1"/>
  <c r="G519" i="4"/>
  <c r="G520" i="4"/>
  <c r="G521" i="4"/>
  <c r="G522" i="4"/>
  <c r="G523" i="4"/>
  <c r="G524" i="4"/>
  <c r="H525" i="4" s="1"/>
  <c r="G525" i="4"/>
  <c r="H526" i="4" s="1"/>
  <c r="G526" i="4"/>
  <c r="G527" i="4"/>
  <c r="H528" i="4" s="1"/>
  <c r="G528" i="4"/>
  <c r="G529" i="4"/>
  <c r="G530" i="4"/>
  <c r="H531" i="4" s="1"/>
  <c r="G531" i="4"/>
  <c r="G532" i="4"/>
  <c r="G533" i="4"/>
  <c r="G534" i="4"/>
  <c r="G535" i="4"/>
  <c r="H536" i="4" s="1"/>
  <c r="G536" i="4"/>
  <c r="G537" i="4"/>
  <c r="G538" i="4"/>
  <c r="H539" i="4" s="1"/>
  <c r="G539" i="4"/>
  <c r="G540" i="4"/>
  <c r="G541" i="4"/>
  <c r="G542" i="4"/>
  <c r="G543" i="4"/>
  <c r="H544" i="4" s="1"/>
  <c r="G544" i="4"/>
  <c r="G545" i="4"/>
  <c r="H546" i="4" s="1"/>
  <c r="G546" i="4"/>
  <c r="H547" i="4" s="1"/>
  <c r="G547" i="4"/>
  <c r="H548" i="4" s="1"/>
  <c r="G548" i="4"/>
  <c r="H549" i="4" s="1"/>
  <c r="G549" i="4"/>
  <c r="G550" i="4"/>
  <c r="G551" i="4"/>
  <c r="G552" i="4"/>
  <c r="G553" i="4"/>
  <c r="G554" i="4"/>
  <c r="G555" i="4"/>
  <c r="H556" i="4" s="1"/>
  <c r="G556" i="4"/>
  <c r="G557" i="4"/>
  <c r="H558" i="4" s="1"/>
  <c r="G558" i="4"/>
  <c r="H559" i="4" s="1"/>
  <c r="G559" i="4"/>
  <c r="H560" i="4" s="1"/>
  <c r="G560" i="4"/>
  <c r="G561" i="4"/>
  <c r="H562" i="4" s="1"/>
  <c r="G562" i="4"/>
  <c r="H563" i="4" s="1"/>
  <c r="G563" i="4"/>
  <c r="G564" i="4"/>
  <c r="H565" i="4" s="1"/>
  <c r="G565" i="4"/>
  <c r="H566" i="4" s="1"/>
  <c r="G566" i="4"/>
  <c r="G567" i="4"/>
  <c r="G568" i="4"/>
  <c r="H569" i="4" s="1"/>
  <c r="G569" i="4"/>
  <c r="G570" i="4"/>
  <c r="G571" i="4"/>
  <c r="G572" i="4"/>
  <c r="H573" i="4" s="1"/>
  <c r="G573" i="4"/>
  <c r="G574" i="4"/>
  <c r="G575" i="4"/>
  <c r="H576" i="4" s="1"/>
  <c r="G576" i="4"/>
  <c r="G577" i="4"/>
  <c r="G578" i="4"/>
  <c r="G579" i="4"/>
  <c r="G580" i="4"/>
  <c r="G581" i="4"/>
  <c r="H582" i="4" s="1"/>
  <c r="G582" i="4"/>
  <c r="G583" i="4"/>
  <c r="H584" i="4" s="1"/>
  <c r="G584" i="4"/>
  <c r="G585" i="4"/>
  <c r="H586" i="4" s="1"/>
  <c r="G586" i="4"/>
  <c r="G587" i="4"/>
  <c r="G588" i="4"/>
  <c r="H589" i="4" s="1"/>
  <c r="G589" i="4"/>
  <c r="G590" i="4"/>
  <c r="G591" i="4"/>
  <c r="H592" i="4" s="1"/>
  <c r="G592" i="4"/>
  <c r="H593" i="4" s="1"/>
  <c r="G593" i="4"/>
  <c r="G594" i="4"/>
  <c r="G595" i="4"/>
  <c r="H596" i="4" s="1"/>
  <c r="G596" i="4"/>
  <c r="G597" i="4"/>
  <c r="H598" i="4" s="1"/>
  <c r="G598" i="4"/>
  <c r="G599" i="4"/>
  <c r="G600" i="4"/>
  <c r="G601" i="4"/>
  <c r="G602" i="4"/>
  <c r="G603" i="4"/>
  <c r="G604" i="4"/>
  <c r="H605" i="4" s="1"/>
  <c r="G605" i="4"/>
  <c r="H606" i="4" s="1"/>
  <c r="G606" i="4"/>
  <c r="G607" i="4"/>
  <c r="G608" i="4"/>
  <c r="H609" i="4" s="1"/>
  <c r="G609" i="4"/>
  <c r="G610" i="4"/>
  <c r="H611" i="4" s="1"/>
  <c r="G611" i="4"/>
  <c r="H612" i="4" s="1"/>
  <c r="G612" i="4"/>
  <c r="H613" i="4" s="1"/>
  <c r="G613" i="4"/>
  <c r="H614" i="4" s="1"/>
  <c r="G614" i="4"/>
  <c r="G615" i="4"/>
  <c r="H616" i="4" s="1"/>
  <c r="G616" i="4"/>
  <c r="G617" i="4"/>
  <c r="H618" i="4" s="1"/>
  <c r="G618" i="4"/>
  <c r="H619" i="4" s="1"/>
  <c r="G619" i="4"/>
  <c r="G620" i="4"/>
  <c r="G621" i="4"/>
  <c r="H622" i="4" s="1"/>
  <c r="G622" i="4"/>
  <c r="G623" i="4"/>
  <c r="H624" i="4" s="1"/>
  <c r="G624" i="4"/>
  <c r="H625" i="4" s="1"/>
  <c r="G625" i="4"/>
  <c r="H626" i="4" s="1"/>
  <c r="G626" i="4"/>
  <c r="G627" i="4"/>
  <c r="G628" i="4"/>
  <c r="H629" i="4" s="1"/>
  <c r="G629" i="4"/>
  <c r="G630" i="4"/>
  <c r="G631" i="4"/>
  <c r="G632" i="4"/>
  <c r="G633" i="4"/>
  <c r="G634" i="4"/>
  <c r="G635" i="4"/>
  <c r="H636" i="4" s="1"/>
  <c r="G636" i="4"/>
  <c r="G637" i="4"/>
  <c r="H638" i="4" s="1"/>
  <c r="G638" i="4"/>
  <c r="H639" i="4" s="1"/>
  <c r="G639" i="4"/>
  <c r="G640" i="4"/>
  <c r="G641" i="4"/>
  <c r="G642" i="4"/>
  <c r="G643" i="4"/>
  <c r="G644" i="4"/>
  <c r="G645" i="4"/>
  <c r="H646" i="4" s="1"/>
  <c r="G646" i="4"/>
  <c r="G647" i="4"/>
  <c r="G648" i="4"/>
  <c r="H649" i="4" s="1"/>
  <c r="G649" i="4"/>
  <c r="G650" i="4"/>
  <c r="G651" i="4"/>
  <c r="G652" i="4"/>
  <c r="G653" i="4"/>
  <c r="G654" i="4"/>
  <c r="G655" i="4"/>
  <c r="H656" i="4" s="1"/>
  <c r="G656" i="4"/>
  <c r="G657" i="4"/>
  <c r="H658" i="4" s="1"/>
  <c r="G658" i="4"/>
  <c r="H659" i="4" s="1"/>
  <c r="G659" i="4"/>
  <c r="G660" i="4"/>
  <c r="G661" i="4"/>
  <c r="G662" i="4"/>
  <c r="G663" i="4"/>
  <c r="G664" i="4"/>
  <c r="H665" i="4" s="1"/>
  <c r="G665" i="4"/>
  <c r="H666" i="4" s="1"/>
  <c r="G666" i="4"/>
  <c r="G667" i="4"/>
  <c r="H668" i="4" s="1"/>
  <c r="G668" i="4"/>
  <c r="H669" i="4" s="1"/>
  <c r="G669" i="4"/>
  <c r="G670" i="4"/>
  <c r="G671" i="4"/>
  <c r="H672" i="4" s="1"/>
  <c r="G672" i="4"/>
  <c r="H673" i="4" s="1"/>
  <c r="G673" i="4"/>
  <c r="H674" i="4" s="1"/>
  <c r="G674" i="4"/>
  <c r="H675" i="4" s="1"/>
  <c r="G675" i="4"/>
  <c r="H676" i="4" s="1"/>
  <c r="G676" i="4"/>
  <c r="G677" i="4"/>
  <c r="H678" i="4" s="1"/>
  <c r="G678" i="4"/>
  <c r="H679" i="4" s="1"/>
  <c r="G679" i="4"/>
  <c r="G680" i="4"/>
  <c r="G681" i="4"/>
  <c r="G682" i="4"/>
  <c r="G683" i="4"/>
  <c r="G684" i="4"/>
  <c r="G685" i="4"/>
  <c r="H686" i="4" s="1"/>
  <c r="G686" i="4"/>
  <c r="G687" i="4"/>
  <c r="G688" i="4"/>
  <c r="H689" i="4" s="1"/>
  <c r="G689" i="4"/>
  <c r="H690" i="4" s="1"/>
  <c r="G690" i="4"/>
  <c r="H691" i="4" s="1"/>
  <c r="G691" i="4"/>
  <c r="H692" i="4" s="1"/>
  <c r="G692" i="4"/>
  <c r="H693" i="4" s="1"/>
  <c r="G693" i="4"/>
  <c r="G694" i="4"/>
  <c r="G695" i="4"/>
  <c r="H696" i="4" s="1"/>
  <c r="G696" i="4"/>
  <c r="G697" i="4"/>
  <c r="H698" i="4" s="1"/>
  <c r="G698" i="4"/>
  <c r="H699" i="4" s="1"/>
  <c r="G699" i="4"/>
  <c r="G700" i="4"/>
  <c r="G701" i="4"/>
  <c r="H702" i="4" s="1"/>
  <c r="G702" i="4"/>
  <c r="G703" i="4"/>
  <c r="G704" i="4"/>
  <c r="G705" i="4"/>
  <c r="H706" i="4" s="1"/>
  <c r="G706" i="4"/>
  <c r="H707" i="4" s="1"/>
  <c r="G707" i="4"/>
  <c r="H708" i="4" s="1"/>
  <c r="G708" i="4"/>
  <c r="H709" i="4" s="1"/>
  <c r="G709" i="4"/>
  <c r="G710" i="4"/>
  <c r="G711" i="4"/>
  <c r="G712" i="4"/>
  <c r="G713" i="4"/>
  <c r="G714" i="4"/>
  <c r="G715" i="4"/>
  <c r="H716" i="4" s="1"/>
  <c r="G716" i="4"/>
  <c r="G717" i="4"/>
  <c r="G718" i="4"/>
  <c r="H719" i="4" s="1"/>
  <c r="G719" i="4"/>
  <c r="G720" i="4"/>
  <c r="G721" i="4"/>
  <c r="H722" i="4" s="1"/>
  <c r="G722" i="4"/>
  <c r="G723" i="4"/>
  <c r="H724" i="4" s="1"/>
  <c r="G724" i="4"/>
  <c r="G725" i="4"/>
  <c r="H726" i="4" s="1"/>
  <c r="G726" i="4"/>
  <c r="G727" i="4"/>
  <c r="G728" i="4"/>
  <c r="H729" i="4" s="1"/>
  <c r="G729" i="4"/>
  <c r="H730" i="4" s="1"/>
  <c r="G730" i="4"/>
  <c r="G731" i="4"/>
  <c r="H732" i="4" s="1"/>
  <c r="G732" i="4"/>
  <c r="H733" i="4" s="1"/>
  <c r="G733" i="4"/>
  <c r="H734" i="4" s="1"/>
  <c r="G734" i="4"/>
  <c r="H735" i="4" s="1"/>
  <c r="G735" i="4"/>
  <c r="H736" i="4" s="1"/>
  <c r="G736" i="4"/>
  <c r="H737" i="4" s="1"/>
  <c r="G737" i="4"/>
  <c r="G738" i="4"/>
  <c r="H739" i="4" s="1"/>
  <c r="G739" i="4"/>
  <c r="H740" i="4" s="1"/>
  <c r="G740" i="4"/>
  <c r="G741" i="4"/>
  <c r="G742" i="4"/>
  <c r="G743" i="4"/>
  <c r="G744" i="4"/>
  <c r="H745" i="4" s="1"/>
  <c r="G745" i="4"/>
  <c r="H746" i="4" s="1"/>
  <c r="G746" i="4"/>
  <c r="G747" i="4"/>
  <c r="G748" i="4"/>
  <c r="G749" i="4"/>
  <c r="G750" i="4"/>
  <c r="H751" i="4" s="1"/>
  <c r="G751" i="4"/>
  <c r="G752" i="4"/>
  <c r="H753" i="4" s="1"/>
  <c r="G753" i="4"/>
  <c r="G754" i="4"/>
  <c r="G755" i="4"/>
  <c r="H756" i="4" s="1"/>
  <c r="G756" i="4"/>
  <c r="G757" i="4"/>
  <c r="G758" i="4"/>
  <c r="H759" i="4" s="1"/>
  <c r="G759" i="4"/>
  <c r="G760" i="4"/>
  <c r="G761" i="4"/>
  <c r="G762" i="4"/>
  <c r="G763" i="4"/>
  <c r="H764" i="4" s="1"/>
  <c r="G764" i="4"/>
  <c r="G765" i="4"/>
  <c r="H766" i="4" s="1"/>
  <c r="G766" i="4"/>
  <c r="G767" i="4"/>
  <c r="G768" i="4"/>
  <c r="H769" i="4" s="1"/>
  <c r="G769" i="4"/>
  <c r="G770" i="4"/>
  <c r="H771" i="4" s="1"/>
  <c r="G771" i="4"/>
  <c r="G772" i="4"/>
  <c r="H773" i="4" s="1"/>
  <c r="G773" i="4"/>
  <c r="H774" i="4" s="1"/>
  <c r="G774" i="4"/>
  <c r="H775" i="4" s="1"/>
  <c r="G775" i="4"/>
  <c r="H776" i="4" s="1"/>
  <c r="G776" i="4"/>
  <c r="G777" i="4"/>
  <c r="H778" i="4" s="1"/>
  <c r="G778" i="4"/>
  <c r="H779" i="4" s="1"/>
  <c r="G779" i="4"/>
  <c r="G780" i="4"/>
  <c r="G781" i="4"/>
  <c r="G782" i="4"/>
  <c r="G783" i="4"/>
  <c r="G784" i="4"/>
  <c r="G785" i="4"/>
  <c r="H786" i="4" s="1"/>
  <c r="G786" i="4"/>
  <c r="G787" i="4"/>
  <c r="G788" i="4"/>
  <c r="H789" i="4" s="1"/>
  <c r="G789" i="4"/>
  <c r="G790" i="4"/>
  <c r="G791" i="4"/>
  <c r="G792" i="4"/>
  <c r="H793" i="4" s="1"/>
  <c r="G793" i="4"/>
  <c r="H794" i="4" s="1"/>
  <c r="G794" i="4"/>
  <c r="G795" i="4"/>
  <c r="H796" i="4" s="1"/>
  <c r="G796" i="4"/>
  <c r="G797" i="4"/>
  <c r="H798" i="4" s="1"/>
  <c r="G798" i="4"/>
  <c r="H799" i="4" s="1"/>
  <c r="G799" i="4"/>
  <c r="G800" i="4"/>
  <c r="G801" i="4"/>
  <c r="H802" i="4" s="1"/>
  <c r="G802" i="4"/>
  <c r="H803" i="4" s="1"/>
  <c r="G803" i="4"/>
  <c r="G804" i="4"/>
  <c r="G805" i="4"/>
  <c r="H806" i="4" s="1"/>
  <c r="G806" i="4"/>
  <c r="H807" i="4" s="1"/>
  <c r="G807" i="4"/>
  <c r="G808" i="4"/>
  <c r="H809" i="4" s="1"/>
  <c r="G809" i="4"/>
  <c r="H810" i="4" s="1"/>
  <c r="G810" i="4"/>
  <c r="G811" i="4"/>
  <c r="G812" i="4"/>
  <c r="H813" i="4" s="1"/>
  <c r="G813" i="4"/>
  <c r="H814" i="4" s="1"/>
  <c r="G814" i="4"/>
  <c r="G815" i="4"/>
  <c r="H816" i="4" s="1"/>
  <c r="G816" i="4"/>
  <c r="G817" i="4"/>
  <c r="G818" i="4"/>
  <c r="G819" i="4"/>
  <c r="G820" i="4"/>
  <c r="G821" i="4"/>
  <c r="G822" i="4"/>
  <c r="G823" i="4"/>
  <c r="G824" i="4"/>
  <c r="G825" i="4"/>
  <c r="H826" i="4" s="1"/>
  <c r="G826" i="4"/>
  <c r="G827" i="4"/>
  <c r="G828" i="4"/>
  <c r="H829" i="4" s="1"/>
  <c r="G829" i="4"/>
  <c r="G830" i="4"/>
  <c r="H831" i="4" s="1"/>
  <c r="G831" i="4"/>
  <c r="G832" i="4"/>
  <c r="G833" i="4"/>
  <c r="G834" i="4"/>
  <c r="G835" i="4"/>
  <c r="H836" i="4" s="1"/>
  <c r="G836" i="4"/>
  <c r="G837" i="4"/>
  <c r="H838" i="4" s="1"/>
  <c r="G838" i="4"/>
  <c r="H839" i="4" s="1"/>
  <c r="G839" i="4"/>
  <c r="G840" i="4"/>
  <c r="G841" i="4"/>
  <c r="G842" i="4"/>
  <c r="H843" i="4" s="1"/>
  <c r="G843" i="4"/>
  <c r="H844" i="4" s="1"/>
  <c r="G844" i="4"/>
  <c r="G845" i="4"/>
  <c r="H846" i="4" s="1"/>
  <c r="G846" i="4"/>
  <c r="H847" i="4" s="1"/>
  <c r="G847" i="4"/>
  <c r="G848" i="4"/>
  <c r="H849" i="4" s="1"/>
  <c r="G849" i="4"/>
  <c r="G850" i="4"/>
  <c r="G851" i="4"/>
  <c r="G852" i="4"/>
  <c r="G853" i="4"/>
  <c r="G854" i="4"/>
  <c r="G855" i="4"/>
  <c r="H856" i="4" s="1"/>
  <c r="G856" i="4"/>
  <c r="G857" i="4"/>
  <c r="G858" i="4"/>
  <c r="H859" i="4" s="1"/>
  <c r="G859" i="4"/>
  <c r="G860" i="4"/>
  <c r="G861" i="4"/>
  <c r="G862" i="4"/>
  <c r="G863" i="4"/>
  <c r="G864" i="4"/>
  <c r="G865" i="4"/>
  <c r="H866" i="4" s="1"/>
  <c r="G866" i="4"/>
  <c r="G867" i="4"/>
  <c r="H868" i="4" s="1"/>
  <c r="G868" i="4"/>
  <c r="H869" i="4" s="1"/>
  <c r="G869" i="4"/>
  <c r="G870" i="4"/>
  <c r="G871" i="4"/>
  <c r="G872" i="4"/>
  <c r="G873" i="4"/>
  <c r="H874" i="4" s="1"/>
  <c r="G874" i="4"/>
  <c r="H875" i="4" s="1"/>
  <c r="G875" i="4"/>
  <c r="H876" i="4" s="1"/>
  <c r="G876" i="4"/>
  <c r="H877" i="4" s="1"/>
  <c r="G877" i="4"/>
  <c r="H878" i="4" s="1"/>
  <c r="G878" i="4"/>
  <c r="H879" i="4" s="1"/>
  <c r="G879" i="4"/>
  <c r="G880" i="4"/>
  <c r="G881" i="4"/>
  <c r="H882" i="4" s="1"/>
  <c r="G882" i="4"/>
  <c r="G883" i="4"/>
  <c r="G884" i="4"/>
  <c r="G885" i="4"/>
  <c r="H886" i="4" s="1"/>
  <c r="G886" i="4"/>
  <c r="H887" i="4" s="1"/>
  <c r="G887" i="4"/>
  <c r="G888" i="4"/>
  <c r="H889" i="4" s="1"/>
  <c r="G889" i="4"/>
  <c r="G890" i="4"/>
  <c r="G891" i="4"/>
  <c r="H892" i="4" s="1"/>
  <c r="G892" i="4"/>
  <c r="G893" i="4"/>
  <c r="G894" i="4"/>
  <c r="G895" i="4"/>
  <c r="H896" i="4" s="1"/>
  <c r="G896" i="4"/>
  <c r="G897" i="4"/>
  <c r="G898" i="4"/>
  <c r="H899" i="4" s="1"/>
  <c r="G899" i="4"/>
  <c r="G900" i="4"/>
  <c r="G901" i="4"/>
  <c r="H902" i="4" s="1"/>
  <c r="G902" i="4"/>
  <c r="H903" i="4" s="1"/>
  <c r="G903" i="4"/>
  <c r="G904" i="4"/>
  <c r="G905" i="4"/>
  <c r="H906" i="4" s="1"/>
  <c r="G906" i="4"/>
  <c r="H907" i="4" s="1"/>
  <c r="G907" i="4"/>
  <c r="G908" i="4"/>
  <c r="H909" i="4" s="1"/>
  <c r="G909" i="4"/>
  <c r="G910" i="4"/>
  <c r="G911" i="4"/>
  <c r="G912" i="4"/>
  <c r="G913" i="4"/>
  <c r="G914" i="4"/>
  <c r="G915" i="4"/>
  <c r="H916" i="4" s="1"/>
  <c r="G916" i="4"/>
  <c r="G917" i="4"/>
  <c r="H918" i="4" s="1"/>
  <c r="G918" i="4"/>
  <c r="G919" i="4"/>
  <c r="G920" i="4"/>
  <c r="G921" i="4"/>
  <c r="G922" i="4"/>
  <c r="G923" i="4"/>
  <c r="G924" i="4"/>
  <c r="G925" i="4"/>
  <c r="H926" i="4" s="1"/>
  <c r="G926" i="4"/>
  <c r="H927" i="4" s="1"/>
  <c r="G927" i="4"/>
  <c r="G928" i="4"/>
  <c r="H929" i="4" s="1"/>
  <c r="G929" i="4"/>
  <c r="G930" i="4"/>
  <c r="G931" i="4"/>
  <c r="G932" i="4"/>
  <c r="G933" i="4"/>
  <c r="G934" i="4"/>
  <c r="G935" i="4"/>
  <c r="H936" i="4" s="1"/>
  <c r="G936" i="4"/>
  <c r="G937" i="4"/>
  <c r="G938" i="4"/>
  <c r="H939" i="4" s="1"/>
  <c r="G939" i="4"/>
  <c r="H940" i="4" s="1"/>
  <c r="G940" i="4"/>
  <c r="H941" i="4" s="1"/>
  <c r="G941" i="4"/>
  <c r="H942" i="4" s="1"/>
  <c r="G942" i="4"/>
  <c r="H943" i="4" s="1"/>
  <c r="G943" i="4"/>
  <c r="H944" i="4" s="1"/>
  <c r="G944" i="4"/>
  <c r="G945" i="4"/>
  <c r="H946" i="4" s="1"/>
  <c r="G946" i="4"/>
  <c r="H947" i="4" s="1"/>
  <c r="G947" i="4"/>
  <c r="G948" i="4"/>
  <c r="H949" i="4" s="1"/>
  <c r="G949" i="4"/>
  <c r="G950" i="4"/>
  <c r="G951" i="4"/>
  <c r="G952" i="4"/>
  <c r="G953" i="4"/>
  <c r="G954" i="4"/>
  <c r="H955" i="4" s="1"/>
  <c r="G955" i="4"/>
  <c r="H956" i="4" s="1"/>
  <c r="G956" i="4"/>
  <c r="G957" i="4"/>
  <c r="H958" i="4" s="1"/>
  <c r="G958" i="4"/>
  <c r="H959" i="4" s="1"/>
  <c r="G959" i="4"/>
  <c r="G960" i="4"/>
  <c r="G961" i="4"/>
  <c r="G962" i="4"/>
  <c r="G963" i="4"/>
  <c r="G964" i="4"/>
  <c r="H965" i="4" s="1"/>
  <c r="G965" i="4"/>
  <c r="H966" i="4" s="1"/>
  <c r="G966" i="4"/>
  <c r="H967" i="4" s="1"/>
  <c r="G967" i="4"/>
  <c r="G968" i="4"/>
  <c r="H969" i="4" s="1"/>
  <c r="G969" i="4"/>
  <c r="G970" i="4"/>
  <c r="G971" i="4"/>
  <c r="G972" i="4"/>
  <c r="G973" i="4"/>
  <c r="G974" i="4"/>
  <c r="G975" i="4"/>
  <c r="H976" i="4" s="1"/>
  <c r="G976" i="4"/>
  <c r="G977" i="4"/>
  <c r="H978" i="4" s="1"/>
  <c r="G978" i="4"/>
  <c r="H979" i="4" s="1"/>
  <c r="G979" i="4"/>
  <c r="G980" i="4"/>
  <c r="G981" i="4"/>
  <c r="H982" i="4" s="1"/>
  <c r="G982" i="4"/>
  <c r="G983" i="4"/>
  <c r="G984" i="4"/>
  <c r="H985" i="4" s="1"/>
  <c r="G985" i="4"/>
  <c r="H986" i="4" s="1"/>
  <c r="G986" i="4"/>
  <c r="H987" i="4" s="1"/>
  <c r="G987" i="4"/>
  <c r="G988" i="4"/>
  <c r="H989" i="4" s="1"/>
  <c r="G989" i="4"/>
  <c r="G990" i="4"/>
  <c r="H991" i="4" s="1"/>
  <c r="G991" i="4"/>
  <c r="H992" i="4" s="1"/>
  <c r="G992" i="4"/>
  <c r="G993" i="4"/>
  <c r="G994" i="4"/>
  <c r="G995" i="4"/>
  <c r="H996" i="4" s="1"/>
  <c r="G996" i="4"/>
  <c r="G997" i="4"/>
  <c r="G998" i="4"/>
  <c r="H999" i="4" s="1"/>
  <c r="G999" i="4"/>
  <c r="G1000" i="4"/>
  <c r="G1001" i="4"/>
  <c r="G1002" i="4"/>
  <c r="G1003" i="4"/>
  <c r="G1004" i="4"/>
  <c r="H1005" i="4" s="1"/>
  <c r="G1005" i="4"/>
  <c r="H1006" i="4" s="1"/>
  <c r="G1006" i="4"/>
  <c r="H1007" i="4" s="1"/>
  <c r="G1007" i="4"/>
  <c r="G1008" i="4"/>
  <c r="H1009" i="4" s="1"/>
  <c r="G1009" i="4"/>
  <c r="G1010" i="4"/>
  <c r="G1011" i="4"/>
  <c r="G1012" i="4"/>
  <c r="G1013" i="4"/>
  <c r="H1014" i="4" s="1"/>
  <c r="G1014" i="4"/>
  <c r="G1015" i="4"/>
  <c r="H1016" i="4" s="1"/>
  <c r="G1016" i="4"/>
  <c r="G1017" i="4"/>
  <c r="H1018" i="4" s="1"/>
  <c r="G1018" i="4"/>
  <c r="H1019" i="4" s="1"/>
  <c r="G1019" i="4"/>
  <c r="G1020" i="4"/>
  <c r="H1021" i="4" s="1"/>
  <c r="G1021" i="4"/>
  <c r="G1022" i="4"/>
  <c r="H1023" i="4" s="1"/>
  <c r="G1023" i="4"/>
  <c r="H1024" i="4" s="1"/>
  <c r="G1024" i="4"/>
  <c r="H1025" i="4" s="1"/>
  <c r="G1025" i="4"/>
  <c r="H1026" i="4" s="1"/>
  <c r="G1026" i="4"/>
  <c r="H1027" i="4" s="1"/>
  <c r="G1027" i="4"/>
  <c r="G1028" i="4"/>
  <c r="H1029" i="4" s="1"/>
  <c r="G1029" i="4"/>
  <c r="G1030" i="4"/>
  <c r="G1031" i="4"/>
  <c r="G1032" i="4"/>
  <c r="G1033" i="4"/>
  <c r="G1034" i="4"/>
  <c r="G1035" i="4"/>
  <c r="H1036" i="4" s="1"/>
  <c r="G1036" i="4"/>
  <c r="G1037" i="4"/>
  <c r="H1038" i="4" s="1"/>
  <c r="G1038" i="4"/>
  <c r="H1039" i="4" s="1"/>
  <c r="G1039" i="4"/>
  <c r="G1040" i="4"/>
  <c r="G1041" i="4"/>
  <c r="G1042" i="4"/>
  <c r="G1043" i="4"/>
  <c r="H1044" i="4" s="1"/>
  <c r="G1044" i="4"/>
  <c r="H1045" i="4" s="1"/>
  <c r="G1045" i="4"/>
  <c r="H1046" i="4" s="1"/>
  <c r="G1046" i="4"/>
  <c r="H1047" i="4" s="1"/>
  <c r="G1047" i="4"/>
  <c r="H1048" i="4" s="1"/>
  <c r="G1048" i="4"/>
  <c r="H1049" i="4" s="1"/>
  <c r="G1049" i="4"/>
  <c r="G1050" i="4"/>
  <c r="H1051" i="4" s="1"/>
  <c r="G1051" i="4"/>
  <c r="H1052" i="4" s="1"/>
  <c r="G1052" i="4"/>
  <c r="G1053" i="4"/>
  <c r="G1054" i="4"/>
  <c r="H1055" i="4" s="1"/>
  <c r="G1055" i="4"/>
  <c r="H1056" i="4" s="1"/>
  <c r="G1056" i="4"/>
  <c r="G1057" i="4"/>
  <c r="G1058" i="4"/>
  <c r="H1059" i="4" s="1"/>
  <c r="G1059" i="4"/>
  <c r="G1060" i="4"/>
  <c r="G1061" i="4"/>
  <c r="G1062" i="4"/>
  <c r="G1063" i="4"/>
  <c r="G1064" i="4"/>
  <c r="H1065" i="4" s="1"/>
  <c r="G1065" i="4"/>
  <c r="H1066" i="4" s="1"/>
  <c r="G1066" i="4"/>
  <c r="H1067" i="4" s="1"/>
  <c r="G1067" i="4"/>
  <c r="G1068" i="4"/>
  <c r="H1069" i="4" s="1"/>
  <c r="G1069" i="4"/>
  <c r="G1070" i="4"/>
  <c r="G1071" i="4"/>
  <c r="H1072" i="4" s="1"/>
  <c r="G1072" i="4"/>
  <c r="G1073" i="4"/>
  <c r="G1074" i="4"/>
  <c r="G1075" i="4"/>
  <c r="H1076" i="4" s="1"/>
  <c r="G1076" i="4"/>
  <c r="H1077" i="4" s="1"/>
  <c r="G1077" i="4"/>
  <c r="H1078" i="4" s="1"/>
  <c r="G1078" i="4"/>
  <c r="H1079" i="4" s="1"/>
  <c r="G1079" i="4"/>
  <c r="G1080" i="4"/>
  <c r="G1081" i="4"/>
  <c r="H1082" i="4" s="1"/>
  <c r="G1082" i="4"/>
  <c r="H1083" i="4" s="1"/>
  <c r="G1083" i="4"/>
  <c r="H1084" i="4" s="1"/>
  <c r="G1084" i="4"/>
  <c r="H1085" i="4" s="1"/>
  <c r="G1085" i="4"/>
  <c r="H1086" i="4" s="1"/>
  <c r="G1086" i="4"/>
  <c r="H1087" i="4" s="1"/>
  <c r="G1087" i="4"/>
  <c r="G1088" i="4"/>
  <c r="H1089" i="4" s="1"/>
  <c r="G1089" i="4"/>
  <c r="G1090" i="4"/>
  <c r="G1091" i="4"/>
  <c r="G1092" i="4"/>
  <c r="H1093" i="4" s="1"/>
  <c r="G1093" i="4"/>
  <c r="H1094" i="4" s="1"/>
  <c r="G1094" i="4"/>
  <c r="H1095" i="4" s="1"/>
  <c r="G1095" i="4"/>
  <c r="H1096" i="4" s="1"/>
  <c r="G1096" i="4"/>
  <c r="G1097" i="4"/>
  <c r="H1098" i="4" s="1"/>
  <c r="G1098" i="4"/>
  <c r="H1099" i="4" s="1"/>
  <c r="G1099" i="4"/>
  <c r="G1100" i="4"/>
  <c r="G1101" i="4"/>
  <c r="G1102" i="4"/>
  <c r="H1103" i="4" s="1"/>
  <c r="G1103" i="4"/>
  <c r="G1104" i="4"/>
  <c r="H1105" i="4" s="1"/>
  <c r="G1105" i="4"/>
  <c r="H1106" i="4" s="1"/>
  <c r="G1106" i="4"/>
  <c r="H1107" i="4" s="1"/>
  <c r="G1107" i="4"/>
  <c r="G1108" i="4"/>
  <c r="H1109" i="4" s="1"/>
  <c r="G1109" i="4"/>
  <c r="G1110" i="4"/>
  <c r="G1111" i="4"/>
  <c r="H1112" i="4" s="1"/>
  <c r="G1112" i="4"/>
  <c r="G1113" i="4"/>
  <c r="G1114" i="4"/>
  <c r="G1115" i="4"/>
  <c r="H1116" i="4" s="1"/>
  <c r="G1116" i="4"/>
  <c r="G1117" i="4"/>
  <c r="H1118" i="4" s="1"/>
  <c r="G1118" i="4"/>
  <c r="H1119" i="4" s="1"/>
  <c r="G1119" i="4"/>
  <c r="H1120" i="4" s="1"/>
  <c r="G1120" i="4"/>
  <c r="G1121" i="4"/>
  <c r="H1122" i="4" s="1"/>
  <c r="G1122" i="4"/>
  <c r="G1123" i="4"/>
  <c r="G1124" i="4"/>
  <c r="H1125" i="4" s="1"/>
  <c r="G1125" i="4"/>
  <c r="H1126" i="4" s="1"/>
  <c r="G1126" i="4"/>
  <c r="H1127" i="4" s="1"/>
  <c r="G1127" i="4"/>
  <c r="H1128" i="4" s="1"/>
  <c r="G1128" i="4"/>
  <c r="H1129" i="4" s="1"/>
  <c r="G1129" i="4"/>
  <c r="G1130" i="4"/>
  <c r="G1131" i="4"/>
  <c r="G1132" i="4"/>
  <c r="G1133" i="4"/>
  <c r="G1134" i="4"/>
  <c r="H1135" i="4" s="1"/>
  <c r="G1135" i="4"/>
  <c r="H1136" i="4" s="1"/>
  <c r="G1136" i="4"/>
  <c r="G1137" i="4"/>
  <c r="G1138" i="4"/>
  <c r="G1139" i="4"/>
  <c r="G1140" i="4"/>
  <c r="G1141" i="4"/>
  <c r="G1142" i="4"/>
  <c r="G1143" i="4"/>
  <c r="G1144" i="4"/>
  <c r="H1145" i="4" s="1"/>
  <c r="G1145" i="4"/>
  <c r="H1146" i="4" s="1"/>
  <c r="G1146" i="4"/>
  <c r="H1147" i="4" s="1"/>
  <c r="G1147" i="4"/>
  <c r="H1148" i="4" s="1"/>
  <c r="G1148" i="4"/>
  <c r="H1149" i="4" s="1"/>
  <c r="G1149" i="4"/>
  <c r="G1150" i="4"/>
  <c r="G1151" i="4"/>
  <c r="G1152" i="4"/>
  <c r="G1153" i="4"/>
  <c r="H1154" i="4" s="1"/>
  <c r="G1154" i="4"/>
  <c r="G1155" i="4"/>
  <c r="H1156" i="4" s="1"/>
  <c r="G1156" i="4"/>
  <c r="G1157" i="4"/>
  <c r="H1158" i="4" s="1"/>
  <c r="G1158" i="4"/>
  <c r="H1159" i="4" s="1"/>
  <c r="G1159" i="4"/>
  <c r="G1160" i="4"/>
  <c r="G1161" i="4"/>
  <c r="H1162" i="4" s="1"/>
  <c r="G1162" i="4"/>
  <c r="G1163" i="4"/>
  <c r="G1164" i="4"/>
  <c r="H1165" i="4" s="1"/>
  <c r="G1165" i="4"/>
  <c r="H1166" i="4" s="1"/>
  <c r="G1166" i="4"/>
  <c r="H1167" i="4" s="1"/>
  <c r="G1167" i="4"/>
  <c r="G1168" i="4"/>
  <c r="H1169" i="4" s="1"/>
  <c r="G1169" i="4"/>
  <c r="G1170" i="4"/>
  <c r="H1171" i="4" s="1"/>
  <c r="G1171" i="4"/>
  <c r="G1172" i="4"/>
  <c r="H1173" i="4" s="1"/>
  <c r="G1173" i="4"/>
  <c r="G1174" i="4"/>
  <c r="G1175" i="4"/>
  <c r="H1176" i="4" s="1"/>
  <c r="G1176" i="4"/>
  <c r="G1177" i="4"/>
  <c r="G1178" i="4"/>
  <c r="H1179" i="4" s="1"/>
  <c r="G1179" i="4"/>
  <c r="H1180" i="4" s="1"/>
  <c r="G1180" i="4"/>
  <c r="H1181" i="4" s="1"/>
  <c r="G1181" i="4"/>
  <c r="H1182" i="4" s="1"/>
  <c r="G1182" i="4"/>
  <c r="G1183" i="4"/>
  <c r="H1184" i="4" s="1"/>
  <c r="G1184" i="4"/>
  <c r="H1185" i="4" s="1"/>
  <c r="G1185" i="4"/>
  <c r="H1186" i="4" s="1"/>
  <c r="G1186" i="4"/>
  <c r="H1187" i="4" s="1"/>
  <c r="G1187" i="4"/>
  <c r="G1188" i="4"/>
  <c r="H1189" i="4" s="1"/>
  <c r="G1189" i="4"/>
  <c r="G1190" i="4"/>
  <c r="H1191" i="4" s="1"/>
  <c r="G1191" i="4"/>
  <c r="G1192" i="4"/>
  <c r="G1193" i="4"/>
  <c r="G1194" i="4"/>
  <c r="G1195" i="4"/>
  <c r="H1196" i="4" s="1"/>
  <c r="G1196" i="4"/>
  <c r="G1197" i="4"/>
  <c r="H1198" i="4" s="1"/>
  <c r="G1198" i="4"/>
  <c r="H1199" i="4" s="1"/>
  <c r="G1199" i="4"/>
  <c r="G1200" i="4"/>
  <c r="H1201" i="4" s="1"/>
  <c r="G1201" i="4"/>
  <c r="G1202" i="4"/>
  <c r="G1203" i="4"/>
  <c r="G1204" i="4"/>
  <c r="H1205" i="4" s="1"/>
  <c r="G1205" i="4"/>
  <c r="G1206" i="4"/>
  <c r="H1207" i="4" s="1"/>
  <c r="G1207" i="4"/>
  <c r="G1208" i="4"/>
  <c r="H1209" i="4" s="1"/>
  <c r="G1209" i="4"/>
  <c r="G1210" i="4"/>
  <c r="H1211" i="4" s="1"/>
  <c r="G1211" i="4"/>
  <c r="G1212" i="4"/>
  <c r="G1213" i="4"/>
  <c r="G1214" i="4"/>
  <c r="G1215" i="4"/>
  <c r="H1216" i="4" s="1"/>
  <c r="G1216" i="4"/>
  <c r="G1217" i="4"/>
  <c r="H1218" i="4" s="1"/>
  <c r="G1218" i="4"/>
  <c r="H1219" i="4" s="1"/>
  <c r="G1219" i="4"/>
  <c r="G1220" i="4"/>
  <c r="G1221" i="4"/>
  <c r="G1222" i="4"/>
  <c r="H1223" i="4" s="1"/>
  <c r="G1223" i="4"/>
  <c r="G1224" i="4"/>
  <c r="H1225" i="4" s="1"/>
  <c r="G1225" i="4"/>
  <c r="H1226" i="4" s="1"/>
  <c r="G1226" i="4"/>
  <c r="H1227" i="4" s="1"/>
  <c r="G1227" i="4"/>
  <c r="G1228" i="4"/>
  <c r="G1229" i="4"/>
  <c r="G1230" i="4"/>
  <c r="G1231" i="4"/>
  <c r="G1232" i="4"/>
  <c r="G1233" i="4"/>
  <c r="H1234" i="4" s="1"/>
  <c r="G1234" i="4"/>
  <c r="G1235" i="4"/>
  <c r="H1236" i="4" s="1"/>
  <c r="G1236" i="4"/>
  <c r="G1237" i="4"/>
  <c r="G1238" i="4"/>
  <c r="H1239" i="4" s="1"/>
  <c r="G1239" i="4"/>
  <c r="G1240" i="4"/>
  <c r="G1241" i="4"/>
  <c r="H1242" i="4" s="1"/>
  <c r="G1242" i="4"/>
  <c r="H1243" i="4" s="1"/>
  <c r="G1243" i="4"/>
  <c r="H1244" i="4" s="1"/>
  <c r="G1244" i="4"/>
  <c r="H1245" i="4" s="1"/>
  <c r="G1245" i="4"/>
  <c r="H1246" i="4" s="1"/>
  <c r="G1246" i="4"/>
  <c r="H1247" i="4" s="1"/>
  <c r="G1247" i="4"/>
  <c r="G1248" i="4"/>
  <c r="H1249" i="4" s="1"/>
  <c r="G1249" i="4"/>
  <c r="H1250" i="4" s="1"/>
  <c r="G1250" i="4"/>
  <c r="H1251" i="4" s="1"/>
  <c r="G1251" i="4"/>
  <c r="G1252" i="4"/>
  <c r="G1253" i="4"/>
  <c r="G1254" i="4"/>
  <c r="G1255" i="4"/>
  <c r="H1256" i="4" s="1"/>
  <c r="G1256" i="4"/>
  <c r="G1257" i="4"/>
  <c r="H1258" i="4" s="1"/>
  <c r="G1258" i="4"/>
  <c r="H1259" i="4" s="1"/>
  <c r="G1259" i="4"/>
  <c r="G1260" i="4"/>
  <c r="G1261" i="4"/>
  <c r="G1262" i="4"/>
  <c r="G1263" i="4"/>
  <c r="G1264" i="4"/>
  <c r="H1265" i="4" s="1"/>
  <c r="G1265" i="4"/>
  <c r="H1266" i="4" s="1"/>
  <c r="G1266" i="4"/>
  <c r="H1267" i="4" s="1"/>
  <c r="G1267" i="4"/>
  <c r="G1268" i="4"/>
  <c r="H1269" i="4" s="1"/>
  <c r="G1269" i="4"/>
  <c r="G1270" i="4"/>
  <c r="G1271" i="4"/>
  <c r="G1272" i="4"/>
  <c r="G1273" i="4"/>
  <c r="G1274" i="4"/>
  <c r="H1275" i="4" s="1"/>
  <c r="G1275" i="4"/>
  <c r="H1276" i="4" s="1"/>
  <c r="G1276" i="4"/>
  <c r="G1277" i="4"/>
  <c r="H1278" i="4" s="1"/>
  <c r="G1278" i="4"/>
  <c r="H1279" i="4" s="1"/>
  <c r="G1279" i="4"/>
  <c r="G1280" i="4"/>
  <c r="G1281" i="4"/>
  <c r="G1282" i="4"/>
  <c r="G1283" i="4"/>
  <c r="G1284" i="4"/>
  <c r="H1285" i="4" s="1"/>
  <c r="G1285" i="4"/>
  <c r="H1286" i="4" s="1"/>
  <c r="G1286" i="4"/>
  <c r="H1287" i="4" s="1"/>
  <c r="G1287" i="4"/>
  <c r="G1288" i="4"/>
  <c r="H1289" i="4" s="1"/>
  <c r="G1289" i="4"/>
  <c r="G1290" i="4"/>
  <c r="G1291" i="4"/>
  <c r="G1292" i="4"/>
  <c r="G1293" i="4"/>
  <c r="G1294" i="4"/>
  <c r="G1295" i="4"/>
  <c r="H1296" i="4" s="1"/>
  <c r="G1296" i="4"/>
  <c r="G1297" i="4"/>
  <c r="H1298" i="4" s="1"/>
  <c r="G1298" i="4"/>
  <c r="H1299" i="4" s="1"/>
  <c r="G1299" i="4"/>
  <c r="G1300" i="4"/>
  <c r="G1301" i="4"/>
  <c r="G1302" i="4"/>
  <c r="G1303" i="4"/>
  <c r="H1304" i="4" s="1"/>
  <c r="G1304" i="4"/>
  <c r="H1305" i="4" s="1"/>
  <c r="G1305" i="4"/>
  <c r="H1306" i="4" s="1"/>
  <c r="G1306" i="4"/>
  <c r="H1307" i="4" s="1"/>
  <c r="G1307" i="4"/>
  <c r="H1308" i="4" s="1"/>
  <c r="G1308" i="4"/>
  <c r="H1309" i="4" s="1"/>
  <c r="G1309" i="4"/>
  <c r="H1310" i="4" s="1"/>
  <c r="G1310" i="4"/>
  <c r="G1311" i="4"/>
  <c r="G1312" i="4"/>
  <c r="G1313" i="4"/>
  <c r="G1314" i="4"/>
  <c r="G1315" i="4"/>
  <c r="H1316" i="4" s="1"/>
  <c r="G1316" i="4"/>
  <c r="G1317" i="4"/>
  <c r="H1318" i="4" s="1"/>
  <c r="G1318" i="4"/>
  <c r="H1319" i="4" s="1"/>
  <c r="G1319" i="4"/>
  <c r="G1320" i="4"/>
  <c r="G1321" i="4"/>
  <c r="G1322" i="4"/>
  <c r="G1323" i="4"/>
  <c r="G1324" i="4"/>
  <c r="H1325" i="4" s="1"/>
  <c r="G1325" i="4"/>
  <c r="H1326" i="4" s="1"/>
  <c r="G1326" i="4"/>
  <c r="H1327" i="4" s="1"/>
  <c r="G1327" i="4"/>
  <c r="G1328" i="4"/>
  <c r="H1329" i="4" s="1"/>
  <c r="G1329" i="4"/>
  <c r="G1330" i="4"/>
  <c r="G1331" i="4"/>
  <c r="G1332" i="4"/>
  <c r="G1333" i="4"/>
  <c r="G1334" i="4"/>
  <c r="G1335" i="4"/>
  <c r="H1336" i="4" s="1"/>
  <c r="G1336" i="4"/>
  <c r="G1337" i="4"/>
  <c r="H1338" i="4" s="1"/>
  <c r="G1338" i="4"/>
  <c r="H1339" i="4" s="1"/>
  <c r="G1339" i="4"/>
  <c r="G1340" i="4"/>
  <c r="G1341" i="4"/>
  <c r="H1342" i="4" s="1"/>
  <c r="G1342" i="4"/>
  <c r="H1343" i="4" s="1"/>
  <c r="G1343" i="4"/>
  <c r="G1344" i="4"/>
  <c r="H1345" i="4" s="1"/>
  <c r="G1345" i="4"/>
  <c r="H1346" i="4" s="1"/>
  <c r="G1346" i="4"/>
  <c r="H1347" i="4" s="1"/>
  <c r="G1347" i="4"/>
  <c r="H1348" i="4" s="1"/>
  <c r="G1348" i="4"/>
  <c r="H1349" i="4" s="1"/>
  <c r="G1349" i="4"/>
  <c r="G1350" i="4"/>
  <c r="G1351" i="4"/>
  <c r="G1352" i="4"/>
  <c r="G1353" i="4"/>
  <c r="G1354" i="4"/>
  <c r="G1355" i="4"/>
  <c r="H1356" i="4" s="1"/>
  <c r="G1356" i="4"/>
  <c r="G1357" i="4"/>
  <c r="H1358" i="4" s="1"/>
  <c r="G1358" i="4"/>
  <c r="H1359" i="4" s="1"/>
  <c r="G1359" i="4"/>
  <c r="G1360" i="4"/>
  <c r="G1361" i="4"/>
  <c r="G1362" i="4"/>
  <c r="G1363" i="4"/>
  <c r="G1364" i="4"/>
  <c r="H1365" i="4" s="1"/>
  <c r="G1365" i="4"/>
  <c r="H1366" i="4" s="1"/>
  <c r="G1366" i="4"/>
  <c r="H1367" i="4" s="1"/>
  <c r="G1367" i="4"/>
  <c r="H1368" i="4" s="1"/>
  <c r="G1368" i="4"/>
  <c r="H1369" i="4" s="1"/>
  <c r="G1369" i="4"/>
  <c r="G1370" i="4"/>
  <c r="G1371" i="4"/>
  <c r="G1372" i="4"/>
  <c r="G1373" i="4"/>
  <c r="G1374" i="4"/>
  <c r="H1375" i="4" s="1"/>
  <c r="G1375" i="4"/>
  <c r="H1376" i="4" s="1"/>
  <c r="G1376" i="4"/>
  <c r="G1377" i="4"/>
  <c r="H1378" i="4" s="1"/>
  <c r="G1378" i="4"/>
  <c r="H1379" i="4" s="1"/>
  <c r="G1379" i="4"/>
  <c r="G1380" i="4"/>
  <c r="G1381" i="4"/>
  <c r="G1382" i="4"/>
  <c r="G1383" i="4"/>
  <c r="G1384" i="4"/>
  <c r="H1385" i="4" s="1"/>
  <c r="G1385" i="4"/>
  <c r="H1386" i="4" s="1"/>
  <c r="G1386" i="4"/>
  <c r="H1387" i="4" s="1"/>
  <c r="G1387" i="4"/>
  <c r="G1388" i="4"/>
  <c r="H1389" i="4" s="1"/>
  <c r="G1389" i="4"/>
  <c r="G1390" i="4"/>
  <c r="G1391" i="4"/>
  <c r="G1392" i="4"/>
  <c r="G1393" i="4"/>
  <c r="G1394" i="4"/>
  <c r="G1395" i="4"/>
  <c r="H1396" i="4" s="1"/>
  <c r="G1396" i="4"/>
  <c r="G1397" i="4"/>
  <c r="H1398" i="4" s="1"/>
  <c r="G1398" i="4"/>
  <c r="H1399" i="4" s="1"/>
  <c r="G1399" i="4"/>
  <c r="H1400" i="4" s="1"/>
  <c r="G1400" i="4"/>
  <c r="G1401" i="4"/>
  <c r="H1402" i="4" s="1"/>
  <c r="G1402" i="4"/>
  <c r="H1403" i="4" s="1"/>
  <c r="G1403" i="4"/>
  <c r="H1404" i="4" s="1"/>
  <c r="G1404" i="4"/>
  <c r="H1405" i="4" s="1"/>
  <c r="G1405" i="4"/>
  <c r="H1406" i="4" s="1"/>
  <c r="G1406" i="4"/>
  <c r="H1407" i="4" s="1"/>
  <c r="G1407" i="4"/>
  <c r="G1408" i="4"/>
  <c r="H1409" i="4" s="1"/>
  <c r="G1409" i="4"/>
  <c r="H1410" i="4" s="1"/>
  <c r="G1410" i="4"/>
  <c r="G1411" i="4"/>
  <c r="H1412" i="4" s="1"/>
  <c r="G1412" i="4"/>
  <c r="G1413" i="4"/>
  <c r="G1414" i="4"/>
  <c r="G1415" i="4"/>
  <c r="H1416" i="4" s="1"/>
  <c r="G1416" i="4"/>
  <c r="G1417" i="4"/>
  <c r="H1418" i="4" s="1"/>
  <c r="G1418" i="4"/>
  <c r="H1419" i="4" s="1"/>
  <c r="G1419" i="4"/>
  <c r="G1420" i="4"/>
  <c r="G1421" i="4"/>
  <c r="H1422" i="4" s="1"/>
  <c r="G1422" i="4"/>
  <c r="G1423" i="4"/>
  <c r="G1424" i="4"/>
  <c r="H1425" i="4" s="1"/>
  <c r="G1425" i="4"/>
  <c r="H1426" i="4" s="1"/>
  <c r="G1426" i="4"/>
  <c r="H1427" i="4" s="1"/>
  <c r="G1427" i="4"/>
  <c r="G1428" i="4"/>
  <c r="H1429" i="4" s="1"/>
  <c r="G1429" i="4"/>
  <c r="G1430" i="4"/>
  <c r="G1431" i="4"/>
  <c r="H1432" i="4" s="1"/>
  <c r="G1432" i="4"/>
  <c r="G1433" i="4"/>
  <c r="G1434" i="4"/>
  <c r="G1435" i="4"/>
  <c r="H1436" i="4" s="1"/>
  <c r="G1436" i="4"/>
  <c r="G1437" i="4"/>
  <c r="H1438" i="4" s="1"/>
  <c r="G1438" i="4"/>
  <c r="H1439" i="4" s="1"/>
  <c r="G1439" i="4"/>
  <c r="G1440" i="4"/>
  <c r="G1441" i="4"/>
  <c r="H1442" i="4" s="1"/>
  <c r="G1442" i="4"/>
  <c r="G1443" i="4"/>
  <c r="G1444" i="4"/>
  <c r="H1445" i="4" s="1"/>
  <c r="G1445" i="4"/>
  <c r="G1446" i="4"/>
  <c r="H1447" i="4" s="1"/>
  <c r="G1447" i="4"/>
  <c r="G1448" i="4"/>
  <c r="G1449" i="4"/>
  <c r="G1450" i="4"/>
  <c r="G1451" i="4"/>
  <c r="G1452" i="4"/>
  <c r="H1453" i="4" s="1"/>
  <c r="G1453" i="4"/>
  <c r="G1454" i="4"/>
  <c r="G1455" i="4"/>
  <c r="H1456" i="4" s="1"/>
  <c r="G1456" i="4"/>
  <c r="G1457" i="4"/>
  <c r="H1458" i="4" s="1"/>
  <c r="G1458" i="4"/>
  <c r="H1459" i="4" s="1"/>
  <c r="G1459" i="4"/>
  <c r="G1460" i="4"/>
  <c r="G1461" i="4"/>
  <c r="H1462" i="4" s="1"/>
  <c r="G1462" i="4"/>
  <c r="H1463" i="4" s="1"/>
  <c r="G1463" i="4"/>
  <c r="H1464" i="4" s="1"/>
  <c r="G1464" i="4"/>
  <c r="H1465" i="4" s="1"/>
  <c r="G1465" i="4"/>
  <c r="H1466" i="4" s="1"/>
  <c r="G1466" i="4"/>
  <c r="H1467" i="4" s="1"/>
  <c r="G1467" i="4"/>
  <c r="G1468" i="4"/>
  <c r="H1469" i="4" s="1"/>
  <c r="G1469" i="4"/>
  <c r="H1470" i="4" s="1"/>
  <c r="G1470" i="4"/>
  <c r="G1471" i="4"/>
  <c r="G1472" i="4"/>
  <c r="G1473" i="4"/>
  <c r="G1474" i="4"/>
  <c r="G1475" i="4"/>
  <c r="H1476" i="4" s="1"/>
  <c r="G1476" i="4"/>
  <c r="G1477" i="4"/>
  <c r="G1478" i="4"/>
  <c r="H1479" i="4" s="1"/>
  <c r="G1479" i="4"/>
  <c r="G1480" i="4"/>
  <c r="G1481" i="4"/>
  <c r="G1482" i="4"/>
  <c r="G1483" i="4"/>
  <c r="G1484" i="4"/>
  <c r="H1485" i="4" s="1"/>
  <c r="G1485" i="4"/>
  <c r="H1486" i="4" s="1"/>
  <c r="G1486" i="4"/>
  <c r="H1487" i="4" s="1"/>
  <c r="G1487" i="4"/>
  <c r="G1488" i="4"/>
  <c r="H1489" i="4" s="1"/>
  <c r="G1489" i="4"/>
  <c r="G1490" i="4"/>
  <c r="G1491" i="4"/>
  <c r="G1492" i="4"/>
  <c r="G1493" i="4"/>
  <c r="H1494" i="4" s="1"/>
  <c r="G1494" i="4"/>
  <c r="G1495" i="4"/>
  <c r="H1496" i="4" s="1"/>
  <c r="G1496" i="4"/>
  <c r="G1497" i="4"/>
  <c r="H1498" i="4" s="1"/>
  <c r="G1498" i="4"/>
  <c r="H1499" i="4" s="1"/>
  <c r="G1499" i="4"/>
  <c r="G1500" i="4"/>
  <c r="G1501" i="4"/>
  <c r="G1502" i="4"/>
  <c r="H1503" i="4" s="1"/>
  <c r="G1503" i="4"/>
  <c r="H1504" i="4" s="1"/>
  <c r="G1504" i="4"/>
  <c r="H1505" i="4" s="1"/>
  <c r="G1505" i="4"/>
  <c r="H1506" i="4" s="1"/>
  <c r="G1506" i="4"/>
  <c r="H1507" i="4" s="1"/>
  <c r="G1507" i="4"/>
  <c r="G1508" i="4"/>
  <c r="H1509" i="4" s="1"/>
  <c r="G1509" i="4"/>
  <c r="G1510" i="4"/>
  <c r="G1511" i="4"/>
  <c r="G1512" i="4"/>
  <c r="G1513" i="4"/>
  <c r="G1514" i="4"/>
  <c r="G1515" i="4"/>
  <c r="H1516" i="4" s="1"/>
  <c r="G1516" i="4"/>
  <c r="G1517" i="4"/>
  <c r="H1518" i="4" s="1"/>
  <c r="G1518" i="4"/>
  <c r="H1519" i="4" s="1"/>
  <c r="G1519" i="4"/>
  <c r="G1520" i="4"/>
  <c r="G1521" i="4"/>
  <c r="G1522" i="4"/>
  <c r="H1523" i="4" s="1"/>
  <c r="G1523" i="4"/>
  <c r="H1524" i="4" s="1"/>
  <c r="G1524" i="4"/>
  <c r="H1525" i="4" s="1"/>
  <c r="G1525" i="4"/>
  <c r="H1526" i="4" s="1"/>
  <c r="G1526" i="4"/>
  <c r="H1527" i="4" s="1"/>
  <c r="G1527" i="4"/>
  <c r="G1528" i="4"/>
  <c r="H1529" i="4" s="1"/>
  <c r="G1529" i="4"/>
  <c r="G1530" i="4"/>
  <c r="H1531" i="4" s="1"/>
  <c r="G1531" i="4"/>
  <c r="H1532" i="4" s="1"/>
  <c r="G1532" i="4"/>
  <c r="G1533" i="4"/>
  <c r="G1534" i="4"/>
  <c r="G1535" i="4"/>
  <c r="H1536" i="4" s="1"/>
  <c r="G1536" i="4"/>
  <c r="G1537" i="4"/>
  <c r="H1538" i="4" s="1"/>
  <c r="G1538" i="4"/>
  <c r="H1539" i="4" s="1"/>
  <c r="G1539" i="4"/>
  <c r="G1540" i="4"/>
  <c r="G1541" i="4"/>
  <c r="G1542" i="4"/>
  <c r="G1543" i="4"/>
  <c r="G1544" i="4"/>
  <c r="H1545" i="4" s="1"/>
  <c r="G1545" i="4"/>
  <c r="H1546" i="4" s="1"/>
  <c r="G1546" i="4"/>
  <c r="H1547" i="4" s="1"/>
  <c r="G1547" i="4"/>
  <c r="G1548" i="4"/>
  <c r="H1549" i="4" s="1"/>
  <c r="G1549" i="4"/>
  <c r="H1550" i="4" s="1"/>
  <c r="G1550" i="4"/>
  <c r="H1551" i="4" s="1"/>
  <c r="G1551" i="4"/>
  <c r="G1552" i="4"/>
  <c r="G1553" i="4"/>
  <c r="G1554" i="4"/>
  <c r="G1555" i="4"/>
  <c r="H1556" i="4" s="1"/>
  <c r="G1556" i="4"/>
  <c r="G1557" i="4"/>
  <c r="H1558" i="4" s="1"/>
  <c r="G1558" i="4"/>
  <c r="H1559" i="4" s="1"/>
  <c r="G1559" i="4"/>
  <c r="G1560" i="4"/>
  <c r="G1561" i="4"/>
  <c r="H1562" i="4" s="1"/>
  <c r="G1562" i="4"/>
  <c r="H1563" i="4" s="1"/>
  <c r="G1563" i="4"/>
  <c r="G1564" i="4"/>
  <c r="H1565" i="4" s="1"/>
  <c r="G1565" i="4"/>
  <c r="H1566" i="4" s="1"/>
  <c r="G1566" i="4"/>
  <c r="H1567" i="4" s="1"/>
  <c r="G1567" i="4"/>
  <c r="G1568" i="4"/>
  <c r="H1569" i="4" s="1"/>
  <c r="G1569" i="4"/>
  <c r="G1570" i="4"/>
  <c r="G1571" i="4"/>
  <c r="G1572" i="4"/>
  <c r="G1573" i="4"/>
  <c r="G1574" i="4"/>
  <c r="H1575" i="4" s="1"/>
  <c r="G1575" i="4"/>
  <c r="H1576" i="4" s="1"/>
  <c r="G1576" i="4"/>
  <c r="G1577" i="4"/>
  <c r="G1578" i="4"/>
  <c r="G1579" i="4"/>
  <c r="G1580" i="4"/>
  <c r="G1581" i="4"/>
  <c r="G1582" i="4"/>
  <c r="G1583" i="4"/>
  <c r="G1584" i="4"/>
  <c r="H1585" i="4" s="1"/>
  <c r="G1585" i="4"/>
  <c r="G1586" i="4"/>
  <c r="H1587" i="4" s="1"/>
  <c r="G1587" i="4"/>
  <c r="H1588" i="4" s="1"/>
  <c r="G1588" i="4"/>
  <c r="H1589" i="4" s="1"/>
  <c r="G1589" i="4"/>
  <c r="H1590" i="4" s="1"/>
  <c r="G1590" i="4"/>
  <c r="G1591" i="4"/>
  <c r="G1592" i="4"/>
  <c r="G1593" i="4"/>
  <c r="G1594" i="4"/>
  <c r="G1595" i="4"/>
  <c r="H1596" i="4" s="1"/>
  <c r="G1596" i="4"/>
  <c r="G1597" i="4"/>
  <c r="H1598" i="4" s="1"/>
  <c r="G1598" i="4"/>
  <c r="H1599" i="4" s="1"/>
  <c r="G1599" i="4"/>
  <c r="G1600" i="4"/>
  <c r="G1601" i="4"/>
  <c r="G1602" i="4"/>
  <c r="G1603" i="4"/>
  <c r="G1604" i="4"/>
  <c r="H1605" i="4" s="1"/>
  <c r="G1605" i="4"/>
  <c r="H1606" i="4" s="1"/>
  <c r="G1606" i="4"/>
  <c r="H1607" i="4" s="1"/>
  <c r="G1607" i="4"/>
  <c r="G1608" i="4"/>
  <c r="H1609" i="4" s="1"/>
  <c r="G1609" i="4"/>
  <c r="G1610" i="4"/>
  <c r="G1611" i="4"/>
  <c r="G1612" i="4"/>
  <c r="G1613" i="4"/>
  <c r="H1614" i="4" s="1"/>
  <c r="G1614" i="4"/>
  <c r="H1615" i="4" s="1"/>
  <c r="G1615" i="4"/>
  <c r="H1616" i="4" s="1"/>
  <c r="G1616" i="4"/>
  <c r="H1617" i="4" s="1"/>
  <c r="G1617" i="4"/>
  <c r="H1618" i="4" s="1"/>
  <c r="G1618" i="4"/>
  <c r="H1619" i="4" s="1"/>
  <c r="G1619" i="4"/>
  <c r="G1620" i="4"/>
  <c r="G1621" i="4"/>
  <c r="H1622" i="4" s="1"/>
  <c r="G1622" i="4"/>
  <c r="H1623" i="4" s="1"/>
  <c r="G1623" i="4"/>
  <c r="H1624" i="4" s="1"/>
  <c r="G1624" i="4"/>
  <c r="H1625" i="4" s="1"/>
  <c r="G1625" i="4"/>
  <c r="H1626" i="4" s="1"/>
  <c r="G1626" i="4"/>
  <c r="H1627" i="4" s="1"/>
  <c r="G1627" i="4"/>
  <c r="G1628" i="4"/>
  <c r="H1629" i="4" s="1"/>
  <c r="G1629" i="4"/>
  <c r="G1630" i="4"/>
  <c r="G1631" i="4"/>
  <c r="G1632" i="4"/>
  <c r="H1633" i="4" s="1"/>
  <c r="G1633" i="4"/>
  <c r="G1634" i="4"/>
  <c r="G1635" i="4"/>
  <c r="H1636" i="4" s="1"/>
  <c r="G1636" i="4"/>
  <c r="G1637" i="4"/>
  <c r="G1638" i="4"/>
  <c r="G1639" i="4"/>
  <c r="G1640" i="4"/>
  <c r="G1641" i="4"/>
  <c r="G1642" i="4"/>
  <c r="G1643" i="4"/>
  <c r="G1644" i="4"/>
  <c r="H1645" i="4" s="1"/>
  <c r="G1645" i="4"/>
  <c r="H1646" i="4" s="1"/>
  <c r="G1646" i="4"/>
  <c r="H1647" i="4" s="1"/>
  <c r="G1647" i="4"/>
  <c r="H1648" i="4" s="1"/>
  <c r="G1648" i="4"/>
  <c r="H1649" i="4" s="1"/>
  <c r="G1649" i="4"/>
  <c r="G1650" i="4"/>
  <c r="G1651" i="4"/>
  <c r="G1652" i="4"/>
  <c r="H1653" i="4" s="1"/>
  <c r="G1653" i="4"/>
  <c r="G1654" i="4"/>
  <c r="H1655" i="4" s="1"/>
  <c r="G1655" i="4"/>
  <c r="H1656" i="4" s="1"/>
  <c r="G1656" i="4"/>
  <c r="G1657" i="4"/>
  <c r="H1658" i="4" s="1"/>
  <c r="G1658" i="4"/>
  <c r="H1659" i="4" s="1"/>
  <c r="G1659" i="4"/>
  <c r="G1660" i="4"/>
  <c r="G1661" i="4"/>
  <c r="H1662" i="4" s="1"/>
  <c r="G1662" i="4"/>
  <c r="G1663" i="4"/>
  <c r="G1664" i="4"/>
  <c r="H1665" i="4" s="1"/>
  <c r="G1665" i="4"/>
  <c r="H1666" i="4" s="1"/>
  <c r="G1666" i="4"/>
  <c r="H1667" i="4" s="1"/>
  <c r="G1667" i="4"/>
  <c r="G1668" i="4"/>
  <c r="H1669" i="4" s="1"/>
  <c r="G1669" i="4"/>
  <c r="G1670" i="4"/>
  <c r="H1671" i="4" s="1"/>
  <c r="G1671" i="4"/>
  <c r="H1672" i="4" s="1"/>
  <c r="G1672" i="4"/>
  <c r="G1673" i="4"/>
  <c r="G1674" i="4"/>
  <c r="H1675" i="4" s="1"/>
  <c r="G1675" i="4"/>
  <c r="H1676" i="4" s="1"/>
  <c r="G1676" i="4"/>
  <c r="G1677" i="4"/>
  <c r="H1678" i="4" s="1"/>
  <c r="G1678" i="4"/>
  <c r="H1679" i="4" s="1"/>
  <c r="G1679" i="4"/>
  <c r="G1680" i="4"/>
  <c r="H1681" i="4" s="1"/>
  <c r="G1681" i="4"/>
  <c r="H1682" i="4" s="1"/>
  <c r="G1682" i="4"/>
  <c r="G1683" i="4"/>
  <c r="H1684" i="4" s="1"/>
  <c r="G1684" i="4"/>
  <c r="H1685" i="4" s="1"/>
  <c r="G1685" i="4"/>
  <c r="H1686" i="4" s="1"/>
  <c r="G1686" i="4"/>
  <c r="H1687" i="4" s="1"/>
  <c r="G1687" i="4"/>
  <c r="G1688" i="4"/>
  <c r="H1689" i="4" s="1"/>
  <c r="G1689" i="4"/>
  <c r="G1690" i="4"/>
  <c r="G1691" i="4"/>
  <c r="G1692" i="4"/>
  <c r="G1693" i="4"/>
  <c r="G1694" i="4"/>
  <c r="G1695" i="4"/>
  <c r="H1696" i="4" s="1"/>
  <c r="G1696" i="4"/>
  <c r="G1697" i="4"/>
  <c r="H1698" i="4" s="1"/>
  <c r="G1698" i="4"/>
  <c r="G1699" i="4"/>
  <c r="G1700" i="4"/>
  <c r="H1701" i="4" s="1"/>
  <c r="G1701" i="4"/>
  <c r="G1702" i="4"/>
  <c r="G1703" i="4"/>
  <c r="G1704" i="4"/>
  <c r="H1705" i="4" s="1"/>
  <c r="G1705" i="4"/>
  <c r="H1706" i="4" s="1"/>
  <c r="G1706" i="4"/>
  <c r="H1707" i="4" s="1"/>
  <c r="G1707" i="4"/>
  <c r="G1708" i="4"/>
  <c r="H1709" i="4" s="1"/>
  <c r="G1709" i="4"/>
  <c r="G1710" i="4"/>
  <c r="G1711" i="4"/>
  <c r="G1712" i="4"/>
  <c r="H1713" i="4" s="1"/>
  <c r="G1713" i="4"/>
  <c r="H1714" i="4" s="1"/>
  <c r="G1714" i="4"/>
  <c r="H1715" i="4" s="1"/>
  <c r="G1715" i="4"/>
  <c r="H1716" i="4" s="1"/>
  <c r="G1716" i="4"/>
  <c r="H1717" i="4" s="1"/>
  <c r="G1717" i="4"/>
  <c r="H1718" i="4" s="1"/>
  <c r="G1718" i="4"/>
  <c r="H1719" i="4" s="1"/>
  <c r="G1719" i="4"/>
  <c r="G1720" i="4"/>
  <c r="G1721" i="4"/>
  <c r="H1722" i="4" s="1"/>
  <c r="G1722" i="4"/>
  <c r="G1723" i="4"/>
  <c r="G1724" i="4"/>
  <c r="H1725" i="4" s="1"/>
  <c r="G1725" i="4"/>
  <c r="H1726" i="4" s="1"/>
  <c r="G1726" i="4"/>
  <c r="H1727" i="4" s="1"/>
  <c r="G1727" i="4"/>
  <c r="G1728" i="4"/>
  <c r="H1729" i="4" s="1"/>
  <c r="G1729" i="4"/>
  <c r="G1730" i="4"/>
  <c r="G1731" i="4"/>
  <c r="G1732" i="4"/>
  <c r="G1733" i="4"/>
  <c r="H1734" i="4" s="1"/>
  <c r="G1734" i="4"/>
  <c r="H1735" i="4" s="1"/>
  <c r="G1735" i="4"/>
  <c r="H1736" i="4" s="1"/>
  <c r="G1736" i="4"/>
  <c r="G1737" i="4"/>
  <c r="H1738" i="4" s="1"/>
  <c r="G1738" i="4"/>
  <c r="H1739" i="4" s="1"/>
  <c r="G1739" i="4"/>
  <c r="G1740" i="4"/>
  <c r="H1741" i="4" s="1"/>
  <c r="G1741" i="4"/>
  <c r="H1742" i="4" s="1"/>
  <c r="G1742" i="4"/>
  <c r="H1743" i="4" s="1"/>
  <c r="G1743" i="4"/>
  <c r="H1744" i="4" s="1"/>
  <c r="G1744" i="4"/>
  <c r="H1745" i="4" s="1"/>
  <c r="G1745" i="4"/>
  <c r="H1746" i="4" s="1"/>
  <c r="G1746" i="4"/>
  <c r="H1747" i="4" s="1"/>
  <c r="G1747" i="4"/>
  <c r="G1748" i="4"/>
  <c r="H1749" i="4" s="1"/>
  <c r="G1749" i="4"/>
  <c r="G1750" i="4"/>
  <c r="H1751" i="4" s="1"/>
  <c r="G1751" i="4"/>
  <c r="H1752" i="4" s="1"/>
  <c r="G1752" i="4"/>
  <c r="G1753" i="4"/>
  <c r="G1754" i="4"/>
  <c r="G1755" i="4"/>
  <c r="H1756" i="4" s="1"/>
  <c r="G1756" i="4"/>
  <c r="G1757" i="4"/>
  <c r="H1758" i="4" s="1"/>
  <c r="G1758" i="4"/>
  <c r="H1759" i="4" s="1"/>
  <c r="G1759" i="4"/>
  <c r="G1760" i="4"/>
  <c r="G1761" i="4"/>
  <c r="H1762" i="4" s="1"/>
  <c r="G1762" i="4"/>
  <c r="H1763" i="4" s="1"/>
  <c r="G1763" i="4"/>
  <c r="H1764" i="4" s="1"/>
  <c r="G1764" i="4"/>
  <c r="H1765" i="4" s="1"/>
  <c r="G1765" i="4"/>
  <c r="H1766" i="4" s="1"/>
  <c r="G1766" i="4"/>
  <c r="H1767" i="4" s="1"/>
  <c r="G1767" i="4"/>
  <c r="G1768" i="4"/>
  <c r="H1769" i="4" s="1"/>
  <c r="G1769" i="4"/>
  <c r="G1770" i="4"/>
  <c r="H1771" i="4" s="1"/>
  <c r="G1771" i="4"/>
  <c r="G1772" i="4"/>
  <c r="G1773" i="4"/>
  <c r="G1774" i="4"/>
  <c r="G1775" i="4"/>
  <c r="G1776" i="4"/>
  <c r="G1777" i="4"/>
  <c r="H1778" i="4" s="1"/>
  <c r="G1778" i="4"/>
  <c r="G1779" i="4"/>
  <c r="G1780" i="4"/>
  <c r="H1781" i="4" s="1"/>
  <c r="G1781" i="4"/>
  <c r="H1782" i="4" s="1"/>
  <c r="G1782" i="4"/>
  <c r="G1783" i="4"/>
  <c r="H1784" i="4" s="1"/>
  <c r="G1784" i="4"/>
  <c r="H1785" i="4" s="1"/>
  <c r="G1785" i="4"/>
  <c r="H1786" i="4" s="1"/>
  <c r="G1786" i="4"/>
  <c r="H1787" i="4" s="1"/>
  <c r="G1787" i="4"/>
  <c r="G1788" i="4"/>
  <c r="H1789" i="4" s="1"/>
  <c r="G1789" i="4"/>
  <c r="H1790" i="4" s="1"/>
  <c r="G1790" i="4"/>
  <c r="H1791" i="4" s="1"/>
  <c r="G1791" i="4"/>
  <c r="H1792" i="4" s="1"/>
  <c r="G1792" i="4"/>
  <c r="G1793" i="4"/>
  <c r="G1794" i="4"/>
  <c r="H1795" i="4" s="1"/>
  <c r="G1795" i="4"/>
  <c r="H1796" i="4" s="1"/>
  <c r="G1796" i="4"/>
  <c r="G1797" i="4"/>
  <c r="H1798" i="4" s="1"/>
  <c r="G1798" i="4"/>
  <c r="H1799" i="4" s="1"/>
  <c r="G1799" i="4"/>
  <c r="G1800" i="4"/>
  <c r="G1801" i="4"/>
  <c r="H1802" i="4" s="1"/>
  <c r="G1802" i="4"/>
  <c r="G1803" i="4"/>
  <c r="G1804" i="4"/>
  <c r="H1805" i="4" s="1"/>
  <c r="G1805" i="4"/>
  <c r="H1806" i="4" s="1"/>
  <c r="G1806" i="4"/>
  <c r="H1807" i="4" s="1"/>
  <c r="G1807" i="4"/>
  <c r="G1808" i="4"/>
  <c r="H1809" i="4" s="1"/>
  <c r="G1809" i="4"/>
  <c r="G1810" i="4"/>
  <c r="G1811" i="4"/>
  <c r="G1812" i="4"/>
  <c r="G1813" i="4"/>
  <c r="G1814" i="4"/>
  <c r="H1815" i="4" s="1"/>
  <c r="G1815" i="4"/>
  <c r="H1816" i="4" s="1"/>
  <c r="G1816" i="4"/>
  <c r="G1817" i="4"/>
  <c r="H1818" i="4" s="1"/>
  <c r="G1818" i="4"/>
  <c r="H1819" i="4" s="1"/>
  <c r="G1819" i="4"/>
  <c r="G1820" i="4"/>
  <c r="G1821" i="4"/>
  <c r="G1822" i="4"/>
  <c r="G1823" i="4"/>
  <c r="G1824" i="4"/>
  <c r="G1825" i="4"/>
  <c r="H1826" i="4" s="1"/>
  <c r="G1826" i="4"/>
  <c r="H1827" i="4" s="1"/>
  <c r="G1827" i="4"/>
  <c r="G1828" i="4"/>
  <c r="H1829" i="4" s="1"/>
  <c r="G1829" i="4"/>
  <c r="H1830" i="4" s="1"/>
  <c r="G1830" i="4"/>
  <c r="H1831" i="4" s="1"/>
  <c r="G1831" i="4"/>
  <c r="H1832" i="4" s="1"/>
  <c r="G1832" i="4"/>
  <c r="H1833" i="4" s="1"/>
  <c r="G1833" i="4"/>
  <c r="H1834" i="4" s="1"/>
  <c r="G1834" i="4"/>
  <c r="H1835" i="4" s="1"/>
  <c r="G1835" i="4"/>
  <c r="H1836" i="4" s="1"/>
  <c r="G1836" i="4"/>
  <c r="H1837" i="4" s="1"/>
  <c r="G1837" i="4"/>
  <c r="H1838" i="4" s="1"/>
  <c r="G1838" i="4"/>
  <c r="H1839" i="4" s="1"/>
  <c r="G1839" i="4"/>
  <c r="G1840" i="4"/>
  <c r="H1841" i="4" s="1"/>
  <c r="G1841" i="4"/>
  <c r="H1842" i="4" s="1"/>
  <c r="G1842" i="4"/>
  <c r="H1843" i="4" s="1"/>
  <c r="G1843" i="4"/>
  <c r="H1844" i="4" s="1"/>
  <c r="G1844" i="4"/>
  <c r="G1845" i="4"/>
  <c r="H1846" i="4" s="1"/>
  <c r="G1846" i="4"/>
  <c r="H1847" i="4" s="1"/>
  <c r="G1847" i="4"/>
  <c r="G1848" i="4"/>
  <c r="H1849" i="4" s="1"/>
  <c r="G1849" i="4"/>
  <c r="G1850" i="4"/>
  <c r="G1851" i="4"/>
  <c r="G1852" i="4"/>
  <c r="G1853" i="4"/>
  <c r="G1854" i="4"/>
  <c r="G1855" i="4"/>
  <c r="H1856" i="4" s="1"/>
  <c r="G1856" i="4"/>
  <c r="G1857" i="4"/>
  <c r="H1858" i="4" s="1"/>
  <c r="G1858" i="4"/>
  <c r="H1859" i="4" s="1"/>
  <c r="G1859" i="4"/>
  <c r="G1860" i="4"/>
  <c r="H1861" i="4" s="1"/>
  <c r="G1861" i="4"/>
  <c r="H1862" i="4" s="1"/>
  <c r="G1862" i="4"/>
  <c r="H1863" i="4" s="1"/>
  <c r="G1863" i="4"/>
  <c r="H1864" i="4" s="1"/>
  <c r="G1864" i="4"/>
  <c r="H1865" i="4" s="1"/>
  <c r="G1865" i="4"/>
  <c r="H1866" i="4" s="1"/>
  <c r="G1866" i="4"/>
  <c r="H1867" i="4" s="1"/>
  <c r="G1867" i="4"/>
  <c r="G1868" i="4"/>
  <c r="H1869" i="4" s="1"/>
  <c r="G1869" i="4"/>
  <c r="G1870" i="4"/>
  <c r="G1871" i="4"/>
  <c r="G1872" i="4"/>
  <c r="G1873" i="4"/>
  <c r="G1874" i="4"/>
  <c r="G1875" i="4"/>
  <c r="H1876" i="4" s="1"/>
  <c r="G1876" i="4"/>
  <c r="G1877" i="4"/>
  <c r="H1878" i="4" s="1"/>
  <c r="G1878" i="4"/>
  <c r="H1879" i="4" s="1"/>
  <c r="G1879" i="4"/>
  <c r="G1880" i="4"/>
  <c r="G1881" i="4"/>
  <c r="H1882" i="4" s="1"/>
  <c r="G1882" i="4"/>
  <c r="G1883" i="4"/>
  <c r="H1884" i="4" s="1"/>
  <c r="G1884" i="4"/>
  <c r="H1885" i="4" s="1"/>
  <c r="G1885" i="4"/>
  <c r="H1886" i="4" s="1"/>
  <c r="G1886" i="4"/>
  <c r="H1887" i="4" s="1"/>
  <c r="G1887" i="4"/>
  <c r="G1888" i="4"/>
  <c r="H1889" i="4" s="1"/>
  <c r="G1889" i="4"/>
  <c r="G1890" i="4"/>
  <c r="G1891" i="4"/>
  <c r="G1892" i="4"/>
  <c r="G1893" i="4"/>
  <c r="G1894" i="4"/>
  <c r="G1895" i="4"/>
  <c r="G1896" i="4"/>
  <c r="G1897" i="4"/>
  <c r="H1898" i="4" s="1"/>
  <c r="G1898" i="4"/>
  <c r="G1899" i="4"/>
  <c r="G1900" i="4"/>
  <c r="H1901" i="4" s="1"/>
  <c r="G1901" i="4"/>
  <c r="G1902" i="4"/>
  <c r="G1903" i="4"/>
  <c r="G1904" i="4"/>
  <c r="H1905" i="4" s="1"/>
  <c r="G1905" i="4"/>
  <c r="H1906" i="4" s="1"/>
  <c r="G1906" i="4"/>
  <c r="H1907" i="4" s="1"/>
  <c r="G1907" i="4"/>
  <c r="G1908" i="4"/>
  <c r="H1909" i="4" s="1"/>
  <c r="G1909" i="4"/>
  <c r="G1910" i="4"/>
  <c r="H1911" i="4" s="1"/>
  <c r="G1911" i="4"/>
  <c r="G1912" i="4"/>
  <c r="H1913" i="4" s="1"/>
  <c r="G1913" i="4"/>
  <c r="G1914" i="4"/>
  <c r="H1915" i="4" s="1"/>
  <c r="G1915" i="4"/>
  <c r="H1916" i="4" s="1"/>
  <c r="G1916" i="4"/>
  <c r="G1917" i="4"/>
  <c r="H1918" i="4" s="1"/>
  <c r="G1918" i="4"/>
  <c r="H1919" i="4" s="1"/>
  <c r="G1919" i="4"/>
  <c r="G1920" i="4"/>
  <c r="G1921" i="4"/>
  <c r="H1922" i="4" s="1"/>
  <c r="G1922" i="4"/>
  <c r="G1923" i="4"/>
  <c r="G1924" i="4"/>
  <c r="H1925" i="4" s="1"/>
  <c r="G1925" i="4"/>
  <c r="H1926" i="4" s="1"/>
  <c r="G1926" i="4"/>
  <c r="H1927" i="4" s="1"/>
  <c r="G1927" i="4"/>
  <c r="G1928" i="4"/>
  <c r="H1929" i="4" s="1"/>
  <c r="G1929" i="4"/>
  <c r="G1930" i="4"/>
  <c r="G1931" i="4"/>
  <c r="G1932" i="4"/>
  <c r="G1933" i="4"/>
  <c r="H1934" i="4" s="1"/>
  <c r="G1934" i="4"/>
  <c r="H1935" i="4" s="1"/>
  <c r="G1935" i="4"/>
  <c r="H1936" i="4" s="1"/>
  <c r="G1936" i="4"/>
  <c r="H1937" i="4" s="1"/>
  <c r="G1937" i="4"/>
  <c r="H1938" i="4" s="1"/>
  <c r="G1938" i="4"/>
  <c r="F7" i="4"/>
  <c r="F8" i="4"/>
  <c r="F9" i="4"/>
  <c r="F10" i="4"/>
  <c r="F11" i="4"/>
  <c r="F12" i="4"/>
  <c r="F13" i="4"/>
  <c r="F14" i="4"/>
  <c r="F15" i="4"/>
  <c r="F16" i="4"/>
  <c r="F17" i="4"/>
  <c r="F18" i="4"/>
  <c r="F19" i="4"/>
  <c r="F20" i="4"/>
  <c r="F21" i="4"/>
  <c r="F22" i="4"/>
  <c r="H23" i="4" s="1"/>
  <c r="F23" i="4"/>
  <c r="F24" i="4"/>
  <c r="F25" i="4"/>
  <c r="F26" i="4"/>
  <c r="F27" i="4"/>
  <c r="F28" i="4"/>
  <c r="F29" i="4"/>
  <c r="F30" i="4"/>
  <c r="F31" i="4"/>
  <c r="F32" i="4"/>
  <c r="F33" i="4"/>
  <c r="H34" i="4" s="1"/>
  <c r="F34" i="4"/>
  <c r="F35" i="4"/>
  <c r="F36" i="4"/>
  <c r="F37" i="4"/>
  <c r="F38" i="4"/>
  <c r="F39" i="4"/>
  <c r="H40" i="4" s="1"/>
  <c r="F40" i="4"/>
  <c r="F41" i="4"/>
  <c r="H42" i="4" s="1"/>
  <c r="F42" i="4"/>
  <c r="F43" i="4"/>
  <c r="H44" i="4" s="1"/>
  <c r="F44" i="4"/>
  <c r="F45" i="4"/>
  <c r="F46" i="4"/>
  <c r="F47" i="4"/>
  <c r="F48" i="4"/>
  <c r="F49" i="4"/>
  <c r="F50" i="4"/>
  <c r="F51" i="4"/>
  <c r="F52" i="4"/>
  <c r="F53" i="4"/>
  <c r="F54" i="4"/>
  <c r="F55" i="4"/>
  <c r="F56" i="4"/>
  <c r="F57" i="4"/>
  <c r="F58" i="4"/>
  <c r="F59" i="4"/>
  <c r="F60" i="4"/>
  <c r="H61" i="4" s="1"/>
  <c r="F61" i="4"/>
  <c r="F62" i="4"/>
  <c r="F63" i="4"/>
  <c r="F64" i="4"/>
  <c r="F65" i="4"/>
  <c r="F66" i="4"/>
  <c r="F67" i="4"/>
  <c r="F68" i="4"/>
  <c r="F69" i="4"/>
  <c r="F70" i="4"/>
  <c r="F71" i="4"/>
  <c r="F72" i="4"/>
  <c r="F73" i="4"/>
  <c r="F74" i="4"/>
  <c r="F75" i="4"/>
  <c r="F76" i="4"/>
  <c r="F77" i="4"/>
  <c r="F78" i="4"/>
  <c r="F79" i="4"/>
  <c r="F80" i="4"/>
  <c r="H81" i="4" s="1"/>
  <c r="F81" i="4"/>
  <c r="H82" i="4" s="1"/>
  <c r="F82" i="4"/>
  <c r="H83" i="4" s="1"/>
  <c r="F83" i="4"/>
  <c r="H84" i="4" s="1"/>
  <c r="F84" i="4"/>
  <c r="F85" i="4"/>
  <c r="F86" i="4"/>
  <c r="F87" i="4"/>
  <c r="F88" i="4"/>
  <c r="F89" i="4"/>
  <c r="F90" i="4"/>
  <c r="F91" i="4"/>
  <c r="F92" i="4"/>
  <c r="F93" i="4"/>
  <c r="F94" i="4"/>
  <c r="F95" i="4"/>
  <c r="F96" i="4"/>
  <c r="F97" i="4"/>
  <c r="F98" i="4"/>
  <c r="F99" i="4"/>
  <c r="F100" i="4"/>
  <c r="H101" i="4" s="1"/>
  <c r="F101" i="4"/>
  <c r="H102" i="4" s="1"/>
  <c r="F102" i="4"/>
  <c r="H103" i="4" s="1"/>
  <c r="F103" i="4"/>
  <c r="F104" i="4"/>
  <c r="F105" i="4"/>
  <c r="F106" i="4"/>
  <c r="F107" i="4"/>
  <c r="F108" i="4"/>
  <c r="F109" i="4"/>
  <c r="F110" i="4"/>
  <c r="F111" i="4"/>
  <c r="F112" i="4"/>
  <c r="F113" i="4"/>
  <c r="F114" i="4"/>
  <c r="H115" i="4" s="1"/>
  <c r="F115" i="4"/>
  <c r="F116" i="4"/>
  <c r="F117" i="4"/>
  <c r="F118" i="4"/>
  <c r="F119" i="4"/>
  <c r="F120" i="4"/>
  <c r="F121" i="4"/>
  <c r="F122" i="4"/>
  <c r="H123" i="4" s="1"/>
  <c r="F123" i="4"/>
  <c r="H124" i="4" s="1"/>
  <c r="F124" i="4"/>
  <c r="F125" i="4"/>
  <c r="F126" i="4"/>
  <c r="F127" i="4"/>
  <c r="F128" i="4"/>
  <c r="F129" i="4"/>
  <c r="H130" i="4" s="1"/>
  <c r="F130" i="4"/>
  <c r="F131" i="4"/>
  <c r="F132" i="4"/>
  <c r="F133" i="4"/>
  <c r="F134" i="4"/>
  <c r="F135" i="4"/>
  <c r="F136" i="4"/>
  <c r="F137" i="4"/>
  <c r="F138" i="4"/>
  <c r="F139" i="4"/>
  <c r="H140" i="4" s="1"/>
  <c r="F140" i="4"/>
  <c r="H141" i="4" s="1"/>
  <c r="F141" i="4"/>
  <c r="H142" i="4" s="1"/>
  <c r="F142" i="4"/>
  <c r="H143" i="4" s="1"/>
  <c r="F143" i="4"/>
  <c r="F144" i="4"/>
  <c r="F145" i="4"/>
  <c r="F146" i="4"/>
  <c r="F147" i="4"/>
  <c r="F148" i="4"/>
  <c r="F149" i="4"/>
  <c r="F150" i="4"/>
  <c r="F151" i="4"/>
  <c r="F152" i="4"/>
  <c r="F153" i="4"/>
  <c r="F154" i="4"/>
  <c r="F155" i="4"/>
  <c r="F156" i="4"/>
  <c r="F157" i="4"/>
  <c r="F158" i="4"/>
  <c r="F159" i="4"/>
  <c r="H160" i="4" s="1"/>
  <c r="F160" i="4"/>
  <c r="H161" i="4" s="1"/>
  <c r="F161" i="4"/>
  <c r="F162" i="4"/>
  <c r="F163" i="4"/>
  <c r="H164" i="4" s="1"/>
  <c r="F164" i="4"/>
  <c r="F165" i="4"/>
  <c r="F166" i="4"/>
  <c r="F167" i="4"/>
  <c r="F168" i="4"/>
  <c r="F169" i="4"/>
  <c r="F170" i="4"/>
  <c r="F171" i="4"/>
  <c r="F172" i="4"/>
  <c r="F173" i="4"/>
  <c r="F174" i="4"/>
  <c r="F175" i="4"/>
  <c r="F176" i="4"/>
  <c r="F177" i="4"/>
  <c r="F178" i="4"/>
  <c r="F179" i="4"/>
  <c r="F180" i="4"/>
  <c r="F181" i="4"/>
  <c r="F182" i="4"/>
  <c r="F183" i="4"/>
  <c r="F184" i="4"/>
  <c r="F185" i="4"/>
  <c r="F186" i="4"/>
  <c r="F187" i="4"/>
  <c r="F188" i="4"/>
  <c r="F189" i="4"/>
  <c r="F190" i="4"/>
  <c r="F191" i="4"/>
  <c r="F192" i="4"/>
  <c r="F193" i="4"/>
  <c r="F194" i="4"/>
  <c r="F195" i="4"/>
  <c r="F196" i="4"/>
  <c r="F197" i="4"/>
  <c r="F198" i="4"/>
  <c r="F199" i="4"/>
  <c r="H200" i="4" s="1"/>
  <c r="F200" i="4"/>
  <c r="H201" i="4" s="1"/>
  <c r="F201" i="4"/>
  <c r="H202" i="4" s="1"/>
  <c r="F202" i="4"/>
  <c r="H203" i="4" s="1"/>
  <c r="F203" i="4"/>
  <c r="F204" i="4"/>
  <c r="F205" i="4"/>
  <c r="F206" i="4"/>
  <c r="F207" i="4"/>
  <c r="F208" i="4"/>
  <c r="F209" i="4"/>
  <c r="F210" i="4"/>
  <c r="F211" i="4"/>
  <c r="F212" i="4"/>
  <c r="F213" i="4"/>
  <c r="F214" i="4"/>
  <c r="F215" i="4"/>
  <c r="F216" i="4"/>
  <c r="F217" i="4"/>
  <c r="F218" i="4"/>
  <c r="F219" i="4"/>
  <c r="F220" i="4"/>
  <c r="F221" i="4"/>
  <c r="F222" i="4"/>
  <c r="F223" i="4"/>
  <c r="F224" i="4"/>
  <c r="F225" i="4"/>
  <c r="F226" i="4"/>
  <c r="F227" i="4"/>
  <c r="F228" i="4"/>
  <c r="F229" i="4"/>
  <c r="H230" i="4" s="1"/>
  <c r="F230" i="4"/>
  <c r="F231" i="4"/>
  <c r="F232" i="4"/>
  <c r="F233" i="4"/>
  <c r="H234" i="4" s="1"/>
  <c r="F234" i="4"/>
  <c r="H235" i="4" s="1"/>
  <c r="F235" i="4"/>
  <c r="F236" i="4"/>
  <c r="H237" i="4" s="1"/>
  <c r="F237" i="4"/>
  <c r="F238" i="4"/>
  <c r="F239" i="4"/>
  <c r="F240" i="4"/>
  <c r="F241" i="4"/>
  <c r="F242" i="4"/>
  <c r="F243" i="4"/>
  <c r="F244" i="4"/>
  <c r="F245" i="4"/>
  <c r="F246" i="4"/>
  <c r="F247" i="4"/>
  <c r="F248" i="4"/>
  <c r="F249" i="4"/>
  <c r="F250" i="4"/>
  <c r="F251" i="4"/>
  <c r="F252" i="4"/>
  <c r="F253" i="4"/>
  <c r="F254" i="4"/>
  <c r="F255" i="4"/>
  <c r="F256" i="4"/>
  <c r="F257" i="4"/>
  <c r="F258" i="4"/>
  <c r="F259" i="4"/>
  <c r="H260" i="4" s="1"/>
  <c r="F260" i="4"/>
  <c r="H261" i="4" s="1"/>
  <c r="F261" i="4"/>
  <c r="F262" i="4"/>
  <c r="F263" i="4"/>
  <c r="F264" i="4"/>
  <c r="F265" i="4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H280" i="4" s="1"/>
  <c r="F280" i="4"/>
  <c r="H281" i="4" s="1"/>
  <c r="F281" i="4"/>
  <c r="F282" i="4"/>
  <c r="F283" i="4"/>
  <c r="H284" i="4" s="1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H300" i="4" s="1"/>
  <c r="F300" i="4"/>
  <c r="H301" i="4" s="1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H314" i="4" s="1"/>
  <c r="F314" i="4"/>
  <c r="H315" i="4" s="1"/>
  <c r="F315" i="4"/>
  <c r="F316" i="4"/>
  <c r="H317" i="4" s="1"/>
  <c r="F317" i="4"/>
  <c r="F318" i="4"/>
  <c r="F319" i="4"/>
  <c r="H320" i="4" s="1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H341" i="4" s="1"/>
  <c r="F341" i="4"/>
  <c r="H342" i="4" s="1"/>
  <c r="F342" i="4"/>
  <c r="H343" i="4" s="1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H360" i="4" s="1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H374" i="4" s="1"/>
  <c r="F374" i="4"/>
  <c r="F375" i="4"/>
  <c r="F376" i="4"/>
  <c r="F377" i="4"/>
  <c r="F378" i="4"/>
  <c r="F379" i="4"/>
  <c r="F380" i="4"/>
  <c r="F381" i="4"/>
  <c r="F382" i="4"/>
  <c r="F383" i="4"/>
  <c r="H384" i="4" s="1"/>
  <c r="F384" i="4"/>
  <c r="F385" i="4"/>
  <c r="F386" i="4"/>
  <c r="F387" i="4"/>
  <c r="F388" i="4"/>
  <c r="F389" i="4"/>
  <c r="H390" i="4" s="1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H403" i="4" s="1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H440" i="4" s="1"/>
  <c r="F440" i="4"/>
  <c r="F441" i="4"/>
  <c r="F442" i="4"/>
  <c r="H443" i="4" s="1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H460" i="4" s="1"/>
  <c r="F460" i="4"/>
  <c r="F461" i="4"/>
  <c r="F462" i="4"/>
  <c r="H463" i="4" s="1"/>
  <c r="F463" i="4"/>
  <c r="F464" i="4"/>
  <c r="F465" i="4"/>
  <c r="F466" i="4"/>
  <c r="F467" i="4"/>
  <c r="F468" i="4"/>
  <c r="F469" i="4"/>
  <c r="F470" i="4"/>
  <c r="F471" i="4"/>
  <c r="H472" i="4" s="1"/>
  <c r="F472" i="4"/>
  <c r="F473" i="4"/>
  <c r="H474" i="4" s="1"/>
  <c r="F474" i="4"/>
  <c r="F475" i="4"/>
  <c r="F476" i="4"/>
  <c r="F477" i="4"/>
  <c r="F478" i="4"/>
  <c r="F479" i="4"/>
  <c r="F480" i="4"/>
  <c r="F481" i="4"/>
  <c r="F482" i="4"/>
  <c r="H483" i="4" s="1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H500" i="4" s="1"/>
  <c r="F500" i="4"/>
  <c r="H501" i="4" s="1"/>
  <c r="F501" i="4"/>
  <c r="F502" i="4"/>
  <c r="H503" i="4" s="1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H520" i="4" s="1"/>
  <c r="F520" i="4"/>
  <c r="H521" i="4" s="1"/>
  <c r="F521" i="4"/>
  <c r="F522" i="4"/>
  <c r="H523" i="4" s="1"/>
  <c r="F523" i="4"/>
  <c r="F524" i="4"/>
  <c r="F525" i="4"/>
  <c r="F526" i="4"/>
  <c r="F527" i="4"/>
  <c r="F528" i="4"/>
  <c r="F529" i="4"/>
  <c r="H530" i="4" s="1"/>
  <c r="F530" i="4"/>
  <c r="F531" i="4"/>
  <c r="F532" i="4"/>
  <c r="F533" i="4"/>
  <c r="H534" i="4" s="1"/>
  <c r="F534" i="4"/>
  <c r="F535" i="4"/>
  <c r="F536" i="4"/>
  <c r="F537" i="4"/>
  <c r="F538" i="4"/>
  <c r="F539" i="4"/>
  <c r="H540" i="4" s="1"/>
  <c r="F540" i="4"/>
  <c r="F541" i="4"/>
  <c r="F542" i="4"/>
  <c r="F543" i="4"/>
  <c r="F544" i="4"/>
  <c r="F545" i="4"/>
  <c r="F546" i="4"/>
  <c r="F547" i="4"/>
  <c r="F548" i="4"/>
  <c r="F549" i="4"/>
  <c r="F550" i="4"/>
  <c r="F551" i="4"/>
  <c r="F552" i="4"/>
  <c r="F553" i="4"/>
  <c r="F554" i="4"/>
  <c r="F555" i="4"/>
  <c r="F556" i="4"/>
  <c r="F557" i="4"/>
  <c r="F558" i="4"/>
  <c r="F559" i="4"/>
  <c r="F560" i="4"/>
  <c r="H561" i="4" s="1"/>
  <c r="F561" i="4"/>
  <c r="F562" i="4"/>
  <c r="F563" i="4"/>
  <c r="F564" i="4"/>
  <c r="F565" i="4"/>
  <c r="F566" i="4"/>
  <c r="F567" i="4"/>
  <c r="F568" i="4"/>
  <c r="F569" i="4"/>
  <c r="H570" i="4" s="1"/>
  <c r="F570" i="4"/>
  <c r="F571" i="4"/>
  <c r="H572" i="4" s="1"/>
  <c r="F572" i="4"/>
  <c r="F573" i="4"/>
  <c r="H574" i="4" s="1"/>
  <c r="F574" i="4"/>
  <c r="F575" i="4"/>
  <c r="F576" i="4"/>
  <c r="H577" i="4" s="1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H603" i="4" s="1"/>
  <c r="F603" i="4"/>
  <c r="F604" i="4"/>
  <c r="F605" i="4"/>
  <c r="F606" i="4"/>
  <c r="F607" i="4"/>
  <c r="F608" i="4"/>
  <c r="F609" i="4"/>
  <c r="H610" i="4" s="1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H635" i="4" s="1"/>
  <c r="F635" i="4"/>
  <c r="F636" i="4"/>
  <c r="F637" i="4"/>
  <c r="F638" i="4"/>
  <c r="F639" i="4"/>
  <c r="H640" i="4" s="1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H663" i="4" s="1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H680" i="4" s="1"/>
  <c r="F680" i="4"/>
  <c r="H681" i="4" s="1"/>
  <c r="F681" i="4"/>
  <c r="F682" i="4"/>
  <c r="H683" i="4" s="1"/>
  <c r="F683" i="4"/>
  <c r="H684" i="4" s="1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704" i="4"/>
  <c r="F705" i="4"/>
  <c r="F706" i="4"/>
  <c r="F707" i="4"/>
  <c r="F708" i="4"/>
  <c r="F709" i="4"/>
  <c r="H710" i="4" s="1"/>
  <c r="F710" i="4"/>
  <c r="F711" i="4"/>
  <c r="F712" i="4"/>
  <c r="F713" i="4"/>
  <c r="H714" i="4" s="1"/>
  <c r="F714" i="4"/>
  <c r="F715" i="4"/>
  <c r="F716" i="4"/>
  <c r="F717" i="4"/>
  <c r="F718" i="4"/>
  <c r="F719" i="4"/>
  <c r="F720" i="4"/>
  <c r="H721" i="4" s="1"/>
  <c r="F721" i="4"/>
  <c r="F722" i="4"/>
  <c r="H723" i="4" s="1"/>
  <c r="F723" i="4"/>
  <c r="F724" i="4"/>
  <c r="F725" i="4"/>
  <c r="F726" i="4"/>
  <c r="F727" i="4"/>
  <c r="F728" i="4"/>
  <c r="F729" i="4"/>
  <c r="F730" i="4"/>
  <c r="F731" i="4"/>
  <c r="F732" i="4"/>
  <c r="F733" i="4"/>
  <c r="F734" i="4"/>
  <c r="F735" i="4"/>
  <c r="F736" i="4"/>
  <c r="F737" i="4"/>
  <c r="F738" i="4"/>
  <c r="F739" i="4"/>
  <c r="F740" i="4"/>
  <c r="F741" i="4"/>
  <c r="F742" i="4"/>
  <c r="F743" i="4"/>
  <c r="F744" i="4"/>
  <c r="F745" i="4"/>
  <c r="F746" i="4"/>
  <c r="F747" i="4"/>
  <c r="F748" i="4"/>
  <c r="F749" i="4"/>
  <c r="F750" i="4"/>
  <c r="F751" i="4"/>
  <c r="F752" i="4"/>
  <c r="F753" i="4"/>
  <c r="H754" i="4" s="1"/>
  <c r="F754" i="4"/>
  <c r="H755" i="4" s="1"/>
  <c r="F755" i="4"/>
  <c r="F756" i="4"/>
  <c r="F757" i="4"/>
  <c r="F758" i="4"/>
  <c r="F759" i="4"/>
  <c r="F760" i="4"/>
  <c r="F761" i="4"/>
  <c r="F762" i="4"/>
  <c r="F763" i="4"/>
  <c r="F764" i="4"/>
  <c r="F765" i="4"/>
  <c r="F766" i="4"/>
  <c r="F767" i="4"/>
  <c r="F768" i="4"/>
  <c r="F769" i="4"/>
  <c r="F770" i="4"/>
  <c r="F771" i="4"/>
  <c r="F772" i="4"/>
  <c r="F773" i="4"/>
  <c r="F774" i="4"/>
  <c r="F775" i="4"/>
  <c r="F776" i="4"/>
  <c r="F777" i="4"/>
  <c r="F778" i="4"/>
  <c r="F779" i="4"/>
  <c r="F780" i="4"/>
  <c r="H781" i="4" s="1"/>
  <c r="F781" i="4"/>
  <c r="H782" i="4" s="1"/>
  <c r="F782" i="4"/>
  <c r="F783" i="4"/>
  <c r="H784" i="4" s="1"/>
  <c r="F784" i="4"/>
  <c r="F785" i="4"/>
  <c r="F786" i="4"/>
  <c r="F787" i="4"/>
  <c r="F788" i="4"/>
  <c r="F789" i="4"/>
  <c r="H790" i="4" s="1"/>
  <c r="F790" i="4"/>
  <c r="F791" i="4"/>
  <c r="F792" i="4"/>
  <c r="F793" i="4"/>
  <c r="F794" i="4"/>
  <c r="H795" i="4" s="1"/>
  <c r="F795" i="4"/>
  <c r="F796" i="4"/>
  <c r="H797" i="4" s="1"/>
  <c r="F797" i="4"/>
  <c r="F798" i="4"/>
  <c r="F799" i="4"/>
  <c r="H800" i="4" s="1"/>
  <c r="F800" i="4"/>
  <c r="H801" i="4" s="1"/>
  <c r="F801" i="4"/>
  <c r="F802" i="4"/>
  <c r="F803" i="4"/>
  <c r="F804" i="4"/>
  <c r="F805" i="4"/>
  <c r="F806" i="4"/>
  <c r="F807" i="4"/>
  <c r="F808" i="4"/>
  <c r="F809" i="4"/>
  <c r="F810" i="4"/>
  <c r="F811" i="4"/>
  <c r="F812" i="4"/>
  <c r="F813" i="4"/>
  <c r="F814" i="4"/>
  <c r="F815" i="4"/>
  <c r="F816" i="4"/>
  <c r="H817" i="4" s="1"/>
  <c r="F817" i="4"/>
  <c r="F818" i="4"/>
  <c r="F819" i="4"/>
  <c r="F820" i="4"/>
  <c r="F821" i="4"/>
  <c r="F822" i="4"/>
  <c r="F823" i="4"/>
  <c r="H824" i="4" s="1"/>
  <c r="F824" i="4"/>
  <c r="F825" i="4"/>
  <c r="F826" i="4"/>
  <c r="F827" i="4"/>
  <c r="F828" i="4"/>
  <c r="F829" i="4"/>
  <c r="H830" i="4" s="1"/>
  <c r="F830" i="4"/>
  <c r="F831" i="4"/>
  <c r="F832" i="4"/>
  <c r="F833" i="4"/>
  <c r="F834" i="4"/>
  <c r="F835" i="4"/>
  <c r="F836" i="4"/>
  <c r="F837" i="4"/>
  <c r="F838" i="4"/>
  <c r="F839" i="4"/>
  <c r="H840" i="4" s="1"/>
  <c r="F840" i="4"/>
  <c r="F841" i="4"/>
  <c r="H842" i="4" s="1"/>
  <c r="F842" i="4"/>
  <c r="F843" i="4"/>
  <c r="F844" i="4"/>
  <c r="F845" i="4"/>
  <c r="F846" i="4"/>
  <c r="F847" i="4"/>
  <c r="F848" i="4"/>
  <c r="F849" i="4"/>
  <c r="F850" i="4"/>
  <c r="F851" i="4"/>
  <c r="H852" i="4" s="1"/>
  <c r="F852" i="4"/>
  <c r="F853" i="4"/>
  <c r="H854" i="4" s="1"/>
  <c r="F854" i="4"/>
  <c r="F855" i="4"/>
  <c r="F856" i="4"/>
  <c r="F857" i="4"/>
  <c r="F858" i="4"/>
  <c r="F859" i="4"/>
  <c r="F860" i="4"/>
  <c r="F861" i="4"/>
  <c r="F862" i="4"/>
  <c r="H863" i="4" s="1"/>
  <c r="F863" i="4"/>
  <c r="F864" i="4"/>
  <c r="F865" i="4"/>
  <c r="F866" i="4"/>
  <c r="F867" i="4"/>
  <c r="F868" i="4"/>
  <c r="F869" i="4"/>
  <c r="F870" i="4"/>
  <c r="F871" i="4"/>
  <c r="F872" i="4"/>
  <c r="F873" i="4"/>
  <c r="F874" i="4"/>
  <c r="F875" i="4"/>
  <c r="F876" i="4"/>
  <c r="F877" i="4"/>
  <c r="F878" i="4"/>
  <c r="F879" i="4"/>
  <c r="H880" i="4" s="1"/>
  <c r="F880" i="4"/>
  <c r="F881" i="4"/>
  <c r="F882" i="4"/>
  <c r="F883" i="4"/>
  <c r="F884" i="4"/>
  <c r="F885" i="4"/>
  <c r="F886" i="4"/>
  <c r="F887" i="4"/>
  <c r="F888" i="4"/>
  <c r="F889" i="4"/>
  <c r="H890" i="4" s="1"/>
  <c r="F890" i="4"/>
  <c r="F891" i="4"/>
  <c r="F892" i="4"/>
  <c r="F893" i="4"/>
  <c r="F894" i="4"/>
  <c r="F895" i="4"/>
  <c r="F896" i="4"/>
  <c r="F897" i="4"/>
  <c r="F898" i="4"/>
  <c r="F899" i="4"/>
  <c r="H900" i="4" s="1"/>
  <c r="F900" i="4"/>
  <c r="H901" i="4" s="1"/>
  <c r="F901" i="4"/>
  <c r="F902" i="4"/>
  <c r="F903" i="4"/>
  <c r="F904" i="4"/>
  <c r="F905" i="4"/>
  <c r="F906" i="4"/>
  <c r="F907" i="4"/>
  <c r="F908" i="4"/>
  <c r="F909" i="4"/>
  <c r="F910" i="4"/>
  <c r="F911" i="4"/>
  <c r="F912" i="4"/>
  <c r="F913" i="4"/>
  <c r="F914" i="4"/>
  <c r="F915" i="4"/>
  <c r="F916" i="4"/>
  <c r="F917" i="4"/>
  <c r="F918" i="4"/>
  <c r="F919" i="4"/>
  <c r="H920" i="4" s="1"/>
  <c r="F920" i="4"/>
  <c r="F921" i="4"/>
  <c r="F922" i="4"/>
  <c r="F923" i="4"/>
  <c r="H924" i="4" s="1"/>
  <c r="F924" i="4"/>
  <c r="F925" i="4"/>
  <c r="F926" i="4"/>
  <c r="F927" i="4"/>
  <c r="F928" i="4"/>
  <c r="F929" i="4"/>
  <c r="H930" i="4" s="1"/>
  <c r="F930" i="4"/>
  <c r="F931" i="4"/>
  <c r="H932" i="4" s="1"/>
  <c r="F932" i="4"/>
  <c r="F933" i="4"/>
  <c r="H934" i="4" s="1"/>
  <c r="F934" i="4"/>
  <c r="F935" i="4"/>
  <c r="F936" i="4"/>
  <c r="F937" i="4"/>
  <c r="F938" i="4"/>
  <c r="F939" i="4"/>
  <c r="F940" i="4"/>
  <c r="F941" i="4"/>
  <c r="F942" i="4"/>
  <c r="F943" i="4"/>
  <c r="F944" i="4"/>
  <c r="F945" i="4"/>
  <c r="F946" i="4"/>
  <c r="F947" i="4"/>
  <c r="F948" i="4"/>
  <c r="F949" i="4"/>
  <c r="F950" i="4"/>
  <c r="F951" i="4"/>
  <c r="F952" i="4"/>
  <c r="F953" i="4"/>
  <c r="F954" i="4"/>
  <c r="F955" i="4"/>
  <c r="F956" i="4"/>
  <c r="F957" i="4"/>
  <c r="F958" i="4"/>
  <c r="F959" i="4"/>
  <c r="H960" i="4" s="1"/>
  <c r="F960" i="4"/>
  <c r="H961" i="4" s="1"/>
  <c r="F961" i="4"/>
  <c r="F962" i="4"/>
  <c r="F963" i="4"/>
  <c r="H964" i="4" s="1"/>
  <c r="F964" i="4"/>
  <c r="F965" i="4"/>
  <c r="F966" i="4"/>
  <c r="F967" i="4"/>
  <c r="F968" i="4"/>
  <c r="F969" i="4"/>
  <c r="F970" i="4"/>
  <c r="F971" i="4"/>
  <c r="H972" i="4" s="1"/>
  <c r="F972" i="4"/>
  <c r="F973" i="4"/>
  <c r="H974" i="4" s="1"/>
  <c r="F974" i="4"/>
  <c r="F975" i="4"/>
  <c r="F976" i="4"/>
  <c r="F977" i="4"/>
  <c r="F978" i="4"/>
  <c r="F979" i="4"/>
  <c r="F980" i="4"/>
  <c r="H981" i="4" s="1"/>
  <c r="F981" i="4"/>
  <c r="F982" i="4"/>
  <c r="F983" i="4"/>
  <c r="F984" i="4"/>
  <c r="F985" i="4"/>
  <c r="F986" i="4"/>
  <c r="F987" i="4"/>
  <c r="F988" i="4"/>
  <c r="F989" i="4"/>
  <c r="F990" i="4"/>
  <c r="F991" i="4"/>
  <c r="F992" i="4"/>
  <c r="F993" i="4"/>
  <c r="F994" i="4"/>
  <c r="F995" i="4"/>
  <c r="F996" i="4"/>
  <c r="F997" i="4"/>
  <c r="F998" i="4"/>
  <c r="F999" i="4"/>
  <c r="F1000" i="4"/>
  <c r="H1001" i="4" s="1"/>
  <c r="F1001" i="4"/>
  <c r="H1002" i="4" s="1"/>
  <c r="F1002" i="4"/>
  <c r="H1003" i="4" s="1"/>
  <c r="F1003" i="4"/>
  <c r="H1004" i="4" s="1"/>
  <c r="F1004" i="4"/>
  <c r="F1005" i="4"/>
  <c r="F1006" i="4"/>
  <c r="F1007" i="4"/>
  <c r="F1008" i="4"/>
  <c r="F1009" i="4"/>
  <c r="F1010" i="4"/>
  <c r="F1011" i="4"/>
  <c r="F1012" i="4"/>
  <c r="F1013" i="4"/>
  <c r="F1014" i="4"/>
  <c r="F1015" i="4"/>
  <c r="F1016" i="4"/>
  <c r="F1017" i="4"/>
  <c r="F1018" i="4"/>
  <c r="F1019" i="4"/>
  <c r="F1020" i="4"/>
  <c r="F1021" i="4"/>
  <c r="H1022" i="4" s="1"/>
  <c r="F1022" i="4"/>
  <c r="F1023" i="4"/>
  <c r="F1024" i="4"/>
  <c r="F1025" i="4"/>
  <c r="F1026" i="4"/>
  <c r="F1027" i="4"/>
  <c r="F1028" i="4"/>
  <c r="F1029" i="4"/>
  <c r="H1030" i="4" s="1"/>
  <c r="F1030" i="4"/>
  <c r="F1031" i="4"/>
  <c r="H1032" i="4" s="1"/>
  <c r="F1032" i="4"/>
  <c r="F1033" i="4"/>
  <c r="H1034" i="4" s="1"/>
  <c r="F1034" i="4"/>
  <c r="F1035" i="4"/>
  <c r="F1036" i="4"/>
  <c r="H1037" i="4" s="1"/>
  <c r="F1037" i="4"/>
  <c r="F1038" i="4"/>
  <c r="F1039" i="4"/>
  <c r="H1040" i="4" s="1"/>
  <c r="F1040" i="4"/>
  <c r="F1041" i="4"/>
  <c r="F1042" i="4"/>
  <c r="F1043" i="4"/>
  <c r="F1044" i="4"/>
  <c r="F1045" i="4"/>
  <c r="F1046" i="4"/>
  <c r="F1047" i="4"/>
  <c r="F1048" i="4"/>
  <c r="F1049" i="4"/>
  <c r="F1050" i="4"/>
  <c r="F1051" i="4"/>
  <c r="F1052" i="4"/>
  <c r="F1053" i="4"/>
  <c r="F1054" i="4"/>
  <c r="F1055" i="4"/>
  <c r="F1056" i="4"/>
  <c r="F1057" i="4"/>
  <c r="F1058" i="4"/>
  <c r="F1059" i="4"/>
  <c r="F1060" i="4"/>
  <c r="H1061" i="4" s="1"/>
  <c r="F1061" i="4"/>
  <c r="H1062" i="4" s="1"/>
  <c r="F1062" i="4"/>
  <c r="H1063" i="4" s="1"/>
  <c r="F1063" i="4"/>
  <c r="F1064" i="4"/>
  <c r="F1065" i="4"/>
  <c r="F1066" i="4"/>
  <c r="F1067" i="4"/>
  <c r="F1068" i="4"/>
  <c r="F1069" i="4"/>
  <c r="F1070" i="4"/>
  <c r="F1071" i="4"/>
  <c r="F1072" i="4"/>
  <c r="F1073" i="4"/>
  <c r="F1074" i="4"/>
  <c r="F1075" i="4"/>
  <c r="F1076" i="4"/>
  <c r="F1077" i="4"/>
  <c r="F1078" i="4"/>
  <c r="F1079" i="4"/>
  <c r="F1080" i="4"/>
  <c r="F1081" i="4"/>
  <c r="F1082" i="4"/>
  <c r="F1083" i="4"/>
  <c r="F1084" i="4"/>
  <c r="F1085" i="4"/>
  <c r="F1086" i="4"/>
  <c r="F1087" i="4"/>
  <c r="F1088" i="4"/>
  <c r="F1089" i="4"/>
  <c r="F1090" i="4"/>
  <c r="F1091" i="4"/>
  <c r="F1092" i="4"/>
  <c r="F1093" i="4"/>
  <c r="F1094" i="4"/>
  <c r="F1095" i="4"/>
  <c r="F1096" i="4"/>
  <c r="F1097" i="4"/>
  <c r="F1098" i="4"/>
  <c r="F1099" i="4"/>
  <c r="H1100" i="4" s="1"/>
  <c r="F1100" i="4"/>
  <c r="F1101" i="4"/>
  <c r="F1102" i="4"/>
  <c r="F1103" i="4"/>
  <c r="F1104" i="4"/>
  <c r="F1105" i="4"/>
  <c r="F1106" i="4"/>
  <c r="F1107" i="4"/>
  <c r="F1108" i="4"/>
  <c r="F1109" i="4"/>
  <c r="H1110" i="4" s="1"/>
  <c r="F1110" i="4"/>
  <c r="F1111" i="4"/>
  <c r="F1112" i="4"/>
  <c r="F1113" i="4"/>
  <c r="H1114" i="4" s="1"/>
  <c r="F1114" i="4"/>
  <c r="F1115" i="4"/>
  <c r="F1116" i="4"/>
  <c r="F1117" i="4"/>
  <c r="F1118" i="4"/>
  <c r="F1119" i="4"/>
  <c r="F1120" i="4"/>
  <c r="F1121" i="4"/>
  <c r="F1122" i="4"/>
  <c r="F1123" i="4"/>
  <c r="H1124" i="4" s="1"/>
  <c r="F1124" i="4"/>
  <c r="F1125" i="4"/>
  <c r="F1126" i="4"/>
  <c r="F1127" i="4"/>
  <c r="F1128" i="4"/>
  <c r="F1129" i="4"/>
  <c r="F1130" i="4"/>
  <c r="F1131" i="4"/>
  <c r="F1132" i="4"/>
  <c r="F1133" i="4"/>
  <c r="F1134" i="4"/>
  <c r="F1135" i="4"/>
  <c r="F1136" i="4"/>
  <c r="H1137" i="4" s="1"/>
  <c r="F1137" i="4"/>
  <c r="F1138" i="4"/>
  <c r="F1139" i="4"/>
  <c r="H1140" i="4" s="1"/>
  <c r="F1140" i="4"/>
  <c r="F1141" i="4"/>
  <c r="F1142" i="4"/>
  <c r="F1143" i="4"/>
  <c r="F1144" i="4"/>
  <c r="F1145" i="4"/>
  <c r="F1146" i="4"/>
  <c r="F1147" i="4"/>
  <c r="F1148" i="4"/>
  <c r="F1149" i="4"/>
  <c r="F1150" i="4"/>
  <c r="F1151" i="4"/>
  <c r="F1152" i="4"/>
  <c r="F1153" i="4"/>
  <c r="F1154" i="4"/>
  <c r="F1155" i="4"/>
  <c r="F1156" i="4"/>
  <c r="F1157" i="4"/>
  <c r="F1158" i="4"/>
  <c r="F1159" i="4"/>
  <c r="H1160" i="4" s="1"/>
  <c r="F1160" i="4"/>
  <c r="H1161" i="4" s="1"/>
  <c r="F1161" i="4"/>
  <c r="F1162" i="4"/>
  <c r="F1163" i="4"/>
  <c r="F1164" i="4"/>
  <c r="F1165" i="4"/>
  <c r="F1166" i="4"/>
  <c r="F1167" i="4"/>
  <c r="F1168" i="4"/>
  <c r="F1169" i="4"/>
  <c r="H1170" i="4" s="1"/>
  <c r="F1170" i="4"/>
  <c r="F1171" i="4"/>
  <c r="F1172" i="4"/>
  <c r="F1173" i="4"/>
  <c r="F1174" i="4"/>
  <c r="H1175" i="4" s="1"/>
  <c r="F1175" i="4"/>
  <c r="F1176" i="4"/>
  <c r="F1177" i="4"/>
  <c r="F1178" i="4"/>
  <c r="F1179" i="4"/>
  <c r="F1180" i="4"/>
  <c r="F1181" i="4"/>
  <c r="F1182" i="4"/>
  <c r="F1183" i="4"/>
  <c r="F1184" i="4"/>
  <c r="F1185" i="4"/>
  <c r="F1186" i="4"/>
  <c r="F1187" i="4"/>
  <c r="F1188" i="4"/>
  <c r="F1189" i="4"/>
  <c r="F1190" i="4"/>
  <c r="F1191" i="4"/>
  <c r="F1192" i="4"/>
  <c r="F1193" i="4"/>
  <c r="H1194" i="4" s="1"/>
  <c r="F1194" i="4"/>
  <c r="H1195" i="4" s="1"/>
  <c r="F1195" i="4"/>
  <c r="F1196" i="4"/>
  <c r="F1197" i="4"/>
  <c r="F1198" i="4"/>
  <c r="F1199" i="4"/>
  <c r="F1200" i="4"/>
  <c r="F1201" i="4"/>
  <c r="F1202" i="4"/>
  <c r="F1203" i="4"/>
  <c r="F1204" i="4"/>
  <c r="F1205" i="4"/>
  <c r="F1206" i="4"/>
  <c r="F1207" i="4"/>
  <c r="F1208" i="4"/>
  <c r="F1209" i="4"/>
  <c r="H1210" i="4" s="1"/>
  <c r="F1210" i="4"/>
  <c r="F1211" i="4"/>
  <c r="F1212" i="4"/>
  <c r="F1213" i="4"/>
  <c r="F1214" i="4"/>
  <c r="F1215" i="4"/>
  <c r="F1216" i="4"/>
  <c r="F1217" i="4"/>
  <c r="F1218" i="4"/>
  <c r="F1219" i="4"/>
  <c r="F1220" i="4"/>
  <c r="H1221" i="4" s="1"/>
  <c r="F1221" i="4"/>
  <c r="F1222" i="4"/>
  <c r="F1223" i="4"/>
  <c r="F1224" i="4"/>
  <c r="F1225" i="4"/>
  <c r="F1226" i="4"/>
  <c r="F1227" i="4"/>
  <c r="F1228" i="4"/>
  <c r="F1229" i="4"/>
  <c r="H1230" i="4" s="1"/>
  <c r="F1230" i="4"/>
  <c r="F1231" i="4"/>
  <c r="F1232" i="4"/>
  <c r="F1233" i="4"/>
  <c r="F1234" i="4"/>
  <c r="F1235" i="4"/>
  <c r="F1236" i="4"/>
  <c r="F1237" i="4"/>
  <c r="F1238" i="4"/>
  <c r="F1239" i="4"/>
  <c r="H1240" i="4" s="1"/>
  <c r="F1240" i="4"/>
  <c r="F1241" i="4"/>
  <c r="F1242" i="4"/>
  <c r="F1243" i="4"/>
  <c r="F1244" i="4"/>
  <c r="F1245" i="4"/>
  <c r="F1246" i="4"/>
  <c r="F1247" i="4"/>
  <c r="F1248" i="4"/>
  <c r="F1249" i="4"/>
  <c r="F1250" i="4"/>
  <c r="F1251" i="4"/>
  <c r="F1252" i="4"/>
  <c r="F1253" i="4"/>
  <c r="F1254" i="4"/>
  <c r="F1255" i="4"/>
  <c r="F1256" i="4"/>
  <c r="H1257" i="4" s="1"/>
  <c r="F1257" i="4"/>
  <c r="F1258" i="4"/>
  <c r="F1259" i="4"/>
  <c r="H1260" i="4" s="1"/>
  <c r="F1260" i="4"/>
  <c r="F1261" i="4"/>
  <c r="F1262" i="4"/>
  <c r="H1263" i="4" s="1"/>
  <c r="F1263" i="4"/>
  <c r="F1264" i="4"/>
  <c r="F1265" i="4"/>
  <c r="F1266" i="4"/>
  <c r="F1267" i="4"/>
  <c r="F1268" i="4"/>
  <c r="F1269" i="4"/>
  <c r="F1270" i="4"/>
  <c r="F1271" i="4"/>
  <c r="F1272" i="4"/>
  <c r="F1273" i="4"/>
  <c r="F1274" i="4"/>
  <c r="F1275" i="4"/>
  <c r="F1276" i="4"/>
  <c r="F1277" i="4"/>
  <c r="F1278" i="4"/>
  <c r="F1279" i="4"/>
  <c r="H1280" i="4" s="1"/>
  <c r="F1280" i="4"/>
  <c r="H1281" i="4" s="1"/>
  <c r="F1281" i="4"/>
  <c r="F1282" i="4"/>
  <c r="F1283" i="4"/>
  <c r="H1284" i="4" s="1"/>
  <c r="F1284" i="4"/>
  <c r="F1285" i="4"/>
  <c r="F1286" i="4"/>
  <c r="F1287" i="4"/>
  <c r="F1288" i="4"/>
  <c r="F1289" i="4"/>
  <c r="F1290" i="4"/>
  <c r="F1291" i="4"/>
  <c r="F1292" i="4"/>
  <c r="F1293" i="4"/>
  <c r="F1294" i="4"/>
  <c r="F1295" i="4"/>
  <c r="F1296" i="4"/>
  <c r="F1297" i="4"/>
  <c r="F1298" i="4"/>
  <c r="F1299" i="4"/>
  <c r="H1300" i="4" s="1"/>
  <c r="F1300" i="4"/>
  <c r="F1301" i="4"/>
  <c r="F1302" i="4"/>
  <c r="F1303" i="4"/>
  <c r="F1304" i="4"/>
  <c r="F1305" i="4"/>
  <c r="F1306" i="4"/>
  <c r="F1307" i="4"/>
  <c r="F1308" i="4"/>
  <c r="F1309" i="4"/>
  <c r="F1310" i="4"/>
  <c r="F1311" i="4"/>
  <c r="F1312" i="4"/>
  <c r="F1313" i="4"/>
  <c r="F1314" i="4"/>
  <c r="H1315" i="4" s="1"/>
  <c r="F1315" i="4"/>
  <c r="F1316" i="4"/>
  <c r="F1317" i="4"/>
  <c r="F1318" i="4"/>
  <c r="F1319" i="4"/>
  <c r="H1320" i="4" s="1"/>
  <c r="F1320" i="4"/>
  <c r="H1321" i="4" s="1"/>
  <c r="F1321" i="4"/>
  <c r="F1322" i="4"/>
  <c r="H1323" i="4" s="1"/>
  <c r="F1323" i="4"/>
  <c r="H1324" i="4" s="1"/>
  <c r="F1324" i="4"/>
  <c r="F1325" i="4"/>
  <c r="F1326" i="4"/>
  <c r="F1327" i="4"/>
  <c r="F1328" i="4"/>
  <c r="F1329" i="4"/>
  <c r="H1330" i="4" s="1"/>
  <c r="F1330" i="4"/>
  <c r="F1331" i="4"/>
  <c r="F1332" i="4"/>
  <c r="F1333" i="4"/>
  <c r="F1334" i="4"/>
  <c r="F1335" i="4"/>
  <c r="F1336" i="4"/>
  <c r="H1337" i="4" s="1"/>
  <c r="F1337" i="4"/>
  <c r="F1338" i="4"/>
  <c r="F1339" i="4"/>
  <c r="F1340" i="4"/>
  <c r="H1341" i="4" s="1"/>
  <c r="F1341" i="4"/>
  <c r="F1342" i="4"/>
  <c r="F1343" i="4"/>
  <c r="F1344" i="4"/>
  <c r="F1345" i="4"/>
  <c r="F1346" i="4"/>
  <c r="F1347" i="4"/>
  <c r="F1348" i="4"/>
  <c r="F1349" i="4"/>
  <c r="F1350" i="4"/>
  <c r="F1351" i="4"/>
  <c r="H1352" i="4" s="1"/>
  <c r="F1352" i="4"/>
  <c r="F1353" i="4"/>
  <c r="H1354" i="4" s="1"/>
  <c r="F1354" i="4"/>
  <c r="H1355" i="4" s="1"/>
  <c r="F1355" i="4"/>
  <c r="F1356" i="4"/>
  <c r="H1357" i="4" s="1"/>
  <c r="F1357" i="4"/>
  <c r="F1358" i="4"/>
  <c r="F1359" i="4"/>
  <c r="H1360" i="4" s="1"/>
  <c r="F1360" i="4"/>
  <c r="F1361" i="4"/>
  <c r="F1362" i="4"/>
  <c r="H1363" i="4" s="1"/>
  <c r="F1363" i="4"/>
  <c r="H1364" i="4" s="1"/>
  <c r="F1364" i="4"/>
  <c r="F1365" i="4"/>
  <c r="F1366" i="4"/>
  <c r="F1367" i="4"/>
  <c r="F1368" i="4"/>
  <c r="F1369" i="4"/>
  <c r="F1370" i="4"/>
  <c r="F1371" i="4"/>
  <c r="F1372" i="4"/>
  <c r="F1373" i="4"/>
  <c r="F1374" i="4"/>
  <c r="F1375" i="4"/>
  <c r="F1376" i="4"/>
  <c r="F1377" i="4"/>
  <c r="F1378" i="4"/>
  <c r="F1379" i="4"/>
  <c r="F1380" i="4"/>
  <c r="H1381" i="4" s="1"/>
  <c r="F1381" i="4"/>
  <c r="F1382" i="4"/>
  <c r="F1383" i="4"/>
  <c r="F1384" i="4"/>
  <c r="F1385" i="4"/>
  <c r="F1386" i="4"/>
  <c r="F1387" i="4"/>
  <c r="F1388" i="4"/>
  <c r="F1389" i="4"/>
  <c r="F1390" i="4"/>
  <c r="F1391" i="4"/>
  <c r="H1392" i="4" s="1"/>
  <c r="F1392" i="4"/>
  <c r="F1393" i="4"/>
  <c r="H1394" i="4" s="1"/>
  <c r="F1394" i="4"/>
  <c r="H1395" i="4" s="1"/>
  <c r="F1395" i="4"/>
  <c r="F1396" i="4"/>
  <c r="F1397" i="4"/>
  <c r="F1398" i="4"/>
  <c r="F1399" i="4"/>
  <c r="F1400" i="4"/>
  <c r="F1401" i="4"/>
  <c r="F1402" i="4"/>
  <c r="F1403" i="4"/>
  <c r="F1404" i="4"/>
  <c r="F1405" i="4"/>
  <c r="F1406" i="4"/>
  <c r="F1407" i="4"/>
  <c r="F1408" i="4"/>
  <c r="F1409" i="4"/>
  <c r="F1410" i="4"/>
  <c r="F1411" i="4"/>
  <c r="F1412" i="4"/>
  <c r="F1413" i="4"/>
  <c r="H1414" i="4" s="1"/>
  <c r="F1414" i="4"/>
  <c r="F1415" i="4"/>
  <c r="F1416" i="4"/>
  <c r="H1417" i="4" s="1"/>
  <c r="F1417" i="4"/>
  <c r="F1418" i="4"/>
  <c r="F1419" i="4"/>
  <c r="H1420" i="4" s="1"/>
  <c r="F1420" i="4"/>
  <c r="F1421" i="4"/>
  <c r="F1422" i="4"/>
  <c r="F1423" i="4"/>
  <c r="H1424" i="4" s="1"/>
  <c r="F1424" i="4"/>
  <c r="F1425" i="4"/>
  <c r="F1426" i="4"/>
  <c r="F1427" i="4"/>
  <c r="F1428" i="4"/>
  <c r="F1429" i="4"/>
  <c r="F1430" i="4"/>
  <c r="F1431" i="4"/>
  <c r="F1432" i="4"/>
  <c r="F1433" i="4"/>
  <c r="F1434" i="4"/>
  <c r="F1435" i="4"/>
  <c r="F1436" i="4"/>
  <c r="F1437" i="4"/>
  <c r="F1438" i="4"/>
  <c r="F1439" i="4"/>
  <c r="H1440" i="4" s="1"/>
  <c r="F1440" i="4"/>
  <c r="H1441" i="4" s="1"/>
  <c r="F1441" i="4"/>
  <c r="F1442" i="4"/>
  <c r="F1443" i="4"/>
  <c r="F1444" i="4"/>
  <c r="F1445" i="4"/>
  <c r="F1446" i="4"/>
  <c r="F1447" i="4"/>
  <c r="F1448" i="4"/>
  <c r="F1449" i="4"/>
  <c r="F1450" i="4"/>
  <c r="F1451" i="4"/>
  <c r="F1452" i="4"/>
  <c r="F1453" i="4"/>
  <c r="F1454" i="4"/>
  <c r="H1455" i="4" s="1"/>
  <c r="F1455" i="4"/>
  <c r="F1456" i="4"/>
  <c r="H1457" i="4" s="1"/>
  <c r="F1457" i="4"/>
  <c r="F1458" i="4"/>
  <c r="F1459" i="4"/>
  <c r="H1460" i="4" s="1"/>
  <c r="F1460" i="4"/>
  <c r="F1461" i="4"/>
  <c r="F1462" i="4"/>
  <c r="F1463" i="4"/>
  <c r="F1464" i="4"/>
  <c r="F1465" i="4"/>
  <c r="F1466" i="4"/>
  <c r="F1467" i="4"/>
  <c r="F1468" i="4"/>
  <c r="F1469" i="4"/>
  <c r="F1470" i="4"/>
  <c r="F1471" i="4"/>
  <c r="F1472" i="4"/>
  <c r="F1473" i="4"/>
  <c r="F1474" i="4"/>
  <c r="F1475" i="4"/>
  <c r="F1476" i="4"/>
  <c r="F1477" i="4"/>
  <c r="F1478" i="4"/>
  <c r="F1479" i="4"/>
  <c r="H1480" i="4" s="1"/>
  <c r="F1480" i="4"/>
  <c r="F1481" i="4"/>
  <c r="F1482" i="4"/>
  <c r="F1483" i="4"/>
  <c r="H1484" i="4" s="1"/>
  <c r="F1484" i="4"/>
  <c r="F1485" i="4"/>
  <c r="F1486" i="4"/>
  <c r="F1487" i="4"/>
  <c r="F1488" i="4"/>
  <c r="F1489" i="4"/>
  <c r="F1490" i="4"/>
  <c r="F1491" i="4"/>
  <c r="F1492" i="4"/>
  <c r="F1493" i="4"/>
  <c r="F1494" i="4"/>
  <c r="F1495" i="4"/>
  <c r="F1496" i="4"/>
  <c r="F1497" i="4"/>
  <c r="F1498" i="4"/>
  <c r="F1499" i="4"/>
  <c r="H1500" i="4" s="1"/>
  <c r="F1500" i="4"/>
  <c r="F1501" i="4"/>
  <c r="F1502" i="4"/>
  <c r="F1503" i="4"/>
  <c r="F1504" i="4"/>
  <c r="F1505" i="4"/>
  <c r="F1506" i="4"/>
  <c r="F1507" i="4"/>
  <c r="F1508" i="4"/>
  <c r="F1509" i="4"/>
  <c r="F1510" i="4"/>
  <c r="F1511" i="4"/>
  <c r="F1512" i="4"/>
  <c r="F1513" i="4"/>
  <c r="F1514" i="4"/>
  <c r="F1515" i="4"/>
  <c r="F1516" i="4"/>
  <c r="F1517" i="4"/>
  <c r="F1518" i="4"/>
  <c r="F1519" i="4"/>
  <c r="H1520" i="4" s="1"/>
  <c r="F1520" i="4"/>
  <c r="F1521" i="4"/>
  <c r="F1522" i="4"/>
  <c r="F1523" i="4"/>
  <c r="F1524" i="4"/>
  <c r="F1525" i="4"/>
  <c r="F1526" i="4"/>
  <c r="F1527" i="4"/>
  <c r="F1528" i="4"/>
  <c r="F1529" i="4"/>
  <c r="F1530" i="4"/>
  <c r="F1531" i="4"/>
  <c r="F1532" i="4"/>
  <c r="F1533" i="4"/>
  <c r="F1534" i="4"/>
  <c r="H1535" i="4" s="1"/>
  <c r="F1535" i="4"/>
  <c r="F1536" i="4"/>
  <c r="F1537" i="4"/>
  <c r="F1538" i="4"/>
  <c r="F1539" i="4"/>
  <c r="F1540" i="4"/>
  <c r="F1541" i="4"/>
  <c r="F1542" i="4"/>
  <c r="H1543" i="4" s="1"/>
  <c r="F1543" i="4"/>
  <c r="F1544" i="4"/>
  <c r="F1545" i="4"/>
  <c r="F1546" i="4"/>
  <c r="F1547" i="4"/>
  <c r="F1548" i="4"/>
  <c r="F1549" i="4"/>
  <c r="F1550" i="4"/>
  <c r="F1551" i="4"/>
  <c r="H1552" i="4" s="1"/>
  <c r="F1552" i="4"/>
  <c r="F1553" i="4"/>
  <c r="H1554" i="4" s="1"/>
  <c r="F1554" i="4"/>
  <c r="F1555" i="4"/>
  <c r="F1556" i="4"/>
  <c r="F1557" i="4"/>
  <c r="F1558" i="4"/>
  <c r="F1559" i="4"/>
  <c r="F1560" i="4"/>
  <c r="H1561" i="4" s="1"/>
  <c r="F1561" i="4"/>
  <c r="F1562" i="4"/>
  <c r="F1563" i="4"/>
  <c r="F1564" i="4"/>
  <c r="F1565" i="4"/>
  <c r="F1566" i="4"/>
  <c r="F1567" i="4"/>
  <c r="F1568" i="4"/>
  <c r="F1569" i="4"/>
  <c r="H1570" i="4" s="1"/>
  <c r="F1570" i="4"/>
  <c r="F1571" i="4"/>
  <c r="F1572" i="4"/>
  <c r="F1573" i="4"/>
  <c r="F1574" i="4"/>
  <c r="F1575" i="4"/>
  <c r="F1576" i="4"/>
  <c r="F1577" i="4"/>
  <c r="F1578" i="4"/>
  <c r="F1579" i="4"/>
  <c r="H1580" i="4" s="1"/>
  <c r="F1580" i="4"/>
  <c r="H1581" i="4" s="1"/>
  <c r="F1581" i="4"/>
  <c r="F1582" i="4"/>
  <c r="F1583" i="4"/>
  <c r="F1584" i="4"/>
  <c r="F1585" i="4"/>
  <c r="F1586" i="4"/>
  <c r="F1587" i="4"/>
  <c r="F1588" i="4"/>
  <c r="F1589" i="4"/>
  <c r="F1590" i="4"/>
  <c r="F1591" i="4"/>
  <c r="F1592" i="4"/>
  <c r="F1593" i="4"/>
  <c r="F1594" i="4"/>
  <c r="F1595" i="4"/>
  <c r="F1596" i="4"/>
  <c r="F1597" i="4"/>
  <c r="F1598" i="4"/>
  <c r="F1599" i="4"/>
  <c r="H1600" i="4" s="1"/>
  <c r="F1600" i="4"/>
  <c r="F1601" i="4"/>
  <c r="F1602" i="4"/>
  <c r="H1603" i="4" s="1"/>
  <c r="F1603" i="4"/>
  <c r="H1604" i="4" s="1"/>
  <c r="F1604" i="4"/>
  <c r="F1605" i="4"/>
  <c r="F1606" i="4"/>
  <c r="F1607" i="4"/>
  <c r="F1608" i="4"/>
  <c r="F1609" i="4"/>
  <c r="F1610" i="4"/>
  <c r="F1611" i="4"/>
  <c r="H1612" i="4" s="1"/>
  <c r="F1612" i="4"/>
  <c r="F1613" i="4"/>
  <c r="F1614" i="4"/>
  <c r="F1615" i="4"/>
  <c r="F1616" i="4"/>
  <c r="F1617" i="4"/>
  <c r="F1618" i="4"/>
  <c r="F1619" i="4"/>
  <c r="F1620" i="4"/>
  <c r="F1621" i="4"/>
  <c r="F1622" i="4"/>
  <c r="F1623" i="4"/>
  <c r="F1624" i="4"/>
  <c r="F1625" i="4"/>
  <c r="F1626" i="4"/>
  <c r="F1627" i="4"/>
  <c r="F1628" i="4"/>
  <c r="F1629" i="4"/>
  <c r="H1630" i="4" s="1"/>
  <c r="F1630" i="4"/>
  <c r="F1631" i="4"/>
  <c r="F1632" i="4"/>
  <c r="F1633" i="4"/>
  <c r="F1634" i="4"/>
  <c r="F1635" i="4"/>
  <c r="F1636" i="4"/>
  <c r="F1637" i="4"/>
  <c r="F1638" i="4"/>
  <c r="F1639" i="4"/>
  <c r="F1640" i="4"/>
  <c r="F1641" i="4"/>
  <c r="F1642" i="4"/>
  <c r="F1643" i="4"/>
  <c r="F1644" i="4"/>
  <c r="F1645" i="4"/>
  <c r="F1646" i="4"/>
  <c r="F1647" i="4"/>
  <c r="F1648" i="4"/>
  <c r="F1649" i="4"/>
  <c r="F1650" i="4"/>
  <c r="F1651" i="4"/>
  <c r="F1652" i="4"/>
  <c r="F1653" i="4"/>
  <c r="F1654" i="4"/>
  <c r="F1655" i="4"/>
  <c r="F1656" i="4"/>
  <c r="F1657" i="4"/>
  <c r="F1658" i="4"/>
  <c r="F1659" i="4"/>
  <c r="H1660" i="4" s="1"/>
  <c r="F1660" i="4"/>
  <c r="H1661" i="4" s="1"/>
  <c r="F1661" i="4"/>
  <c r="F1662" i="4"/>
  <c r="H1663" i="4" s="1"/>
  <c r="F1663" i="4"/>
  <c r="H1664" i="4" s="1"/>
  <c r="F1664" i="4"/>
  <c r="F1665" i="4"/>
  <c r="F1666" i="4"/>
  <c r="F1667" i="4"/>
  <c r="F1668" i="4"/>
  <c r="F1669" i="4"/>
  <c r="F1670" i="4"/>
  <c r="F1671" i="4"/>
  <c r="F1672" i="4"/>
  <c r="F1673" i="4"/>
  <c r="F1674" i="4"/>
  <c r="F1675" i="4"/>
  <c r="F1676" i="4"/>
  <c r="F1677" i="4"/>
  <c r="F1678" i="4"/>
  <c r="F1679" i="4"/>
  <c r="F1680" i="4"/>
  <c r="F1681" i="4"/>
  <c r="F1682" i="4"/>
  <c r="F1683" i="4"/>
  <c r="F1684" i="4"/>
  <c r="F1685" i="4"/>
  <c r="F1686" i="4"/>
  <c r="F1687" i="4"/>
  <c r="F1688" i="4"/>
  <c r="F1689" i="4"/>
  <c r="F1690" i="4"/>
  <c r="F1691" i="4"/>
  <c r="F1692" i="4"/>
  <c r="F1693" i="4"/>
  <c r="H1694" i="4" s="1"/>
  <c r="F1694" i="4"/>
  <c r="H1695" i="4" s="1"/>
  <c r="F1695" i="4"/>
  <c r="F1696" i="4"/>
  <c r="H1697" i="4" s="1"/>
  <c r="F1697" i="4"/>
  <c r="F1698" i="4"/>
  <c r="F1699" i="4"/>
  <c r="H1700" i="4" s="1"/>
  <c r="F1700" i="4"/>
  <c r="F1701" i="4"/>
  <c r="F1702" i="4"/>
  <c r="F1703" i="4"/>
  <c r="F1704" i="4"/>
  <c r="F1705" i="4"/>
  <c r="F1706" i="4"/>
  <c r="F1707" i="4"/>
  <c r="F1708" i="4"/>
  <c r="F1709" i="4"/>
  <c r="F1710" i="4"/>
  <c r="F1711" i="4"/>
  <c r="F1712" i="4"/>
  <c r="F1713" i="4"/>
  <c r="F1714" i="4"/>
  <c r="F1715" i="4"/>
  <c r="F1716" i="4"/>
  <c r="F1717" i="4"/>
  <c r="F1718" i="4"/>
  <c r="F1719" i="4"/>
  <c r="H1720" i="4" s="1"/>
  <c r="F1720" i="4"/>
  <c r="F1721" i="4"/>
  <c r="F1722" i="4"/>
  <c r="F1723" i="4"/>
  <c r="H1724" i="4" s="1"/>
  <c r="F1724" i="4"/>
  <c r="F1725" i="4"/>
  <c r="F1726" i="4"/>
  <c r="F1727" i="4"/>
  <c r="F1728" i="4"/>
  <c r="F1729" i="4"/>
  <c r="H1730" i="4" s="1"/>
  <c r="F1730" i="4"/>
  <c r="H1731" i="4" s="1"/>
  <c r="F1731" i="4"/>
  <c r="F1732" i="4"/>
  <c r="F1733" i="4"/>
  <c r="F1734" i="4"/>
  <c r="F1735" i="4"/>
  <c r="F1736" i="4"/>
  <c r="F1737" i="4"/>
  <c r="F1738" i="4"/>
  <c r="F1739" i="4"/>
  <c r="H1740" i="4" s="1"/>
  <c r="F1740" i="4"/>
  <c r="F1741" i="4"/>
  <c r="F1742" i="4"/>
  <c r="F1743" i="4"/>
  <c r="F1744" i="4"/>
  <c r="F1745" i="4"/>
  <c r="F1746" i="4"/>
  <c r="F1747" i="4"/>
  <c r="F1748" i="4"/>
  <c r="F1749" i="4"/>
  <c r="H1750" i="4" s="1"/>
  <c r="F1750" i="4"/>
  <c r="F1751" i="4"/>
  <c r="F1752" i="4"/>
  <c r="F1753" i="4"/>
  <c r="H1754" i="4" s="1"/>
  <c r="F1754" i="4"/>
  <c r="F1755" i="4"/>
  <c r="F1756" i="4"/>
  <c r="F1757" i="4"/>
  <c r="F1758" i="4"/>
  <c r="F1759" i="4"/>
  <c r="F1760" i="4"/>
  <c r="F1761" i="4"/>
  <c r="F1762" i="4"/>
  <c r="F1763" i="4"/>
  <c r="F1764" i="4"/>
  <c r="F1765" i="4"/>
  <c r="F1766" i="4"/>
  <c r="F1767" i="4"/>
  <c r="F1768" i="4"/>
  <c r="F1769" i="4"/>
  <c r="F1770" i="4"/>
  <c r="F1771" i="4"/>
  <c r="F1772" i="4"/>
  <c r="F1773" i="4"/>
  <c r="F1774" i="4"/>
  <c r="F1775" i="4"/>
  <c r="F1776" i="4"/>
  <c r="F1777" i="4"/>
  <c r="F1778" i="4"/>
  <c r="F1779" i="4"/>
  <c r="F1780" i="4"/>
  <c r="F1781" i="4"/>
  <c r="F1782" i="4"/>
  <c r="F1783" i="4"/>
  <c r="F1784" i="4"/>
  <c r="F1785" i="4"/>
  <c r="F1786" i="4"/>
  <c r="F1787" i="4"/>
  <c r="F1788" i="4"/>
  <c r="F1789" i="4"/>
  <c r="F1790" i="4"/>
  <c r="F1791" i="4"/>
  <c r="F1792" i="4"/>
  <c r="F1793" i="4"/>
  <c r="F1794" i="4"/>
  <c r="F1795" i="4"/>
  <c r="F1796" i="4"/>
  <c r="F1797" i="4"/>
  <c r="F1798" i="4"/>
  <c r="F1799" i="4"/>
  <c r="F1800" i="4"/>
  <c r="F1801" i="4"/>
  <c r="F1802" i="4"/>
  <c r="H1803" i="4" s="1"/>
  <c r="F1803" i="4"/>
  <c r="H1804" i="4" s="1"/>
  <c r="F1804" i="4"/>
  <c r="F1805" i="4"/>
  <c r="F1806" i="4"/>
  <c r="F1807" i="4"/>
  <c r="F1808" i="4"/>
  <c r="F1809" i="4"/>
  <c r="F1810" i="4"/>
  <c r="F1811" i="4"/>
  <c r="F1812" i="4"/>
  <c r="F1813" i="4"/>
  <c r="F1814" i="4"/>
  <c r="F1815" i="4"/>
  <c r="F1816" i="4"/>
  <c r="F1817" i="4"/>
  <c r="F1818" i="4"/>
  <c r="F1819" i="4"/>
  <c r="H1820" i="4" s="1"/>
  <c r="F1820" i="4"/>
  <c r="F1821" i="4"/>
  <c r="F1822" i="4"/>
  <c r="F1823" i="4"/>
  <c r="F1824" i="4"/>
  <c r="F1825" i="4"/>
  <c r="F1826" i="4"/>
  <c r="F1827" i="4"/>
  <c r="F1828" i="4"/>
  <c r="F1829" i="4"/>
  <c r="F1830" i="4"/>
  <c r="F1831" i="4"/>
  <c r="F1832" i="4"/>
  <c r="F1833" i="4"/>
  <c r="F1834" i="4"/>
  <c r="F1835" i="4"/>
  <c r="F1836" i="4"/>
  <c r="F1837" i="4"/>
  <c r="F1838" i="4"/>
  <c r="F1839" i="4"/>
  <c r="F1840" i="4"/>
  <c r="F1841" i="4"/>
  <c r="F1842" i="4"/>
  <c r="F1843" i="4"/>
  <c r="F1844" i="4"/>
  <c r="F1845" i="4"/>
  <c r="F1846" i="4"/>
  <c r="F1847" i="4"/>
  <c r="F1848" i="4"/>
  <c r="F1849" i="4"/>
  <c r="F1850" i="4"/>
  <c r="H1851" i="4" s="1"/>
  <c r="F1851" i="4"/>
  <c r="F1852" i="4"/>
  <c r="F1853" i="4"/>
  <c r="F1854" i="4"/>
  <c r="F1855" i="4"/>
  <c r="F1856" i="4"/>
  <c r="H1857" i="4" s="1"/>
  <c r="F1857" i="4"/>
  <c r="F1858" i="4"/>
  <c r="F1859" i="4"/>
  <c r="F1860" i="4"/>
  <c r="F1861" i="4"/>
  <c r="F1862" i="4"/>
  <c r="F1863" i="4"/>
  <c r="F1864" i="4"/>
  <c r="F1865" i="4"/>
  <c r="F1866" i="4"/>
  <c r="F1867" i="4"/>
  <c r="F1868" i="4"/>
  <c r="F1869" i="4"/>
  <c r="F1870" i="4"/>
  <c r="H1871" i="4" s="1"/>
  <c r="F1871" i="4"/>
  <c r="H1872" i="4" s="1"/>
  <c r="F1872" i="4"/>
  <c r="F1873" i="4"/>
  <c r="F1874" i="4"/>
  <c r="F1875" i="4"/>
  <c r="F1876" i="4"/>
  <c r="F1877" i="4"/>
  <c r="F1878" i="4"/>
  <c r="F1879" i="4"/>
  <c r="H1880" i="4" s="1"/>
  <c r="F1880" i="4"/>
  <c r="F1881" i="4"/>
  <c r="F1882" i="4"/>
  <c r="F1883" i="4"/>
  <c r="F1884" i="4"/>
  <c r="F1885" i="4"/>
  <c r="F1886" i="4"/>
  <c r="F1887" i="4"/>
  <c r="F1888" i="4"/>
  <c r="F1889" i="4"/>
  <c r="F1890" i="4"/>
  <c r="F1891" i="4"/>
  <c r="F1892" i="4"/>
  <c r="F1893" i="4"/>
  <c r="F1894" i="4"/>
  <c r="H1895" i="4" s="1"/>
  <c r="F1895" i="4"/>
  <c r="F1896" i="4"/>
  <c r="H1897" i="4" s="1"/>
  <c r="F1897" i="4"/>
  <c r="F1898" i="4"/>
  <c r="F1899" i="4"/>
  <c r="H1900" i="4" s="1"/>
  <c r="F1900" i="4"/>
  <c r="F1901" i="4"/>
  <c r="F1902" i="4"/>
  <c r="H1903" i="4" s="1"/>
  <c r="F1903" i="4"/>
  <c r="H1904" i="4" s="1"/>
  <c r="F1904" i="4"/>
  <c r="F1905" i="4"/>
  <c r="F1906" i="4"/>
  <c r="F1907" i="4"/>
  <c r="F1908" i="4"/>
  <c r="F1909" i="4"/>
  <c r="F1910" i="4"/>
  <c r="F1911" i="4"/>
  <c r="F1912" i="4"/>
  <c r="F1913" i="4"/>
  <c r="F1914" i="4"/>
  <c r="F1915" i="4"/>
  <c r="F1916" i="4"/>
  <c r="F1917" i="4"/>
  <c r="F1918" i="4"/>
  <c r="F1919" i="4"/>
  <c r="H1920" i="4" s="1"/>
  <c r="F1920" i="4"/>
  <c r="F1921" i="4"/>
  <c r="F1922" i="4"/>
  <c r="H1923" i="4" s="1"/>
  <c r="F1923" i="4"/>
  <c r="H1924" i="4" s="1"/>
  <c r="F1924" i="4"/>
  <c r="F1925" i="4"/>
  <c r="F1926" i="4"/>
  <c r="F1927" i="4"/>
  <c r="F1928" i="4"/>
  <c r="F1929" i="4"/>
  <c r="H1930" i="4" s="1"/>
  <c r="F1930" i="4"/>
  <c r="H1931" i="4" s="1"/>
  <c r="F1931" i="4"/>
  <c r="H1932" i="4" s="1"/>
  <c r="F1932" i="4"/>
  <c r="H1933" i="4" s="1"/>
  <c r="F1933" i="4"/>
  <c r="F1934" i="4"/>
  <c r="F1935" i="4"/>
  <c r="F1936" i="4"/>
  <c r="F1937" i="4"/>
  <c r="F1938" i="4"/>
  <c r="G6" i="4"/>
  <c r="H7" i="4" s="1"/>
  <c r="F6" i="4"/>
  <c r="H761" i="4" l="1"/>
  <c r="H581" i="4"/>
  <c r="H401" i="4"/>
  <c r="H361" i="4"/>
  <c r="H1860" i="4"/>
  <c r="H1760" i="4"/>
  <c r="H1680" i="4"/>
  <c r="H1380" i="4"/>
  <c r="H1060" i="4"/>
  <c r="H760" i="4"/>
  <c r="H1917" i="4"/>
  <c r="H1877" i="4"/>
  <c r="H1797" i="4"/>
  <c r="H1517" i="4"/>
  <c r="H897" i="4"/>
  <c r="H777" i="4"/>
  <c r="H717" i="4"/>
  <c r="H617" i="4"/>
  <c r="H277" i="4"/>
  <c r="H77" i="4"/>
  <c r="H1875" i="4"/>
  <c r="H1755" i="4"/>
  <c r="H1635" i="4"/>
  <c r="H1475" i="4"/>
  <c r="H1235" i="4"/>
  <c r="H1075" i="4"/>
  <c r="H855" i="4"/>
  <c r="H715" i="4"/>
  <c r="H615" i="4"/>
  <c r="H575" i="4"/>
  <c r="H395" i="4"/>
  <c r="H275" i="4"/>
  <c r="H1874" i="4"/>
  <c r="H894" i="4"/>
  <c r="H634" i="4"/>
  <c r="H274" i="4"/>
  <c r="H1893" i="4"/>
  <c r="H1873" i="4"/>
  <c r="H1813" i="4"/>
  <c r="H1793" i="4"/>
  <c r="H1753" i="4"/>
  <c r="H1693" i="4"/>
  <c r="H1673" i="4"/>
  <c r="H1613" i="4"/>
  <c r="H1593" i="4"/>
  <c r="H1817" i="4"/>
  <c r="H1737" i="4"/>
  <c r="H1677" i="4"/>
  <c r="H1657" i="4"/>
  <c r="H1597" i="4"/>
  <c r="H1577" i="4"/>
  <c r="H1557" i="4"/>
  <c r="H1537" i="4"/>
  <c r="H1497" i="4"/>
  <c r="H1477" i="4"/>
  <c r="H1437" i="4"/>
  <c r="H1377" i="4"/>
  <c r="H1317" i="4"/>
  <c r="H1277" i="4"/>
  <c r="H1217" i="4"/>
  <c r="H1177" i="4"/>
  <c r="H1157" i="4"/>
  <c r="H1117" i="4"/>
  <c r="H1057" i="4"/>
  <c r="H1017" i="4"/>
  <c r="H977" i="4"/>
  <c r="H957" i="4"/>
  <c r="H937" i="4"/>
  <c r="H917" i="4"/>
  <c r="H837" i="4"/>
  <c r="H757" i="4"/>
  <c r="H697" i="4"/>
  <c r="H657" i="4"/>
  <c r="H597" i="4"/>
  <c r="H557" i="4"/>
  <c r="H537" i="4"/>
  <c r="H517" i="4"/>
  <c r="H357" i="4"/>
  <c r="H337" i="4"/>
  <c r="H297" i="4"/>
  <c r="H257" i="4"/>
  <c r="H217" i="4"/>
  <c r="H177" i="4"/>
  <c r="H137" i="4"/>
  <c r="H97" i="4"/>
  <c r="H57" i="4"/>
  <c r="H37" i="4"/>
  <c r="H1555" i="4"/>
  <c r="H1495" i="4"/>
  <c r="H1435" i="4"/>
  <c r="H1255" i="4"/>
  <c r="H1215" i="4"/>
  <c r="H1155" i="4"/>
  <c r="H1115" i="4"/>
  <c r="H1015" i="4"/>
  <c r="H975" i="4"/>
  <c r="H935" i="4"/>
  <c r="H895" i="4"/>
  <c r="H835" i="4"/>
  <c r="H695" i="4"/>
  <c r="H655" i="4"/>
  <c r="H555" i="4"/>
  <c r="H535" i="4"/>
  <c r="H515" i="4"/>
  <c r="H475" i="4"/>
  <c r="H335" i="4"/>
  <c r="H295" i="4"/>
  <c r="H255" i="4"/>
  <c r="H215" i="4"/>
  <c r="H175" i="4"/>
  <c r="H95" i="4"/>
  <c r="H15" i="4"/>
  <c r="H1914" i="4"/>
  <c r="H1894" i="4"/>
  <c r="H1814" i="4"/>
  <c r="H1794" i="4"/>
  <c r="H1654" i="4"/>
  <c r="H1634" i="4"/>
  <c r="H1594" i="4"/>
  <c r="H1534" i="4"/>
  <c r="H1474" i="4"/>
  <c r="H1434" i="4"/>
  <c r="H1374" i="4"/>
  <c r="H1334" i="4"/>
  <c r="H1314" i="4"/>
  <c r="H1274" i="4"/>
  <c r="H1254" i="4"/>
  <c r="H1214" i="4"/>
  <c r="H1054" i="4"/>
  <c r="H994" i="4"/>
  <c r="H954" i="4"/>
  <c r="H914" i="4"/>
  <c r="H834" i="4"/>
  <c r="H694" i="4"/>
  <c r="H594" i="4"/>
  <c r="H554" i="4"/>
  <c r="H514" i="4"/>
  <c r="H454" i="4"/>
  <c r="H394" i="4"/>
  <c r="H354" i="4"/>
  <c r="H334" i="4"/>
  <c r="H294" i="4"/>
  <c r="H194" i="4"/>
  <c r="H174" i="4"/>
  <c r="H154" i="4"/>
  <c r="H134" i="4"/>
  <c r="H94" i="4"/>
  <c r="H54" i="4"/>
  <c r="H14" i="4"/>
  <c r="H1573" i="4"/>
  <c r="H1553" i="4"/>
  <c r="H1533" i="4"/>
  <c r="H1513" i="4"/>
  <c r="H1493" i="4"/>
  <c r="H1473" i="4"/>
  <c r="H1433" i="4"/>
  <c r="H1413" i="4"/>
  <c r="H1393" i="4"/>
  <c r="H1373" i="4"/>
  <c r="H1353" i="4"/>
  <c r="H1333" i="4"/>
  <c r="H1313" i="4"/>
  <c r="H1293" i="4"/>
  <c r="H1273" i="4"/>
  <c r="H1253" i="4"/>
  <c r="H1233" i="4"/>
  <c r="H1213" i="4"/>
  <c r="H1193" i="4"/>
  <c r="H1153" i="4"/>
  <c r="H1133" i="4"/>
  <c r="H1113" i="4"/>
  <c r="H1073" i="4"/>
  <c r="H1053" i="4"/>
  <c r="H1033" i="4"/>
  <c r="H1013" i="4"/>
  <c r="H993" i="4"/>
  <c r="H973" i="4"/>
  <c r="H953" i="4"/>
  <c r="H933" i="4"/>
  <c r="H913" i="4"/>
  <c r="H893" i="4"/>
  <c r="H873" i="4"/>
  <c r="H853" i="4"/>
  <c r="H833" i="4"/>
  <c r="H713" i="4"/>
  <c r="H653" i="4"/>
  <c r="H633" i="4"/>
  <c r="H553" i="4"/>
  <c r="H533" i="4"/>
  <c r="H513" i="4"/>
  <c r="H473" i="4"/>
  <c r="H453" i="4"/>
  <c r="H433" i="4"/>
  <c r="H413" i="4"/>
  <c r="H353" i="4"/>
  <c r="H333" i="4"/>
  <c r="H293" i="4"/>
  <c r="H273" i="4"/>
  <c r="H253" i="4"/>
  <c r="H233" i="4"/>
  <c r="H193" i="4"/>
  <c r="H173" i="4"/>
  <c r="H133" i="4"/>
  <c r="H113" i="4"/>
  <c r="H93" i="4"/>
  <c r="H73" i="4"/>
  <c r="H53" i="4"/>
  <c r="H33" i="4"/>
  <c r="H1912" i="4"/>
  <c r="H1812" i="4"/>
  <c r="H1712" i="4"/>
  <c r="H1692" i="4"/>
  <c r="H1652" i="4"/>
  <c r="H1632" i="4"/>
  <c r="H1592" i="4"/>
  <c r="H1572" i="4"/>
  <c r="H1492" i="4"/>
  <c r="H1472" i="4"/>
  <c r="H1372" i="4"/>
  <c r="H1332" i="4"/>
  <c r="H1312" i="4"/>
  <c r="H1272" i="4"/>
  <c r="H1232" i="4"/>
  <c r="H1212" i="4"/>
  <c r="H1192" i="4"/>
  <c r="H1172" i="4"/>
  <c r="H1152" i="4"/>
  <c r="H1132" i="4"/>
  <c r="H1092" i="4"/>
  <c r="H1012" i="4"/>
  <c r="H952" i="4"/>
  <c r="H912" i="4"/>
  <c r="H872" i="4"/>
  <c r="H832" i="4"/>
  <c r="H792" i="4"/>
  <c r="H752" i="4"/>
  <c r="H632" i="4"/>
  <c r="H552" i="4"/>
  <c r="H1891" i="4"/>
  <c r="H1811" i="4"/>
  <c r="H1711" i="4"/>
  <c r="H1691" i="4"/>
  <c r="H1651" i="4"/>
  <c r="H1631" i="4"/>
  <c r="H1611" i="4"/>
  <c r="H1591" i="4"/>
  <c r="H1571" i="4"/>
  <c r="H1511" i="4"/>
  <c r="H1491" i="4"/>
  <c r="H1471" i="4"/>
  <c r="H1451" i="4"/>
  <c r="H1431" i="4"/>
  <c r="H1411" i="4"/>
  <c r="H1391" i="4"/>
  <c r="H1371" i="4"/>
  <c r="H1351" i="4"/>
  <c r="H1331" i="4"/>
  <c r="H1311" i="4"/>
  <c r="H1291" i="4"/>
  <c r="H1271" i="4"/>
  <c r="H1231" i="4"/>
  <c r="H1151" i="4"/>
  <c r="H1131" i="4"/>
  <c r="H1111" i="4"/>
  <c r="H1091" i="4"/>
  <c r="H1071" i="4"/>
  <c r="H1031" i="4"/>
  <c r="H1011" i="4"/>
  <c r="H971" i="4"/>
  <c r="H951" i="4"/>
  <c r="H931" i="4"/>
  <c r="H911" i="4"/>
  <c r="H891" i="4"/>
  <c r="H871" i="4"/>
  <c r="H851" i="4"/>
  <c r="H811" i="4"/>
  <c r="H791" i="4"/>
  <c r="H731" i="4"/>
  <c r="H711" i="4"/>
  <c r="H671" i="4"/>
  <c r="H651" i="4"/>
  <c r="H631" i="4"/>
  <c r="H591" i="4"/>
  <c r="H571" i="4"/>
  <c r="H551" i="4"/>
  <c r="H511" i="4"/>
  <c r="H471" i="4"/>
  <c r="H431" i="4"/>
  <c r="H411" i="4"/>
  <c r="H391" i="4"/>
  <c r="H351" i="4"/>
  <c r="H331" i="4"/>
  <c r="H311" i="4"/>
  <c r="H1910" i="4"/>
  <c r="H1890" i="4"/>
  <c r="H1870" i="4"/>
  <c r="H1810" i="4"/>
  <c r="H1770" i="4"/>
  <c r="H1710" i="4"/>
  <c r="H1690" i="4"/>
  <c r="H1650" i="4"/>
  <c r="H1530" i="4"/>
  <c r="H1450" i="4"/>
  <c r="H1430" i="4"/>
  <c r="H1370" i="4"/>
  <c r="H1350" i="4"/>
  <c r="H1190" i="4"/>
  <c r="H1150" i="4"/>
  <c r="H1130" i="4"/>
  <c r="H1070" i="4"/>
  <c r="H1050" i="4"/>
  <c r="H1010" i="4"/>
  <c r="H950" i="4"/>
  <c r="H910" i="4"/>
  <c r="H870" i="4"/>
  <c r="H850" i="4"/>
  <c r="H770" i="4"/>
  <c r="H670" i="4"/>
  <c r="H650" i="4"/>
  <c r="H630" i="4"/>
  <c r="H590" i="4"/>
  <c r="H550" i="4"/>
  <c r="H450" i="4"/>
  <c r="H410" i="4"/>
  <c r="H330" i="4"/>
  <c r="H290" i="4"/>
  <c r="H270" i="4"/>
  <c r="H250" i="4"/>
  <c r="H210" i="4"/>
  <c r="H90" i="4"/>
  <c r="H70" i="4"/>
  <c r="H50" i="4"/>
  <c r="H1608" i="4"/>
  <c r="H1508" i="4"/>
  <c r="H1408" i="4"/>
  <c r="H1208" i="4"/>
  <c r="H928" i="4"/>
  <c r="H908" i="4"/>
  <c r="H728" i="4"/>
  <c r="H508" i="4"/>
  <c r="H328" i="4"/>
  <c r="H308" i="4"/>
  <c r="H268" i="4"/>
  <c r="H128" i="4"/>
  <c r="H68" i="4"/>
  <c r="H867" i="4"/>
  <c r="H827" i="4"/>
  <c r="H787" i="4"/>
  <c r="H767" i="4"/>
  <c r="H747" i="4"/>
  <c r="H727" i="4"/>
  <c r="H687" i="4"/>
  <c r="H667" i="4"/>
  <c r="H647" i="4"/>
  <c r="H627" i="4"/>
  <c r="H607" i="4"/>
  <c r="H587" i="4"/>
  <c r="H567" i="4"/>
  <c r="H527" i="4"/>
  <c r="H507" i="4"/>
  <c r="H467" i="4"/>
  <c r="H447" i="4"/>
  <c r="H427" i="4"/>
  <c r="H387" i="4"/>
  <c r="H327" i="4"/>
  <c r="H307" i="4"/>
  <c r="H267" i="4"/>
  <c r="H247" i="4"/>
  <c r="H207" i="4"/>
  <c r="H127" i="4"/>
  <c r="H87" i="4"/>
  <c r="H67" i="4"/>
  <c r="H47" i="4"/>
  <c r="H27" i="4"/>
  <c r="H945" i="4"/>
  <c r="H925" i="4"/>
  <c r="H905" i="4"/>
  <c r="H885" i="4"/>
  <c r="H865" i="4"/>
  <c r="H845" i="4"/>
  <c r="H825" i="4"/>
  <c r="H805" i="4"/>
  <c r="H785" i="4"/>
  <c r="H765" i="4"/>
  <c r="H725" i="4"/>
  <c r="H705" i="4"/>
  <c r="H685" i="4"/>
  <c r="H645" i="4"/>
  <c r="H585" i="4"/>
  <c r="H545" i="4"/>
  <c r="H505" i="4"/>
  <c r="H485" i="4"/>
  <c r="H465" i="4"/>
  <c r="H445" i="4"/>
  <c r="H425" i="4"/>
  <c r="H405" i="4"/>
  <c r="H365" i="4"/>
  <c r="H345" i="4"/>
  <c r="H325" i="4"/>
  <c r="H305" i="4"/>
  <c r="H285" i="4"/>
  <c r="H265" i="4"/>
  <c r="H245" i="4"/>
  <c r="H185" i="4"/>
  <c r="H165" i="4"/>
  <c r="H125" i="4"/>
  <c r="H105" i="4"/>
  <c r="H85" i="4"/>
  <c r="H65" i="4"/>
  <c r="H45" i="4"/>
  <c r="H25" i="4"/>
  <c r="H1104" i="4"/>
  <c r="H1064" i="4"/>
  <c r="H904" i="4"/>
  <c r="H864" i="4"/>
  <c r="H704" i="4"/>
  <c r="H664" i="4"/>
  <c r="H504" i="4"/>
  <c r="H464" i="4"/>
  <c r="H304" i="4"/>
  <c r="H264" i="4"/>
  <c r="H104" i="4"/>
  <c r="H64" i="4"/>
  <c r="H1683" i="4"/>
  <c r="H1583" i="4"/>
  <c r="H1483" i="4"/>
  <c r="H1383" i="4"/>
  <c r="H1283" i="4"/>
  <c r="H1183" i="4"/>
  <c r="H1123" i="4"/>
  <c r="H983" i="4"/>
  <c r="H963" i="4"/>
  <c r="H783" i="4"/>
  <c r="H763" i="4"/>
  <c r="H583" i="4"/>
  <c r="H363" i="4"/>
  <c r="H183" i="4"/>
  <c r="H163" i="4"/>
  <c r="H1582" i="4"/>
  <c r="H1522" i="4"/>
  <c r="H1482" i="4"/>
  <c r="H1382" i="4"/>
  <c r="H1322" i="4"/>
  <c r="H1282" i="4"/>
  <c r="H1222" i="4"/>
  <c r="H962" i="4"/>
  <c r="H922" i="4"/>
  <c r="H762" i="4"/>
  <c r="H522" i="4"/>
  <c r="H362" i="4"/>
  <c r="H162" i="4"/>
  <c r="H122" i="4"/>
  <c r="H1921" i="4"/>
  <c r="H1881" i="4"/>
  <c r="H1821" i="4"/>
  <c r="H1801" i="4"/>
  <c r="H1761" i="4"/>
  <c r="H1721" i="4"/>
  <c r="H1601" i="4"/>
  <c r="H1501" i="4"/>
  <c r="H1401" i="4"/>
  <c r="H1301" i="4"/>
  <c r="H1041" i="4"/>
  <c r="H841" i="4"/>
  <c r="H821" i="4"/>
  <c r="H641" i="4"/>
  <c r="H621" i="4"/>
  <c r="H241" i="4"/>
  <c r="H181" i="4"/>
  <c r="H121" i="4"/>
  <c r="H41" i="4"/>
  <c r="H1020" i="4"/>
  <c r="H980" i="4"/>
  <c r="H820" i="4"/>
  <c r="H780" i="4"/>
  <c r="H620" i="4"/>
  <c r="H580" i="4"/>
  <c r="H380" i="4"/>
  <c r="H220" i="4"/>
  <c r="H180" i="4"/>
  <c r="H20" i="4"/>
  <c r="H291" i="4"/>
  <c r="H271" i="4"/>
  <c r="H251" i="4"/>
  <c r="H231" i="4"/>
  <c r="H191" i="4"/>
  <c r="H171" i="4"/>
  <c r="H151" i="4"/>
  <c r="H131" i="4"/>
  <c r="H111" i="4"/>
  <c r="H91" i="4"/>
  <c r="H51" i="4"/>
  <c r="H126" i="4"/>
  <c r="H106" i="4"/>
  <c r="H86" i="4"/>
  <c r="H66" i="4"/>
  <c r="H46" i="4"/>
  <c r="H26" i="4"/>
  <c r="I7" i="4"/>
  <c r="I8" i="4" l="1"/>
  <c r="J7" i="4"/>
  <c r="I9" i="4" l="1"/>
  <c r="J8" i="4"/>
  <c r="K7" i="4"/>
  <c r="K8" i="4" l="1"/>
  <c r="J9" i="4"/>
  <c r="I10" i="4"/>
  <c r="J10" i="4" l="1"/>
  <c r="I11" i="4"/>
  <c r="K9" i="4"/>
  <c r="K10" i="4" s="1"/>
  <c r="I12" i="4" l="1"/>
  <c r="J11" i="4"/>
  <c r="I13" i="4" l="1"/>
  <c r="J12" i="4"/>
  <c r="K11" i="4"/>
  <c r="K12" i="4" l="1"/>
  <c r="I14" i="4"/>
  <c r="J13" i="4"/>
  <c r="I15" i="4" l="1"/>
  <c r="J14" i="4"/>
  <c r="K13" i="4"/>
  <c r="I16" i="4" l="1"/>
  <c r="J15" i="4"/>
  <c r="K14" i="4"/>
  <c r="I17" i="4" l="1"/>
  <c r="J16" i="4"/>
  <c r="K15" i="4"/>
  <c r="K16" i="4" l="1"/>
  <c r="I18" i="4"/>
  <c r="J17" i="4"/>
  <c r="K17" i="4" l="1"/>
  <c r="I19" i="4"/>
  <c r="J18" i="4"/>
  <c r="I20" i="4" l="1"/>
  <c r="J19" i="4"/>
  <c r="K18" i="4"/>
  <c r="K19" i="4" l="1"/>
  <c r="I21" i="4"/>
  <c r="J20" i="4"/>
  <c r="I22" i="4" l="1"/>
  <c r="J21" i="4"/>
  <c r="K20" i="4"/>
  <c r="I23" i="4" l="1"/>
  <c r="J22" i="4"/>
  <c r="K21" i="4"/>
  <c r="K22" i="4" s="1"/>
  <c r="I24" i="4" l="1"/>
  <c r="J23" i="4"/>
  <c r="I25" i="4" l="1"/>
  <c r="J24" i="4"/>
  <c r="K23" i="4"/>
  <c r="K24" i="4" l="1"/>
  <c r="I26" i="4"/>
  <c r="J25" i="4"/>
  <c r="I27" i="4" l="1"/>
  <c r="J26" i="4"/>
  <c r="K25" i="4"/>
  <c r="K26" i="4" l="1"/>
  <c r="I28" i="4"/>
  <c r="J27" i="4"/>
  <c r="I29" i="4" l="1"/>
  <c r="J28" i="4"/>
  <c r="K27" i="4"/>
  <c r="K28" i="4" l="1"/>
  <c r="I30" i="4"/>
  <c r="J29" i="4"/>
  <c r="I31" i="4" l="1"/>
  <c r="J30" i="4"/>
  <c r="K29" i="4"/>
  <c r="K30" i="4" s="1"/>
  <c r="I32" i="4" l="1"/>
  <c r="J31" i="4"/>
  <c r="I33" i="4" l="1"/>
  <c r="J32" i="4"/>
  <c r="K31" i="4"/>
  <c r="K32" i="4" s="1"/>
  <c r="I34" i="4" l="1"/>
  <c r="J33" i="4"/>
  <c r="I35" i="4" l="1"/>
  <c r="J34" i="4"/>
  <c r="K33" i="4"/>
  <c r="K34" i="4" l="1"/>
  <c r="I36" i="4"/>
  <c r="J35" i="4"/>
  <c r="K35" i="4" l="1"/>
  <c r="I37" i="4"/>
  <c r="J36" i="4"/>
  <c r="K36" i="4" s="1"/>
  <c r="I38" i="4" l="1"/>
  <c r="J37" i="4"/>
  <c r="K37" i="4" l="1"/>
  <c r="I39" i="4"/>
  <c r="J38" i="4"/>
  <c r="I40" i="4" l="1"/>
  <c r="J39" i="4"/>
  <c r="K38" i="4"/>
  <c r="K39" i="4" l="1"/>
  <c r="I41" i="4"/>
  <c r="J40" i="4"/>
  <c r="K40" i="4" l="1"/>
  <c r="I42" i="4"/>
  <c r="J41" i="4"/>
  <c r="I43" i="4" l="1"/>
  <c r="J42" i="4"/>
  <c r="K41" i="4"/>
  <c r="K42" i="4" l="1"/>
  <c r="I44" i="4"/>
  <c r="J43" i="4"/>
  <c r="K43" i="4" s="1"/>
  <c r="I45" i="4" l="1"/>
  <c r="J44" i="4"/>
  <c r="I46" i="4" l="1"/>
  <c r="J45" i="4"/>
  <c r="K44" i="4"/>
  <c r="K45" i="4" l="1"/>
  <c r="I47" i="4"/>
  <c r="J46" i="4"/>
  <c r="I48" i="4" l="1"/>
  <c r="J47" i="4"/>
  <c r="K46" i="4"/>
  <c r="K47" i="4" l="1"/>
  <c r="I49" i="4"/>
  <c r="J48" i="4"/>
  <c r="I50" i="4" l="1"/>
  <c r="J49" i="4"/>
  <c r="K48" i="4"/>
  <c r="K49" i="4" l="1"/>
  <c r="I51" i="4"/>
  <c r="J50" i="4"/>
  <c r="I52" i="4" l="1"/>
  <c r="J51" i="4"/>
  <c r="K50" i="4"/>
  <c r="K51" i="4" s="1"/>
  <c r="I53" i="4" l="1"/>
  <c r="J52" i="4"/>
  <c r="I54" i="4" l="1"/>
  <c r="J53" i="4"/>
  <c r="K52" i="4"/>
  <c r="K53" i="4" l="1"/>
  <c r="I55" i="4"/>
  <c r="J54" i="4"/>
  <c r="I56" i="4" l="1"/>
  <c r="J55" i="4"/>
  <c r="K54" i="4"/>
  <c r="K55" i="4" l="1"/>
  <c r="I57" i="4"/>
  <c r="J56" i="4"/>
  <c r="K56" i="4" l="1"/>
  <c r="I58" i="4"/>
  <c r="J57" i="4"/>
  <c r="I59" i="4" l="1"/>
  <c r="J58" i="4"/>
  <c r="K57" i="4"/>
  <c r="K58" i="4" l="1"/>
  <c r="I60" i="4"/>
  <c r="J59" i="4"/>
  <c r="I61" i="4" l="1"/>
  <c r="J60" i="4"/>
  <c r="K59" i="4"/>
  <c r="K60" i="4" l="1"/>
  <c r="I62" i="4"/>
  <c r="J61" i="4"/>
  <c r="I63" i="4" l="1"/>
  <c r="J62" i="4"/>
  <c r="K61" i="4"/>
  <c r="K62" i="4" l="1"/>
  <c r="I64" i="4"/>
  <c r="J63" i="4"/>
  <c r="I65" i="4" l="1"/>
  <c r="J64" i="4"/>
  <c r="K63" i="4"/>
  <c r="K64" i="4" l="1"/>
  <c r="I66" i="4"/>
  <c r="J65" i="4"/>
  <c r="I67" i="4" l="1"/>
  <c r="J66" i="4"/>
  <c r="K65" i="4"/>
  <c r="K66" i="4" l="1"/>
  <c r="I68" i="4"/>
  <c r="J67" i="4"/>
  <c r="I69" i="4" l="1"/>
  <c r="J68" i="4"/>
  <c r="K67" i="4"/>
  <c r="K68" i="4" l="1"/>
  <c r="I70" i="4"/>
  <c r="J69" i="4"/>
  <c r="I71" i="4" l="1"/>
  <c r="J70" i="4"/>
  <c r="K69" i="4"/>
  <c r="K70" i="4" l="1"/>
  <c r="I72" i="4"/>
  <c r="J71" i="4"/>
  <c r="I73" i="4" l="1"/>
  <c r="J72" i="4"/>
  <c r="K71" i="4"/>
  <c r="K72" i="4" l="1"/>
  <c r="I74" i="4"/>
  <c r="J73" i="4"/>
  <c r="K73" i="4" l="1"/>
  <c r="I75" i="4"/>
  <c r="J74" i="4"/>
  <c r="I76" i="4" l="1"/>
  <c r="J75" i="4"/>
  <c r="K74" i="4"/>
  <c r="K75" i="4" l="1"/>
  <c r="I77" i="4"/>
  <c r="J76" i="4"/>
  <c r="I78" i="4" l="1"/>
  <c r="J77" i="4"/>
  <c r="K76" i="4"/>
  <c r="K77" i="4" s="1"/>
  <c r="I79" i="4" l="1"/>
  <c r="J78" i="4"/>
  <c r="K78" i="4" l="1"/>
  <c r="I80" i="4"/>
  <c r="J79" i="4"/>
  <c r="I81" i="4" l="1"/>
  <c r="J80" i="4"/>
  <c r="K79" i="4"/>
  <c r="K80" i="4" l="1"/>
  <c r="I82" i="4"/>
  <c r="J81" i="4"/>
  <c r="I83" i="4" l="1"/>
  <c r="J82" i="4"/>
  <c r="K81" i="4"/>
  <c r="K82" i="4" l="1"/>
  <c r="I84" i="4"/>
  <c r="J83" i="4"/>
  <c r="K83" i="4" l="1"/>
  <c r="I85" i="4"/>
  <c r="J84" i="4"/>
  <c r="I86" i="4" l="1"/>
  <c r="J85" i="4"/>
  <c r="K84" i="4"/>
  <c r="K85" i="4" l="1"/>
  <c r="I87" i="4"/>
  <c r="J86" i="4"/>
  <c r="K86" i="4" l="1"/>
  <c r="I88" i="4"/>
  <c r="J87" i="4"/>
  <c r="I89" i="4" l="1"/>
  <c r="J88" i="4"/>
  <c r="K87" i="4"/>
  <c r="K88" i="4" l="1"/>
  <c r="I90" i="4"/>
  <c r="J89" i="4"/>
  <c r="I91" i="4" l="1"/>
  <c r="J90" i="4"/>
  <c r="K89" i="4"/>
  <c r="K90" i="4" s="1"/>
  <c r="I92" i="4" l="1"/>
  <c r="J91" i="4"/>
  <c r="I93" i="4" l="1"/>
  <c r="J92" i="4"/>
  <c r="K91" i="4"/>
  <c r="K92" i="4" s="1"/>
  <c r="I94" i="4" l="1"/>
  <c r="J93" i="4"/>
  <c r="K93" i="4" s="1"/>
  <c r="I95" i="4" l="1"/>
  <c r="J94" i="4"/>
  <c r="I96" i="4" l="1"/>
  <c r="J95" i="4"/>
  <c r="K94" i="4"/>
  <c r="K95" i="4" s="1"/>
  <c r="I97" i="4" l="1"/>
  <c r="J96" i="4"/>
  <c r="I98" i="4" l="1"/>
  <c r="J97" i="4"/>
  <c r="K96" i="4"/>
  <c r="K97" i="4" l="1"/>
  <c r="I99" i="4"/>
  <c r="J98" i="4"/>
  <c r="K98" i="4" l="1"/>
  <c r="I100" i="4"/>
  <c r="J99" i="4"/>
  <c r="I101" i="4" l="1"/>
  <c r="J100" i="4"/>
  <c r="K99" i="4"/>
  <c r="K100" i="4" l="1"/>
  <c r="I102" i="4"/>
  <c r="J101" i="4"/>
  <c r="I103" i="4" l="1"/>
  <c r="J102" i="4"/>
  <c r="K101" i="4"/>
  <c r="K102" i="4" l="1"/>
  <c r="I104" i="4"/>
  <c r="J103" i="4"/>
  <c r="I105" i="4" l="1"/>
  <c r="J104" i="4"/>
  <c r="K103" i="4"/>
  <c r="K104" i="4" l="1"/>
  <c r="I106" i="4"/>
  <c r="J105" i="4"/>
  <c r="I107" i="4" l="1"/>
  <c r="J106" i="4"/>
  <c r="K105" i="4"/>
  <c r="K106" i="4" s="1"/>
  <c r="I108" i="4" l="1"/>
  <c r="J107" i="4"/>
  <c r="K107" i="4" s="1"/>
  <c r="I109" i="4" l="1"/>
  <c r="J108" i="4"/>
  <c r="I110" i="4" l="1"/>
  <c r="J109" i="4"/>
  <c r="K108" i="4"/>
  <c r="K109" i="4" s="1"/>
  <c r="I111" i="4" l="1"/>
  <c r="J110" i="4"/>
  <c r="I112" i="4" l="1"/>
  <c r="J111" i="4"/>
  <c r="K110" i="4"/>
  <c r="K111" i="4" l="1"/>
  <c r="I113" i="4"/>
  <c r="J112" i="4"/>
  <c r="I114" i="4" l="1"/>
  <c r="J113" i="4"/>
  <c r="K112" i="4"/>
  <c r="K113" i="4" l="1"/>
  <c r="I115" i="4"/>
  <c r="J114" i="4"/>
  <c r="I116" i="4" l="1"/>
  <c r="J115" i="4"/>
  <c r="K114" i="4"/>
  <c r="K115" i="4" l="1"/>
  <c r="I117" i="4"/>
  <c r="J116" i="4"/>
  <c r="I118" i="4" l="1"/>
  <c r="J117" i="4"/>
  <c r="K116" i="4"/>
  <c r="K117" i="4" l="1"/>
  <c r="I119" i="4"/>
  <c r="J118" i="4"/>
  <c r="I120" i="4" l="1"/>
  <c r="J119" i="4"/>
  <c r="K118" i="4"/>
  <c r="K119" i="4" l="1"/>
  <c r="I121" i="4"/>
  <c r="J120" i="4"/>
  <c r="I122" i="4" l="1"/>
  <c r="J121" i="4"/>
  <c r="K120" i="4"/>
  <c r="K121" i="4" l="1"/>
  <c r="I123" i="4"/>
  <c r="J122" i="4"/>
  <c r="K122" i="4" l="1"/>
  <c r="I124" i="4"/>
  <c r="J123" i="4"/>
  <c r="I125" i="4" l="1"/>
  <c r="J124" i="4"/>
  <c r="K123" i="4"/>
  <c r="K124" i="4" l="1"/>
  <c r="I126" i="4"/>
  <c r="J125" i="4"/>
  <c r="K125" i="4" l="1"/>
  <c r="I127" i="4"/>
  <c r="J126" i="4"/>
  <c r="I128" i="4" l="1"/>
  <c r="J127" i="4"/>
  <c r="K126" i="4"/>
  <c r="K127" i="4" l="1"/>
  <c r="I129" i="4"/>
  <c r="J128" i="4"/>
  <c r="K128" i="4" l="1"/>
  <c r="I130" i="4"/>
  <c r="J129" i="4"/>
  <c r="I131" i="4" l="1"/>
  <c r="J130" i="4"/>
  <c r="K129" i="4"/>
  <c r="K130" i="4" s="1"/>
  <c r="J131" i="4" l="1"/>
  <c r="I132" i="4"/>
  <c r="I133" i="4" l="1"/>
  <c r="J132" i="4"/>
  <c r="K131" i="4"/>
  <c r="K132" i="4" l="1"/>
  <c r="I134" i="4"/>
  <c r="J133" i="4"/>
  <c r="K133" i="4" l="1"/>
  <c r="I135" i="4"/>
  <c r="J134" i="4"/>
  <c r="I136" i="4" l="1"/>
  <c r="J135" i="4"/>
  <c r="K134" i="4"/>
  <c r="K135" i="4" l="1"/>
  <c r="I137" i="4"/>
  <c r="J136" i="4"/>
  <c r="K136" i="4" s="1"/>
  <c r="I138" i="4" l="1"/>
  <c r="J137" i="4"/>
  <c r="I139" i="4" l="1"/>
  <c r="J138" i="4"/>
  <c r="K137" i="4"/>
  <c r="K138" i="4" l="1"/>
  <c r="I140" i="4"/>
  <c r="J139" i="4"/>
  <c r="K139" i="4" l="1"/>
  <c r="I141" i="4"/>
  <c r="J140" i="4"/>
  <c r="K140" i="4" s="1"/>
  <c r="I142" i="4" l="1"/>
  <c r="J141" i="4"/>
  <c r="I143" i="4" l="1"/>
  <c r="J142" i="4"/>
  <c r="K141" i="4"/>
  <c r="K142" i="4" l="1"/>
  <c r="I144" i="4"/>
  <c r="J143" i="4"/>
  <c r="I145" i="4" l="1"/>
  <c r="J144" i="4"/>
  <c r="K143" i="4"/>
  <c r="K144" i="4" l="1"/>
  <c r="I146" i="4"/>
  <c r="J145" i="4"/>
  <c r="K145" i="4" s="1"/>
  <c r="I147" i="4" l="1"/>
  <c r="J146" i="4"/>
  <c r="I148" i="4" l="1"/>
  <c r="J147" i="4"/>
  <c r="K146" i="4"/>
  <c r="K147" i="4" s="1"/>
  <c r="I149" i="4" l="1"/>
  <c r="J148" i="4"/>
  <c r="I150" i="4" l="1"/>
  <c r="J149" i="4"/>
  <c r="K148" i="4"/>
  <c r="K149" i="4" l="1"/>
  <c r="I151" i="4"/>
  <c r="J150" i="4"/>
  <c r="I152" i="4" l="1"/>
  <c r="J151" i="4"/>
  <c r="K150" i="4"/>
  <c r="K151" i="4" s="1"/>
  <c r="I153" i="4" l="1"/>
  <c r="J152" i="4"/>
  <c r="K152" i="4" l="1"/>
  <c r="I154" i="4"/>
  <c r="J153" i="4"/>
  <c r="K153" i="4" l="1"/>
  <c r="I155" i="4"/>
  <c r="J154" i="4"/>
  <c r="I156" i="4" l="1"/>
  <c r="J155" i="4"/>
  <c r="K154" i="4"/>
  <c r="K155" i="4" s="1"/>
  <c r="I157" i="4" l="1"/>
  <c r="J156" i="4"/>
  <c r="I158" i="4" l="1"/>
  <c r="J157" i="4"/>
  <c r="K156" i="4"/>
  <c r="K157" i="4" l="1"/>
  <c r="I159" i="4"/>
  <c r="J158" i="4"/>
  <c r="I160" i="4" l="1"/>
  <c r="J159" i="4"/>
  <c r="K158" i="4"/>
  <c r="K159" i="4" l="1"/>
  <c r="I161" i="4"/>
  <c r="J160" i="4"/>
  <c r="K160" i="4" l="1"/>
  <c r="I162" i="4"/>
  <c r="J161" i="4"/>
  <c r="I163" i="4" l="1"/>
  <c r="J162" i="4"/>
  <c r="K161" i="4"/>
  <c r="K162" i="4" l="1"/>
  <c r="I164" i="4"/>
  <c r="J163" i="4"/>
  <c r="I165" i="4" l="1"/>
  <c r="J164" i="4"/>
  <c r="K163" i="4"/>
  <c r="K164" i="4" l="1"/>
  <c r="I166" i="4"/>
  <c r="J165" i="4"/>
  <c r="I167" i="4" l="1"/>
  <c r="J166" i="4"/>
  <c r="K165" i="4"/>
  <c r="K166" i="4" l="1"/>
  <c r="I168" i="4"/>
  <c r="J167" i="4"/>
  <c r="I169" i="4" l="1"/>
  <c r="J168" i="4"/>
  <c r="K167" i="4"/>
  <c r="K168" i="4" s="1"/>
  <c r="I170" i="4" l="1"/>
  <c r="J169" i="4"/>
  <c r="I171" i="4" l="1"/>
  <c r="J170" i="4"/>
  <c r="K169" i="4"/>
  <c r="K170" i="4" l="1"/>
  <c r="I172" i="4"/>
  <c r="J171" i="4"/>
  <c r="K171" i="4" l="1"/>
  <c r="I173" i="4"/>
  <c r="J172" i="4"/>
  <c r="I174" i="4" l="1"/>
  <c r="J173" i="4"/>
  <c r="K172" i="4"/>
  <c r="K173" i="4" l="1"/>
  <c r="I175" i="4"/>
  <c r="J174" i="4"/>
  <c r="I176" i="4" l="1"/>
  <c r="J175" i="4"/>
  <c r="K174" i="4"/>
  <c r="K175" i="4" l="1"/>
  <c r="I177" i="4"/>
  <c r="J176" i="4"/>
  <c r="I178" i="4" l="1"/>
  <c r="J177" i="4"/>
  <c r="K176" i="4"/>
  <c r="K177" i="4" l="1"/>
  <c r="I179" i="4"/>
  <c r="J178" i="4"/>
  <c r="I180" i="4" l="1"/>
  <c r="J179" i="4"/>
  <c r="K178" i="4"/>
  <c r="K179" i="4" s="1"/>
  <c r="I181" i="4" l="1"/>
  <c r="J180" i="4"/>
  <c r="I182" i="4" l="1"/>
  <c r="J181" i="4"/>
  <c r="K180" i="4"/>
  <c r="K181" i="4" l="1"/>
  <c r="I183" i="4"/>
  <c r="J182" i="4"/>
  <c r="K182" i="4" l="1"/>
  <c r="I184" i="4"/>
  <c r="J183" i="4"/>
  <c r="I185" i="4" l="1"/>
  <c r="J184" i="4"/>
  <c r="K183" i="4"/>
  <c r="K184" i="4" l="1"/>
  <c r="I186" i="4"/>
  <c r="J185" i="4"/>
  <c r="I187" i="4" l="1"/>
  <c r="J186" i="4"/>
  <c r="K185" i="4"/>
  <c r="K186" i="4" l="1"/>
  <c r="I188" i="4"/>
  <c r="J187" i="4"/>
  <c r="K187" i="4" s="1"/>
  <c r="I189" i="4" l="1"/>
  <c r="J188" i="4"/>
  <c r="K188" i="4" l="1"/>
  <c r="I190" i="4"/>
  <c r="J189" i="4"/>
  <c r="I191" i="4" l="1"/>
  <c r="J190" i="4"/>
  <c r="K189" i="4"/>
  <c r="K190" i="4" l="1"/>
  <c r="I192" i="4"/>
  <c r="J191" i="4"/>
  <c r="K191" i="4" l="1"/>
  <c r="I193" i="4"/>
  <c r="J192" i="4"/>
  <c r="I194" i="4" l="1"/>
  <c r="J193" i="4"/>
  <c r="K192" i="4"/>
  <c r="K193" i="4" l="1"/>
  <c r="I195" i="4"/>
  <c r="J194" i="4"/>
  <c r="I196" i="4" l="1"/>
  <c r="J195" i="4"/>
  <c r="K194" i="4"/>
  <c r="K195" i="4" l="1"/>
  <c r="I197" i="4"/>
  <c r="J196" i="4"/>
  <c r="K196" i="4" s="1"/>
  <c r="I198" i="4" l="1"/>
  <c r="J197" i="4"/>
  <c r="I199" i="4" l="1"/>
  <c r="J198" i="4"/>
  <c r="K197" i="4"/>
  <c r="K198" i="4" s="1"/>
  <c r="I200" i="4" l="1"/>
  <c r="J199" i="4"/>
  <c r="I201" i="4" l="1"/>
  <c r="J200" i="4"/>
  <c r="K199" i="4"/>
  <c r="K200" i="4" s="1"/>
  <c r="I202" i="4" l="1"/>
  <c r="J201" i="4"/>
  <c r="I203" i="4" l="1"/>
  <c r="J202" i="4"/>
  <c r="K201" i="4"/>
  <c r="K202" i="4" l="1"/>
  <c r="I204" i="4"/>
  <c r="J203" i="4"/>
  <c r="I205" i="4" l="1"/>
  <c r="J204" i="4"/>
  <c r="K203" i="4"/>
  <c r="K204" i="4" l="1"/>
  <c r="I206" i="4"/>
  <c r="J205" i="4"/>
  <c r="I207" i="4" l="1"/>
  <c r="J206" i="4"/>
  <c r="K205" i="4"/>
  <c r="K206" i="4" l="1"/>
  <c r="I208" i="4"/>
  <c r="J207" i="4"/>
  <c r="I209" i="4" l="1"/>
  <c r="J208" i="4"/>
  <c r="K207" i="4"/>
  <c r="K208" i="4" l="1"/>
  <c r="I210" i="4"/>
  <c r="J209" i="4"/>
  <c r="K209" i="4" l="1"/>
  <c r="I211" i="4"/>
  <c r="J210" i="4"/>
  <c r="I212" i="4" l="1"/>
  <c r="J211" i="4"/>
  <c r="K210" i="4"/>
  <c r="K211" i="4" l="1"/>
  <c r="I213" i="4"/>
  <c r="J212" i="4"/>
  <c r="I214" i="4" l="1"/>
  <c r="J213" i="4"/>
  <c r="K212" i="4"/>
  <c r="K213" i="4" l="1"/>
  <c r="I215" i="4"/>
  <c r="J214" i="4"/>
  <c r="I216" i="4" l="1"/>
  <c r="J215" i="4"/>
  <c r="K214" i="4"/>
  <c r="K215" i="4" s="1"/>
  <c r="I217" i="4" l="1"/>
  <c r="J216" i="4"/>
  <c r="I218" i="4" l="1"/>
  <c r="J217" i="4"/>
  <c r="K216" i="4"/>
  <c r="K217" i="4" l="1"/>
  <c r="I219" i="4"/>
  <c r="J218" i="4"/>
  <c r="K218" i="4" l="1"/>
  <c r="I220" i="4"/>
  <c r="J219" i="4"/>
  <c r="I221" i="4" l="1"/>
  <c r="J220" i="4"/>
  <c r="K219" i="4"/>
  <c r="K220" i="4" l="1"/>
  <c r="I222" i="4"/>
  <c r="J221" i="4"/>
  <c r="I223" i="4" l="1"/>
  <c r="J222" i="4"/>
  <c r="K221" i="4"/>
  <c r="K222" i="4" l="1"/>
  <c r="I224" i="4"/>
  <c r="J223" i="4"/>
  <c r="I225" i="4" l="1"/>
  <c r="J224" i="4"/>
  <c r="K223" i="4"/>
  <c r="K224" i="4" l="1"/>
  <c r="I226" i="4"/>
  <c r="J225" i="4"/>
  <c r="I227" i="4" l="1"/>
  <c r="J226" i="4"/>
  <c r="K225" i="4"/>
  <c r="K226" i="4" l="1"/>
  <c r="I228" i="4"/>
  <c r="J227" i="4"/>
  <c r="I229" i="4" l="1"/>
  <c r="J228" i="4"/>
  <c r="K227" i="4"/>
  <c r="K228" i="4" s="1"/>
  <c r="I230" i="4" l="1"/>
  <c r="J229" i="4"/>
  <c r="I231" i="4" l="1"/>
  <c r="J230" i="4"/>
  <c r="K229" i="4"/>
  <c r="K230" i="4" l="1"/>
  <c r="I232" i="4"/>
  <c r="J231" i="4"/>
  <c r="K231" i="4" l="1"/>
  <c r="I233" i="4"/>
  <c r="J232" i="4"/>
  <c r="I234" i="4" l="1"/>
  <c r="J233" i="4"/>
  <c r="K232" i="4"/>
  <c r="K233" i="4" l="1"/>
  <c r="I235" i="4"/>
  <c r="J234" i="4"/>
  <c r="I236" i="4" l="1"/>
  <c r="J235" i="4"/>
  <c r="K234" i="4"/>
  <c r="K235" i="4" s="1"/>
  <c r="I237" i="4" l="1"/>
  <c r="J236" i="4"/>
  <c r="I238" i="4" l="1"/>
  <c r="J237" i="4"/>
  <c r="K236" i="4"/>
  <c r="K237" i="4" l="1"/>
  <c r="I239" i="4"/>
  <c r="J238" i="4"/>
  <c r="I240" i="4" l="1"/>
  <c r="J239" i="4"/>
  <c r="K238" i="4"/>
  <c r="K239" i="4" l="1"/>
  <c r="I241" i="4"/>
  <c r="J240" i="4"/>
  <c r="K240" i="4" s="1"/>
  <c r="I242" i="4" l="1"/>
  <c r="J241" i="4"/>
  <c r="I243" i="4" l="1"/>
  <c r="J242" i="4"/>
  <c r="K241" i="4"/>
  <c r="K242" i="4" l="1"/>
  <c r="I244" i="4"/>
  <c r="J243" i="4"/>
  <c r="I245" i="4" l="1"/>
  <c r="J244" i="4"/>
  <c r="K243" i="4"/>
  <c r="K244" i="4" s="1"/>
  <c r="I246" i="4" l="1"/>
  <c r="J245" i="4"/>
  <c r="I247" i="4" l="1"/>
  <c r="J246" i="4"/>
  <c r="K245" i="4"/>
  <c r="K246" i="4" s="1"/>
  <c r="I248" i="4" l="1"/>
  <c r="J247" i="4"/>
  <c r="I249" i="4" l="1"/>
  <c r="J248" i="4"/>
  <c r="K247" i="4"/>
  <c r="K248" i="4" l="1"/>
  <c r="I250" i="4"/>
  <c r="J249" i="4"/>
  <c r="I251" i="4" l="1"/>
  <c r="J250" i="4"/>
  <c r="K249" i="4"/>
  <c r="K250" i="4" s="1"/>
  <c r="I252" i="4" l="1"/>
  <c r="J251" i="4"/>
  <c r="I253" i="4" l="1"/>
  <c r="J252" i="4"/>
  <c r="K251" i="4"/>
  <c r="K252" i="4" s="1"/>
  <c r="I254" i="4" l="1"/>
  <c r="J253" i="4"/>
  <c r="I255" i="4" l="1"/>
  <c r="J254" i="4"/>
  <c r="K253" i="4"/>
  <c r="K254" i="4" l="1"/>
  <c r="I256" i="4"/>
  <c r="J255" i="4"/>
  <c r="I257" i="4" l="1"/>
  <c r="J256" i="4"/>
  <c r="K255" i="4"/>
  <c r="K256" i="4" l="1"/>
  <c r="I258" i="4"/>
  <c r="J257" i="4"/>
  <c r="I259" i="4" l="1"/>
  <c r="J258" i="4"/>
  <c r="K257" i="4"/>
  <c r="K258" i="4" l="1"/>
  <c r="I260" i="4"/>
  <c r="J259" i="4"/>
  <c r="K259" i="4" l="1"/>
  <c r="I261" i="4"/>
  <c r="J260" i="4"/>
  <c r="I262" i="4" l="1"/>
  <c r="J261" i="4"/>
  <c r="K260" i="4"/>
  <c r="K261" i="4" l="1"/>
  <c r="I263" i="4"/>
  <c r="J262" i="4"/>
  <c r="I264" i="4" l="1"/>
  <c r="J263" i="4"/>
  <c r="K262" i="4"/>
  <c r="K263" i="4" s="1"/>
  <c r="I265" i="4" l="1"/>
  <c r="J264" i="4"/>
  <c r="I266" i="4" l="1"/>
  <c r="J265" i="4"/>
  <c r="K264" i="4"/>
  <c r="K265" i="4" l="1"/>
  <c r="I267" i="4"/>
  <c r="J266" i="4"/>
  <c r="I268" i="4" l="1"/>
  <c r="J267" i="4"/>
  <c r="K266" i="4"/>
  <c r="K267" i="4" l="1"/>
  <c r="I269" i="4"/>
  <c r="J268" i="4"/>
  <c r="I270" i="4" l="1"/>
  <c r="J269" i="4"/>
  <c r="K268" i="4"/>
  <c r="K269" i="4" s="1"/>
  <c r="I271" i="4" l="1"/>
  <c r="J270" i="4"/>
  <c r="I272" i="4" l="1"/>
  <c r="J271" i="4"/>
  <c r="K270" i="4"/>
  <c r="K271" i="4" l="1"/>
  <c r="I273" i="4"/>
  <c r="J272" i="4"/>
  <c r="I274" i="4" l="1"/>
  <c r="J273" i="4"/>
  <c r="K272" i="4"/>
  <c r="K273" i="4" s="1"/>
  <c r="I275" i="4" l="1"/>
  <c r="J274" i="4"/>
  <c r="I276" i="4" l="1"/>
  <c r="J275" i="4"/>
  <c r="K274" i="4"/>
  <c r="K275" i="4" l="1"/>
  <c r="I277" i="4"/>
  <c r="J276" i="4"/>
  <c r="I278" i="4" l="1"/>
  <c r="J277" i="4"/>
  <c r="K276" i="4"/>
  <c r="K277" i="4" l="1"/>
  <c r="I279" i="4"/>
  <c r="J278" i="4"/>
  <c r="I280" i="4" l="1"/>
  <c r="J279" i="4"/>
  <c r="K278" i="4"/>
  <c r="K279" i="4" l="1"/>
  <c r="I281" i="4"/>
  <c r="J280" i="4"/>
  <c r="I282" i="4" l="1"/>
  <c r="J281" i="4"/>
  <c r="K280" i="4"/>
  <c r="K281" i="4" l="1"/>
  <c r="I283" i="4"/>
  <c r="J282" i="4"/>
  <c r="I284" i="4" l="1"/>
  <c r="J283" i="4"/>
  <c r="K282" i="4"/>
  <c r="K283" i="4" l="1"/>
  <c r="I285" i="4"/>
  <c r="J284" i="4"/>
  <c r="I286" i="4" l="1"/>
  <c r="J285" i="4"/>
  <c r="K284" i="4"/>
  <c r="K285" i="4" s="1"/>
  <c r="I287" i="4" l="1"/>
  <c r="J286" i="4"/>
  <c r="I288" i="4" l="1"/>
  <c r="J287" i="4"/>
  <c r="K286" i="4"/>
  <c r="K287" i="4" s="1"/>
  <c r="I289" i="4" l="1"/>
  <c r="J288" i="4"/>
  <c r="I290" i="4" l="1"/>
  <c r="J289" i="4"/>
  <c r="K288" i="4"/>
  <c r="K289" i="4" l="1"/>
  <c r="I291" i="4"/>
  <c r="J290" i="4"/>
  <c r="K290" i="4" l="1"/>
  <c r="I292" i="4"/>
  <c r="J291" i="4"/>
  <c r="I293" i="4" l="1"/>
  <c r="J292" i="4"/>
  <c r="K291" i="4"/>
  <c r="K292" i="4" l="1"/>
  <c r="I294" i="4"/>
  <c r="J293" i="4"/>
  <c r="I295" i="4" l="1"/>
  <c r="J294" i="4"/>
  <c r="K293" i="4"/>
  <c r="K294" i="4" s="1"/>
  <c r="I296" i="4" l="1"/>
  <c r="J295" i="4"/>
  <c r="I297" i="4" l="1"/>
  <c r="J296" i="4"/>
  <c r="K295" i="4"/>
  <c r="K296" i="4" l="1"/>
  <c r="I298" i="4"/>
  <c r="J297" i="4"/>
  <c r="I299" i="4" l="1"/>
  <c r="J298" i="4"/>
  <c r="K297" i="4"/>
  <c r="K298" i="4" l="1"/>
  <c r="I300" i="4"/>
  <c r="J299" i="4"/>
  <c r="I301" i="4" l="1"/>
  <c r="J300" i="4"/>
  <c r="K299" i="4"/>
  <c r="K300" i="4" s="1"/>
  <c r="I302" i="4" l="1"/>
  <c r="J301" i="4"/>
  <c r="I303" i="4" l="1"/>
  <c r="J302" i="4"/>
  <c r="K301" i="4"/>
  <c r="K302" i="4" l="1"/>
  <c r="I304" i="4"/>
  <c r="J303" i="4"/>
  <c r="K303" i="4" l="1"/>
  <c r="I305" i="4"/>
  <c r="J304" i="4"/>
  <c r="I306" i="4" l="1"/>
  <c r="J305" i="4"/>
  <c r="K304" i="4"/>
  <c r="K305" i="4" l="1"/>
  <c r="I307" i="4"/>
  <c r="J306" i="4"/>
  <c r="K306" i="4" l="1"/>
  <c r="I308" i="4"/>
  <c r="J307" i="4"/>
  <c r="I309" i="4" l="1"/>
  <c r="J308" i="4"/>
  <c r="K307" i="4"/>
  <c r="K308" i="4" l="1"/>
  <c r="I310" i="4"/>
  <c r="J309" i="4"/>
  <c r="K309" i="4" l="1"/>
  <c r="I311" i="4"/>
  <c r="J310" i="4"/>
  <c r="I312" i="4" l="1"/>
  <c r="J311" i="4"/>
  <c r="K310" i="4"/>
  <c r="K311" i="4" l="1"/>
  <c r="I313" i="4"/>
  <c r="J312" i="4"/>
  <c r="I314" i="4" l="1"/>
  <c r="J313" i="4"/>
  <c r="K312" i="4"/>
  <c r="K313" i="4" l="1"/>
  <c r="I315" i="4"/>
  <c r="J314" i="4"/>
  <c r="I316" i="4" l="1"/>
  <c r="J315" i="4"/>
  <c r="K314" i="4"/>
  <c r="K315" i="4" s="1"/>
  <c r="I317" i="4" l="1"/>
  <c r="J316" i="4"/>
  <c r="K316" i="4" s="1"/>
  <c r="I318" i="4" l="1"/>
  <c r="J317" i="4"/>
  <c r="K317" i="4" l="1"/>
  <c r="I319" i="4"/>
  <c r="J318" i="4"/>
  <c r="I320" i="4" l="1"/>
  <c r="J319" i="4"/>
  <c r="K318" i="4"/>
  <c r="K319" i="4" l="1"/>
  <c r="I321" i="4"/>
  <c r="J320" i="4"/>
  <c r="K320" i="4" l="1"/>
  <c r="I322" i="4"/>
  <c r="J321" i="4"/>
  <c r="K321" i="4" l="1"/>
  <c r="I323" i="4"/>
  <c r="J322" i="4"/>
  <c r="I324" i="4" l="1"/>
  <c r="J323" i="4"/>
  <c r="K322" i="4"/>
  <c r="K323" i="4" l="1"/>
  <c r="I325" i="4"/>
  <c r="J324" i="4"/>
  <c r="I326" i="4" l="1"/>
  <c r="J325" i="4"/>
  <c r="K324" i="4"/>
  <c r="K325" i="4" l="1"/>
  <c r="I327" i="4"/>
  <c r="J326" i="4"/>
  <c r="I328" i="4" l="1"/>
  <c r="J327" i="4"/>
  <c r="K326" i="4"/>
  <c r="K327" i="4" l="1"/>
  <c r="I329" i="4"/>
  <c r="J328" i="4"/>
  <c r="I330" i="4" l="1"/>
  <c r="J329" i="4"/>
  <c r="K328" i="4"/>
  <c r="K329" i="4" l="1"/>
  <c r="I331" i="4"/>
  <c r="J330" i="4"/>
  <c r="K330" i="4" l="1"/>
  <c r="I332" i="4"/>
  <c r="J331" i="4"/>
  <c r="I333" i="4" l="1"/>
  <c r="J332" i="4"/>
  <c r="K331" i="4"/>
  <c r="K332" i="4" l="1"/>
  <c r="I334" i="4"/>
  <c r="J333" i="4"/>
  <c r="I335" i="4" l="1"/>
  <c r="J334" i="4"/>
  <c r="K333" i="4"/>
  <c r="K334" i="4" l="1"/>
  <c r="I336" i="4"/>
  <c r="J335" i="4"/>
  <c r="I337" i="4" l="1"/>
  <c r="J336" i="4"/>
  <c r="K335" i="4"/>
  <c r="K336" i="4" l="1"/>
  <c r="I338" i="4"/>
  <c r="J337" i="4"/>
  <c r="I339" i="4" l="1"/>
  <c r="J338" i="4"/>
  <c r="K337" i="4"/>
  <c r="K338" i="4" l="1"/>
  <c r="I340" i="4"/>
  <c r="J339" i="4"/>
  <c r="I341" i="4" l="1"/>
  <c r="J340" i="4"/>
  <c r="K339" i="4"/>
  <c r="K340" i="4" l="1"/>
  <c r="I342" i="4"/>
  <c r="J341" i="4"/>
  <c r="K341" i="4" l="1"/>
  <c r="I343" i="4"/>
  <c r="J342" i="4"/>
  <c r="I344" i="4" l="1"/>
  <c r="J343" i="4"/>
  <c r="K342" i="4"/>
  <c r="K343" i="4" s="1"/>
  <c r="I345" i="4" l="1"/>
  <c r="J344" i="4"/>
  <c r="I346" i="4" l="1"/>
  <c r="J345" i="4"/>
  <c r="K344" i="4"/>
  <c r="K345" i="4" l="1"/>
  <c r="I347" i="4"/>
  <c r="J346" i="4"/>
  <c r="I348" i="4" l="1"/>
  <c r="J347" i="4"/>
  <c r="K346" i="4"/>
  <c r="K347" i="4" l="1"/>
  <c r="I349" i="4"/>
  <c r="J348" i="4"/>
  <c r="I350" i="4" l="1"/>
  <c r="J349" i="4"/>
  <c r="K348" i="4"/>
  <c r="K349" i="4" l="1"/>
  <c r="I351" i="4"/>
  <c r="J350" i="4"/>
  <c r="K350" i="4" l="1"/>
  <c r="I352" i="4"/>
  <c r="J351" i="4"/>
  <c r="K351" i="4" s="1"/>
  <c r="I353" i="4" l="1"/>
  <c r="J352" i="4"/>
  <c r="K352" i="4" l="1"/>
  <c r="I354" i="4"/>
  <c r="J353" i="4"/>
  <c r="K353" i="4" l="1"/>
  <c r="I355" i="4"/>
  <c r="J354" i="4"/>
  <c r="I356" i="4" l="1"/>
  <c r="J355" i="4"/>
  <c r="K354" i="4"/>
  <c r="K355" i="4" l="1"/>
  <c r="I357" i="4"/>
  <c r="J356" i="4"/>
  <c r="I358" i="4" l="1"/>
  <c r="J357" i="4"/>
  <c r="K356" i="4"/>
  <c r="K357" i="4" l="1"/>
  <c r="I359" i="4"/>
  <c r="J358" i="4"/>
  <c r="I360" i="4" l="1"/>
  <c r="J359" i="4"/>
  <c r="K358" i="4"/>
  <c r="K359" i="4" s="1"/>
  <c r="I361" i="4" l="1"/>
  <c r="J360" i="4"/>
  <c r="K360" i="4" l="1"/>
  <c r="I362" i="4"/>
  <c r="J361" i="4"/>
  <c r="I363" i="4" l="1"/>
  <c r="J362" i="4"/>
  <c r="K361" i="4"/>
  <c r="K362" i="4" s="1"/>
  <c r="I364" i="4" l="1"/>
  <c r="J363" i="4"/>
  <c r="K363" i="4" l="1"/>
  <c r="I365" i="4"/>
  <c r="J364" i="4"/>
  <c r="I366" i="4" l="1"/>
  <c r="J365" i="4"/>
  <c r="K364" i="4"/>
  <c r="K365" i="4" s="1"/>
  <c r="I367" i="4" l="1"/>
  <c r="J366" i="4"/>
  <c r="I368" i="4" l="1"/>
  <c r="J367" i="4"/>
  <c r="K366" i="4"/>
  <c r="K367" i="4" l="1"/>
  <c r="I369" i="4"/>
  <c r="J368" i="4"/>
  <c r="I370" i="4" l="1"/>
  <c r="J369" i="4"/>
  <c r="K368" i="4"/>
  <c r="K369" i="4" l="1"/>
  <c r="I371" i="4"/>
  <c r="J370" i="4"/>
  <c r="K370" i="4" l="1"/>
  <c r="I372" i="4"/>
  <c r="J371" i="4"/>
  <c r="I373" i="4" l="1"/>
  <c r="J372" i="4"/>
  <c r="K371" i="4"/>
  <c r="K372" i="4" l="1"/>
  <c r="I374" i="4"/>
  <c r="J373" i="4"/>
  <c r="K373" i="4" l="1"/>
  <c r="I375" i="4"/>
  <c r="J374" i="4"/>
  <c r="I376" i="4" l="1"/>
  <c r="J375" i="4"/>
  <c r="K374" i="4"/>
  <c r="K375" i="4" s="1"/>
  <c r="I377" i="4" l="1"/>
  <c r="J376" i="4"/>
  <c r="I378" i="4" l="1"/>
  <c r="J377" i="4"/>
  <c r="K376" i="4"/>
  <c r="K377" i="4" l="1"/>
  <c r="I379" i="4"/>
  <c r="J378" i="4"/>
  <c r="I380" i="4" l="1"/>
  <c r="J379" i="4"/>
  <c r="K378" i="4"/>
  <c r="K379" i="4" s="1"/>
  <c r="I381" i="4" l="1"/>
  <c r="J380" i="4"/>
  <c r="I382" i="4" l="1"/>
  <c r="J381" i="4"/>
  <c r="K380" i="4"/>
  <c r="K381" i="4" s="1"/>
  <c r="I383" i="4" l="1"/>
  <c r="J382" i="4"/>
  <c r="I384" i="4" l="1"/>
  <c r="J383" i="4"/>
  <c r="K382" i="4"/>
  <c r="K383" i="4" s="1"/>
  <c r="I385" i="4" l="1"/>
  <c r="J384" i="4"/>
  <c r="I386" i="4" l="1"/>
  <c r="J385" i="4"/>
  <c r="K384" i="4"/>
  <c r="K385" i="4" l="1"/>
  <c r="I387" i="4"/>
  <c r="J386" i="4"/>
  <c r="I388" i="4" l="1"/>
  <c r="J387" i="4"/>
  <c r="K386" i="4"/>
  <c r="K387" i="4" s="1"/>
  <c r="I389" i="4" l="1"/>
  <c r="J388" i="4"/>
  <c r="I390" i="4" l="1"/>
  <c r="J389" i="4"/>
  <c r="K388" i="4"/>
  <c r="K389" i="4" s="1"/>
  <c r="I391" i="4" l="1"/>
  <c r="J390" i="4"/>
  <c r="K390" i="4" s="1"/>
  <c r="I392" i="4" l="1"/>
  <c r="J391" i="4"/>
  <c r="I393" i="4" l="1"/>
  <c r="J392" i="4"/>
  <c r="K391" i="4"/>
  <c r="K392" i="4" l="1"/>
  <c r="I394" i="4"/>
  <c r="J393" i="4"/>
  <c r="I395" i="4" l="1"/>
  <c r="J394" i="4"/>
  <c r="K393" i="4"/>
  <c r="K394" i="4" s="1"/>
  <c r="I396" i="4" l="1"/>
  <c r="J395" i="4"/>
  <c r="I397" i="4" l="1"/>
  <c r="J396" i="4"/>
  <c r="K395" i="4"/>
  <c r="K396" i="4" l="1"/>
  <c r="I398" i="4"/>
  <c r="J397" i="4"/>
  <c r="K397" i="4" l="1"/>
  <c r="I399" i="4"/>
  <c r="J398" i="4"/>
  <c r="I400" i="4" l="1"/>
  <c r="J399" i="4"/>
  <c r="K398" i="4"/>
  <c r="K399" i="4" s="1"/>
  <c r="I401" i="4" l="1"/>
  <c r="J400" i="4"/>
  <c r="K400" i="4" s="1"/>
  <c r="I402" i="4" l="1"/>
  <c r="J401" i="4"/>
  <c r="K401" i="4" l="1"/>
  <c r="I403" i="4"/>
  <c r="J402" i="4"/>
  <c r="K402" i="4" l="1"/>
  <c r="I404" i="4"/>
  <c r="J403" i="4"/>
  <c r="I405" i="4" l="1"/>
  <c r="J404" i="4"/>
  <c r="K403" i="4"/>
  <c r="K404" i="4" s="1"/>
  <c r="I406" i="4" l="1"/>
  <c r="J405" i="4"/>
  <c r="I407" i="4" l="1"/>
  <c r="J406" i="4"/>
  <c r="K405" i="4"/>
  <c r="K406" i="4" s="1"/>
  <c r="I408" i="4" l="1"/>
  <c r="J407" i="4"/>
  <c r="K407" i="4" s="1"/>
  <c r="I409" i="4" l="1"/>
  <c r="J408" i="4"/>
  <c r="I410" i="4" l="1"/>
  <c r="J409" i="4"/>
  <c r="K408" i="4"/>
  <c r="K409" i="4" s="1"/>
  <c r="I411" i="4" l="1"/>
  <c r="J410" i="4"/>
  <c r="I412" i="4" l="1"/>
  <c r="J411" i="4"/>
  <c r="K410" i="4"/>
  <c r="K411" i="4" s="1"/>
  <c r="I413" i="4" l="1"/>
  <c r="J412" i="4"/>
  <c r="I414" i="4" l="1"/>
  <c r="J413" i="4"/>
  <c r="K412" i="4"/>
  <c r="K413" i="4" l="1"/>
  <c r="I415" i="4"/>
  <c r="J414" i="4"/>
  <c r="K414" i="4" l="1"/>
  <c r="I416" i="4"/>
  <c r="J415" i="4"/>
  <c r="I417" i="4" l="1"/>
  <c r="J416" i="4"/>
  <c r="K415" i="4"/>
  <c r="K416" i="4" s="1"/>
  <c r="I418" i="4" l="1"/>
  <c r="J417" i="4"/>
  <c r="I419" i="4" l="1"/>
  <c r="J418" i="4"/>
  <c r="K417" i="4"/>
  <c r="K418" i="4" s="1"/>
  <c r="I420" i="4" l="1"/>
  <c r="J419" i="4"/>
  <c r="K419" i="4" l="1"/>
  <c r="I421" i="4"/>
  <c r="J420" i="4"/>
  <c r="I422" i="4" l="1"/>
  <c r="J421" i="4"/>
  <c r="K420" i="4"/>
  <c r="K421" i="4" s="1"/>
  <c r="I423" i="4" l="1"/>
  <c r="J422" i="4"/>
  <c r="K422" i="4" s="1"/>
  <c r="I424" i="4" l="1"/>
  <c r="J423" i="4"/>
  <c r="I425" i="4" l="1"/>
  <c r="J424" i="4"/>
  <c r="K423" i="4"/>
  <c r="K424" i="4" l="1"/>
  <c r="I426" i="4"/>
  <c r="J425" i="4"/>
  <c r="I427" i="4" l="1"/>
  <c r="J426" i="4"/>
  <c r="K425" i="4"/>
  <c r="K426" i="4" l="1"/>
  <c r="I428" i="4"/>
  <c r="J427" i="4"/>
  <c r="K427" i="4" l="1"/>
  <c r="I429" i="4"/>
  <c r="J428" i="4"/>
  <c r="I430" i="4" l="1"/>
  <c r="J429" i="4"/>
  <c r="K428" i="4"/>
  <c r="K429" i="4" l="1"/>
  <c r="I431" i="4"/>
  <c r="J430" i="4"/>
  <c r="I432" i="4" l="1"/>
  <c r="J431" i="4"/>
  <c r="K430" i="4"/>
  <c r="K431" i="4" s="1"/>
  <c r="I433" i="4" l="1"/>
  <c r="J432" i="4"/>
  <c r="K432" i="4" l="1"/>
  <c r="I434" i="4"/>
  <c r="J433" i="4"/>
  <c r="I435" i="4" l="1"/>
  <c r="J434" i="4"/>
  <c r="K433" i="4"/>
  <c r="K434" i="4" s="1"/>
  <c r="I436" i="4" l="1"/>
  <c r="J435" i="4"/>
  <c r="I437" i="4" l="1"/>
  <c r="J436" i="4"/>
  <c r="K435" i="4"/>
  <c r="K436" i="4" l="1"/>
  <c r="I438" i="4"/>
  <c r="J437" i="4"/>
  <c r="I439" i="4" l="1"/>
  <c r="J438" i="4"/>
  <c r="K437" i="4"/>
  <c r="K438" i="4" s="1"/>
  <c r="I440" i="4" l="1"/>
  <c r="J439" i="4"/>
  <c r="I441" i="4" l="1"/>
  <c r="J440" i="4"/>
  <c r="K439" i="4"/>
  <c r="K440" i="4" s="1"/>
  <c r="I442" i="4" l="1"/>
  <c r="J441" i="4"/>
  <c r="I443" i="4" l="1"/>
  <c r="J442" i="4"/>
  <c r="K441" i="4"/>
  <c r="K442" i="4" l="1"/>
  <c r="I444" i="4"/>
  <c r="J443" i="4"/>
  <c r="K443" i="4" l="1"/>
  <c r="I445" i="4"/>
  <c r="J444" i="4"/>
  <c r="I446" i="4" l="1"/>
  <c r="J445" i="4"/>
  <c r="K444" i="4"/>
  <c r="K445" i="4" s="1"/>
  <c r="I447" i="4" l="1"/>
  <c r="J446" i="4"/>
  <c r="K446" i="4" l="1"/>
  <c r="I448" i="4"/>
  <c r="J447" i="4"/>
  <c r="I449" i="4" l="1"/>
  <c r="J448" i="4"/>
  <c r="K447" i="4"/>
  <c r="K448" i="4" l="1"/>
  <c r="I450" i="4"/>
  <c r="J449" i="4"/>
  <c r="I451" i="4" l="1"/>
  <c r="J450" i="4"/>
  <c r="K449" i="4"/>
  <c r="K450" i="4" s="1"/>
  <c r="I452" i="4" l="1"/>
  <c r="J451" i="4"/>
  <c r="I453" i="4" l="1"/>
  <c r="J452" i="4"/>
  <c r="K451" i="4"/>
  <c r="K452" i="4" l="1"/>
  <c r="I454" i="4"/>
  <c r="J453" i="4"/>
  <c r="I455" i="4" l="1"/>
  <c r="J454" i="4"/>
  <c r="K453" i="4"/>
  <c r="K454" i="4" s="1"/>
  <c r="I456" i="4" l="1"/>
  <c r="J455" i="4"/>
  <c r="K455" i="4" l="1"/>
  <c r="I457" i="4"/>
  <c r="J456" i="4"/>
  <c r="I458" i="4" l="1"/>
  <c r="J457" i="4"/>
  <c r="K456" i="4"/>
  <c r="K457" i="4" s="1"/>
  <c r="I459" i="4" l="1"/>
  <c r="J458" i="4"/>
  <c r="I460" i="4" l="1"/>
  <c r="J459" i="4"/>
  <c r="K458" i="4"/>
  <c r="K459" i="4" l="1"/>
  <c r="I461" i="4"/>
  <c r="J460" i="4"/>
  <c r="I462" i="4" l="1"/>
  <c r="J461" i="4"/>
  <c r="K460" i="4"/>
  <c r="K461" i="4" l="1"/>
  <c r="I463" i="4"/>
  <c r="J462" i="4"/>
  <c r="I464" i="4" l="1"/>
  <c r="J463" i="4"/>
  <c r="K462" i="4"/>
  <c r="K463" i="4" s="1"/>
  <c r="I465" i="4" l="1"/>
  <c r="J464" i="4"/>
  <c r="I466" i="4" l="1"/>
  <c r="J465" i="4"/>
  <c r="K464" i="4"/>
  <c r="K465" i="4" l="1"/>
  <c r="I467" i="4"/>
  <c r="J466" i="4"/>
  <c r="K466" i="4" l="1"/>
  <c r="I468" i="4"/>
  <c r="J467" i="4"/>
  <c r="I469" i="4" l="1"/>
  <c r="J468" i="4"/>
  <c r="K467" i="4"/>
  <c r="K468" i="4" s="1"/>
  <c r="I470" i="4" l="1"/>
  <c r="J469" i="4"/>
  <c r="I471" i="4" l="1"/>
  <c r="J470" i="4"/>
  <c r="K469" i="4"/>
  <c r="K470" i="4" l="1"/>
  <c r="I472" i="4"/>
  <c r="J471" i="4"/>
  <c r="I473" i="4" l="1"/>
  <c r="J472" i="4"/>
  <c r="K471" i="4"/>
  <c r="K472" i="4" l="1"/>
  <c r="I474" i="4"/>
  <c r="J473" i="4"/>
  <c r="K473" i="4" l="1"/>
  <c r="I475" i="4"/>
  <c r="J474" i="4"/>
  <c r="K474" i="4" l="1"/>
  <c r="I476" i="4"/>
  <c r="J475" i="4"/>
  <c r="I477" i="4" l="1"/>
  <c r="J476" i="4"/>
  <c r="K475" i="4"/>
  <c r="K476" i="4" l="1"/>
  <c r="I478" i="4"/>
  <c r="J477" i="4"/>
  <c r="I479" i="4" l="1"/>
  <c r="J478" i="4"/>
  <c r="K477" i="4"/>
  <c r="K478" i="4" s="1"/>
  <c r="I480" i="4" l="1"/>
  <c r="J479" i="4"/>
  <c r="I481" i="4" l="1"/>
  <c r="J480" i="4"/>
  <c r="K479" i="4"/>
  <c r="K480" i="4" l="1"/>
  <c r="I482" i="4"/>
  <c r="J481" i="4"/>
  <c r="I483" i="4" l="1"/>
  <c r="J482" i="4"/>
  <c r="K481" i="4"/>
  <c r="K482" i="4" s="1"/>
  <c r="I484" i="4" l="1"/>
  <c r="J483" i="4"/>
  <c r="K483" i="4" l="1"/>
  <c r="I485" i="4"/>
  <c r="J484" i="4"/>
  <c r="I486" i="4" l="1"/>
  <c r="J485" i="4"/>
  <c r="K484" i="4"/>
  <c r="K485" i="4" s="1"/>
  <c r="I487" i="4" l="1"/>
  <c r="J486" i="4"/>
  <c r="K486" i="4" l="1"/>
  <c r="I488" i="4"/>
  <c r="J487" i="4"/>
  <c r="I489" i="4" l="1"/>
  <c r="J488" i="4"/>
  <c r="K487" i="4"/>
  <c r="K488" i="4" s="1"/>
  <c r="I490" i="4" l="1"/>
  <c r="J489" i="4"/>
  <c r="I491" i="4" l="1"/>
  <c r="J490" i="4"/>
  <c r="K489" i="4"/>
  <c r="K490" i="4" s="1"/>
  <c r="I492" i="4" l="1"/>
  <c r="J491" i="4"/>
  <c r="I493" i="4" l="1"/>
  <c r="J492" i="4"/>
  <c r="K491" i="4"/>
  <c r="K492" i="4" l="1"/>
  <c r="I494" i="4"/>
  <c r="J493" i="4"/>
  <c r="K493" i="4" l="1"/>
  <c r="I495" i="4"/>
  <c r="J494" i="4"/>
  <c r="I496" i="4" l="1"/>
  <c r="J495" i="4"/>
  <c r="K494" i="4"/>
  <c r="K495" i="4" s="1"/>
  <c r="I497" i="4" l="1"/>
  <c r="J496" i="4"/>
  <c r="I498" i="4" l="1"/>
  <c r="J497" i="4"/>
  <c r="K496" i="4"/>
  <c r="K497" i="4" s="1"/>
  <c r="I499" i="4" l="1"/>
  <c r="J498" i="4"/>
  <c r="I500" i="4" l="1"/>
  <c r="J499" i="4"/>
  <c r="K498" i="4"/>
  <c r="K499" i="4" s="1"/>
  <c r="I501" i="4" l="1"/>
  <c r="J500" i="4"/>
  <c r="K500" i="4" l="1"/>
  <c r="I502" i="4"/>
  <c r="J501" i="4"/>
  <c r="I503" i="4" l="1"/>
  <c r="J502" i="4"/>
  <c r="K501" i="4"/>
  <c r="K502" i="4" l="1"/>
  <c r="I504" i="4"/>
  <c r="J503" i="4"/>
  <c r="I505" i="4" l="1"/>
  <c r="J504" i="4"/>
  <c r="K503" i="4"/>
  <c r="K504" i="4" s="1"/>
  <c r="I506" i="4" l="1"/>
  <c r="J505" i="4"/>
  <c r="I507" i="4" l="1"/>
  <c r="J506" i="4"/>
  <c r="K505" i="4"/>
  <c r="K506" i="4" l="1"/>
  <c r="I508" i="4"/>
  <c r="J507" i="4"/>
  <c r="I509" i="4" l="1"/>
  <c r="J508" i="4"/>
  <c r="K507" i="4"/>
  <c r="K508" i="4" l="1"/>
  <c r="I510" i="4"/>
  <c r="J509" i="4"/>
  <c r="K509" i="4" s="1"/>
  <c r="I511" i="4" l="1"/>
  <c r="J510" i="4"/>
  <c r="I512" i="4" l="1"/>
  <c r="J511" i="4"/>
  <c r="K510" i="4"/>
  <c r="K511" i="4" s="1"/>
  <c r="I513" i="4" l="1"/>
  <c r="J512" i="4"/>
  <c r="K512" i="4" l="1"/>
  <c r="I514" i="4"/>
  <c r="J513" i="4"/>
  <c r="I515" i="4" l="1"/>
  <c r="J514" i="4"/>
  <c r="K513" i="4"/>
  <c r="K514" i="4" l="1"/>
  <c r="I516" i="4"/>
  <c r="J515" i="4"/>
  <c r="I517" i="4" l="1"/>
  <c r="J516" i="4"/>
  <c r="K515" i="4"/>
  <c r="K516" i="4" s="1"/>
  <c r="I518" i="4" l="1"/>
  <c r="J517" i="4"/>
  <c r="K517" i="4" l="1"/>
  <c r="I519" i="4"/>
  <c r="J518" i="4"/>
  <c r="I520" i="4" l="1"/>
  <c r="J519" i="4"/>
  <c r="K518" i="4"/>
  <c r="K519" i="4" s="1"/>
  <c r="I521" i="4" l="1"/>
  <c r="J520" i="4"/>
  <c r="I522" i="4" l="1"/>
  <c r="J521" i="4"/>
  <c r="K520" i="4"/>
  <c r="K521" i="4" s="1"/>
  <c r="I523" i="4" l="1"/>
  <c r="J522" i="4"/>
  <c r="I524" i="4" l="1"/>
  <c r="J523" i="4"/>
  <c r="K522" i="4"/>
  <c r="K523" i="4" s="1"/>
  <c r="I525" i="4" l="1"/>
  <c r="J524" i="4"/>
  <c r="K524" i="4" s="1"/>
  <c r="I526" i="4" l="1"/>
  <c r="J525" i="4"/>
  <c r="I527" i="4" l="1"/>
  <c r="J526" i="4"/>
  <c r="K525" i="4"/>
  <c r="K526" i="4" s="1"/>
  <c r="I528" i="4" l="1"/>
  <c r="J527" i="4"/>
  <c r="I529" i="4" l="1"/>
  <c r="J528" i="4"/>
  <c r="K527" i="4"/>
  <c r="K528" i="4" l="1"/>
  <c r="I530" i="4"/>
  <c r="J529" i="4"/>
  <c r="I531" i="4" l="1"/>
  <c r="J530" i="4"/>
  <c r="K529" i="4"/>
  <c r="K530" i="4" s="1"/>
  <c r="I532" i="4" l="1"/>
  <c r="J531" i="4"/>
  <c r="K531" i="4" l="1"/>
  <c r="I533" i="4"/>
  <c r="J532" i="4"/>
  <c r="I534" i="4" l="1"/>
  <c r="J533" i="4"/>
  <c r="K532" i="4"/>
  <c r="K533" i="4" s="1"/>
  <c r="I535" i="4" l="1"/>
  <c r="J534" i="4"/>
  <c r="K534" i="4" l="1"/>
  <c r="I536" i="4"/>
  <c r="J535" i="4"/>
  <c r="I537" i="4" l="1"/>
  <c r="J536" i="4"/>
  <c r="K535" i="4"/>
  <c r="K536" i="4" l="1"/>
  <c r="I538" i="4"/>
  <c r="J537" i="4"/>
  <c r="I539" i="4" l="1"/>
  <c r="J538" i="4"/>
  <c r="K537" i="4"/>
  <c r="K538" i="4" s="1"/>
  <c r="I540" i="4" l="1"/>
  <c r="J539" i="4"/>
  <c r="K539" i="4" s="1"/>
  <c r="I541" i="4" l="1"/>
  <c r="J540" i="4"/>
  <c r="K540" i="4" l="1"/>
  <c r="I542" i="4"/>
  <c r="J541" i="4"/>
  <c r="I543" i="4" l="1"/>
  <c r="J542" i="4"/>
  <c r="K541" i="4"/>
  <c r="K542" i="4" l="1"/>
  <c r="I544" i="4"/>
  <c r="J543" i="4"/>
  <c r="I545" i="4" l="1"/>
  <c r="J544" i="4"/>
  <c r="K543" i="4"/>
  <c r="K544" i="4" s="1"/>
  <c r="I546" i="4" l="1"/>
  <c r="J545" i="4"/>
  <c r="I547" i="4" l="1"/>
  <c r="J546" i="4"/>
  <c r="K545" i="4"/>
  <c r="K546" i="4" l="1"/>
  <c r="I548" i="4"/>
  <c r="J547" i="4"/>
  <c r="K547" i="4" l="1"/>
  <c r="I549" i="4"/>
  <c r="J548" i="4"/>
  <c r="I550" i="4" l="1"/>
  <c r="J549" i="4"/>
  <c r="K548" i="4"/>
  <c r="K549" i="4" s="1"/>
  <c r="I551" i="4" l="1"/>
  <c r="J550" i="4"/>
  <c r="I552" i="4" l="1"/>
  <c r="J551" i="4"/>
  <c r="K550" i="4"/>
  <c r="K551" i="4" l="1"/>
  <c r="I553" i="4"/>
  <c r="J552" i="4"/>
  <c r="I554" i="4" l="1"/>
  <c r="J553" i="4"/>
  <c r="K552" i="4"/>
  <c r="K553" i="4" s="1"/>
  <c r="I555" i="4" l="1"/>
  <c r="J554" i="4"/>
  <c r="I556" i="4" l="1"/>
  <c r="J555" i="4"/>
  <c r="K554" i="4"/>
  <c r="K555" i="4" l="1"/>
  <c r="I557" i="4"/>
  <c r="J556" i="4"/>
  <c r="I558" i="4" l="1"/>
  <c r="J557" i="4"/>
  <c r="K556" i="4"/>
  <c r="K557" i="4" s="1"/>
  <c r="I559" i="4" l="1"/>
  <c r="J558" i="4"/>
  <c r="K558" i="4" s="1"/>
  <c r="I560" i="4" l="1"/>
  <c r="J559" i="4"/>
  <c r="I561" i="4" l="1"/>
  <c r="J560" i="4"/>
  <c r="K559" i="4"/>
  <c r="K560" i="4" s="1"/>
  <c r="I562" i="4" l="1"/>
  <c r="J561" i="4"/>
  <c r="I563" i="4" l="1"/>
  <c r="J562" i="4"/>
  <c r="K561" i="4"/>
  <c r="K562" i="4" l="1"/>
  <c r="I564" i="4"/>
  <c r="J563" i="4"/>
  <c r="I565" i="4" l="1"/>
  <c r="J564" i="4"/>
  <c r="K563" i="4"/>
  <c r="K564" i="4" s="1"/>
  <c r="I566" i="4" l="1"/>
  <c r="J565" i="4"/>
  <c r="I567" i="4" l="1"/>
  <c r="J566" i="4"/>
  <c r="K565" i="4"/>
  <c r="K566" i="4" l="1"/>
  <c r="I568" i="4"/>
  <c r="J567" i="4"/>
  <c r="K567" i="4" l="1"/>
  <c r="I569" i="4"/>
  <c r="J568" i="4"/>
  <c r="I570" i="4" l="1"/>
  <c r="J569" i="4"/>
  <c r="K568" i="4"/>
  <c r="K569" i="4" l="1"/>
  <c r="I571" i="4"/>
  <c r="J570" i="4"/>
  <c r="I572" i="4" l="1"/>
  <c r="J571" i="4"/>
  <c r="K570" i="4"/>
  <c r="K571" i="4" l="1"/>
  <c r="I573" i="4"/>
  <c r="J572" i="4"/>
  <c r="I574" i="4" l="1"/>
  <c r="J573" i="4"/>
  <c r="K572" i="4"/>
  <c r="K573" i="4" l="1"/>
  <c r="I575" i="4"/>
  <c r="J574" i="4"/>
  <c r="K574" i="4" s="1"/>
  <c r="I576" i="4" l="1"/>
  <c r="J575" i="4"/>
  <c r="K575" i="4" l="1"/>
  <c r="I577" i="4"/>
  <c r="J576" i="4"/>
  <c r="I578" i="4" l="1"/>
  <c r="J577" i="4"/>
  <c r="K576" i="4"/>
  <c r="K577" i="4" s="1"/>
  <c r="I579" i="4" l="1"/>
  <c r="J578" i="4"/>
  <c r="I580" i="4" l="1"/>
  <c r="J579" i="4"/>
  <c r="K578" i="4"/>
  <c r="K579" i="4" s="1"/>
  <c r="I581" i="4" l="1"/>
  <c r="J580" i="4"/>
  <c r="K580" i="4" l="1"/>
  <c r="I582" i="4"/>
  <c r="J581" i="4"/>
  <c r="I583" i="4" l="1"/>
  <c r="J582" i="4"/>
  <c r="K581" i="4"/>
  <c r="K582" i="4" s="1"/>
  <c r="I584" i="4" l="1"/>
  <c r="J583" i="4"/>
  <c r="K583" i="4" l="1"/>
  <c r="I585" i="4"/>
  <c r="J584" i="4"/>
  <c r="K584" i="4" s="1"/>
  <c r="I586" i="4" l="1"/>
  <c r="J585" i="4"/>
  <c r="I587" i="4" l="1"/>
  <c r="J586" i="4"/>
  <c r="K585" i="4"/>
  <c r="K586" i="4" l="1"/>
  <c r="I588" i="4"/>
  <c r="J587" i="4"/>
  <c r="I589" i="4" l="1"/>
  <c r="J588" i="4"/>
  <c r="K587" i="4"/>
  <c r="K588" i="4" l="1"/>
  <c r="I590" i="4"/>
  <c r="J589" i="4"/>
  <c r="I591" i="4" l="1"/>
  <c r="J590" i="4"/>
  <c r="K589" i="4"/>
  <c r="K590" i="4" l="1"/>
  <c r="I592" i="4"/>
  <c r="J591" i="4"/>
  <c r="I593" i="4" l="1"/>
  <c r="J592" i="4"/>
  <c r="K591" i="4"/>
  <c r="K592" i="4" l="1"/>
  <c r="I594" i="4"/>
  <c r="J593" i="4"/>
  <c r="I595" i="4" l="1"/>
  <c r="J594" i="4"/>
  <c r="K593" i="4"/>
  <c r="K594" i="4" s="1"/>
  <c r="I596" i="4" l="1"/>
  <c r="J595" i="4"/>
  <c r="I597" i="4" l="1"/>
  <c r="J596" i="4"/>
  <c r="K595" i="4"/>
  <c r="K596" i="4" s="1"/>
  <c r="I598" i="4" l="1"/>
  <c r="J597" i="4"/>
  <c r="I599" i="4" l="1"/>
  <c r="J598" i="4"/>
  <c r="K597" i="4"/>
  <c r="K598" i="4" l="1"/>
  <c r="I600" i="4"/>
  <c r="J599" i="4"/>
  <c r="I601" i="4" l="1"/>
  <c r="J600" i="4"/>
  <c r="K599" i="4"/>
  <c r="K600" i="4" s="1"/>
  <c r="I602" i="4" l="1"/>
  <c r="J601" i="4"/>
  <c r="I603" i="4" l="1"/>
  <c r="J602" i="4"/>
  <c r="K601" i="4"/>
  <c r="K602" i="4" s="1"/>
  <c r="I604" i="4" l="1"/>
  <c r="J603" i="4"/>
  <c r="I605" i="4" l="1"/>
  <c r="J604" i="4"/>
  <c r="K603" i="4"/>
  <c r="K604" i="4" s="1"/>
  <c r="I606" i="4" l="1"/>
  <c r="J605" i="4"/>
  <c r="I607" i="4" l="1"/>
  <c r="J606" i="4"/>
  <c r="K605" i="4"/>
  <c r="K606" i="4" s="1"/>
  <c r="I608" i="4" l="1"/>
  <c r="J607" i="4"/>
  <c r="I609" i="4" l="1"/>
  <c r="J608" i="4"/>
  <c r="K607" i="4"/>
  <c r="K608" i="4" l="1"/>
  <c r="I610" i="4"/>
  <c r="J609" i="4"/>
  <c r="I611" i="4" l="1"/>
  <c r="J610" i="4"/>
  <c r="K609" i="4"/>
  <c r="K610" i="4" s="1"/>
  <c r="I612" i="4" l="1"/>
  <c r="J611" i="4"/>
  <c r="I613" i="4" l="1"/>
  <c r="J612" i="4"/>
  <c r="K611" i="4"/>
  <c r="K612" i="4" s="1"/>
  <c r="I614" i="4" l="1"/>
  <c r="J613" i="4"/>
  <c r="I615" i="4" l="1"/>
  <c r="J614" i="4"/>
  <c r="K613" i="4"/>
  <c r="K614" i="4" s="1"/>
  <c r="I616" i="4" l="1"/>
  <c r="J615" i="4"/>
  <c r="I617" i="4" l="1"/>
  <c r="J616" i="4"/>
  <c r="K615" i="4"/>
  <c r="K616" i="4" s="1"/>
  <c r="I618" i="4" l="1"/>
  <c r="J617" i="4"/>
  <c r="I619" i="4" l="1"/>
  <c r="J618" i="4"/>
  <c r="K617" i="4"/>
  <c r="K618" i="4" l="1"/>
  <c r="I620" i="4"/>
  <c r="J619" i="4"/>
  <c r="I621" i="4" l="1"/>
  <c r="J620" i="4"/>
  <c r="K619" i="4"/>
  <c r="K620" i="4" s="1"/>
  <c r="I622" i="4" l="1"/>
  <c r="J621" i="4"/>
  <c r="K621" i="4" s="1"/>
  <c r="I623" i="4" l="1"/>
  <c r="J622" i="4"/>
  <c r="I624" i="4" l="1"/>
  <c r="J623" i="4"/>
  <c r="K622" i="4"/>
  <c r="K623" i="4" l="1"/>
  <c r="I625" i="4"/>
  <c r="J624" i="4"/>
  <c r="K624" i="4" l="1"/>
  <c r="I626" i="4"/>
  <c r="J625" i="4"/>
  <c r="K625" i="4" l="1"/>
  <c r="I627" i="4"/>
  <c r="J626" i="4"/>
  <c r="I628" i="4" l="1"/>
  <c r="J627" i="4"/>
  <c r="K626" i="4"/>
  <c r="K627" i="4" s="1"/>
  <c r="I629" i="4" l="1"/>
  <c r="J628" i="4"/>
  <c r="I630" i="4" l="1"/>
  <c r="J629" i="4"/>
  <c r="K628" i="4"/>
  <c r="K629" i="4" s="1"/>
  <c r="I631" i="4" l="1"/>
  <c r="J630" i="4"/>
  <c r="K630" i="4" s="1"/>
  <c r="I632" i="4" l="1"/>
  <c r="J631" i="4"/>
  <c r="K631" i="4" l="1"/>
  <c r="I633" i="4"/>
  <c r="J632" i="4"/>
  <c r="I634" i="4" l="1"/>
  <c r="J633" i="4"/>
  <c r="K632" i="4"/>
  <c r="K633" i="4" l="1"/>
  <c r="I635" i="4"/>
  <c r="J634" i="4"/>
  <c r="I636" i="4" l="1"/>
  <c r="J635" i="4"/>
  <c r="K634" i="4"/>
  <c r="K635" i="4" l="1"/>
  <c r="I637" i="4"/>
  <c r="J636" i="4"/>
  <c r="K636" i="4" l="1"/>
  <c r="I638" i="4"/>
  <c r="J637" i="4"/>
  <c r="I639" i="4" l="1"/>
  <c r="J638" i="4"/>
  <c r="K637" i="4"/>
  <c r="K638" i="4" s="1"/>
  <c r="I640" i="4" l="1"/>
  <c r="J639" i="4"/>
  <c r="K639" i="4" s="1"/>
  <c r="I641" i="4" l="1"/>
  <c r="J640" i="4"/>
  <c r="K640" i="4" l="1"/>
  <c r="I642" i="4"/>
  <c r="J641" i="4"/>
  <c r="I643" i="4" l="1"/>
  <c r="J642" i="4"/>
  <c r="K641" i="4"/>
  <c r="K642" i="4" s="1"/>
  <c r="I644" i="4" l="1"/>
  <c r="J643" i="4"/>
  <c r="I645" i="4" l="1"/>
  <c r="J644" i="4"/>
  <c r="K643" i="4"/>
  <c r="K644" i="4" s="1"/>
  <c r="I646" i="4" l="1"/>
  <c r="J645" i="4"/>
  <c r="I647" i="4" l="1"/>
  <c r="J646" i="4"/>
  <c r="K645" i="4"/>
  <c r="K646" i="4" s="1"/>
  <c r="I648" i="4" l="1"/>
  <c r="J647" i="4"/>
  <c r="K647" i="4" s="1"/>
  <c r="I649" i="4" l="1"/>
  <c r="J648" i="4"/>
  <c r="K648" i="4" l="1"/>
  <c r="I650" i="4"/>
  <c r="J649" i="4"/>
  <c r="I651" i="4" l="1"/>
  <c r="J650" i="4"/>
  <c r="K649" i="4"/>
  <c r="K650" i="4" s="1"/>
  <c r="I652" i="4" l="1"/>
  <c r="J651" i="4"/>
  <c r="K651" i="4" l="1"/>
  <c r="I653" i="4"/>
  <c r="J652" i="4"/>
  <c r="I654" i="4" l="1"/>
  <c r="J653" i="4"/>
  <c r="K652" i="4"/>
  <c r="K653" i="4" s="1"/>
  <c r="I655" i="4" l="1"/>
  <c r="J654" i="4"/>
  <c r="K654" i="4" l="1"/>
  <c r="I656" i="4"/>
  <c r="J655" i="4"/>
  <c r="I657" i="4" l="1"/>
  <c r="J656" i="4"/>
  <c r="K655" i="4"/>
  <c r="K656" i="4" s="1"/>
  <c r="I658" i="4" l="1"/>
  <c r="J657" i="4"/>
  <c r="I659" i="4" l="1"/>
  <c r="J658" i="4"/>
  <c r="K657" i="4"/>
  <c r="K658" i="4" l="1"/>
  <c r="I660" i="4"/>
  <c r="J659" i="4"/>
  <c r="I661" i="4" l="1"/>
  <c r="J660" i="4"/>
  <c r="K659" i="4"/>
  <c r="K660" i="4" l="1"/>
  <c r="I662" i="4"/>
  <c r="J661" i="4"/>
  <c r="I663" i="4" l="1"/>
  <c r="J662" i="4"/>
  <c r="K661" i="4"/>
  <c r="K662" i="4" s="1"/>
  <c r="I664" i="4" l="1"/>
  <c r="J663" i="4"/>
  <c r="I665" i="4" l="1"/>
  <c r="J664" i="4"/>
  <c r="K663" i="4"/>
  <c r="K664" i="4" l="1"/>
  <c r="I666" i="4"/>
  <c r="J665" i="4"/>
  <c r="K665" i="4" l="1"/>
  <c r="I667" i="4"/>
  <c r="J666" i="4"/>
  <c r="I668" i="4" l="1"/>
  <c r="J667" i="4"/>
  <c r="K666" i="4"/>
  <c r="K667" i="4" s="1"/>
  <c r="I669" i="4" l="1"/>
  <c r="J668" i="4"/>
  <c r="K668" i="4" s="1"/>
  <c r="I670" i="4" l="1"/>
  <c r="J669" i="4"/>
  <c r="I671" i="4" l="1"/>
  <c r="J670" i="4"/>
  <c r="K669" i="4"/>
  <c r="K670" i="4" s="1"/>
  <c r="I672" i="4" l="1"/>
  <c r="J671" i="4"/>
  <c r="K671" i="4" l="1"/>
  <c r="I673" i="4"/>
  <c r="J672" i="4"/>
  <c r="I674" i="4" l="1"/>
  <c r="J673" i="4"/>
  <c r="K672" i="4"/>
  <c r="K673" i="4" l="1"/>
  <c r="I675" i="4"/>
  <c r="J674" i="4"/>
  <c r="I676" i="4" l="1"/>
  <c r="J675" i="4"/>
  <c r="K674" i="4"/>
  <c r="K675" i="4" s="1"/>
  <c r="I677" i="4" l="1"/>
  <c r="J676" i="4"/>
  <c r="I678" i="4" l="1"/>
  <c r="J677" i="4"/>
  <c r="K676" i="4"/>
  <c r="K677" i="4" l="1"/>
  <c r="I679" i="4"/>
  <c r="J678" i="4"/>
  <c r="I680" i="4" l="1"/>
  <c r="J679" i="4"/>
  <c r="K678" i="4"/>
  <c r="K679" i="4" s="1"/>
  <c r="I681" i="4" l="1"/>
  <c r="J680" i="4"/>
  <c r="K680" i="4" l="1"/>
  <c r="I682" i="4"/>
  <c r="J681" i="4"/>
  <c r="K681" i="4" s="1"/>
  <c r="I683" i="4" l="1"/>
  <c r="J682" i="4"/>
  <c r="K682" i="4" s="1"/>
  <c r="I684" i="4" l="1"/>
  <c r="J683" i="4"/>
  <c r="K683" i="4" l="1"/>
  <c r="I685" i="4"/>
  <c r="J684" i="4"/>
  <c r="K684" i="4" l="1"/>
  <c r="I686" i="4"/>
  <c r="J685" i="4"/>
  <c r="K685" i="4" s="1"/>
  <c r="I687" i="4" l="1"/>
  <c r="J686" i="4"/>
  <c r="K686" i="4" l="1"/>
  <c r="I688" i="4"/>
  <c r="J687" i="4"/>
  <c r="I689" i="4" l="1"/>
  <c r="J688" i="4"/>
  <c r="K687" i="4"/>
  <c r="K688" i="4" s="1"/>
  <c r="I690" i="4" l="1"/>
  <c r="J689" i="4"/>
  <c r="I691" i="4" l="1"/>
  <c r="J690" i="4"/>
  <c r="K689" i="4"/>
  <c r="K690" i="4" l="1"/>
  <c r="I692" i="4"/>
  <c r="J691" i="4"/>
  <c r="I693" i="4" l="1"/>
  <c r="J692" i="4"/>
  <c r="K691" i="4"/>
  <c r="K692" i="4" s="1"/>
  <c r="I694" i="4" l="1"/>
  <c r="J693" i="4"/>
  <c r="I695" i="4" l="1"/>
  <c r="J694" i="4"/>
  <c r="K693" i="4"/>
  <c r="K694" i="4" s="1"/>
  <c r="I696" i="4" l="1"/>
  <c r="J695" i="4"/>
  <c r="I697" i="4" l="1"/>
  <c r="J696" i="4"/>
  <c r="K695" i="4"/>
  <c r="K696" i="4" s="1"/>
  <c r="I698" i="4" l="1"/>
  <c r="J697" i="4"/>
  <c r="I699" i="4" l="1"/>
  <c r="J698" i="4"/>
  <c r="K697" i="4"/>
  <c r="K698" i="4" l="1"/>
  <c r="I700" i="4"/>
  <c r="J699" i="4"/>
  <c r="K699" i="4" s="1"/>
  <c r="I701" i="4" l="1"/>
  <c r="J700" i="4"/>
  <c r="K700" i="4" l="1"/>
  <c r="I702" i="4"/>
  <c r="J701" i="4"/>
  <c r="I703" i="4" l="1"/>
  <c r="J702" i="4"/>
  <c r="K701" i="4"/>
  <c r="K702" i="4" s="1"/>
  <c r="I704" i="4" l="1"/>
  <c r="J703" i="4"/>
  <c r="I705" i="4" l="1"/>
  <c r="J704" i="4"/>
  <c r="K703" i="4"/>
  <c r="K704" i="4" l="1"/>
  <c r="I706" i="4"/>
  <c r="J705" i="4"/>
  <c r="I707" i="4" l="1"/>
  <c r="J706" i="4"/>
  <c r="K705" i="4"/>
  <c r="K706" i="4" l="1"/>
  <c r="I708" i="4"/>
  <c r="J707" i="4"/>
  <c r="K707" i="4" s="1"/>
  <c r="I709" i="4" l="1"/>
  <c r="J708" i="4"/>
  <c r="K708" i="4" l="1"/>
  <c r="I710" i="4"/>
  <c r="J709" i="4"/>
  <c r="I711" i="4" l="1"/>
  <c r="J710" i="4"/>
  <c r="K709" i="4"/>
  <c r="K710" i="4" s="1"/>
  <c r="I712" i="4" l="1"/>
  <c r="J711" i="4"/>
  <c r="I713" i="4" l="1"/>
  <c r="J712" i="4"/>
  <c r="K711" i="4"/>
  <c r="K712" i="4" l="1"/>
  <c r="I714" i="4"/>
  <c r="J713" i="4"/>
  <c r="I715" i="4" l="1"/>
  <c r="J714" i="4"/>
  <c r="K713" i="4"/>
  <c r="K714" i="4" l="1"/>
  <c r="I716" i="4"/>
  <c r="J715" i="4"/>
  <c r="I717" i="4" l="1"/>
  <c r="J716" i="4"/>
  <c r="K715" i="4"/>
  <c r="K716" i="4" s="1"/>
  <c r="I718" i="4" l="1"/>
  <c r="J717" i="4"/>
  <c r="I719" i="4" l="1"/>
  <c r="J718" i="4"/>
  <c r="K717" i="4"/>
  <c r="K718" i="4" l="1"/>
  <c r="I720" i="4"/>
  <c r="J719" i="4"/>
  <c r="K719" i="4" s="1"/>
  <c r="I721" i="4" l="1"/>
  <c r="J720" i="4"/>
  <c r="K720" i="4" l="1"/>
  <c r="I722" i="4"/>
  <c r="J721" i="4"/>
  <c r="K721" i="4" l="1"/>
  <c r="I723" i="4"/>
  <c r="J722" i="4"/>
  <c r="I724" i="4" l="1"/>
  <c r="J723" i="4"/>
  <c r="K722" i="4"/>
  <c r="K723" i="4" s="1"/>
  <c r="I725" i="4" l="1"/>
  <c r="J724" i="4"/>
  <c r="K724" i="4" s="1"/>
  <c r="I726" i="4" l="1"/>
  <c r="J725" i="4"/>
  <c r="I727" i="4" l="1"/>
  <c r="J726" i="4"/>
  <c r="K725" i="4"/>
  <c r="K726" i="4" l="1"/>
  <c r="I728" i="4"/>
  <c r="J727" i="4"/>
  <c r="I729" i="4" l="1"/>
  <c r="J728" i="4"/>
  <c r="K727" i="4"/>
  <c r="K728" i="4" l="1"/>
  <c r="I730" i="4"/>
  <c r="J729" i="4"/>
  <c r="I731" i="4" l="1"/>
  <c r="J730" i="4"/>
  <c r="K730" i="4" s="1"/>
  <c r="K729" i="4"/>
  <c r="I732" i="4" l="1"/>
  <c r="J731" i="4"/>
  <c r="K731" i="4" l="1"/>
  <c r="I733" i="4"/>
  <c r="J732" i="4"/>
  <c r="I734" i="4" l="1"/>
  <c r="J733" i="4"/>
  <c r="K732" i="4"/>
  <c r="K733" i="4" l="1"/>
  <c r="I735" i="4"/>
  <c r="J734" i="4"/>
  <c r="I736" i="4" l="1"/>
  <c r="J735" i="4"/>
  <c r="K734" i="4"/>
  <c r="K735" i="4" l="1"/>
  <c r="I737" i="4"/>
  <c r="J736" i="4"/>
  <c r="I738" i="4" l="1"/>
  <c r="J737" i="4"/>
  <c r="K736" i="4"/>
  <c r="K737" i="4" l="1"/>
  <c r="I739" i="4"/>
  <c r="J738" i="4"/>
  <c r="I740" i="4" l="1"/>
  <c r="J739" i="4"/>
  <c r="K738" i="4"/>
  <c r="K739" i="4" s="1"/>
  <c r="I741" i="4" l="1"/>
  <c r="J740" i="4"/>
  <c r="K740" i="4" l="1"/>
  <c r="I742" i="4"/>
  <c r="J741" i="4"/>
  <c r="I743" i="4" l="1"/>
  <c r="J742" i="4"/>
  <c r="K741" i="4"/>
  <c r="K742" i="4" s="1"/>
  <c r="I744" i="4" l="1"/>
  <c r="J743" i="4"/>
  <c r="I745" i="4" l="1"/>
  <c r="J744" i="4"/>
  <c r="K743" i="4"/>
  <c r="K744" i="4" l="1"/>
  <c r="I746" i="4"/>
  <c r="J745" i="4"/>
  <c r="K745" i="4" l="1"/>
  <c r="I747" i="4"/>
  <c r="J746" i="4"/>
  <c r="I748" i="4" l="1"/>
  <c r="J747" i="4"/>
  <c r="K746" i="4"/>
  <c r="K747" i="4" l="1"/>
  <c r="I749" i="4"/>
  <c r="J748" i="4"/>
  <c r="I750" i="4" l="1"/>
  <c r="J749" i="4"/>
  <c r="K748" i="4"/>
  <c r="K749" i="4" l="1"/>
  <c r="I751" i="4"/>
  <c r="J750" i="4"/>
  <c r="K750" i="4" l="1"/>
  <c r="I752" i="4"/>
  <c r="J751" i="4"/>
  <c r="I753" i="4" l="1"/>
  <c r="J752" i="4"/>
  <c r="K751" i="4"/>
  <c r="K752" i="4" l="1"/>
  <c r="I754" i="4"/>
  <c r="J753" i="4"/>
  <c r="I755" i="4" l="1"/>
  <c r="J754" i="4"/>
  <c r="K753" i="4"/>
  <c r="K754" i="4" l="1"/>
  <c r="I756" i="4"/>
  <c r="J755" i="4"/>
  <c r="I757" i="4" l="1"/>
  <c r="J756" i="4"/>
  <c r="K755" i="4"/>
  <c r="K756" i="4" l="1"/>
  <c r="I758" i="4"/>
  <c r="J757" i="4"/>
  <c r="K757" i="4" s="1"/>
  <c r="I759" i="4" l="1"/>
  <c r="J758" i="4"/>
  <c r="K758" i="4" l="1"/>
  <c r="I760" i="4"/>
  <c r="J759" i="4"/>
  <c r="I761" i="4" l="1"/>
  <c r="J760" i="4"/>
  <c r="K759" i="4"/>
  <c r="K760" i="4" l="1"/>
  <c r="I762" i="4"/>
  <c r="J761" i="4"/>
  <c r="I763" i="4" l="1"/>
  <c r="J762" i="4"/>
  <c r="K761" i="4"/>
  <c r="K762" i="4" l="1"/>
  <c r="I764" i="4"/>
  <c r="J763" i="4"/>
  <c r="I765" i="4" l="1"/>
  <c r="J764" i="4"/>
  <c r="K763" i="4"/>
  <c r="K764" i="4" l="1"/>
  <c r="I766" i="4"/>
  <c r="J765" i="4"/>
  <c r="I767" i="4" l="1"/>
  <c r="J766" i="4"/>
  <c r="K765" i="4"/>
  <c r="K766" i="4" l="1"/>
  <c r="I768" i="4"/>
  <c r="J767" i="4"/>
  <c r="I769" i="4" l="1"/>
  <c r="J768" i="4"/>
  <c r="K767" i="4"/>
  <c r="K768" i="4" l="1"/>
  <c r="I770" i="4"/>
  <c r="J769" i="4"/>
  <c r="I771" i="4" l="1"/>
  <c r="J770" i="4"/>
  <c r="K769" i="4"/>
  <c r="K770" i="4" s="1"/>
  <c r="I772" i="4" l="1"/>
  <c r="J771" i="4"/>
  <c r="K771" i="4" l="1"/>
  <c r="I773" i="4"/>
  <c r="J772" i="4"/>
  <c r="I774" i="4" l="1"/>
  <c r="J773" i="4"/>
  <c r="K772" i="4"/>
  <c r="K773" i="4" l="1"/>
  <c r="I775" i="4"/>
  <c r="J774" i="4"/>
  <c r="I776" i="4" l="1"/>
  <c r="J775" i="4"/>
  <c r="K774" i="4"/>
  <c r="K775" i="4" l="1"/>
  <c r="I777" i="4"/>
  <c r="J776" i="4"/>
  <c r="I778" i="4" l="1"/>
  <c r="J777" i="4"/>
  <c r="K776" i="4"/>
  <c r="K777" i="4" l="1"/>
  <c r="I779" i="4"/>
  <c r="J778" i="4"/>
  <c r="I780" i="4" l="1"/>
  <c r="J779" i="4"/>
  <c r="K778" i="4"/>
  <c r="K779" i="4" l="1"/>
  <c r="I781" i="4"/>
  <c r="J780" i="4"/>
  <c r="I782" i="4" l="1"/>
  <c r="J781" i="4"/>
  <c r="K780" i="4"/>
  <c r="K781" i="4" l="1"/>
  <c r="I783" i="4"/>
  <c r="J782" i="4"/>
  <c r="K782" i="4" l="1"/>
  <c r="I784" i="4"/>
  <c r="J783" i="4"/>
  <c r="I785" i="4" l="1"/>
  <c r="J784" i="4"/>
  <c r="K783" i="4"/>
  <c r="K784" i="4" l="1"/>
  <c r="I786" i="4"/>
  <c r="J785" i="4"/>
  <c r="I787" i="4" l="1"/>
  <c r="J786" i="4"/>
  <c r="K785" i="4"/>
  <c r="K786" i="4" l="1"/>
  <c r="I788" i="4"/>
  <c r="J787" i="4"/>
  <c r="I789" i="4" l="1"/>
  <c r="J788" i="4"/>
  <c r="K787" i="4"/>
  <c r="K788" i="4" l="1"/>
  <c r="I790" i="4"/>
  <c r="J789" i="4"/>
  <c r="I791" i="4" l="1"/>
  <c r="J790" i="4"/>
  <c r="K789" i="4"/>
  <c r="K790" i="4" s="1"/>
  <c r="I792" i="4" l="1"/>
  <c r="J791" i="4"/>
  <c r="K791" i="4" l="1"/>
  <c r="I793" i="4"/>
  <c r="J792" i="4"/>
  <c r="I794" i="4" l="1"/>
  <c r="J793" i="4"/>
  <c r="K792" i="4"/>
  <c r="K793" i="4" l="1"/>
  <c r="I795" i="4"/>
  <c r="J794" i="4"/>
  <c r="I796" i="4" l="1"/>
  <c r="J795" i="4"/>
  <c r="K794" i="4"/>
  <c r="K795" i="4" l="1"/>
  <c r="I797" i="4"/>
  <c r="J796" i="4"/>
  <c r="I798" i="4" l="1"/>
  <c r="J797" i="4"/>
  <c r="K796" i="4"/>
  <c r="K797" i="4" s="1"/>
  <c r="I799" i="4" l="1"/>
  <c r="J798" i="4"/>
  <c r="K798" i="4" l="1"/>
  <c r="I800" i="4"/>
  <c r="J799" i="4"/>
  <c r="I801" i="4" l="1"/>
  <c r="J800" i="4"/>
  <c r="K799" i="4"/>
  <c r="K800" i="4" l="1"/>
  <c r="I802" i="4"/>
  <c r="J801" i="4"/>
  <c r="K801" i="4" l="1"/>
  <c r="I803" i="4"/>
  <c r="J802" i="4"/>
  <c r="K802" i="4" l="1"/>
  <c r="I804" i="4"/>
  <c r="J803" i="4"/>
  <c r="I805" i="4" l="1"/>
  <c r="J804" i="4"/>
  <c r="K803" i="4"/>
  <c r="K804" i="4" l="1"/>
  <c r="I806" i="4"/>
  <c r="J805" i="4"/>
  <c r="I807" i="4" l="1"/>
  <c r="J806" i="4"/>
  <c r="K805" i="4"/>
  <c r="K806" i="4" s="1"/>
  <c r="I808" i="4" l="1"/>
  <c r="J807" i="4"/>
  <c r="K807" i="4" l="1"/>
  <c r="I809" i="4"/>
  <c r="J808" i="4"/>
  <c r="I810" i="4" l="1"/>
  <c r="J809" i="4"/>
  <c r="K808" i="4"/>
  <c r="K809" i="4" l="1"/>
  <c r="I811" i="4"/>
  <c r="J810" i="4"/>
  <c r="I812" i="4" l="1"/>
  <c r="J811" i="4"/>
  <c r="K810" i="4"/>
  <c r="K811" i="4" l="1"/>
  <c r="I813" i="4"/>
  <c r="J812" i="4"/>
  <c r="I814" i="4" l="1"/>
  <c r="J813" i="4"/>
  <c r="K812" i="4"/>
  <c r="K813" i="4" l="1"/>
  <c r="I815" i="4"/>
  <c r="J814" i="4"/>
  <c r="I816" i="4" l="1"/>
  <c r="J815" i="4"/>
  <c r="K814" i="4"/>
  <c r="K815" i="4" l="1"/>
  <c r="I817" i="4"/>
  <c r="J816" i="4"/>
  <c r="I818" i="4" l="1"/>
  <c r="J817" i="4"/>
  <c r="K816" i="4"/>
  <c r="K817" i="4" l="1"/>
  <c r="I819" i="4"/>
  <c r="J818" i="4"/>
  <c r="K818" i="4" s="1"/>
  <c r="I820" i="4" l="1"/>
  <c r="J819" i="4"/>
  <c r="I821" i="4" l="1"/>
  <c r="J820" i="4"/>
  <c r="K819" i="4"/>
  <c r="K820" i="4" l="1"/>
  <c r="I822" i="4"/>
  <c r="J821" i="4"/>
  <c r="I823" i="4" l="1"/>
  <c r="J822" i="4"/>
  <c r="K821" i="4"/>
  <c r="K822" i="4" s="1"/>
  <c r="I824" i="4" l="1"/>
  <c r="J823" i="4"/>
  <c r="I825" i="4" l="1"/>
  <c r="J824" i="4"/>
  <c r="K823" i="4"/>
  <c r="K824" i="4" l="1"/>
  <c r="I826" i="4"/>
  <c r="J825" i="4"/>
  <c r="I827" i="4" l="1"/>
  <c r="J826" i="4"/>
  <c r="K825" i="4"/>
  <c r="K826" i="4" s="1"/>
  <c r="I828" i="4" l="1"/>
  <c r="J827" i="4"/>
  <c r="I829" i="4" l="1"/>
  <c r="J828" i="4"/>
  <c r="K827" i="4"/>
  <c r="K828" i="4" l="1"/>
  <c r="I830" i="4"/>
  <c r="J829" i="4"/>
  <c r="I831" i="4" l="1"/>
  <c r="J830" i="4"/>
  <c r="K829" i="4"/>
  <c r="K830" i="4" s="1"/>
  <c r="I832" i="4" l="1"/>
  <c r="J831" i="4"/>
  <c r="K831" i="4" s="1"/>
  <c r="I833" i="4" l="1"/>
  <c r="J832" i="4"/>
  <c r="K832" i="4" l="1"/>
  <c r="I834" i="4"/>
  <c r="J833" i="4"/>
  <c r="K833" i="4" l="1"/>
  <c r="I835" i="4"/>
  <c r="J834" i="4"/>
  <c r="I836" i="4" l="1"/>
  <c r="J835" i="4"/>
  <c r="K834" i="4"/>
  <c r="K835" i="4" l="1"/>
  <c r="I837" i="4"/>
  <c r="J836" i="4"/>
  <c r="I838" i="4" l="1"/>
  <c r="J837" i="4"/>
  <c r="K836" i="4"/>
  <c r="K837" i="4" l="1"/>
  <c r="I839" i="4"/>
  <c r="J838" i="4"/>
  <c r="I840" i="4" l="1"/>
  <c r="J839" i="4"/>
  <c r="K838" i="4"/>
  <c r="K839" i="4" l="1"/>
  <c r="I841" i="4"/>
  <c r="J840" i="4"/>
  <c r="K840" i="4" s="1"/>
  <c r="I842" i="4" l="1"/>
  <c r="J841" i="4"/>
  <c r="K841" i="4" l="1"/>
  <c r="I843" i="4"/>
  <c r="J842" i="4"/>
  <c r="K842" i="4" l="1"/>
  <c r="I844" i="4"/>
  <c r="J843" i="4"/>
  <c r="I845" i="4" l="1"/>
  <c r="J844" i="4"/>
  <c r="K843" i="4"/>
  <c r="K844" i="4" l="1"/>
  <c r="I846" i="4"/>
  <c r="J845" i="4"/>
  <c r="I847" i="4" l="1"/>
  <c r="J846" i="4"/>
  <c r="K845" i="4"/>
  <c r="K846" i="4" l="1"/>
  <c r="I848" i="4"/>
  <c r="J847" i="4"/>
  <c r="I849" i="4" l="1"/>
  <c r="J848" i="4"/>
  <c r="K847" i="4"/>
  <c r="K848" i="4" s="1"/>
  <c r="I850" i="4" l="1"/>
  <c r="J849" i="4"/>
  <c r="I851" i="4" l="1"/>
  <c r="J850" i="4"/>
  <c r="K849" i="4"/>
  <c r="K850" i="4" s="1"/>
  <c r="I852" i="4" l="1"/>
  <c r="J851" i="4"/>
  <c r="I853" i="4" l="1"/>
  <c r="J852" i="4"/>
  <c r="K851" i="4"/>
  <c r="K852" i="4" s="1"/>
  <c r="I854" i="4" l="1"/>
  <c r="J853" i="4"/>
  <c r="K853" i="4" s="1"/>
  <c r="I855" i="4" l="1"/>
  <c r="J854" i="4"/>
  <c r="I856" i="4" l="1"/>
  <c r="J855" i="4"/>
  <c r="K854" i="4"/>
  <c r="K855" i="4" l="1"/>
  <c r="I857" i="4"/>
  <c r="J856" i="4"/>
  <c r="I858" i="4" l="1"/>
  <c r="J857" i="4"/>
  <c r="K856" i="4"/>
  <c r="K857" i="4" l="1"/>
  <c r="I859" i="4"/>
  <c r="J858" i="4"/>
  <c r="I860" i="4" l="1"/>
  <c r="J859" i="4"/>
  <c r="K858" i="4"/>
  <c r="K859" i="4" s="1"/>
  <c r="I861" i="4" l="1"/>
  <c r="J860" i="4"/>
  <c r="I862" i="4" l="1"/>
  <c r="J861" i="4"/>
  <c r="K860" i="4"/>
  <c r="K861" i="4" l="1"/>
  <c r="I863" i="4"/>
  <c r="J862" i="4"/>
  <c r="I864" i="4" l="1"/>
  <c r="J863" i="4"/>
  <c r="K862" i="4"/>
  <c r="K863" i="4" l="1"/>
  <c r="I865" i="4"/>
  <c r="J864" i="4"/>
  <c r="I866" i="4" l="1"/>
  <c r="J865" i="4"/>
  <c r="K864" i="4"/>
  <c r="K865" i="4" l="1"/>
  <c r="I867" i="4"/>
  <c r="J866" i="4"/>
  <c r="K866" i="4" l="1"/>
  <c r="I868" i="4"/>
  <c r="J867" i="4"/>
  <c r="I869" i="4" l="1"/>
  <c r="J868" i="4"/>
  <c r="K867" i="4"/>
  <c r="K868" i="4" s="1"/>
  <c r="I870" i="4" l="1"/>
  <c r="J869" i="4"/>
  <c r="I871" i="4" l="1"/>
  <c r="J870" i="4"/>
  <c r="K869" i="4"/>
  <c r="K870" i="4" l="1"/>
  <c r="I872" i="4"/>
  <c r="J871" i="4"/>
  <c r="K871" i="4" l="1"/>
  <c r="I873" i="4"/>
  <c r="J872" i="4"/>
  <c r="I874" i="4" l="1"/>
  <c r="J873" i="4"/>
  <c r="K872" i="4"/>
  <c r="K873" i="4" l="1"/>
  <c r="I875" i="4"/>
  <c r="J874" i="4"/>
  <c r="I876" i="4" l="1"/>
  <c r="J875" i="4"/>
  <c r="K874" i="4"/>
  <c r="K875" i="4" l="1"/>
  <c r="I877" i="4"/>
  <c r="J876" i="4"/>
  <c r="I878" i="4" l="1"/>
  <c r="J877" i="4"/>
  <c r="K876" i="4"/>
  <c r="K877" i="4" s="1"/>
  <c r="I879" i="4" l="1"/>
  <c r="J878" i="4"/>
  <c r="I880" i="4" l="1"/>
  <c r="J879" i="4"/>
  <c r="K878" i="4"/>
  <c r="K879" i="4" s="1"/>
  <c r="I881" i="4" l="1"/>
  <c r="J880" i="4"/>
  <c r="I882" i="4" l="1"/>
  <c r="J881" i="4"/>
  <c r="K880" i="4"/>
  <c r="K881" i="4" l="1"/>
  <c r="I883" i="4"/>
  <c r="J882" i="4"/>
  <c r="I884" i="4" l="1"/>
  <c r="J883" i="4"/>
  <c r="K882" i="4"/>
  <c r="K883" i="4" l="1"/>
  <c r="I885" i="4"/>
  <c r="J884" i="4"/>
  <c r="I886" i="4" l="1"/>
  <c r="J885" i="4"/>
  <c r="K884" i="4"/>
  <c r="K885" i="4" l="1"/>
  <c r="I887" i="4"/>
  <c r="J886" i="4"/>
  <c r="K886" i="4" l="1"/>
  <c r="I888" i="4"/>
  <c r="J887" i="4"/>
  <c r="I889" i="4" l="1"/>
  <c r="J888" i="4"/>
  <c r="K887" i="4"/>
  <c r="K888" i="4" l="1"/>
  <c r="I890" i="4"/>
  <c r="J889" i="4"/>
  <c r="I891" i="4" l="1"/>
  <c r="J890" i="4"/>
  <c r="K889" i="4"/>
  <c r="K890" i="4" s="1"/>
  <c r="I892" i="4" l="1"/>
  <c r="J891" i="4"/>
  <c r="K891" i="4" l="1"/>
  <c r="I893" i="4"/>
  <c r="J892" i="4"/>
  <c r="I894" i="4" l="1"/>
  <c r="J893" i="4"/>
  <c r="K892" i="4"/>
  <c r="K893" i="4" l="1"/>
  <c r="I895" i="4"/>
  <c r="J894" i="4"/>
  <c r="K894" i="4" l="1"/>
  <c r="I896" i="4"/>
  <c r="J895" i="4"/>
  <c r="I897" i="4" l="1"/>
  <c r="J896" i="4"/>
  <c r="K895" i="4"/>
  <c r="K896" i="4" l="1"/>
  <c r="I898" i="4"/>
  <c r="J897" i="4"/>
  <c r="K897" i="4" s="1"/>
  <c r="I899" i="4" l="1"/>
  <c r="J898" i="4"/>
  <c r="K898" i="4" l="1"/>
  <c r="I900" i="4"/>
  <c r="J899" i="4"/>
  <c r="I901" i="4" l="1"/>
  <c r="J900" i="4"/>
  <c r="K899" i="4"/>
  <c r="K900" i="4" s="1"/>
  <c r="I902" i="4" l="1"/>
  <c r="J901" i="4"/>
  <c r="I903" i="4" l="1"/>
  <c r="J902" i="4"/>
  <c r="K901" i="4"/>
  <c r="K902" i="4" s="1"/>
  <c r="I904" i="4" l="1"/>
  <c r="J903" i="4"/>
  <c r="I905" i="4" l="1"/>
  <c r="J904" i="4"/>
  <c r="K903" i="4"/>
  <c r="K904" i="4" s="1"/>
  <c r="I906" i="4" l="1"/>
  <c r="J905" i="4"/>
  <c r="I907" i="4" l="1"/>
  <c r="J906" i="4"/>
  <c r="K905" i="4"/>
  <c r="K906" i="4" l="1"/>
  <c r="I908" i="4"/>
  <c r="J907" i="4"/>
  <c r="K907" i="4" s="1"/>
  <c r="I909" i="4" l="1"/>
  <c r="J908" i="4"/>
  <c r="K908" i="4" s="1"/>
  <c r="I910" i="4" l="1"/>
  <c r="J909" i="4"/>
  <c r="K909" i="4" l="1"/>
  <c r="I911" i="4"/>
  <c r="J910" i="4"/>
  <c r="I912" i="4" l="1"/>
  <c r="J911" i="4"/>
  <c r="K910" i="4"/>
  <c r="K911" i="4" l="1"/>
  <c r="I913" i="4"/>
  <c r="J912" i="4"/>
  <c r="K912" i="4" l="1"/>
  <c r="I914" i="4"/>
  <c r="J913" i="4"/>
  <c r="I915" i="4" l="1"/>
  <c r="J914" i="4"/>
  <c r="K913" i="4"/>
  <c r="K914" i="4" l="1"/>
  <c r="I916" i="4"/>
  <c r="J915" i="4"/>
  <c r="K915" i="4" l="1"/>
  <c r="I917" i="4"/>
  <c r="J916" i="4"/>
  <c r="I918" i="4" l="1"/>
  <c r="J917" i="4"/>
  <c r="K916" i="4"/>
  <c r="K917" i="4" l="1"/>
  <c r="I919" i="4"/>
  <c r="J918" i="4"/>
  <c r="I920" i="4" l="1"/>
  <c r="J919" i="4"/>
  <c r="K918" i="4"/>
  <c r="K919" i="4" l="1"/>
  <c r="I921" i="4"/>
  <c r="J920" i="4"/>
  <c r="K920" i="4" l="1"/>
  <c r="I922" i="4"/>
  <c r="J921" i="4"/>
  <c r="I923" i="4" l="1"/>
  <c r="J922" i="4"/>
  <c r="K921" i="4"/>
  <c r="K922" i="4" l="1"/>
  <c r="I924" i="4"/>
  <c r="J923" i="4"/>
  <c r="K923" i="4" l="1"/>
  <c r="I925" i="4"/>
  <c r="J924" i="4"/>
  <c r="I926" i="4" l="1"/>
  <c r="J925" i="4"/>
  <c r="K924" i="4"/>
  <c r="K925" i="4" l="1"/>
  <c r="I927" i="4"/>
  <c r="J926" i="4"/>
  <c r="I928" i="4" l="1"/>
  <c r="J927" i="4"/>
  <c r="K926" i="4"/>
  <c r="K927" i="4" s="1"/>
  <c r="I929" i="4" l="1"/>
  <c r="J928" i="4"/>
  <c r="K928" i="4" s="1"/>
  <c r="I930" i="4" l="1"/>
  <c r="J929" i="4"/>
  <c r="I931" i="4" l="1"/>
  <c r="J930" i="4"/>
  <c r="K929" i="4"/>
  <c r="K930" i="4" s="1"/>
  <c r="I932" i="4" l="1"/>
  <c r="J931" i="4"/>
  <c r="K931" i="4" l="1"/>
  <c r="I933" i="4"/>
  <c r="J932" i="4"/>
  <c r="I934" i="4" l="1"/>
  <c r="J933" i="4"/>
  <c r="K932" i="4"/>
  <c r="K933" i="4" s="1"/>
  <c r="I935" i="4" l="1"/>
  <c r="J934" i="4"/>
  <c r="I936" i="4" l="1"/>
  <c r="J935" i="4"/>
  <c r="K934" i="4"/>
  <c r="K935" i="4" s="1"/>
  <c r="I937" i="4" l="1"/>
  <c r="J936" i="4"/>
  <c r="I938" i="4" l="1"/>
  <c r="J937" i="4"/>
  <c r="K936" i="4"/>
  <c r="K937" i="4" s="1"/>
  <c r="I939" i="4" l="1"/>
  <c r="J938" i="4"/>
  <c r="K938" i="4" s="1"/>
  <c r="I940" i="4" l="1"/>
  <c r="J939" i="4"/>
  <c r="I941" i="4" l="1"/>
  <c r="J940" i="4"/>
  <c r="K939" i="4"/>
  <c r="K940" i="4" l="1"/>
  <c r="I942" i="4"/>
  <c r="J941" i="4"/>
  <c r="I943" i="4" l="1"/>
  <c r="J942" i="4"/>
  <c r="K941" i="4"/>
  <c r="K942" i="4" s="1"/>
  <c r="I944" i="4" l="1"/>
  <c r="J943" i="4"/>
  <c r="I945" i="4" l="1"/>
  <c r="J944" i="4"/>
  <c r="K943" i="4"/>
  <c r="K944" i="4" s="1"/>
  <c r="I946" i="4" l="1"/>
  <c r="J945" i="4"/>
  <c r="I947" i="4" l="1"/>
  <c r="J946" i="4"/>
  <c r="K945" i="4"/>
  <c r="K946" i="4" l="1"/>
  <c r="I948" i="4"/>
  <c r="J947" i="4"/>
  <c r="K947" i="4" s="1"/>
  <c r="I949" i="4" l="1"/>
  <c r="J948" i="4"/>
  <c r="I950" i="4" l="1"/>
  <c r="J949" i="4"/>
  <c r="K948" i="4"/>
  <c r="K949" i="4" l="1"/>
  <c r="I951" i="4"/>
  <c r="J950" i="4"/>
  <c r="K950" i="4" l="1"/>
  <c r="I952" i="4"/>
  <c r="J951" i="4"/>
  <c r="I953" i="4" l="1"/>
  <c r="J952" i="4"/>
  <c r="K951" i="4"/>
  <c r="K952" i="4" l="1"/>
  <c r="I954" i="4"/>
  <c r="J953" i="4"/>
  <c r="I955" i="4" l="1"/>
  <c r="J954" i="4"/>
  <c r="K953" i="4"/>
  <c r="K954" i="4" s="1"/>
  <c r="I956" i="4" l="1"/>
  <c r="J955" i="4"/>
  <c r="K955" i="4" s="1"/>
  <c r="I957" i="4" l="1"/>
  <c r="J956" i="4"/>
  <c r="K956" i="4" l="1"/>
  <c r="I958" i="4"/>
  <c r="J957" i="4"/>
  <c r="K957" i="4" s="1"/>
  <c r="I959" i="4" l="1"/>
  <c r="J958" i="4"/>
  <c r="K958" i="4" l="1"/>
  <c r="I960" i="4"/>
  <c r="J959" i="4"/>
  <c r="I961" i="4" l="1"/>
  <c r="J960" i="4"/>
  <c r="K959" i="4"/>
  <c r="K960" i="4" s="1"/>
  <c r="I962" i="4" l="1"/>
  <c r="J961" i="4"/>
  <c r="I963" i="4" l="1"/>
  <c r="J962" i="4"/>
  <c r="K961" i="4"/>
  <c r="K962" i="4" l="1"/>
  <c r="I964" i="4"/>
  <c r="J963" i="4"/>
  <c r="I965" i="4" l="1"/>
  <c r="J964" i="4"/>
  <c r="K963" i="4"/>
  <c r="K964" i="4" l="1"/>
  <c r="I966" i="4"/>
  <c r="J965" i="4"/>
  <c r="K965" i="4" s="1"/>
  <c r="I967" i="4" l="1"/>
  <c r="J966" i="4"/>
  <c r="I968" i="4" l="1"/>
  <c r="J967" i="4"/>
  <c r="K966" i="4"/>
  <c r="K967" i="4" s="1"/>
  <c r="I969" i="4" l="1"/>
  <c r="J968" i="4"/>
  <c r="I970" i="4" l="1"/>
  <c r="J969" i="4"/>
  <c r="K968" i="4"/>
  <c r="K969" i="4" l="1"/>
  <c r="I971" i="4"/>
  <c r="J970" i="4"/>
  <c r="I972" i="4" l="1"/>
  <c r="J971" i="4"/>
  <c r="K970" i="4"/>
  <c r="K971" i="4" l="1"/>
  <c r="I973" i="4"/>
  <c r="J972" i="4"/>
  <c r="I974" i="4" l="1"/>
  <c r="J973" i="4"/>
  <c r="K972" i="4"/>
  <c r="K973" i="4" l="1"/>
  <c r="I975" i="4"/>
  <c r="J974" i="4"/>
  <c r="I976" i="4" l="1"/>
  <c r="J975" i="4"/>
  <c r="K974" i="4"/>
  <c r="K975" i="4" l="1"/>
  <c r="I977" i="4"/>
  <c r="J976" i="4"/>
  <c r="I978" i="4" l="1"/>
  <c r="J977" i="4"/>
  <c r="K976" i="4"/>
  <c r="K977" i="4" l="1"/>
  <c r="I979" i="4"/>
  <c r="J978" i="4"/>
  <c r="I980" i="4" l="1"/>
  <c r="J979" i="4"/>
  <c r="K978" i="4"/>
  <c r="K979" i="4" l="1"/>
  <c r="I981" i="4"/>
  <c r="J980" i="4"/>
  <c r="I982" i="4" l="1"/>
  <c r="J981" i="4"/>
  <c r="K980" i="4"/>
  <c r="K981" i="4" s="1"/>
  <c r="I983" i="4" l="1"/>
  <c r="J982" i="4"/>
  <c r="K982" i="4" l="1"/>
  <c r="I984" i="4"/>
  <c r="J983" i="4"/>
  <c r="I985" i="4" l="1"/>
  <c r="J984" i="4"/>
  <c r="K983" i="4"/>
  <c r="K984" i="4" s="1"/>
  <c r="I986" i="4" l="1"/>
  <c r="J985" i="4"/>
  <c r="K985" i="4" s="1"/>
  <c r="I987" i="4" l="1"/>
  <c r="J986" i="4"/>
  <c r="K986" i="4" l="1"/>
  <c r="I988" i="4"/>
  <c r="J987" i="4"/>
  <c r="I989" i="4" l="1"/>
  <c r="J988" i="4"/>
  <c r="K987" i="4"/>
  <c r="K988" i="4" l="1"/>
  <c r="I990" i="4"/>
  <c r="J989" i="4"/>
  <c r="I991" i="4" l="1"/>
  <c r="J990" i="4"/>
  <c r="K989" i="4"/>
  <c r="K990" i="4" l="1"/>
  <c r="I992" i="4"/>
  <c r="J991" i="4"/>
  <c r="I993" i="4" l="1"/>
  <c r="J992" i="4"/>
  <c r="K991" i="4"/>
  <c r="K992" i="4" l="1"/>
  <c r="I994" i="4"/>
  <c r="J993" i="4"/>
  <c r="I995" i="4" l="1"/>
  <c r="J994" i="4"/>
  <c r="K993" i="4"/>
  <c r="K994" i="4" l="1"/>
  <c r="I996" i="4"/>
  <c r="J995" i="4"/>
  <c r="I997" i="4" l="1"/>
  <c r="J996" i="4"/>
  <c r="K995" i="4"/>
  <c r="K996" i="4" s="1"/>
  <c r="I998" i="4" l="1"/>
  <c r="J997" i="4"/>
  <c r="K997" i="4" s="1"/>
  <c r="I999" i="4" l="1"/>
  <c r="J998" i="4"/>
  <c r="K998" i="4" l="1"/>
  <c r="I1000" i="4"/>
  <c r="J999" i="4"/>
  <c r="I1001" i="4" l="1"/>
  <c r="J1000" i="4"/>
  <c r="K999" i="4"/>
  <c r="K1000" i="4" l="1"/>
  <c r="I1002" i="4"/>
  <c r="J1001" i="4"/>
  <c r="I1003" i="4" l="1"/>
  <c r="J1002" i="4"/>
  <c r="K1001" i="4"/>
  <c r="K1002" i="4" l="1"/>
  <c r="I1004" i="4"/>
  <c r="J1003" i="4"/>
  <c r="K1003" i="4" l="1"/>
  <c r="I1005" i="4"/>
  <c r="J1004" i="4"/>
  <c r="I1006" i="4" l="1"/>
  <c r="J1005" i="4"/>
  <c r="K1004" i="4"/>
  <c r="K1005" i="4" s="1"/>
  <c r="I1007" i="4" l="1"/>
  <c r="J1006" i="4"/>
  <c r="K1006" i="4" l="1"/>
  <c r="I1008" i="4"/>
  <c r="J1007" i="4"/>
  <c r="K1007" i="4" s="1"/>
  <c r="I1009" i="4" l="1"/>
  <c r="J1008" i="4"/>
  <c r="I1010" i="4" l="1"/>
  <c r="J1009" i="4"/>
  <c r="K1008" i="4"/>
  <c r="K1009" i="4" l="1"/>
  <c r="I1011" i="4"/>
  <c r="J1010" i="4"/>
  <c r="K1010" i="4" l="1"/>
  <c r="I1012" i="4"/>
  <c r="J1011" i="4"/>
  <c r="I1013" i="4" l="1"/>
  <c r="J1012" i="4"/>
  <c r="K1011" i="4"/>
  <c r="K1012" i="4" l="1"/>
  <c r="I1014" i="4"/>
  <c r="J1013" i="4"/>
  <c r="K1013" i="4" l="1"/>
  <c r="I1015" i="4"/>
  <c r="J1014" i="4"/>
  <c r="I1016" i="4" l="1"/>
  <c r="J1015" i="4"/>
  <c r="K1014" i="4"/>
  <c r="K1015" i="4" s="1"/>
  <c r="I1017" i="4" l="1"/>
  <c r="J1016" i="4"/>
  <c r="K1016" i="4" l="1"/>
  <c r="I1018" i="4"/>
  <c r="J1017" i="4"/>
  <c r="I1019" i="4" l="1"/>
  <c r="J1018" i="4"/>
  <c r="K1017" i="4"/>
  <c r="K1018" i="4" s="1"/>
  <c r="I1020" i="4" l="1"/>
  <c r="J1019" i="4"/>
  <c r="I1021" i="4" l="1"/>
  <c r="J1020" i="4"/>
  <c r="K1019" i="4"/>
  <c r="K1020" i="4" l="1"/>
  <c r="I1022" i="4"/>
  <c r="J1021" i="4"/>
  <c r="K1021" i="4" s="1"/>
  <c r="I1023" i="4" l="1"/>
  <c r="J1022" i="4"/>
  <c r="I1024" i="4" l="1"/>
  <c r="J1023" i="4"/>
  <c r="K1022" i="4"/>
  <c r="K1023" i="4" l="1"/>
  <c r="I1025" i="4"/>
  <c r="J1024" i="4"/>
  <c r="I1026" i="4" l="1"/>
  <c r="J1025" i="4"/>
  <c r="K1024" i="4"/>
  <c r="K1025" i="4" l="1"/>
  <c r="I1027" i="4"/>
  <c r="J1026" i="4"/>
  <c r="K1026" i="4" l="1"/>
  <c r="I1028" i="4"/>
  <c r="J1027" i="4"/>
  <c r="I1029" i="4" l="1"/>
  <c r="J1028" i="4"/>
  <c r="K1027" i="4"/>
  <c r="K1028" i="4" l="1"/>
  <c r="I1030" i="4"/>
  <c r="J1029" i="4"/>
  <c r="I1031" i="4" l="1"/>
  <c r="J1030" i="4"/>
  <c r="K1029" i="4"/>
  <c r="K1030" i="4" l="1"/>
  <c r="I1032" i="4"/>
  <c r="J1031" i="4"/>
  <c r="I1033" i="4" l="1"/>
  <c r="J1032" i="4"/>
  <c r="K1031" i="4"/>
  <c r="K1032" i="4" s="1"/>
  <c r="I1034" i="4" l="1"/>
  <c r="J1033" i="4"/>
  <c r="I1035" i="4" l="1"/>
  <c r="J1034" i="4"/>
  <c r="K1033" i="4"/>
  <c r="K1034" i="4" l="1"/>
  <c r="I1036" i="4"/>
  <c r="J1035" i="4"/>
  <c r="I1037" i="4" l="1"/>
  <c r="J1036" i="4"/>
  <c r="K1035" i="4"/>
  <c r="K1036" i="4" l="1"/>
  <c r="I1038" i="4"/>
  <c r="J1037" i="4"/>
  <c r="I1039" i="4" l="1"/>
  <c r="J1038" i="4"/>
  <c r="K1037" i="4"/>
  <c r="K1038" i="4" l="1"/>
  <c r="I1040" i="4"/>
  <c r="J1039" i="4"/>
  <c r="I1041" i="4" l="1"/>
  <c r="J1040" i="4"/>
  <c r="K1039" i="4"/>
  <c r="K1040" i="4" l="1"/>
  <c r="I1042" i="4"/>
  <c r="J1041" i="4"/>
  <c r="I1043" i="4" l="1"/>
  <c r="J1042" i="4"/>
  <c r="K1041" i="4"/>
  <c r="K1042" i="4" s="1"/>
  <c r="I1044" i="4" l="1"/>
  <c r="J1043" i="4"/>
  <c r="I1045" i="4" l="1"/>
  <c r="J1044" i="4"/>
  <c r="K1043" i="4"/>
  <c r="K1044" i="4" s="1"/>
  <c r="I1046" i="4" l="1"/>
  <c r="J1045" i="4"/>
  <c r="I1047" i="4" l="1"/>
  <c r="J1046" i="4"/>
  <c r="K1045" i="4"/>
  <c r="K1046" i="4" l="1"/>
  <c r="I1048" i="4"/>
  <c r="J1047" i="4"/>
  <c r="I1049" i="4" l="1"/>
  <c r="J1048" i="4"/>
  <c r="K1047" i="4"/>
  <c r="K1048" i="4" l="1"/>
  <c r="I1050" i="4"/>
  <c r="J1049" i="4"/>
  <c r="I1051" i="4" l="1"/>
  <c r="J1050" i="4"/>
  <c r="K1049" i="4"/>
  <c r="K1050" i="4" s="1"/>
  <c r="I1052" i="4" l="1"/>
  <c r="J1051" i="4"/>
  <c r="I1053" i="4" l="1"/>
  <c r="J1052" i="4"/>
  <c r="K1051" i="4"/>
  <c r="K1052" i="4" s="1"/>
  <c r="I1054" i="4" l="1"/>
  <c r="J1053" i="4"/>
  <c r="I1055" i="4" l="1"/>
  <c r="J1054" i="4"/>
  <c r="K1053" i="4"/>
  <c r="K1054" i="4" s="1"/>
  <c r="I1056" i="4" l="1"/>
  <c r="J1055" i="4"/>
  <c r="K1055" i="4" l="1"/>
  <c r="I1057" i="4"/>
  <c r="J1056" i="4"/>
  <c r="K1056" i="4" s="1"/>
  <c r="I1058" i="4" l="1"/>
  <c r="J1057" i="4"/>
  <c r="I1059" i="4" l="1"/>
  <c r="J1058" i="4"/>
  <c r="K1057" i="4"/>
  <c r="K1058" i="4" s="1"/>
  <c r="I1060" i="4" l="1"/>
  <c r="J1059" i="4"/>
  <c r="I1061" i="4" l="1"/>
  <c r="J1060" i="4"/>
  <c r="K1059" i="4"/>
  <c r="K1060" i="4" s="1"/>
  <c r="I1062" i="4" l="1"/>
  <c r="J1061" i="4"/>
  <c r="I1063" i="4" l="1"/>
  <c r="J1062" i="4"/>
  <c r="K1061" i="4"/>
  <c r="K1062" i="4" s="1"/>
  <c r="I1064" i="4" l="1"/>
  <c r="J1063" i="4"/>
  <c r="I1065" i="4" l="1"/>
  <c r="J1064" i="4"/>
  <c r="K1063" i="4"/>
  <c r="K1064" i="4" s="1"/>
  <c r="I1066" i="4" l="1"/>
  <c r="J1065" i="4"/>
  <c r="I1067" i="4" l="1"/>
  <c r="J1066" i="4"/>
  <c r="K1065" i="4"/>
  <c r="K1066" i="4" l="1"/>
  <c r="I1068" i="4"/>
  <c r="J1067" i="4"/>
  <c r="I1069" i="4" l="1"/>
  <c r="J1068" i="4"/>
  <c r="K1067" i="4"/>
  <c r="K1068" i="4" s="1"/>
  <c r="I1070" i="4" l="1"/>
  <c r="J1069" i="4"/>
  <c r="K1069" i="4" l="1"/>
  <c r="I1071" i="4"/>
  <c r="J1070" i="4"/>
  <c r="K1070" i="4" s="1"/>
  <c r="I1072" i="4" l="1"/>
  <c r="J1071" i="4"/>
  <c r="K1071" i="4" l="1"/>
  <c r="I1073" i="4"/>
  <c r="J1072" i="4"/>
  <c r="K1072" i="4" l="1"/>
  <c r="I1074" i="4"/>
  <c r="J1073" i="4"/>
  <c r="I1075" i="4" l="1"/>
  <c r="J1074" i="4"/>
  <c r="K1073" i="4"/>
  <c r="K1074" i="4" s="1"/>
  <c r="I1076" i="4" l="1"/>
  <c r="J1075" i="4"/>
  <c r="I1077" i="4" l="1"/>
  <c r="J1076" i="4"/>
  <c r="K1075" i="4"/>
  <c r="K1076" i="4" l="1"/>
  <c r="I1078" i="4"/>
  <c r="J1077" i="4"/>
  <c r="K1077" i="4" s="1"/>
  <c r="I1079" i="4" l="1"/>
  <c r="J1078" i="4"/>
  <c r="I1080" i="4" l="1"/>
  <c r="J1079" i="4"/>
  <c r="K1078" i="4"/>
  <c r="K1079" i="4" l="1"/>
  <c r="I1081" i="4"/>
  <c r="J1080" i="4"/>
  <c r="K1080" i="4" l="1"/>
  <c r="I1082" i="4"/>
  <c r="J1081" i="4"/>
  <c r="I1083" i="4" l="1"/>
  <c r="J1082" i="4"/>
  <c r="K1081" i="4"/>
  <c r="K1082" i="4" l="1"/>
  <c r="I1084" i="4"/>
  <c r="J1083" i="4"/>
  <c r="I1085" i="4" l="1"/>
  <c r="J1084" i="4"/>
  <c r="K1083" i="4"/>
  <c r="K1084" i="4" l="1"/>
  <c r="I1086" i="4"/>
  <c r="J1085" i="4"/>
  <c r="I1087" i="4" l="1"/>
  <c r="J1086" i="4"/>
  <c r="K1085" i="4"/>
  <c r="K1086" i="4" s="1"/>
  <c r="I1088" i="4" l="1"/>
  <c r="J1087" i="4"/>
  <c r="I1089" i="4" l="1"/>
  <c r="J1088" i="4"/>
  <c r="K1087" i="4"/>
  <c r="K1088" i="4" l="1"/>
  <c r="I1090" i="4"/>
  <c r="J1089" i="4"/>
  <c r="I1091" i="4" l="1"/>
  <c r="J1090" i="4"/>
  <c r="K1089" i="4"/>
  <c r="K1090" i="4" l="1"/>
  <c r="I1092" i="4"/>
  <c r="J1091" i="4"/>
  <c r="K1091" i="4" s="1"/>
  <c r="I1093" i="4" l="1"/>
  <c r="J1092" i="4"/>
  <c r="I1094" i="4" l="1"/>
  <c r="J1093" i="4"/>
  <c r="K1092" i="4"/>
  <c r="K1093" i="4" l="1"/>
  <c r="I1095" i="4"/>
  <c r="J1094" i="4"/>
  <c r="I1096" i="4" l="1"/>
  <c r="J1095" i="4"/>
  <c r="K1094" i="4"/>
  <c r="K1095" i="4" s="1"/>
  <c r="I1097" i="4" l="1"/>
  <c r="J1096" i="4"/>
  <c r="I1098" i="4" l="1"/>
  <c r="J1097" i="4"/>
  <c r="K1096" i="4"/>
  <c r="K1097" i="4" s="1"/>
  <c r="I1099" i="4" l="1"/>
  <c r="J1098" i="4"/>
  <c r="K1098" i="4" l="1"/>
  <c r="I1100" i="4"/>
  <c r="J1099" i="4"/>
  <c r="I1101" i="4" l="1"/>
  <c r="J1100" i="4"/>
  <c r="K1099" i="4"/>
  <c r="K1100" i="4" s="1"/>
  <c r="I1102" i="4" l="1"/>
  <c r="J1101" i="4"/>
  <c r="I1103" i="4" l="1"/>
  <c r="J1102" i="4"/>
  <c r="K1101" i="4"/>
  <c r="K1102" i="4" s="1"/>
  <c r="I1104" i="4" l="1"/>
  <c r="J1103" i="4"/>
  <c r="I1105" i="4" l="1"/>
  <c r="J1104" i="4"/>
  <c r="K1103" i="4"/>
  <c r="K1104" i="4" s="1"/>
  <c r="I1106" i="4" l="1"/>
  <c r="J1105" i="4"/>
  <c r="I1107" i="4" l="1"/>
  <c r="J1106" i="4"/>
  <c r="K1105" i="4"/>
  <c r="K1106" i="4" s="1"/>
  <c r="I1108" i="4" l="1"/>
  <c r="J1107" i="4"/>
  <c r="K1107" i="4" s="1"/>
  <c r="I1109" i="4" l="1"/>
  <c r="J1108" i="4"/>
  <c r="K1108" i="4" l="1"/>
  <c r="I1110" i="4"/>
  <c r="J1109" i="4"/>
  <c r="I1111" i="4" l="1"/>
  <c r="J1110" i="4"/>
  <c r="K1109" i="4"/>
  <c r="K1110" i="4" s="1"/>
  <c r="I1112" i="4" l="1"/>
  <c r="J1111" i="4"/>
  <c r="I1113" i="4" l="1"/>
  <c r="J1112" i="4"/>
  <c r="K1111" i="4"/>
  <c r="K1112" i="4" s="1"/>
  <c r="I1114" i="4" l="1"/>
  <c r="J1113" i="4"/>
  <c r="I1115" i="4" l="1"/>
  <c r="J1114" i="4"/>
  <c r="K1113" i="4"/>
  <c r="K1114" i="4" l="1"/>
  <c r="I1116" i="4"/>
  <c r="J1115" i="4"/>
  <c r="K1115" i="4" l="1"/>
  <c r="I1117" i="4"/>
  <c r="J1116" i="4"/>
  <c r="I1118" i="4" l="1"/>
  <c r="J1117" i="4"/>
  <c r="K1116" i="4"/>
  <c r="K1117" i="4" s="1"/>
  <c r="I1119" i="4" l="1"/>
  <c r="J1118" i="4"/>
  <c r="I1120" i="4" l="1"/>
  <c r="J1119" i="4"/>
  <c r="K1118" i="4"/>
  <c r="K1119" i="4" l="1"/>
  <c r="I1121" i="4"/>
  <c r="J1120" i="4"/>
  <c r="I1122" i="4" l="1"/>
  <c r="J1121" i="4"/>
  <c r="K1120" i="4"/>
  <c r="K1121" i="4" s="1"/>
  <c r="I1123" i="4" l="1"/>
  <c r="J1122" i="4"/>
  <c r="I1124" i="4" l="1"/>
  <c r="J1123" i="4"/>
  <c r="K1122" i="4"/>
  <c r="K1123" i="4" s="1"/>
  <c r="I1125" i="4" l="1"/>
  <c r="J1124" i="4"/>
  <c r="K1124" i="4" l="1"/>
  <c r="I1126" i="4"/>
  <c r="J1125" i="4"/>
  <c r="I1127" i="4" l="1"/>
  <c r="J1126" i="4"/>
  <c r="K1125" i="4"/>
  <c r="K1126" i="4" s="1"/>
  <c r="I1128" i="4" l="1"/>
  <c r="J1127" i="4"/>
  <c r="I1129" i="4" l="1"/>
  <c r="J1128" i="4"/>
  <c r="K1127" i="4"/>
  <c r="K1128" i="4" l="1"/>
  <c r="I1130" i="4"/>
  <c r="J1129" i="4"/>
  <c r="I1131" i="4" l="1"/>
  <c r="J1130" i="4"/>
  <c r="K1129" i="4"/>
  <c r="K1130" i="4" s="1"/>
  <c r="I1132" i="4" l="1"/>
  <c r="J1131" i="4"/>
  <c r="I1133" i="4" l="1"/>
  <c r="J1132" i="4"/>
  <c r="K1131" i="4"/>
  <c r="K1132" i="4" s="1"/>
  <c r="I1134" i="4" l="1"/>
  <c r="J1133" i="4"/>
  <c r="I1135" i="4" l="1"/>
  <c r="J1134" i="4"/>
  <c r="K1133" i="4"/>
  <c r="K1134" i="4" l="1"/>
  <c r="I1136" i="4"/>
  <c r="J1135" i="4"/>
  <c r="I1137" i="4" l="1"/>
  <c r="J1136" i="4"/>
  <c r="K1135" i="4"/>
  <c r="K1136" i="4" l="1"/>
  <c r="I1138" i="4"/>
  <c r="J1137" i="4"/>
  <c r="I1139" i="4" l="1"/>
  <c r="J1138" i="4"/>
  <c r="K1137" i="4"/>
  <c r="K1138" i="4" s="1"/>
  <c r="I1140" i="4" l="1"/>
  <c r="J1139" i="4"/>
  <c r="K1139" i="4" s="1"/>
  <c r="I1141" i="4" l="1"/>
  <c r="J1140" i="4"/>
  <c r="I1142" i="4" l="1"/>
  <c r="J1141" i="4"/>
  <c r="K1140" i="4"/>
  <c r="K1141" i="4" l="1"/>
  <c r="I1143" i="4"/>
  <c r="J1142" i="4"/>
  <c r="I1144" i="4" l="1"/>
  <c r="J1143" i="4"/>
  <c r="K1142" i="4"/>
  <c r="K1143" i="4" l="1"/>
  <c r="I1145" i="4"/>
  <c r="J1144" i="4"/>
  <c r="K1144" i="4" l="1"/>
  <c r="I1146" i="4"/>
  <c r="J1145" i="4"/>
  <c r="K1145" i="4" l="1"/>
  <c r="I1147" i="4"/>
  <c r="J1146" i="4"/>
  <c r="I1148" i="4" l="1"/>
  <c r="J1147" i="4"/>
  <c r="K1146" i="4"/>
  <c r="K1147" i="4" l="1"/>
  <c r="I1149" i="4"/>
  <c r="J1148" i="4"/>
  <c r="I1150" i="4" l="1"/>
  <c r="J1149" i="4"/>
  <c r="K1148" i="4"/>
  <c r="K1149" i="4" l="1"/>
  <c r="I1151" i="4"/>
  <c r="J1150" i="4"/>
  <c r="K1150" i="4" l="1"/>
  <c r="I1152" i="4"/>
  <c r="J1151" i="4"/>
  <c r="K1151" i="4" l="1"/>
  <c r="I1153" i="4"/>
  <c r="J1152" i="4"/>
  <c r="I1154" i="4" l="1"/>
  <c r="J1153" i="4"/>
  <c r="K1152" i="4"/>
  <c r="K1153" i="4" s="1"/>
  <c r="I1155" i="4" l="1"/>
  <c r="J1154" i="4"/>
  <c r="K1154" i="4" s="1"/>
  <c r="I1156" i="4" l="1"/>
  <c r="J1155" i="4"/>
  <c r="I1157" i="4" l="1"/>
  <c r="J1156" i="4"/>
  <c r="K1155" i="4"/>
  <c r="K1156" i="4" l="1"/>
  <c r="I1158" i="4"/>
  <c r="J1157" i="4"/>
  <c r="K1157" i="4" s="1"/>
  <c r="I1159" i="4" l="1"/>
  <c r="J1158" i="4"/>
  <c r="K1158" i="4" l="1"/>
  <c r="I1160" i="4"/>
  <c r="J1159" i="4"/>
  <c r="I1161" i="4" l="1"/>
  <c r="J1160" i="4"/>
  <c r="K1159" i="4"/>
  <c r="K1160" i="4" s="1"/>
  <c r="I1162" i="4" l="1"/>
  <c r="J1161" i="4"/>
  <c r="K1161" i="4" l="1"/>
  <c r="I1163" i="4"/>
  <c r="J1162" i="4"/>
  <c r="I1164" i="4" l="1"/>
  <c r="J1163" i="4"/>
  <c r="K1162" i="4"/>
  <c r="K1163" i="4" s="1"/>
  <c r="I1165" i="4" l="1"/>
  <c r="J1164" i="4"/>
  <c r="I1166" i="4" l="1"/>
  <c r="J1165" i="4"/>
  <c r="K1164" i="4"/>
  <c r="K1165" i="4" l="1"/>
  <c r="I1167" i="4"/>
  <c r="J1166" i="4"/>
  <c r="K1166" i="4" l="1"/>
  <c r="I1168" i="4"/>
  <c r="J1167" i="4"/>
  <c r="I1169" i="4" l="1"/>
  <c r="J1168" i="4"/>
  <c r="K1167" i="4"/>
  <c r="K1168" i="4" s="1"/>
  <c r="I1170" i="4" l="1"/>
  <c r="J1169" i="4"/>
  <c r="I1171" i="4" l="1"/>
  <c r="J1170" i="4"/>
  <c r="K1169" i="4"/>
  <c r="K1170" i="4" l="1"/>
  <c r="I1172" i="4"/>
  <c r="J1171" i="4"/>
  <c r="K1171" i="4" s="1"/>
  <c r="I1173" i="4" l="1"/>
  <c r="J1172" i="4"/>
  <c r="K1172" i="4" l="1"/>
  <c r="I1174" i="4"/>
  <c r="J1173" i="4"/>
  <c r="I1175" i="4" l="1"/>
  <c r="J1174" i="4"/>
  <c r="K1173" i="4"/>
  <c r="K1174" i="4" s="1"/>
  <c r="I1176" i="4" l="1"/>
  <c r="J1175" i="4"/>
  <c r="I1177" i="4" l="1"/>
  <c r="J1176" i="4"/>
  <c r="K1175" i="4"/>
  <c r="K1176" i="4" s="1"/>
  <c r="I1178" i="4" l="1"/>
  <c r="J1177" i="4"/>
  <c r="K1177" i="4" s="1"/>
  <c r="I1179" i="4" l="1"/>
  <c r="J1178" i="4"/>
  <c r="K1178" i="4" l="1"/>
  <c r="I1180" i="4"/>
  <c r="J1179" i="4"/>
  <c r="I1181" i="4" l="1"/>
  <c r="J1180" i="4"/>
  <c r="K1179" i="4"/>
  <c r="K1180" i="4" l="1"/>
  <c r="I1182" i="4"/>
  <c r="J1181" i="4"/>
  <c r="I1183" i="4" l="1"/>
  <c r="J1182" i="4"/>
  <c r="K1181" i="4"/>
  <c r="K1182" i="4" l="1"/>
  <c r="I1184" i="4"/>
  <c r="J1183" i="4"/>
  <c r="I1185" i="4" l="1"/>
  <c r="J1184" i="4"/>
  <c r="K1183" i="4"/>
  <c r="K1184" i="4" s="1"/>
  <c r="I1186" i="4" l="1"/>
  <c r="J1185" i="4"/>
  <c r="I1187" i="4" l="1"/>
  <c r="J1186" i="4"/>
  <c r="K1185" i="4"/>
  <c r="K1186" i="4" s="1"/>
  <c r="I1188" i="4" l="1"/>
  <c r="J1187" i="4"/>
  <c r="K1187" i="4" l="1"/>
  <c r="I1189" i="4"/>
  <c r="J1188" i="4"/>
  <c r="I1190" i="4" l="1"/>
  <c r="J1189" i="4"/>
  <c r="K1188" i="4"/>
  <c r="K1189" i="4" l="1"/>
  <c r="I1191" i="4"/>
  <c r="J1190" i="4"/>
  <c r="I1192" i="4" l="1"/>
  <c r="J1191" i="4"/>
  <c r="K1190" i="4"/>
  <c r="K1191" i="4" l="1"/>
  <c r="I1193" i="4"/>
  <c r="J1192" i="4"/>
  <c r="I1194" i="4" l="1"/>
  <c r="J1193" i="4"/>
  <c r="K1192" i="4"/>
  <c r="K1193" i="4" l="1"/>
  <c r="I1195" i="4"/>
  <c r="J1194" i="4"/>
  <c r="I1196" i="4" l="1"/>
  <c r="J1195" i="4"/>
  <c r="K1194" i="4"/>
  <c r="K1195" i="4" s="1"/>
  <c r="I1197" i="4" l="1"/>
  <c r="J1196" i="4"/>
  <c r="I1198" i="4" l="1"/>
  <c r="J1197" i="4"/>
  <c r="K1196" i="4"/>
  <c r="K1197" i="4" l="1"/>
  <c r="I1199" i="4"/>
  <c r="J1198" i="4"/>
  <c r="I1200" i="4" l="1"/>
  <c r="J1199" i="4"/>
  <c r="K1198" i="4"/>
  <c r="K1199" i="4" l="1"/>
  <c r="I1201" i="4"/>
  <c r="J1200" i="4"/>
  <c r="I1202" i="4" l="1"/>
  <c r="J1201" i="4"/>
  <c r="K1200" i="4"/>
  <c r="K1201" i="4" l="1"/>
  <c r="I1203" i="4"/>
  <c r="J1202" i="4"/>
  <c r="I1204" i="4" l="1"/>
  <c r="J1203" i="4"/>
  <c r="K1202" i="4"/>
  <c r="K1203" i="4" l="1"/>
  <c r="I1205" i="4"/>
  <c r="J1204" i="4"/>
  <c r="K1204" i="4" l="1"/>
  <c r="I1206" i="4"/>
  <c r="J1205" i="4"/>
  <c r="K1205" i="4" l="1"/>
  <c r="I1207" i="4"/>
  <c r="J1206" i="4"/>
  <c r="K1206" i="4" s="1"/>
  <c r="I1208" i="4" l="1"/>
  <c r="J1207" i="4"/>
  <c r="I1209" i="4" l="1"/>
  <c r="J1208" i="4"/>
  <c r="K1207" i="4"/>
  <c r="K1208" i="4" s="1"/>
  <c r="I1210" i="4" l="1"/>
  <c r="J1209" i="4"/>
  <c r="I1211" i="4" l="1"/>
  <c r="J1210" i="4"/>
  <c r="K1209" i="4"/>
  <c r="K1210" i="4" l="1"/>
  <c r="I1212" i="4"/>
  <c r="J1211" i="4"/>
  <c r="K1211" i="4" l="1"/>
  <c r="I1213" i="4"/>
  <c r="J1212" i="4"/>
  <c r="I1214" i="4" l="1"/>
  <c r="J1213" i="4"/>
  <c r="K1212" i="4"/>
  <c r="K1213" i="4" l="1"/>
  <c r="I1215" i="4"/>
  <c r="J1214" i="4"/>
  <c r="I1216" i="4" l="1"/>
  <c r="J1215" i="4"/>
  <c r="K1214" i="4"/>
  <c r="K1215" i="4" l="1"/>
  <c r="I1217" i="4"/>
  <c r="J1216" i="4"/>
  <c r="I1218" i="4" l="1"/>
  <c r="J1217" i="4"/>
  <c r="K1216" i="4"/>
  <c r="K1217" i="4" l="1"/>
  <c r="I1219" i="4"/>
  <c r="J1218" i="4"/>
  <c r="K1218" i="4" s="1"/>
  <c r="I1220" i="4" l="1"/>
  <c r="J1219" i="4"/>
  <c r="I1221" i="4" l="1"/>
  <c r="J1220" i="4"/>
  <c r="K1219" i="4"/>
  <c r="K1220" i="4" s="1"/>
  <c r="I1222" i="4" l="1"/>
  <c r="J1221" i="4"/>
  <c r="I1223" i="4" l="1"/>
  <c r="J1222" i="4"/>
  <c r="K1221" i="4"/>
  <c r="K1222" i="4" l="1"/>
  <c r="I1224" i="4"/>
  <c r="J1223" i="4"/>
  <c r="K1223" i="4" l="1"/>
  <c r="I1225" i="4"/>
  <c r="J1224" i="4"/>
  <c r="I1226" i="4" l="1"/>
  <c r="J1225" i="4"/>
  <c r="K1224" i="4"/>
  <c r="K1225" i="4" l="1"/>
  <c r="I1227" i="4"/>
  <c r="J1226" i="4"/>
  <c r="I1228" i="4" l="1"/>
  <c r="J1227" i="4"/>
  <c r="K1226" i="4"/>
  <c r="K1227" i="4" s="1"/>
  <c r="I1229" i="4" l="1"/>
  <c r="J1228" i="4"/>
  <c r="I1230" i="4" l="1"/>
  <c r="J1229" i="4"/>
  <c r="K1228" i="4"/>
  <c r="K1229" i="4" l="1"/>
  <c r="I1231" i="4"/>
  <c r="J1230" i="4"/>
  <c r="I1232" i="4" l="1"/>
  <c r="J1231" i="4"/>
  <c r="K1230" i="4"/>
  <c r="K1231" i="4" l="1"/>
  <c r="I1233" i="4"/>
  <c r="J1232" i="4"/>
  <c r="I1234" i="4" l="1"/>
  <c r="J1233" i="4"/>
  <c r="K1232" i="4"/>
  <c r="K1233" i="4" l="1"/>
  <c r="I1235" i="4"/>
  <c r="J1234" i="4"/>
  <c r="I1236" i="4" l="1"/>
  <c r="J1235" i="4"/>
  <c r="K1234" i="4"/>
  <c r="K1235" i="4" l="1"/>
  <c r="I1237" i="4"/>
  <c r="J1236" i="4"/>
  <c r="I1238" i="4" l="1"/>
  <c r="J1237" i="4"/>
  <c r="K1236" i="4"/>
  <c r="K1237" i="4" s="1"/>
  <c r="I1239" i="4" l="1"/>
  <c r="J1238" i="4"/>
  <c r="K1238" i="4" s="1"/>
  <c r="I1240" i="4" l="1"/>
  <c r="J1239" i="4"/>
  <c r="I1241" i="4" l="1"/>
  <c r="J1240" i="4"/>
  <c r="K1239" i="4"/>
  <c r="K1240" i="4" l="1"/>
  <c r="I1242" i="4"/>
  <c r="J1241" i="4"/>
  <c r="K1241" i="4" l="1"/>
  <c r="I1243" i="4"/>
  <c r="J1242" i="4"/>
  <c r="I1244" i="4" l="1"/>
  <c r="J1243" i="4"/>
  <c r="K1242" i="4"/>
  <c r="K1243" i="4" s="1"/>
  <c r="I1245" i="4" l="1"/>
  <c r="J1244" i="4"/>
  <c r="K1244" i="4" l="1"/>
  <c r="I1246" i="4"/>
  <c r="J1245" i="4"/>
  <c r="I1247" i="4" l="1"/>
  <c r="J1246" i="4"/>
  <c r="K1245" i="4"/>
  <c r="K1246" i="4" l="1"/>
  <c r="I1248" i="4"/>
  <c r="J1247" i="4"/>
  <c r="I1249" i="4" l="1"/>
  <c r="J1248" i="4"/>
  <c r="K1247" i="4"/>
  <c r="K1248" i="4" l="1"/>
  <c r="I1250" i="4"/>
  <c r="J1249" i="4"/>
  <c r="I1251" i="4" l="1"/>
  <c r="J1250" i="4"/>
  <c r="K1249" i="4"/>
  <c r="K1250" i="4" l="1"/>
  <c r="I1252" i="4"/>
  <c r="J1251" i="4"/>
  <c r="I1253" i="4" l="1"/>
  <c r="J1252" i="4"/>
  <c r="K1251" i="4"/>
  <c r="K1252" i="4" s="1"/>
  <c r="I1254" i="4" l="1"/>
  <c r="J1253" i="4"/>
  <c r="I1255" i="4" l="1"/>
  <c r="J1254" i="4"/>
  <c r="K1253" i="4"/>
  <c r="K1254" i="4" l="1"/>
  <c r="I1256" i="4"/>
  <c r="J1255" i="4"/>
  <c r="K1255" i="4" s="1"/>
  <c r="I1257" i="4" l="1"/>
  <c r="J1256" i="4"/>
  <c r="K1256" i="4" l="1"/>
  <c r="I1258" i="4"/>
  <c r="J1257" i="4"/>
  <c r="I1259" i="4" l="1"/>
  <c r="J1258" i="4"/>
  <c r="K1257" i="4"/>
  <c r="K1258" i="4" l="1"/>
  <c r="I1260" i="4"/>
  <c r="J1259" i="4"/>
  <c r="I1261" i="4" l="1"/>
  <c r="J1260" i="4"/>
  <c r="K1259" i="4"/>
  <c r="K1260" i="4" l="1"/>
  <c r="I1262" i="4"/>
  <c r="J1261" i="4"/>
  <c r="K1261" i="4" l="1"/>
  <c r="I1263" i="4"/>
  <c r="J1262" i="4"/>
  <c r="I1264" i="4" l="1"/>
  <c r="J1263" i="4"/>
  <c r="K1262" i="4"/>
  <c r="K1263" i="4" l="1"/>
  <c r="I1265" i="4"/>
  <c r="J1264" i="4"/>
  <c r="I1266" i="4" l="1"/>
  <c r="J1265" i="4"/>
  <c r="K1264" i="4"/>
  <c r="K1265" i="4" l="1"/>
  <c r="I1267" i="4"/>
  <c r="J1266" i="4"/>
  <c r="I1268" i="4" l="1"/>
  <c r="J1267" i="4"/>
  <c r="K1266" i="4"/>
  <c r="K1267" i="4" l="1"/>
  <c r="I1269" i="4"/>
  <c r="J1268" i="4"/>
  <c r="I1270" i="4" l="1"/>
  <c r="J1269" i="4"/>
  <c r="K1268" i="4"/>
  <c r="K1269" i="4" l="1"/>
  <c r="I1271" i="4"/>
  <c r="J1270" i="4"/>
  <c r="I1272" i="4" l="1"/>
  <c r="J1271" i="4"/>
  <c r="K1270" i="4"/>
  <c r="K1271" i="4" l="1"/>
  <c r="I1273" i="4"/>
  <c r="J1272" i="4"/>
  <c r="I1274" i="4" l="1"/>
  <c r="J1273" i="4"/>
  <c r="K1272" i="4"/>
  <c r="K1273" i="4" l="1"/>
  <c r="I1275" i="4"/>
  <c r="J1274" i="4"/>
  <c r="I1276" i="4" l="1"/>
  <c r="J1275" i="4"/>
  <c r="K1274" i="4"/>
  <c r="K1275" i="4" l="1"/>
  <c r="I1277" i="4"/>
  <c r="J1276" i="4"/>
  <c r="K1276" i="4" l="1"/>
  <c r="I1278" i="4"/>
  <c r="J1277" i="4"/>
  <c r="I1279" i="4" l="1"/>
  <c r="J1278" i="4"/>
  <c r="K1277" i="4"/>
  <c r="K1278" i="4" l="1"/>
  <c r="I1280" i="4"/>
  <c r="J1279" i="4"/>
  <c r="I1281" i="4" l="1"/>
  <c r="J1280" i="4"/>
  <c r="K1279" i="4"/>
  <c r="K1280" i="4" s="1"/>
  <c r="I1282" i="4" l="1"/>
  <c r="J1281" i="4"/>
  <c r="K1281" i="4" s="1"/>
  <c r="I1283" i="4" l="1"/>
  <c r="J1282" i="4"/>
  <c r="K1282" i="4" l="1"/>
  <c r="I1284" i="4"/>
  <c r="J1283" i="4"/>
  <c r="I1285" i="4" l="1"/>
  <c r="J1284" i="4"/>
  <c r="K1283" i="4"/>
  <c r="K1284" i="4" s="1"/>
  <c r="I1286" i="4" l="1"/>
  <c r="J1285" i="4"/>
  <c r="I1287" i="4" l="1"/>
  <c r="J1286" i="4"/>
  <c r="K1285" i="4"/>
  <c r="K1286" i="4" l="1"/>
  <c r="I1288" i="4"/>
  <c r="J1287" i="4"/>
  <c r="I1289" i="4" l="1"/>
  <c r="J1288" i="4"/>
  <c r="K1287" i="4"/>
  <c r="K1288" i="4" l="1"/>
  <c r="I1290" i="4"/>
  <c r="J1289" i="4"/>
  <c r="I1291" i="4" l="1"/>
  <c r="J1290" i="4"/>
  <c r="K1289" i="4"/>
  <c r="K1290" i="4" l="1"/>
  <c r="I1292" i="4"/>
  <c r="J1291" i="4"/>
  <c r="K1291" i="4" s="1"/>
  <c r="I1293" i="4" l="1"/>
  <c r="J1292" i="4"/>
  <c r="K1292" i="4" l="1"/>
  <c r="I1294" i="4"/>
  <c r="J1293" i="4"/>
  <c r="I1295" i="4" l="1"/>
  <c r="J1294" i="4"/>
  <c r="K1293" i="4"/>
  <c r="K1294" i="4" l="1"/>
  <c r="I1296" i="4"/>
  <c r="J1295" i="4"/>
  <c r="I1297" i="4" l="1"/>
  <c r="J1296" i="4"/>
  <c r="K1295" i="4"/>
  <c r="K1296" i="4" l="1"/>
  <c r="I1298" i="4"/>
  <c r="J1297" i="4"/>
  <c r="I1299" i="4" l="1"/>
  <c r="J1298" i="4"/>
  <c r="K1297" i="4"/>
  <c r="K1298" i="4" l="1"/>
  <c r="I1300" i="4"/>
  <c r="J1299" i="4"/>
  <c r="I1301" i="4" l="1"/>
  <c r="J1300" i="4"/>
  <c r="K1299" i="4"/>
  <c r="K1300" i="4" l="1"/>
  <c r="I1302" i="4"/>
  <c r="J1301" i="4"/>
  <c r="I1303" i="4" l="1"/>
  <c r="J1302" i="4"/>
  <c r="K1301" i="4"/>
  <c r="K1302" i="4" l="1"/>
  <c r="I1304" i="4"/>
  <c r="J1303" i="4"/>
  <c r="I1305" i="4" l="1"/>
  <c r="J1304" i="4"/>
  <c r="K1303" i="4"/>
  <c r="K1304" i="4" l="1"/>
  <c r="I1306" i="4"/>
  <c r="J1305" i="4"/>
  <c r="I1307" i="4" l="1"/>
  <c r="J1306" i="4"/>
  <c r="K1305" i="4"/>
  <c r="K1306" i="4" s="1"/>
  <c r="I1308" i="4" l="1"/>
  <c r="J1307" i="4"/>
  <c r="I1309" i="4" l="1"/>
  <c r="J1308" i="4"/>
  <c r="K1307" i="4"/>
  <c r="K1308" i="4" l="1"/>
  <c r="I1310" i="4"/>
  <c r="J1309" i="4"/>
  <c r="I1311" i="4" l="1"/>
  <c r="J1310" i="4"/>
  <c r="K1309" i="4"/>
  <c r="K1310" i="4" l="1"/>
  <c r="I1312" i="4"/>
  <c r="J1311" i="4"/>
  <c r="I1313" i="4" l="1"/>
  <c r="J1312" i="4"/>
  <c r="K1311" i="4"/>
  <c r="K1312" i="4" l="1"/>
  <c r="I1314" i="4"/>
  <c r="J1313" i="4"/>
  <c r="K1313" i="4" s="1"/>
  <c r="I1315" i="4" l="1"/>
  <c r="J1314" i="4"/>
  <c r="I1316" i="4" l="1"/>
  <c r="J1315" i="4"/>
  <c r="K1314" i="4"/>
  <c r="K1315" i="4" l="1"/>
  <c r="I1317" i="4"/>
  <c r="J1316" i="4"/>
  <c r="I1318" i="4" l="1"/>
  <c r="J1317" i="4"/>
  <c r="K1316" i="4"/>
  <c r="K1317" i="4" s="1"/>
  <c r="I1319" i="4" l="1"/>
  <c r="J1318" i="4"/>
  <c r="K1318" i="4" l="1"/>
  <c r="I1320" i="4"/>
  <c r="J1319" i="4"/>
  <c r="I1321" i="4" l="1"/>
  <c r="J1320" i="4"/>
  <c r="K1319" i="4"/>
  <c r="K1320" i="4" s="1"/>
  <c r="I1322" i="4" l="1"/>
  <c r="J1321" i="4"/>
  <c r="K1321" i="4" l="1"/>
  <c r="I1323" i="4"/>
  <c r="J1322" i="4"/>
  <c r="I1324" i="4" l="1"/>
  <c r="J1323" i="4"/>
  <c r="K1322" i="4"/>
  <c r="K1323" i="4" s="1"/>
  <c r="I1325" i="4" l="1"/>
  <c r="J1324" i="4"/>
  <c r="I1326" i="4" l="1"/>
  <c r="J1325" i="4"/>
  <c r="K1324" i="4"/>
  <c r="K1325" i="4" l="1"/>
  <c r="I1327" i="4"/>
  <c r="J1326" i="4"/>
  <c r="I1328" i="4" l="1"/>
  <c r="J1327" i="4"/>
  <c r="K1326" i="4"/>
  <c r="K1327" i="4" l="1"/>
  <c r="I1329" i="4"/>
  <c r="J1328" i="4"/>
  <c r="I1330" i="4" l="1"/>
  <c r="J1329" i="4"/>
  <c r="K1328" i="4"/>
  <c r="K1329" i="4" l="1"/>
  <c r="I1331" i="4"/>
  <c r="J1330" i="4"/>
  <c r="I1332" i="4" l="1"/>
  <c r="J1331" i="4"/>
  <c r="K1330" i="4"/>
  <c r="K1331" i="4" l="1"/>
  <c r="I1333" i="4"/>
  <c r="J1332" i="4"/>
  <c r="K1332" i="4" l="1"/>
  <c r="I1334" i="4"/>
  <c r="J1333" i="4"/>
  <c r="I1335" i="4" l="1"/>
  <c r="J1334" i="4"/>
  <c r="K1333" i="4"/>
  <c r="K1334" i="4" l="1"/>
  <c r="I1336" i="4"/>
  <c r="J1335" i="4"/>
  <c r="K1335" i="4" s="1"/>
  <c r="I1337" i="4" l="1"/>
  <c r="J1336" i="4"/>
  <c r="I1338" i="4" l="1"/>
  <c r="J1337" i="4"/>
  <c r="K1336" i="4"/>
  <c r="K1337" i="4" s="1"/>
  <c r="I1339" i="4" l="1"/>
  <c r="J1338" i="4"/>
  <c r="I1340" i="4" l="1"/>
  <c r="J1339" i="4"/>
  <c r="K1338" i="4"/>
  <c r="K1339" i="4" l="1"/>
  <c r="I1341" i="4"/>
  <c r="J1340" i="4"/>
  <c r="I1342" i="4" l="1"/>
  <c r="J1341" i="4"/>
  <c r="K1340" i="4"/>
  <c r="K1341" i="4" l="1"/>
  <c r="I1343" i="4"/>
  <c r="J1342" i="4"/>
  <c r="I1344" i="4" l="1"/>
  <c r="J1343" i="4"/>
  <c r="K1342" i="4"/>
  <c r="K1343" i="4" l="1"/>
  <c r="I1345" i="4"/>
  <c r="J1344" i="4"/>
  <c r="K1344" i="4" l="1"/>
  <c r="I1346" i="4"/>
  <c r="J1345" i="4"/>
  <c r="K1345" i="4" l="1"/>
  <c r="I1347" i="4"/>
  <c r="J1346" i="4"/>
  <c r="I1348" i="4" l="1"/>
  <c r="J1347" i="4"/>
  <c r="K1346" i="4"/>
  <c r="K1347" i="4" s="1"/>
  <c r="I1349" i="4" l="1"/>
  <c r="J1348" i="4"/>
  <c r="K1348" i="4" s="1"/>
  <c r="I1350" i="4" l="1"/>
  <c r="J1349" i="4"/>
  <c r="I1351" i="4" l="1"/>
  <c r="J1350" i="4"/>
  <c r="K1349" i="4"/>
  <c r="K1350" i="4" s="1"/>
  <c r="I1352" i="4" l="1"/>
  <c r="J1351" i="4"/>
  <c r="I1353" i="4" l="1"/>
  <c r="J1352" i="4"/>
  <c r="K1351" i="4"/>
  <c r="K1352" i="4" s="1"/>
  <c r="I1354" i="4" l="1"/>
  <c r="J1353" i="4"/>
  <c r="K1353" i="4" s="1"/>
  <c r="I1355" i="4" l="1"/>
  <c r="J1354" i="4"/>
  <c r="I1356" i="4" l="1"/>
  <c r="J1355" i="4"/>
  <c r="K1354" i="4"/>
  <c r="K1355" i="4" s="1"/>
  <c r="I1357" i="4" l="1"/>
  <c r="J1356" i="4"/>
  <c r="I1358" i="4" l="1"/>
  <c r="J1357" i="4"/>
  <c r="K1356" i="4"/>
  <c r="K1357" i="4" l="1"/>
  <c r="I1359" i="4"/>
  <c r="J1358" i="4"/>
  <c r="I1360" i="4" l="1"/>
  <c r="J1359" i="4"/>
  <c r="K1358" i="4"/>
  <c r="K1359" i="4" s="1"/>
  <c r="I1361" i="4" l="1"/>
  <c r="J1360" i="4"/>
  <c r="I1362" i="4" l="1"/>
  <c r="J1361" i="4"/>
  <c r="K1360" i="4"/>
  <c r="K1361" i="4" l="1"/>
  <c r="I1363" i="4"/>
  <c r="J1362" i="4"/>
  <c r="I1364" i="4" l="1"/>
  <c r="J1363" i="4"/>
  <c r="K1362" i="4"/>
  <c r="K1363" i="4" l="1"/>
  <c r="I1365" i="4"/>
  <c r="J1364" i="4"/>
  <c r="I1366" i="4" l="1"/>
  <c r="J1365" i="4"/>
  <c r="K1364" i="4"/>
  <c r="K1365" i="4" l="1"/>
  <c r="I1367" i="4"/>
  <c r="J1366" i="4"/>
  <c r="I1368" i="4" l="1"/>
  <c r="J1367" i="4"/>
  <c r="K1366" i="4"/>
  <c r="K1367" i="4" l="1"/>
  <c r="I1369" i="4"/>
  <c r="J1368" i="4"/>
  <c r="K1368" i="4" s="1"/>
  <c r="I1370" i="4" l="1"/>
  <c r="J1369" i="4"/>
  <c r="I1371" i="4" l="1"/>
  <c r="J1370" i="4"/>
  <c r="K1369" i="4"/>
  <c r="K1370" i="4" s="1"/>
  <c r="I1372" i="4" l="1"/>
  <c r="J1371" i="4"/>
  <c r="I1373" i="4" l="1"/>
  <c r="J1372" i="4"/>
  <c r="K1371" i="4"/>
  <c r="K1372" i="4" l="1"/>
  <c r="I1374" i="4"/>
  <c r="J1373" i="4"/>
  <c r="I1375" i="4" l="1"/>
  <c r="J1374" i="4"/>
  <c r="K1373" i="4"/>
  <c r="K1374" i="4" s="1"/>
  <c r="I1376" i="4" l="1"/>
  <c r="J1375" i="4"/>
  <c r="I1377" i="4" l="1"/>
  <c r="J1376" i="4"/>
  <c r="K1375" i="4"/>
  <c r="K1376" i="4" l="1"/>
  <c r="I1378" i="4"/>
  <c r="J1377" i="4"/>
  <c r="K1377" i="4" l="1"/>
  <c r="I1379" i="4"/>
  <c r="J1378" i="4"/>
  <c r="I1380" i="4" l="1"/>
  <c r="J1379" i="4"/>
  <c r="K1378" i="4"/>
  <c r="K1379" i="4" s="1"/>
  <c r="I1381" i="4" l="1"/>
  <c r="J1380" i="4"/>
  <c r="K1380" i="4" s="1"/>
  <c r="I1382" i="4" l="1"/>
  <c r="J1381" i="4"/>
  <c r="K1381" i="4" l="1"/>
  <c r="I1383" i="4"/>
  <c r="J1382" i="4"/>
  <c r="I1384" i="4" l="1"/>
  <c r="J1383" i="4"/>
  <c r="K1382" i="4"/>
  <c r="K1383" i="4" l="1"/>
  <c r="I1385" i="4"/>
  <c r="J1384" i="4"/>
  <c r="I1386" i="4" l="1"/>
  <c r="J1385" i="4"/>
  <c r="K1384" i="4"/>
  <c r="K1385" i="4" s="1"/>
  <c r="I1387" i="4" l="1"/>
  <c r="J1386" i="4"/>
  <c r="I1388" i="4" l="1"/>
  <c r="J1387" i="4"/>
  <c r="K1386" i="4"/>
  <c r="K1387" i="4" s="1"/>
  <c r="I1389" i="4" l="1"/>
  <c r="J1388" i="4"/>
  <c r="K1388" i="4" s="1"/>
  <c r="I1390" i="4" l="1"/>
  <c r="J1389" i="4"/>
  <c r="I1391" i="4" l="1"/>
  <c r="J1390" i="4"/>
  <c r="K1389" i="4"/>
  <c r="K1390" i="4" l="1"/>
  <c r="I1392" i="4"/>
  <c r="J1391" i="4"/>
  <c r="I1393" i="4" l="1"/>
  <c r="J1392" i="4"/>
  <c r="K1391" i="4"/>
  <c r="K1392" i="4" l="1"/>
  <c r="I1394" i="4"/>
  <c r="J1393" i="4"/>
  <c r="I1395" i="4" l="1"/>
  <c r="J1394" i="4"/>
  <c r="K1393" i="4"/>
  <c r="K1394" i="4" l="1"/>
  <c r="I1396" i="4"/>
  <c r="J1395" i="4"/>
  <c r="I1397" i="4" l="1"/>
  <c r="J1396" i="4"/>
  <c r="K1395" i="4"/>
  <c r="K1396" i="4" s="1"/>
  <c r="I1398" i="4" l="1"/>
  <c r="J1397" i="4"/>
  <c r="K1397" i="4" s="1"/>
  <c r="I1399" i="4" l="1"/>
  <c r="J1398" i="4"/>
  <c r="I1400" i="4" l="1"/>
  <c r="J1399" i="4"/>
  <c r="K1398" i="4"/>
  <c r="K1399" i="4" l="1"/>
  <c r="I1401" i="4"/>
  <c r="J1400" i="4"/>
  <c r="I1402" i="4" l="1"/>
  <c r="J1401" i="4"/>
  <c r="K1400" i="4"/>
  <c r="K1401" i="4" l="1"/>
  <c r="I1403" i="4"/>
  <c r="J1402" i="4"/>
  <c r="I1404" i="4" l="1"/>
  <c r="J1403" i="4"/>
  <c r="K1402" i="4"/>
  <c r="K1403" i="4" l="1"/>
  <c r="I1405" i="4"/>
  <c r="J1404" i="4"/>
  <c r="I1406" i="4" l="1"/>
  <c r="J1405" i="4"/>
  <c r="K1404" i="4"/>
  <c r="K1405" i="4" l="1"/>
  <c r="I1407" i="4"/>
  <c r="J1406" i="4"/>
  <c r="I1408" i="4" l="1"/>
  <c r="J1407" i="4"/>
  <c r="K1406" i="4"/>
  <c r="K1407" i="4" s="1"/>
  <c r="I1409" i="4" l="1"/>
  <c r="J1408" i="4"/>
  <c r="I1410" i="4" l="1"/>
  <c r="J1409" i="4"/>
  <c r="K1408" i="4"/>
  <c r="K1409" i="4" l="1"/>
  <c r="I1411" i="4"/>
  <c r="J1410" i="4"/>
  <c r="K1410" i="4" l="1"/>
  <c r="I1412" i="4"/>
  <c r="J1411" i="4"/>
  <c r="I1413" i="4" l="1"/>
  <c r="J1412" i="4"/>
  <c r="K1411" i="4"/>
  <c r="K1412" i="4" l="1"/>
  <c r="I1414" i="4"/>
  <c r="J1413" i="4"/>
  <c r="I1415" i="4" l="1"/>
  <c r="J1414" i="4"/>
  <c r="K1413" i="4"/>
  <c r="K1414" i="4" l="1"/>
  <c r="I1416" i="4"/>
  <c r="J1415" i="4"/>
  <c r="I1417" i="4" l="1"/>
  <c r="J1416" i="4"/>
  <c r="K1415" i="4"/>
  <c r="K1416" i="4" s="1"/>
  <c r="I1418" i="4" l="1"/>
  <c r="J1417" i="4"/>
  <c r="I1419" i="4" l="1"/>
  <c r="J1418" i="4"/>
  <c r="K1417" i="4"/>
  <c r="K1418" i="4" s="1"/>
  <c r="I1420" i="4" l="1"/>
  <c r="J1419" i="4"/>
  <c r="K1419" i="4" s="1"/>
  <c r="I1421" i="4" l="1"/>
  <c r="J1420" i="4"/>
  <c r="K1420" i="4" l="1"/>
  <c r="I1422" i="4"/>
  <c r="J1421" i="4"/>
  <c r="K1421" i="4" l="1"/>
  <c r="I1423" i="4"/>
  <c r="J1422" i="4"/>
  <c r="I1424" i="4" l="1"/>
  <c r="J1423" i="4"/>
  <c r="K1422" i="4"/>
  <c r="K1423" i="4" l="1"/>
  <c r="I1425" i="4"/>
  <c r="J1424" i="4"/>
  <c r="I1426" i="4" l="1"/>
  <c r="J1425" i="4"/>
  <c r="K1424" i="4"/>
  <c r="K1425" i="4" l="1"/>
  <c r="I1427" i="4"/>
  <c r="J1426" i="4"/>
  <c r="K1426" i="4" l="1"/>
  <c r="I1428" i="4"/>
  <c r="J1427" i="4"/>
  <c r="I1429" i="4" l="1"/>
  <c r="J1428" i="4"/>
  <c r="K1427" i="4"/>
  <c r="K1428" i="4" s="1"/>
  <c r="I1430" i="4" l="1"/>
  <c r="J1429" i="4"/>
  <c r="I1431" i="4" l="1"/>
  <c r="J1430" i="4"/>
  <c r="K1429" i="4"/>
  <c r="K1430" i="4" l="1"/>
  <c r="I1432" i="4"/>
  <c r="J1431" i="4"/>
  <c r="I1433" i="4" l="1"/>
  <c r="J1432" i="4"/>
  <c r="K1431" i="4"/>
  <c r="K1432" i="4" l="1"/>
  <c r="I1434" i="4"/>
  <c r="J1433" i="4"/>
  <c r="K1433" i="4" l="1"/>
  <c r="I1435" i="4"/>
  <c r="J1434" i="4"/>
  <c r="K1434" i="4" l="1"/>
  <c r="I1436" i="4"/>
  <c r="J1435" i="4"/>
  <c r="I1437" i="4" l="1"/>
  <c r="J1436" i="4"/>
  <c r="K1435" i="4"/>
  <c r="K1436" i="4" l="1"/>
  <c r="I1438" i="4"/>
  <c r="J1437" i="4"/>
  <c r="I1439" i="4" l="1"/>
  <c r="J1438" i="4"/>
  <c r="K1437" i="4"/>
  <c r="K1438" i="4" l="1"/>
  <c r="I1440" i="4"/>
  <c r="J1439" i="4"/>
  <c r="I1441" i="4" l="1"/>
  <c r="J1440" i="4"/>
  <c r="K1439" i="4"/>
  <c r="K1440" i="4" l="1"/>
  <c r="I1442" i="4"/>
  <c r="J1441" i="4"/>
  <c r="I1443" i="4" l="1"/>
  <c r="J1442" i="4"/>
  <c r="K1441" i="4"/>
  <c r="K1442" i="4" s="1"/>
  <c r="I1444" i="4" l="1"/>
  <c r="J1443" i="4"/>
  <c r="I1445" i="4" l="1"/>
  <c r="J1444" i="4"/>
  <c r="K1443" i="4"/>
  <c r="K1444" i="4" l="1"/>
  <c r="I1446" i="4"/>
  <c r="J1445" i="4"/>
  <c r="I1447" i="4" l="1"/>
  <c r="J1446" i="4"/>
  <c r="K1445" i="4"/>
  <c r="K1446" i="4" s="1"/>
  <c r="I1448" i="4" l="1"/>
  <c r="J1447" i="4"/>
  <c r="K1447" i="4" s="1"/>
  <c r="I1449" i="4" l="1"/>
  <c r="J1448" i="4"/>
  <c r="I1450" i="4" l="1"/>
  <c r="J1449" i="4"/>
  <c r="K1448" i="4"/>
  <c r="K1449" i="4" l="1"/>
  <c r="I1451" i="4"/>
  <c r="J1450" i="4"/>
  <c r="I1452" i="4" l="1"/>
  <c r="J1451" i="4"/>
  <c r="K1450" i="4"/>
  <c r="K1451" i="4" l="1"/>
  <c r="I1453" i="4"/>
  <c r="J1452" i="4"/>
  <c r="K1452" i="4" l="1"/>
  <c r="I1454" i="4"/>
  <c r="J1453" i="4"/>
  <c r="I1455" i="4" l="1"/>
  <c r="J1454" i="4"/>
  <c r="K1453" i="4"/>
  <c r="K1454" i="4" l="1"/>
  <c r="I1456" i="4"/>
  <c r="J1455" i="4"/>
  <c r="I1457" i="4" l="1"/>
  <c r="J1456" i="4"/>
  <c r="K1455" i="4"/>
  <c r="K1456" i="4" l="1"/>
  <c r="I1458" i="4"/>
  <c r="J1457" i="4"/>
  <c r="I1459" i="4" l="1"/>
  <c r="J1458" i="4"/>
  <c r="K1457" i="4"/>
  <c r="K1458" i="4" s="1"/>
  <c r="I1460" i="4" l="1"/>
  <c r="J1459" i="4"/>
  <c r="I1461" i="4" l="1"/>
  <c r="J1460" i="4"/>
  <c r="K1459" i="4"/>
  <c r="K1460" i="4" s="1"/>
  <c r="I1462" i="4" l="1"/>
  <c r="J1461" i="4"/>
  <c r="I1463" i="4" l="1"/>
  <c r="J1462" i="4"/>
  <c r="K1461" i="4"/>
  <c r="K1462" i="4" l="1"/>
  <c r="I1464" i="4"/>
  <c r="J1463" i="4"/>
  <c r="I1465" i="4" l="1"/>
  <c r="J1464" i="4"/>
  <c r="K1463" i="4"/>
  <c r="K1464" i="4" s="1"/>
  <c r="I1466" i="4" l="1"/>
  <c r="J1465" i="4"/>
  <c r="I1467" i="4" l="1"/>
  <c r="J1466" i="4"/>
  <c r="K1465" i="4"/>
  <c r="K1466" i="4" l="1"/>
  <c r="I1468" i="4"/>
  <c r="J1467" i="4"/>
  <c r="K1467" i="4" l="1"/>
  <c r="I1469" i="4"/>
  <c r="J1468" i="4"/>
  <c r="I1470" i="4" l="1"/>
  <c r="J1469" i="4"/>
  <c r="K1468" i="4"/>
  <c r="K1469" i="4" l="1"/>
  <c r="I1471" i="4"/>
  <c r="J1470" i="4"/>
  <c r="K1470" i="4" l="1"/>
  <c r="I1472" i="4"/>
  <c r="J1471" i="4"/>
  <c r="K1471" i="4" s="1"/>
  <c r="I1473" i="4" l="1"/>
  <c r="J1472" i="4"/>
  <c r="K1472" i="4" l="1"/>
  <c r="I1474" i="4"/>
  <c r="J1473" i="4"/>
  <c r="K1473" i="4" l="1"/>
  <c r="I1475" i="4"/>
  <c r="J1474" i="4"/>
  <c r="I1476" i="4" l="1"/>
  <c r="J1475" i="4"/>
  <c r="K1474" i="4"/>
  <c r="K1475" i="4" s="1"/>
  <c r="I1477" i="4" l="1"/>
  <c r="J1476" i="4"/>
  <c r="I1478" i="4" l="1"/>
  <c r="J1477" i="4"/>
  <c r="K1476" i="4"/>
  <c r="K1477" i="4" l="1"/>
  <c r="I1479" i="4"/>
  <c r="J1478" i="4"/>
  <c r="I1480" i="4" l="1"/>
  <c r="J1479" i="4"/>
  <c r="K1478" i="4"/>
  <c r="K1479" i="4" l="1"/>
  <c r="I1481" i="4"/>
  <c r="J1480" i="4"/>
  <c r="I1482" i="4" l="1"/>
  <c r="J1481" i="4"/>
  <c r="K1480" i="4"/>
  <c r="K1481" i="4" l="1"/>
  <c r="I1483" i="4"/>
  <c r="J1482" i="4"/>
  <c r="I1484" i="4" l="1"/>
  <c r="J1483" i="4"/>
  <c r="K1482" i="4"/>
  <c r="K1483" i="4" l="1"/>
  <c r="I1485" i="4"/>
  <c r="J1484" i="4"/>
  <c r="K1484" i="4" s="1"/>
  <c r="I1486" i="4" l="1"/>
  <c r="J1485" i="4"/>
  <c r="I1487" i="4" l="1"/>
  <c r="J1486" i="4"/>
  <c r="K1485" i="4"/>
  <c r="K1486" i="4" l="1"/>
  <c r="I1488" i="4"/>
  <c r="J1487" i="4"/>
  <c r="I1489" i="4" l="1"/>
  <c r="J1488" i="4"/>
  <c r="K1487" i="4"/>
  <c r="K1488" i="4" l="1"/>
  <c r="I1490" i="4"/>
  <c r="J1489" i="4"/>
  <c r="I1491" i="4" l="1"/>
  <c r="J1490" i="4"/>
  <c r="K1489" i="4"/>
  <c r="K1490" i="4" l="1"/>
  <c r="I1492" i="4"/>
  <c r="J1491" i="4"/>
  <c r="I1493" i="4" l="1"/>
  <c r="J1492" i="4"/>
  <c r="K1491" i="4"/>
  <c r="K1492" i="4" s="1"/>
  <c r="I1494" i="4" l="1"/>
  <c r="J1493" i="4"/>
  <c r="K1493" i="4" s="1"/>
  <c r="I1495" i="4" l="1"/>
  <c r="J1494" i="4"/>
  <c r="I1496" i="4" l="1"/>
  <c r="J1495" i="4"/>
  <c r="K1494" i="4"/>
  <c r="K1495" i="4" l="1"/>
  <c r="I1497" i="4"/>
  <c r="J1496" i="4"/>
  <c r="I1498" i="4" l="1"/>
  <c r="J1497" i="4"/>
  <c r="K1496" i="4"/>
  <c r="K1497" i="4" l="1"/>
  <c r="I1499" i="4"/>
  <c r="J1498" i="4"/>
  <c r="I1500" i="4" l="1"/>
  <c r="J1499" i="4"/>
  <c r="K1498" i="4"/>
  <c r="K1499" i="4" l="1"/>
  <c r="I1501" i="4"/>
  <c r="J1500" i="4"/>
  <c r="I1502" i="4" l="1"/>
  <c r="J1501" i="4"/>
  <c r="K1500" i="4"/>
  <c r="K1501" i="4" l="1"/>
  <c r="I1503" i="4"/>
  <c r="J1502" i="4"/>
  <c r="K1502" i="4" l="1"/>
  <c r="I1504" i="4"/>
  <c r="J1503" i="4"/>
  <c r="I1505" i="4" l="1"/>
  <c r="J1504" i="4"/>
  <c r="K1503" i="4"/>
  <c r="K1504" i="4" s="1"/>
  <c r="I1506" i="4" l="1"/>
  <c r="J1505" i="4"/>
  <c r="I1507" i="4" l="1"/>
  <c r="J1506" i="4"/>
  <c r="K1505" i="4"/>
  <c r="K1506" i="4" l="1"/>
  <c r="I1508" i="4"/>
  <c r="J1507" i="4"/>
  <c r="I1509" i="4" l="1"/>
  <c r="J1508" i="4"/>
  <c r="K1507" i="4"/>
  <c r="K1508" i="4" s="1"/>
  <c r="I1510" i="4" l="1"/>
  <c r="J1509" i="4"/>
  <c r="K1509" i="4" s="1"/>
  <c r="I1511" i="4" l="1"/>
  <c r="J1510" i="4"/>
  <c r="I1512" i="4" l="1"/>
  <c r="J1511" i="4"/>
  <c r="K1510" i="4"/>
  <c r="K1511" i="4" l="1"/>
  <c r="I1513" i="4"/>
  <c r="J1512" i="4"/>
  <c r="I1514" i="4" l="1"/>
  <c r="J1513" i="4"/>
  <c r="K1512" i="4"/>
  <c r="K1513" i="4" s="1"/>
  <c r="I1515" i="4" l="1"/>
  <c r="J1514" i="4"/>
  <c r="I1516" i="4" l="1"/>
  <c r="J1515" i="4"/>
  <c r="K1514" i="4"/>
  <c r="K1515" i="4" s="1"/>
  <c r="I1517" i="4" l="1"/>
  <c r="J1516" i="4"/>
  <c r="K1516" i="4" l="1"/>
  <c r="I1518" i="4"/>
  <c r="J1517" i="4"/>
  <c r="I1519" i="4" l="1"/>
  <c r="J1518" i="4"/>
  <c r="K1517" i="4"/>
  <c r="K1518" i="4" s="1"/>
  <c r="I1520" i="4" l="1"/>
  <c r="J1519" i="4"/>
  <c r="I1521" i="4" l="1"/>
  <c r="J1520" i="4"/>
  <c r="K1519" i="4"/>
  <c r="K1520" i="4" l="1"/>
  <c r="I1522" i="4"/>
  <c r="J1521" i="4"/>
  <c r="K1521" i="4" s="1"/>
  <c r="I1523" i="4" l="1"/>
  <c r="J1522" i="4"/>
  <c r="K1522" i="4" l="1"/>
  <c r="I1524" i="4"/>
  <c r="J1523" i="4"/>
  <c r="K1523" i="4" l="1"/>
  <c r="I1525" i="4"/>
  <c r="J1524" i="4"/>
  <c r="I1526" i="4" l="1"/>
  <c r="J1525" i="4"/>
  <c r="K1524" i="4"/>
  <c r="K1525" i="4" l="1"/>
  <c r="I1527" i="4"/>
  <c r="J1526" i="4"/>
  <c r="I1528" i="4" l="1"/>
  <c r="J1527" i="4"/>
  <c r="K1526" i="4"/>
  <c r="K1527" i="4" s="1"/>
  <c r="I1529" i="4" l="1"/>
  <c r="J1528" i="4"/>
  <c r="I1530" i="4" l="1"/>
  <c r="J1529" i="4"/>
  <c r="K1528" i="4"/>
  <c r="K1529" i="4" s="1"/>
  <c r="I1531" i="4" l="1"/>
  <c r="J1530" i="4"/>
  <c r="I1532" i="4" l="1"/>
  <c r="J1531" i="4"/>
  <c r="K1530" i="4"/>
  <c r="K1531" i="4" l="1"/>
  <c r="I1533" i="4"/>
  <c r="J1532" i="4"/>
  <c r="I1534" i="4" l="1"/>
  <c r="J1533" i="4"/>
  <c r="K1532" i="4"/>
  <c r="K1533" i="4" s="1"/>
  <c r="I1535" i="4" l="1"/>
  <c r="J1534" i="4"/>
  <c r="I1536" i="4" l="1"/>
  <c r="J1535" i="4"/>
  <c r="K1534" i="4"/>
  <c r="K1535" i="4" l="1"/>
  <c r="I1537" i="4"/>
  <c r="J1536" i="4"/>
  <c r="I1538" i="4" l="1"/>
  <c r="J1537" i="4"/>
  <c r="K1536" i="4"/>
  <c r="K1537" i="4" s="1"/>
  <c r="I1539" i="4" l="1"/>
  <c r="J1538" i="4"/>
  <c r="K1538" i="4" l="1"/>
  <c r="I1540" i="4"/>
  <c r="J1539" i="4"/>
  <c r="I1541" i="4" l="1"/>
  <c r="J1540" i="4"/>
  <c r="K1539" i="4"/>
  <c r="K1540" i="4" s="1"/>
  <c r="I1542" i="4" l="1"/>
  <c r="J1541" i="4"/>
  <c r="I1543" i="4" l="1"/>
  <c r="J1542" i="4"/>
  <c r="K1541" i="4"/>
  <c r="K1542" i="4" s="1"/>
  <c r="I1544" i="4" l="1"/>
  <c r="J1543" i="4"/>
  <c r="K1543" i="4" s="1"/>
  <c r="I1545" i="4" l="1"/>
  <c r="J1544" i="4"/>
  <c r="K1544" i="4" l="1"/>
  <c r="I1546" i="4"/>
  <c r="J1545" i="4"/>
  <c r="I1547" i="4" l="1"/>
  <c r="J1546" i="4"/>
  <c r="K1545" i="4"/>
  <c r="K1546" i="4" s="1"/>
  <c r="I1548" i="4" l="1"/>
  <c r="J1547" i="4"/>
  <c r="I1549" i="4" l="1"/>
  <c r="J1548" i="4"/>
  <c r="K1547" i="4"/>
  <c r="K1548" i="4" l="1"/>
  <c r="I1550" i="4"/>
  <c r="J1549" i="4"/>
  <c r="I1551" i="4" l="1"/>
  <c r="J1550" i="4"/>
  <c r="K1549" i="4"/>
  <c r="K1550" i="4" l="1"/>
  <c r="I1552" i="4"/>
  <c r="J1551" i="4"/>
  <c r="I1553" i="4" l="1"/>
  <c r="J1552" i="4"/>
  <c r="K1551" i="4"/>
  <c r="K1552" i="4" l="1"/>
  <c r="I1554" i="4"/>
  <c r="J1553" i="4"/>
  <c r="K1553" i="4" s="1"/>
  <c r="I1555" i="4" l="1"/>
  <c r="J1554" i="4"/>
  <c r="K1554" i="4" l="1"/>
  <c r="I1556" i="4"/>
  <c r="J1555" i="4"/>
  <c r="I1557" i="4" l="1"/>
  <c r="J1556" i="4"/>
  <c r="K1555" i="4"/>
  <c r="K1556" i="4" s="1"/>
  <c r="I1558" i="4" l="1"/>
  <c r="J1557" i="4"/>
  <c r="I1559" i="4" l="1"/>
  <c r="J1558" i="4"/>
  <c r="K1557" i="4"/>
  <c r="K1558" i="4" s="1"/>
  <c r="I1560" i="4" l="1"/>
  <c r="J1559" i="4"/>
  <c r="K1559" i="4" l="1"/>
  <c r="I1561" i="4"/>
  <c r="J1560" i="4"/>
  <c r="K1560" i="4" l="1"/>
  <c r="I1562" i="4"/>
  <c r="J1561" i="4"/>
  <c r="I1563" i="4" l="1"/>
  <c r="J1562" i="4"/>
  <c r="K1561" i="4"/>
  <c r="K1562" i="4" s="1"/>
  <c r="I1564" i="4" l="1"/>
  <c r="J1563" i="4"/>
  <c r="K1563" i="4" l="1"/>
  <c r="I1565" i="4"/>
  <c r="J1564" i="4"/>
  <c r="I1566" i="4" l="1"/>
  <c r="J1565" i="4"/>
  <c r="K1564" i="4"/>
  <c r="K1565" i="4" s="1"/>
  <c r="I1567" i="4" l="1"/>
  <c r="J1566" i="4"/>
  <c r="I1568" i="4" l="1"/>
  <c r="J1567" i="4"/>
  <c r="K1566" i="4"/>
  <c r="K1567" i="4" s="1"/>
  <c r="I1569" i="4" l="1"/>
  <c r="J1568" i="4"/>
  <c r="K1568" i="4" s="1"/>
  <c r="I1570" i="4" l="1"/>
  <c r="J1569" i="4"/>
  <c r="I1571" i="4" l="1"/>
  <c r="J1570" i="4"/>
  <c r="K1569" i="4"/>
  <c r="K1570" i="4" s="1"/>
  <c r="I1572" i="4" l="1"/>
  <c r="J1571" i="4"/>
  <c r="I1573" i="4" l="1"/>
  <c r="J1572" i="4"/>
  <c r="K1571" i="4"/>
  <c r="K1572" i="4" s="1"/>
  <c r="I1574" i="4" l="1"/>
  <c r="J1573" i="4"/>
  <c r="I1575" i="4" l="1"/>
  <c r="J1574" i="4"/>
  <c r="K1573" i="4"/>
  <c r="K1574" i="4" l="1"/>
  <c r="I1576" i="4"/>
  <c r="J1575" i="4"/>
  <c r="I1577" i="4" l="1"/>
  <c r="J1576" i="4"/>
  <c r="K1575" i="4"/>
  <c r="K1576" i="4" s="1"/>
  <c r="I1578" i="4" l="1"/>
  <c r="J1577" i="4"/>
  <c r="I1579" i="4" l="1"/>
  <c r="J1578" i="4"/>
  <c r="K1577" i="4"/>
  <c r="K1578" i="4" s="1"/>
  <c r="I1580" i="4" l="1"/>
  <c r="J1579" i="4"/>
  <c r="I1581" i="4" l="1"/>
  <c r="J1580" i="4"/>
  <c r="K1579" i="4"/>
  <c r="K1580" i="4" s="1"/>
  <c r="I1582" i="4" l="1"/>
  <c r="J1581" i="4"/>
  <c r="K1581" i="4" l="1"/>
  <c r="I1583" i="4"/>
  <c r="J1582" i="4"/>
  <c r="I1584" i="4" l="1"/>
  <c r="J1583" i="4"/>
  <c r="K1582" i="4"/>
  <c r="K1583" i="4" s="1"/>
  <c r="I1585" i="4" l="1"/>
  <c r="J1584" i="4"/>
  <c r="I1586" i="4" l="1"/>
  <c r="J1585" i="4"/>
  <c r="K1584" i="4"/>
  <c r="K1585" i="4" l="1"/>
  <c r="I1587" i="4"/>
  <c r="J1586" i="4"/>
  <c r="I1588" i="4" l="1"/>
  <c r="J1587" i="4"/>
  <c r="K1586" i="4"/>
  <c r="K1587" i="4" s="1"/>
  <c r="I1589" i="4" l="1"/>
  <c r="J1588" i="4"/>
  <c r="K1588" i="4" s="1"/>
  <c r="I1590" i="4" l="1"/>
  <c r="J1589" i="4"/>
  <c r="K1589" i="4" l="1"/>
  <c r="I1591" i="4"/>
  <c r="J1590" i="4"/>
  <c r="K1590" i="4" l="1"/>
  <c r="I1592" i="4"/>
  <c r="J1591" i="4"/>
  <c r="I1593" i="4" l="1"/>
  <c r="J1592" i="4"/>
  <c r="K1591" i="4"/>
  <c r="K1592" i="4" s="1"/>
  <c r="I1594" i="4" l="1"/>
  <c r="J1593" i="4"/>
  <c r="I1595" i="4" l="1"/>
  <c r="J1594" i="4"/>
  <c r="K1593" i="4"/>
  <c r="K1594" i="4" s="1"/>
  <c r="I1596" i="4" l="1"/>
  <c r="J1595" i="4"/>
  <c r="K1595" i="4" l="1"/>
  <c r="I1597" i="4"/>
  <c r="J1596" i="4"/>
  <c r="I1598" i="4" l="1"/>
  <c r="J1597" i="4"/>
  <c r="K1596" i="4"/>
  <c r="K1597" i="4" l="1"/>
  <c r="I1599" i="4"/>
  <c r="J1598" i="4"/>
  <c r="I1600" i="4" l="1"/>
  <c r="J1599" i="4"/>
  <c r="K1598" i="4"/>
  <c r="K1599" i="4" s="1"/>
  <c r="I1601" i="4" l="1"/>
  <c r="J1600" i="4"/>
  <c r="K1600" i="4" l="1"/>
  <c r="I1602" i="4"/>
  <c r="J1601" i="4"/>
  <c r="I1603" i="4" l="1"/>
  <c r="J1602" i="4"/>
  <c r="K1601" i="4"/>
  <c r="K1602" i="4" s="1"/>
  <c r="I1604" i="4" l="1"/>
  <c r="J1603" i="4"/>
  <c r="K1603" i="4" s="1"/>
  <c r="I1605" i="4" l="1"/>
  <c r="J1604" i="4"/>
  <c r="I1606" i="4" l="1"/>
  <c r="J1605" i="4"/>
  <c r="K1604" i="4"/>
  <c r="K1605" i="4" s="1"/>
  <c r="I1607" i="4" l="1"/>
  <c r="J1606" i="4"/>
  <c r="I1608" i="4" l="1"/>
  <c r="J1607" i="4"/>
  <c r="K1606" i="4"/>
  <c r="K1607" i="4" l="1"/>
  <c r="I1609" i="4"/>
  <c r="J1608" i="4"/>
  <c r="I1610" i="4" l="1"/>
  <c r="J1609" i="4"/>
  <c r="K1608" i="4"/>
  <c r="K1609" i="4" s="1"/>
  <c r="I1611" i="4" l="1"/>
  <c r="J1610" i="4"/>
  <c r="K1610" i="4" s="1"/>
  <c r="I1612" i="4" l="1"/>
  <c r="J1611" i="4"/>
  <c r="K1611" i="4" s="1"/>
  <c r="I1613" i="4" l="1"/>
  <c r="J1612" i="4"/>
  <c r="I1614" i="4" l="1"/>
  <c r="J1613" i="4"/>
  <c r="K1612" i="4"/>
  <c r="K1613" i="4" l="1"/>
  <c r="I1615" i="4"/>
  <c r="J1614" i="4"/>
  <c r="K1614" i="4" l="1"/>
  <c r="I1616" i="4"/>
  <c r="J1615" i="4"/>
  <c r="I1617" i="4" l="1"/>
  <c r="J1616" i="4"/>
  <c r="K1615" i="4"/>
  <c r="K1616" i="4" s="1"/>
  <c r="I1618" i="4" l="1"/>
  <c r="J1617" i="4"/>
  <c r="K1617" i="4" l="1"/>
  <c r="I1619" i="4"/>
  <c r="J1618" i="4"/>
  <c r="I1620" i="4" l="1"/>
  <c r="J1619" i="4"/>
  <c r="K1618" i="4"/>
  <c r="K1619" i="4" s="1"/>
  <c r="I1621" i="4" l="1"/>
  <c r="J1620" i="4"/>
  <c r="I1622" i="4" l="1"/>
  <c r="J1621" i="4"/>
  <c r="K1620" i="4"/>
  <c r="K1621" i="4" s="1"/>
  <c r="I1623" i="4" l="1"/>
  <c r="J1622" i="4"/>
  <c r="I1624" i="4" l="1"/>
  <c r="J1623" i="4"/>
  <c r="K1622" i="4"/>
  <c r="K1623" i="4" s="1"/>
  <c r="I1625" i="4" l="1"/>
  <c r="J1624" i="4"/>
  <c r="I1626" i="4" l="1"/>
  <c r="J1625" i="4"/>
  <c r="K1624" i="4"/>
  <c r="K1625" i="4" s="1"/>
  <c r="I1627" i="4" l="1"/>
  <c r="J1626" i="4"/>
  <c r="I1628" i="4" l="1"/>
  <c r="J1627" i="4"/>
  <c r="K1626" i="4"/>
  <c r="K1627" i="4" s="1"/>
  <c r="I1629" i="4" l="1"/>
  <c r="J1628" i="4"/>
  <c r="I1630" i="4" l="1"/>
  <c r="J1629" i="4"/>
  <c r="K1628" i="4"/>
  <c r="K1629" i="4" s="1"/>
  <c r="I1631" i="4" l="1"/>
  <c r="J1630" i="4"/>
  <c r="K1630" i="4" s="1"/>
  <c r="I1632" i="4" l="1"/>
  <c r="J1631" i="4"/>
  <c r="I1633" i="4" l="1"/>
  <c r="J1632" i="4"/>
  <c r="K1631" i="4"/>
  <c r="K1632" i="4" l="1"/>
  <c r="I1634" i="4"/>
  <c r="J1633" i="4"/>
  <c r="K1633" i="4" l="1"/>
  <c r="I1635" i="4"/>
  <c r="J1634" i="4"/>
  <c r="K1634" i="4" s="1"/>
  <c r="I1636" i="4" l="1"/>
  <c r="J1635" i="4"/>
  <c r="K1635" i="4" l="1"/>
  <c r="I1637" i="4"/>
  <c r="J1636" i="4"/>
  <c r="K1636" i="4" l="1"/>
  <c r="I1638" i="4"/>
  <c r="J1637" i="4"/>
  <c r="I1639" i="4" l="1"/>
  <c r="J1638" i="4"/>
  <c r="K1637" i="4"/>
  <c r="K1638" i="4" s="1"/>
  <c r="I1640" i="4" l="1"/>
  <c r="J1639" i="4"/>
  <c r="I1641" i="4" l="1"/>
  <c r="J1640" i="4"/>
  <c r="K1639" i="4"/>
  <c r="K1640" i="4" s="1"/>
  <c r="I1642" i="4" l="1"/>
  <c r="J1641" i="4"/>
  <c r="I1643" i="4" l="1"/>
  <c r="J1642" i="4"/>
  <c r="K1641" i="4"/>
  <c r="K1642" i="4" s="1"/>
  <c r="I1644" i="4" l="1"/>
  <c r="J1643" i="4"/>
  <c r="I1645" i="4" l="1"/>
  <c r="J1644" i="4"/>
  <c r="K1643" i="4"/>
  <c r="K1644" i="4" s="1"/>
  <c r="I1646" i="4" l="1"/>
  <c r="J1645" i="4"/>
  <c r="K1645" i="4" s="1"/>
  <c r="I1647" i="4" l="1"/>
  <c r="J1646" i="4"/>
  <c r="I1648" i="4" l="1"/>
  <c r="J1647" i="4"/>
  <c r="K1646" i="4"/>
  <c r="K1647" i="4" l="1"/>
  <c r="I1649" i="4"/>
  <c r="J1648" i="4"/>
  <c r="I1650" i="4" l="1"/>
  <c r="J1649" i="4"/>
  <c r="K1648" i="4"/>
  <c r="K1649" i="4" s="1"/>
  <c r="I1651" i="4" l="1"/>
  <c r="J1650" i="4"/>
  <c r="I1652" i="4" l="1"/>
  <c r="J1651" i="4"/>
  <c r="K1650" i="4"/>
  <c r="K1651" i="4" l="1"/>
  <c r="I1653" i="4"/>
  <c r="J1652" i="4"/>
  <c r="I1654" i="4" l="1"/>
  <c r="J1653" i="4"/>
  <c r="K1652" i="4"/>
  <c r="K1653" i="4" l="1"/>
  <c r="I1655" i="4"/>
  <c r="J1654" i="4"/>
  <c r="I1656" i="4" l="1"/>
  <c r="J1655" i="4"/>
  <c r="K1654" i="4"/>
  <c r="K1655" i="4" l="1"/>
  <c r="I1657" i="4"/>
  <c r="J1656" i="4"/>
  <c r="I1658" i="4" l="1"/>
  <c r="J1657" i="4"/>
  <c r="K1656" i="4"/>
  <c r="K1657" i="4" l="1"/>
  <c r="I1659" i="4"/>
  <c r="J1658" i="4"/>
  <c r="K1658" i="4" l="1"/>
  <c r="I1660" i="4"/>
  <c r="J1659" i="4"/>
  <c r="I1661" i="4" l="1"/>
  <c r="J1660" i="4"/>
  <c r="K1659" i="4"/>
  <c r="K1660" i="4" s="1"/>
  <c r="I1662" i="4" l="1"/>
  <c r="J1661" i="4"/>
  <c r="I1663" i="4" l="1"/>
  <c r="J1662" i="4"/>
  <c r="K1661" i="4"/>
  <c r="K1662" i="4" l="1"/>
  <c r="I1664" i="4"/>
  <c r="J1663" i="4"/>
  <c r="K1663" i="4" l="1"/>
  <c r="I1665" i="4"/>
  <c r="J1664" i="4"/>
  <c r="I1666" i="4" l="1"/>
  <c r="J1665" i="4"/>
  <c r="K1664" i="4"/>
  <c r="K1665" i="4" l="1"/>
  <c r="I1667" i="4"/>
  <c r="J1666" i="4"/>
  <c r="I1668" i="4" l="1"/>
  <c r="J1667" i="4"/>
  <c r="K1666" i="4"/>
  <c r="K1667" i="4" s="1"/>
  <c r="I1669" i="4" l="1"/>
  <c r="J1668" i="4"/>
  <c r="I1670" i="4" l="1"/>
  <c r="J1669" i="4"/>
  <c r="K1668" i="4"/>
  <c r="K1669" i="4" s="1"/>
  <c r="I1671" i="4" l="1"/>
  <c r="J1670" i="4"/>
  <c r="I1672" i="4" l="1"/>
  <c r="J1671" i="4"/>
  <c r="K1670" i="4"/>
  <c r="K1671" i="4" s="1"/>
  <c r="I1673" i="4" l="1"/>
  <c r="J1672" i="4"/>
  <c r="I1674" i="4" l="1"/>
  <c r="J1673" i="4"/>
  <c r="K1672" i="4"/>
  <c r="K1673" i="4" s="1"/>
  <c r="I1675" i="4" l="1"/>
  <c r="J1674" i="4"/>
  <c r="I1676" i="4" l="1"/>
  <c r="J1675" i="4"/>
  <c r="K1674" i="4"/>
  <c r="K1675" i="4" s="1"/>
  <c r="I1677" i="4" l="1"/>
  <c r="J1676" i="4"/>
  <c r="I1678" i="4" l="1"/>
  <c r="J1677" i="4"/>
  <c r="K1676" i="4"/>
  <c r="K1677" i="4" s="1"/>
  <c r="I1679" i="4" l="1"/>
  <c r="J1678" i="4"/>
  <c r="I1680" i="4" l="1"/>
  <c r="J1679" i="4"/>
  <c r="K1678" i="4"/>
  <c r="K1679" i="4" l="1"/>
  <c r="I1681" i="4"/>
  <c r="J1680" i="4"/>
  <c r="K1680" i="4" l="1"/>
  <c r="I1682" i="4"/>
  <c r="J1681" i="4"/>
  <c r="K1681" i="4" s="1"/>
  <c r="I1683" i="4" l="1"/>
  <c r="J1682" i="4"/>
  <c r="I1684" i="4" l="1"/>
  <c r="J1683" i="4"/>
  <c r="K1682" i="4"/>
  <c r="K1683" i="4" s="1"/>
  <c r="I1685" i="4" l="1"/>
  <c r="J1684" i="4"/>
  <c r="I1686" i="4" l="1"/>
  <c r="J1685" i="4"/>
  <c r="K1684" i="4"/>
  <c r="K1685" i="4" s="1"/>
  <c r="I1687" i="4" l="1"/>
  <c r="J1686" i="4"/>
  <c r="I1688" i="4" l="1"/>
  <c r="J1687" i="4"/>
  <c r="K1686" i="4"/>
  <c r="K1687" i="4" s="1"/>
  <c r="I1689" i="4" l="1"/>
  <c r="J1688" i="4"/>
  <c r="I1690" i="4" l="1"/>
  <c r="J1689" i="4"/>
  <c r="K1688" i="4"/>
  <c r="K1689" i="4" s="1"/>
  <c r="I1691" i="4" l="1"/>
  <c r="J1690" i="4"/>
  <c r="K1690" i="4" l="1"/>
  <c r="I1692" i="4"/>
  <c r="J1691" i="4"/>
  <c r="I1693" i="4" l="1"/>
  <c r="J1692" i="4"/>
  <c r="K1691" i="4"/>
  <c r="K1692" i="4" s="1"/>
  <c r="I1694" i="4" l="1"/>
  <c r="J1693" i="4"/>
  <c r="I1695" i="4" l="1"/>
  <c r="J1694" i="4"/>
  <c r="K1693" i="4"/>
  <c r="K1694" i="4" s="1"/>
  <c r="I1696" i="4" l="1"/>
  <c r="J1695" i="4"/>
  <c r="K1695" i="4" l="1"/>
  <c r="I1697" i="4"/>
  <c r="J1696" i="4"/>
  <c r="I1698" i="4" l="1"/>
  <c r="J1697" i="4"/>
  <c r="K1696" i="4"/>
  <c r="K1697" i="4" l="1"/>
  <c r="I1699" i="4"/>
  <c r="J1698" i="4"/>
  <c r="I1700" i="4" l="1"/>
  <c r="J1699" i="4"/>
  <c r="K1698" i="4"/>
  <c r="K1699" i="4" l="1"/>
  <c r="I1701" i="4"/>
  <c r="J1700" i="4"/>
  <c r="K1700" i="4" l="1"/>
  <c r="I1702" i="4"/>
  <c r="J1701" i="4"/>
  <c r="K1701" i="4" l="1"/>
  <c r="I1703" i="4"/>
  <c r="J1702" i="4"/>
  <c r="I1704" i="4" l="1"/>
  <c r="J1703" i="4"/>
  <c r="K1702" i="4"/>
  <c r="K1703" i="4" s="1"/>
  <c r="I1705" i="4" l="1"/>
  <c r="J1704" i="4"/>
  <c r="I1706" i="4" l="1"/>
  <c r="J1705" i="4"/>
  <c r="K1704" i="4"/>
  <c r="K1705" i="4" l="1"/>
  <c r="I1707" i="4"/>
  <c r="J1706" i="4"/>
  <c r="I1708" i="4" l="1"/>
  <c r="J1707" i="4"/>
  <c r="K1706" i="4"/>
  <c r="K1707" i="4" l="1"/>
  <c r="I1709" i="4"/>
  <c r="J1708" i="4"/>
  <c r="K1708" i="4" l="1"/>
  <c r="I1710" i="4"/>
  <c r="J1709" i="4"/>
  <c r="I1711" i="4" l="1"/>
  <c r="J1710" i="4"/>
  <c r="K1709" i="4"/>
  <c r="K1710" i="4" s="1"/>
  <c r="I1712" i="4" l="1"/>
  <c r="J1711" i="4"/>
  <c r="I1713" i="4" l="1"/>
  <c r="J1712" i="4"/>
  <c r="K1711" i="4"/>
  <c r="K1712" i="4" s="1"/>
  <c r="I1714" i="4" l="1"/>
  <c r="J1713" i="4"/>
  <c r="K1713" i="4" l="1"/>
  <c r="I1715" i="4"/>
  <c r="J1714" i="4"/>
  <c r="I1716" i="4" l="1"/>
  <c r="J1715" i="4"/>
  <c r="K1714" i="4"/>
  <c r="K1715" i="4" s="1"/>
  <c r="I1717" i="4" l="1"/>
  <c r="J1716" i="4"/>
  <c r="I1718" i="4" l="1"/>
  <c r="J1717" i="4"/>
  <c r="K1716" i="4"/>
  <c r="K1717" i="4" s="1"/>
  <c r="I1719" i="4" l="1"/>
  <c r="J1718" i="4"/>
  <c r="I1720" i="4" l="1"/>
  <c r="J1719" i="4"/>
  <c r="K1718" i="4"/>
  <c r="K1719" i="4" s="1"/>
  <c r="I1721" i="4" l="1"/>
  <c r="J1720" i="4"/>
  <c r="I1722" i="4" l="1"/>
  <c r="J1721" i="4"/>
  <c r="K1720" i="4"/>
  <c r="K1721" i="4" l="1"/>
  <c r="I1723" i="4"/>
  <c r="J1722" i="4"/>
  <c r="K1722" i="4" l="1"/>
  <c r="I1724" i="4"/>
  <c r="J1723" i="4"/>
  <c r="K1723" i="4" l="1"/>
  <c r="I1725" i="4"/>
  <c r="J1724" i="4"/>
  <c r="I1726" i="4" l="1"/>
  <c r="J1725" i="4"/>
  <c r="K1724" i="4"/>
  <c r="K1725" i="4" s="1"/>
  <c r="I1727" i="4" l="1"/>
  <c r="J1726" i="4"/>
  <c r="I1728" i="4" l="1"/>
  <c r="J1727" i="4"/>
  <c r="K1726" i="4"/>
  <c r="K1727" i="4" s="1"/>
  <c r="I1729" i="4" l="1"/>
  <c r="J1728" i="4"/>
  <c r="I1730" i="4" l="1"/>
  <c r="J1729" i="4"/>
  <c r="K1728" i="4"/>
  <c r="K1729" i="4" l="1"/>
  <c r="I1731" i="4"/>
  <c r="J1730" i="4"/>
  <c r="I1732" i="4" l="1"/>
  <c r="J1731" i="4"/>
  <c r="K1730" i="4"/>
  <c r="K1731" i="4" l="1"/>
  <c r="I1733" i="4"/>
  <c r="J1732" i="4"/>
  <c r="K1732" i="4" l="1"/>
  <c r="I1734" i="4"/>
  <c r="J1733" i="4"/>
  <c r="I1735" i="4" l="1"/>
  <c r="J1734" i="4"/>
  <c r="K1733" i="4"/>
  <c r="K1734" i="4" s="1"/>
  <c r="I1736" i="4" l="1"/>
  <c r="J1735" i="4"/>
  <c r="I1737" i="4" l="1"/>
  <c r="J1736" i="4"/>
  <c r="K1735" i="4"/>
  <c r="K1736" i="4" l="1"/>
  <c r="I1738" i="4"/>
  <c r="J1737" i="4"/>
  <c r="I1739" i="4" l="1"/>
  <c r="J1738" i="4"/>
  <c r="K1737" i="4"/>
  <c r="K1738" i="4" s="1"/>
  <c r="I1740" i="4" l="1"/>
  <c r="J1739" i="4"/>
  <c r="K1739" i="4" l="1"/>
  <c r="I1741" i="4"/>
  <c r="J1740" i="4"/>
  <c r="I1742" i="4" l="1"/>
  <c r="J1741" i="4"/>
  <c r="K1740" i="4"/>
  <c r="K1741" i="4" l="1"/>
  <c r="I1743" i="4"/>
  <c r="J1742" i="4"/>
  <c r="I1744" i="4" l="1"/>
  <c r="J1743" i="4"/>
  <c r="K1742" i="4"/>
  <c r="K1743" i="4" s="1"/>
  <c r="I1745" i="4" l="1"/>
  <c r="J1744" i="4"/>
  <c r="I1746" i="4" l="1"/>
  <c r="J1745" i="4"/>
  <c r="K1744" i="4"/>
  <c r="K1745" i="4" s="1"/>
  <c r="I1747" i="4" l="1"/>
  <c r="J1746" i="4"/>
  <c r="I1748" i="4" l="1"/>
  <c r="J1747" i="4"/>
  <c r="K1746" i="4"/>
  <c r="K1747" i="4" l="1"/>
  <c r="I1749" i="4"/>
  <c r="J1748" i="4"/>
  <c r="K1748" i="4" l="1"/>
  <c r="I1750" i="4"/>
  <c r="J1749" i="4"/>
  <c r="I1751" i="4" l="1"/>
  <c r="J1750" i="4"/>
  <c r="K1749" i="4"/>
  <c r="K1750" i="4" s="1"/>
  <c r="I1752" i="4" l="1"/>
  <c r="J1751" i="4"/>
  <c r="K1751" i="4" s="1"/>
  <c r="I1753" i="4" l="1"/>
  <c r="J1752" i="4"/>
  <c r="I1754" i="4" l="1"/>
  <c r="J1753" i="4"/>
  <c r="K1752" i="4"/>
  <c r="K1753" i="4" l="1"/>
  <c r="I1755" i="4"/>
  <c r="J1754" i="4"/>
  <c r="I1756" i="4" l="1"/>
  <c r="J1755" i="4"/>
  <c r="K1754" i="4"/>
  <c r="K1755" i="4" s="1"/>
  <c r="I1757" i="4" l="1"/>
  <c r="J1756" i="4"/>
  <c r="K1756" i="4" l="1"/>
  <c r="I1758" i="4"/>
  <c r="J1757" i="4"/>
  <c r="I1759" i="4" l="1"/>
  <c r="J1758" i="4"/>
  <c r="K1757" i="4"/>
  <c r="K1758" i="4" s="1"/>
  <c r="I1760" i="4" l="1"/>
  <c r="J1759" i="4"/>
  <c r="I1761" i="4" l="1"/>
  <c r="J1760" i="4"/>
  <c r="K1759" i="4"/>
  <c r="K1760" i="4" l="1"/>
  <c r="I1762" i="4"/>
  <c r="J1761" i="4"/>
  <c r="I1763" i="4" l="1"/>
  <c r="J1762" i="4"/>
  <c r="K1761" i="4"/>
  <c r="K1762" i="4" s="1"/>
  <c r="I1764" i="4" l="1"/>
  <c r="J1763" i="4"/>
  <c r="I1765" i="4" l="1"/>
  <c r="J1764" i="4"/>
  <c r="K1763" i="4"/>
  <c r="K1764" i="4" l="1"/>
  <c r="I1766" i="4"/>
  <c r="J1765" i="4"/>
  <c r="I1767" i="4" l="1"/>
  <c r="J1766" i="4"/>
  <c r="K1765" i="4"/>
  <c r="K1766" i="4" l="1"/>
  <c r="I1768" i="4"/>
  <c r="J1767" i="4"/>
  <c r="I1769" i="4" l="1"/>
  <c r="J1768" i="4"/>
  <c r="K1767" i="4"/>
  <c r="K1768" i="4" s="1"/>
  <c r="I1770" i="4" l="1"/>
  <c r="J1769" i="4"/>
  <c r="I1771" i="4" l="1"/>
  <c r="J1770" i="4"/>
  <c r="K1769" i="4"/>
  <c r="K1770" i="4" s="1"/>
  <c r="I1772" i="4" l="1"/>
  <c r="J1771" i="4"/>
  <c r="I1773" i="4" l="1"/>
  <c r="J1772" i="4"/>
  <c r="K1771" i="4"/>
  <c r="K1772" i="4" l="1"/>
  <c r="I1774" i="4"/>
  <c r="J1773" i="4"/>
  <c r="I1775" i="4" l="1"/>
  <c r="J1774" i="4"/>
  <c r="K1773" i="4"/>
  <c r="K1774" i="4" s="1"/>
  <c r="I1776" i="4" l="1"/>
  <c r="J1775" i="4"/>
  <c r="K1775" i="4" s="1"/>
  <c r="I1777" i="4" l="1"/>
  <c r="J1776" i="4"/>
  <c r="I1778" i="4" l="1"/>
  <c r="J1777" i="4"/>
  <c r="K1776" i="4"/>
  <c r="K1777" i="4" s="1"/>
  <c r="I1779" i="4" l="1"/>
  <c r="J1778" i="4"/>
  <c r="I1780" i="4" l="1"/>
  <c r="J1779" i="4"/>
  <c r="K1778" i="4"/>
  <c r="K1779" i="4" l="1"/>
  <c r="I1781" i="4"/>
  <c r="J1780" i="4"/>
  <c r="I1782" i="4" l="1"/>
  <c r="J1781" i="4"/>
  <c r="K1780" i="4"/>
  <c r="K1781" i="4" l="1"/>
  <c r="I1783" i="4"/>
  <c r="J1782" i="4"/>
  <c r="I1784" i="4" l="1"/>
  <c r="J1783" i="4"/>
  <c r="K1782" i="4"/>
  <c r="K1783" i="4" l="1"/>
  <c r="I1785" i="4"/>
  <c r="J1784" i="4"/>
  <c r="I1786" i="4" l="1"/>
  <c r="J1785" i="4"/>
  <c r="K1784" i="4"/>
  <c r="K1785" i="4" s="1"/>
  <c r="I1787" i="4" l="1"/>
  <c r="J1786" i="4"/>
  <c r="I1788" i="4" l="1"/>
  <c r="J1787" i="4"/>
  <c r="K1786" i="4"/>
  <c r="K1787" i="4" s="1"/>
  <c r="I1789" i="4" l="1"/>
  <c r="J1788" i="4"/>
  <c r="I1790" i="4" l="1"/>
  <c r="J1789" i="4"/>
  <c r="K1788" i="4"/>
  <c r="K1789" i="4" l="1"/>
  <c r="I1791" i="4"/>
  <c r="J1790" i="4"/>
  <c r="I1792" i="4" l="1"/>
  <c r="J1791" i="4"/>
  <c r="K1790" i="4"/>
  <c r="K1791" i="4" l="1"/>
  <c r="I1793" i="4"/>
  <c r="J1792" i="4"/>
  <c r="I1794" i="4" l="1"/>
  <c r="J1793" i="4"/>
  <c r="K1792" i="4"/>
  <c r="K1793" i="4" s="1"/>
  <c r="I1795" i="4" l="1"/>
  <c r="J1794" i="4"/>
  <c r="I1796" i="4" l="1"/>
  <c r="J1795" i="4"/>
  <c r="K1794" i="4"/>
  <c r="K1795" i="4" l="1"/>
  <c r="I1797" i="4"/>
  <c r="J1796" i="4"/>
  <c r="I1798" i="4" l="1"/>
  <c r="J1797" i="4"/>
  <c r="K1796" i="4"/>
  <c r="K1797" i="4" s="1"/>
  <c r="I1799" i="4" l="1"/>
  <c r="J1798" i="4"/>
  <c r="I1800" i="4" l="1"/>
  <c r="J1799" i="4"/>
  <c r="K1798" i="4"/>
  <c r="K1799" i="4" l="1"/>
  <c r="I1801" i="4"/>
  <c r="J1800" i="4"/>
  <c r="I1802" i="4" l="1"/>
  <c r="J1801" i="4"/>
  <c r="K1800" i="4"/>
  <c r="K1801" i="4" s="1"/>
  <c r="I1803" i="4" l="1"/>
  <c r="J1802" i="4"/>
  <c r="I1804" i="4" l="1"/>
  <c r="J1803" i="4"/>
  <c r="K1802" i="4"/>
  <c r="K1803" i="4" s="1"/>
  <c r="I1805" i="4" l="1"/>
  <c r="J1804" i="4"/>
  <c r="I1806" i="4" l="1"/>
  <c r="J1805" i="4"/>
  <c r="K1804" i="4"/>
  <c r="K1805" i="4" s="1"/>
  <c r="I1807" i="4" l="1"/>
  <c r="J1806" i="4"/>
  <c r="K1806" i="4" s="1"/>
  <c r="I1808" i="4" l="1"/>
  <c r="J1807" i="4"/>
  <c r="I1809" i="4" l="1"/>
  <c r="J1808" i="4"/>
  <c r="K1807" i="4"/>
  <c r="K1808" i="4" l="1"/>
  <c r="I1810" i="4"/>
  <c r="J1809" i="4"/>
  <c r="K1809" i="4" l="1"/>
  <c r="I1811" i="4"/>
  <c r="J1810" i="4"/>
  <c r="I1812" i="4" l="1"/>
  <c r="J1811" i="4"/>
  <c r="K1810" i="4"/>
  <c r="K1811" i="4" l="1"/>
  <c r="I1813" i="4"/>
  <c r="J1812" i="4"/>
  <c r="K1812" i="4" l="1"/>
  <c r="I1814" i="4"/>
  <c r="J1813" i="4"/>
  <c r="I1815" i="4" l="1"/>
  <c r="J1814" i="4"/>
  <c r="K1813" i="4"/>
  <c r="K1814" i="4" l="1"/>
  <c r="I1816" i="4"/>
  <c r="J1815" i="4"/>
  <c r="K1815" i="4" s="1"/>
  <c r="I1817" i="4" l="1"/>
  <c r="J1816" i="4"/>
  <c r="I1818" i="4" l="1"/>
  <c r="J1817" i="4"/>
  <c r="K1816" i="4"/>
  <c r="K1817" i="4" l="1"/>
  <c r="I1819" i="4"/>
  <c r="J1818" i="4"/>
  <c r="I1820" i="4" l="1"/>
  <c r="J1819" i="4"/>
  <c r="K1818" i="4"/>
  <c r="K1819" i="4" s="1"/>
  <c r="I1821" i="4" l="1"/>
  <c r="J1820" i="4"/>
  <c r="I1822" i="4" l="1"/>
  <c r="J1821" i="4"/>
  <c r="K1820" i="4"/>
  <c r="K1821" i="4" s="1"/>
  <c r="I1823" i="4" l="1"/>
  <c r="J1822" i="4"/>
  <c r="K1822" i="4" l="1"/>
  <c r="I1824" i="4"/>
  <c r="J1823" i="4"/>
  <c r="I1825" i="4" l="1"/>
  <c r="J1824" i="4"/>
  <c r="K1823" i="4"/>
  <c r="K1824" i="4" s="1"/>
  <c r="I1826" i="4" l="1"/>
  <c r="J1825" i="4"/>
  <c r="K1825" i="4" s="1"/>
  <c r="I1827" i="4" l="1"/>
  <c r="J1826" i="4"/>
  <c r="K1826" i="4" l="1"/>
  <c r="I1828" i="4"/>
  <c r="J1827" i="4"/>
  <c r="I1829" i="4" l="1"/>
  <c r="J1828" i="4"/>
  <c r="K1827" i="4"/>
  <c r="K1828" i="4" l="1"/>
  <c r="I1830" i="4"/>
  <c r="J1829" i="4"/>
  <c r="K1829" i="4" s="1"/>
  <c r="I1831" i="4" l="1"/>
  <c r="J1830" i="4"/>
  <c r="K1830" i="4" l="1"/>
  <c r="I1832" i="4"/>
  <c r="J1831" i="4"/>
  <c r="I1833" i="4" l="1"/>
  <c r="J1832" i="4"/>
  <c r="K1831" i="4"/>
  <c r="K1832" i="4" s="1"/>
  <c r="I1834" i="4" l="1"/>
  <c r="J1833" i="4"/>
  <c r="I1835" i="4" l="1"/>
  <c r="J1834" i="4"/>
  <c r="K1833" i="4"/>
  <c r="K1834" i="4" s="1"/>
  <c r="I1836" i="4" l="1"/>
  <c r="J1835" i="4"/>
  <c r="I1837" i="4" l="1"/>
  <c r="J1836" i="4"/>
  <c r="K1835" i="4"/>
  <c r="K1836" i="4" s="1"/>
  <c r="I1838" i="4" l="1"/>
  <c r="J1837" i="4"/>
  <c r="I1839" i="4" l="1"/>
  <c r="J1838" i="4"/>
  <c r="K1837" i="4"/>
  <c r="K1838" i="4" s="1"/>
  <c r="I1840" i="4" l="1"/>
  <c r="J1839" i="4"/>
  <c r="I1841" i="4" l="1"/>
  <c r="J1840" i="4"/>
  <c r="K1839" i="4"/>
  <c r="K1840" i="4" l="1"/>
  <c r="I1842" i="4"/>
  <c r="J1841" i="4"/>
  <c r="I1843" i="4" l="1"/>
  <c r="J1842" i="4"/>
  <c r="K1841" i="4"/>
  <c r="K1842" i="4" l="1"/>
  <c r="I1844" i="4"/>
  <c r="J1843" i="4"/>
  <c r="K1843" i="4" l="1"/>
  <c r="I1845" i="4"/>
  <c r="J1844" i="4"/>
  <c r="I1846" i="4" l="1"/>
  <c r="J1845" i="4"/>
  <c r="K1844" i="4"/>
  <c r="K1845" i="4" l="1"/>
  <c r="I1847" i="4"/>
  <c r="J1846" i="4"/>
  <c r="I1848" i="4" l="1"/>
  <c r="J1847" i="4"/>
  <c r="K1846" i="4"/>
  <c r="K1847" i="4" s="1"/>
  <c r="I1849" i="4" l="1"/>
  <c r="J1848" i="4"/>
  <c r="I1850" i="4" l="1"/>
  <c r="J1849" i="4"/>
  <c r="K1848" i="4"/>
  <c r="K1849" i="4" s="1"/>
  <c r="I1851" i="4" l="1"/>
  <c r="J1850" i="4"/>
  <c r="I1852" i="4" l="1"/>
  <c r="J1851" i="4"/>
  <c r="K1850" i="4"/>
  <c r="K1851" i="4" l="1"/>
  <c r="I1853" i="4"/>
  <c r="J1852" i="4"/>
  <c r="I1854" i="4" l="1"/>
  <c r="J1853" i="4"/>
  <c r="K1852" i="4"/>
  <c r="K1853" i="4" s="1"/>
  <c r="I1855" i="4" l="1"/>
  <c r="J1854" i="4"/>
  <c r="I1856" i="4" l="1"/>
  <c r="J1855" i="4"/>
  <c r="K1854" i="4"/>
  <c r="K1855" i="4" s="1"/>
  <c r="I1857" i="4" l="1"/>
  <c r="J1856" i="4"/>
  <c r="I1858" i="4" l="1"/>
  <c r="J1857" i="4"/>
  <c r="K1856" i="4"/>
  <c r="K1857" i="4" l="1"/>
  <c r="I1859" i="4"/>
  <c r="J1858" i="4"/>
  <c r="I1860" i="4" l="1"/>
  <c r="J1859" i="4"/>
  <c r="K1858" i="4"/>
  <c r="K1859" i="4" s="1"/>
  <c r="I1861" i="4" l="1"/>
  <c r="J1860" i="4"/>
  <c r="K1860" i="4" s="1"/>
  <c r="I1862" i="4" l="1"/>
  <c r="J1861" i="4"/>
  <c r="K1861" i="4" l="1"/>
  <c r="I1863" i="4"/>
  <c r="J1862" i="4"/>
  <c r="I1864" i="4" l="1"/>
  <c r="J1863" i="4"/>
  <c r="K1862" i="4"/>
  <c r="K1863" i="4" s="1"/>
  <c r="I1865" i="4" l="1"/>
  <c r="J1864" i="4"/>
  <c r="I1866" i="4" l="1"/>
  <c r="J1865" i="4"/>
  <c r="K1864" i="4"/>
  <c r="K1865" i="4" s="1"/>
  <c r="I1867" i="4" l="1"/>
  <c r="J1866" i="4"/>
  <c r="K1866" i="4" l="1"/>
  <c r="I1868" i="4"/>
  <c r="J1867" i="4"/>
  <c r="K1867" i="4" l="1"/>
  <c r="I1869" i="4"/>
  <c r="J1868" i="4"/>
  <c r="I1870" i="4" l="1"/>
  <c r="J1869" i="4"/>
  <c r="K1868" i="4"/>
  <c r="K1869" i="4" s="1"/>
  <c r="I1871" i="4" l="1"/>
  <c r="J1870" i="4"/>
  <c r="K1870" i="4" l="1"/>
  <c r="I1872" i="4"/>
  <c r="J1871" i="4"/>
  <c r="I1873" i="4" l="1"/>
  <c r="J1872" i="4"/>
  <c r="K1871" i="4"/>
  <c r="K1872" i="4" l="1"/>
  <c r="I1874" i="4"/>
  <c r="J1873" i="4"/>
  <c r="I1875" i="4" l="1"/>
  <c r="J1874" i="4"/>
  <c r="K1873" i="4"/>
  <c r="K1874" i="4" s="1"/>
  <c r="I1876" i="4" l="1"/>
  <c r="J1875" i="4"/>
  <c r="K1875" i="4" l="1"/>
  <c r="I1877" i="4"/>
  <c r="J1876" i="4"/>
  <c r="I1878" i="4" l="1"/>
  <c r="J1877" i="4"/>
  <c r="K1876" i="4"/>
  <c r="K1877" i="4" s="1"/>
  <c r="I1879" i="4" l="1"/>
  <c r="J1878" i="4"/>
  <c r="I1880" i="4" l="1"/>
  <c r="J1879" i="4"/>
  <c r="K1878" i="4"/>
  <c r="K1879" i="4" s="1"/>
  <c r="I1881" i="4" l="1"/>
  <c r="J1880" i="4"/>
  <c r="I1882" i="4" l="1"/>
  <c r="J1881" i="4"/>
  <c r="K1880" i="4"/>
  <c r="K1881" i="4" s="1"/>
  <c r="I1883" i="4" l="1"/>
  <c r="J1882" i="4"/>
  <c r="I1884" i="4" l="1"/>
  <c r="J1883" i="4"/>
  <c r="K1882" i="4"/>
  <c r="K1883" i="4" l="1"/>
  <c r="I1885" i="4"/>
  <c r="J1884" i="4"/>
  <c r="I1886" i="4" l="1"/>
  <c r="J1885" i="4"/>
  <c r="K1884" i="4"/>
  <c r="K1885" i="4" s="1"/>
  <c r="I1887" i="4" l="1"/>
  <c r="J1886" i="4"/>
  <c r="I1888" i="4" l="1"/>
  <c r="J1887" i="4"/>
  <c r="K1886" i="4"/>
  <c r="K1887" i="4" s="1"/>
  <c r="I1889" i="4" l="1"/>
  <c r="J1888" i="4"/>
  <c r="I1890" i="4" l="1"/>
  <c r="J1889" i="4"/>
  <c r="K1888" i="4"/>
  <c r="K1889" i="4" s="1"/>
  <c r="I1891" i="4" l="1"/>
  <c r="J1890" i="4"/>
  <c r="K1890" i="4" l="1"/>
  <c r="I1892" i="4"/>
  <c r="J1891" i="4"/>
  <c r="I1893" i="4" l="1"/>
  <c r="J1892" i="4"/>
  <c r="K1891" i="4"/>
  <c r="K1892" i="4" s="1"/>
  <c r="I1894" i="4" l="1"/>
  <c r="J1893" i="4"/>
  <c r="I1895" i="4" l="1"/>
  <c r="J1894" i="4"/>
  <c r="K1893" i="4"/>
  <c r="K1894" i="4" s="1"/>
  <c r="I1896" i="4" l="1"/>
  <c r="J1895" i="4"/>
  <c r="I1897" i="4" l="1"/>
  <c r="J1896" i="4"/>
  <c r="K1895" i="4"/>
  <c r="K1896" i="4" l="1"/>
  <c r="I1898" i="4"/>
  <c r="J1897" i="4"/>
  <c r="I1899" i="4" l="1"/>
  <c r="J1898" i="4"/>
  <c r="K1897" i="4"/>
  <c r="K1898" i="4" s="1"/>
  <c r="I1900" i="4" l="1"/>
  <c r="J1899" i="4"/>
  <c r="I1901" i="4" l="1"/>
  <c r="J1900" i="4"/>
  <c r="K1899" i="4"/>
  <c r="K1900" i="4" s="1"/>
  <c r="I1902" i="4" l="1"/>
  <c r="J1901" i="4"/>
  <c r="K1901" i="4" s="1"/>
  <c r="I1903" i="4" l="1"/>
  <c r="J1902" i="4"/>
  <c r="I1904" i="4" l="1"/>
  <c r="J1903" i="4"/>
  <c r="K1902" i="4"/>
  <c r="K1903" i="4" l="1"/>
  <c r="I1905" i="4"/>
  <c r="J1904" i="4"/>
  <c r="I1906" i="4" l="1"/>
  <c r="J1905" i="4"/>
  <c r="K1904" i="4"/>
  <c r="K1905" i="4" l="1"/>
  <c r="I1907" i="4"/>
  <c r="J1906" i="4"/>
  <c r="K1906" i="4" s="1"/>
  <c r="I1908" i="4" l="1"/>
  <c r="J1907" i="4"/>
  <c r="I1909" i="4" l="1"/>
  <c r="J1908" i="4"/>
  <c r="K1907" i="4"/>
  <c r="K1908" i="4" s="1"/>
  <c r="I1910" i="4" l="1"/>
  <c r="J1909" i="4"/>
  <c r="I1911" i="4" l="1"/>
  <c r="J1910" i="4"/>
  <c r="K1909" i="4"/>
  <c r="K1910" i="4" s="1"/>
  <c r="I1912" i="4" l="1"/>
  <c r="J1911" i="4"/>
  <c r="I1913" i="4" l="1"/>
  <c r="J1912" i="4"/>
  <c r="K1911" i="4"/>
  <c r="K1912" i="4" l="1"/>
  <c r="I1914" i="4"/>
  <c r="J1913" i="4"/>
  <c r="K1913" i="4" l="1"/>
  <c r="I1915" i="4"/>
  <c r="J1914" i="4"/>
  <c r="I1916" i="4" l="1"/>
  <c r="J1915" i="4"/>
  <c r="K1914" i="4"/>
  <c r="K1915" i="4" l="1"/>
  <c r="I1917" i="4"/>
  <c r="J1916" i="4"/>
  <c r="I1918" i="4" l="1"/>
  <c r="J1917" i="4"/>
  <c r="K1916" i="4"/>
  <c r="K1917" i="4" l="1"/>
  <c r="I1919" i="4"/>
  <c r="J1918" i="4"/>
  <c r="I1920" i="4" l="1"/>
  <c r="J1919" i="4"/>
  <c r="K1918" i="4"/>
  <c r="K1919" i="4" l="1"/>
  <c r="I1921" i="4"/>
  <c r="J1920" i="4"/>
  <c r="K1920" i="4" l="1"/>
  <c r="I1922" i="4"/>
  <c r="J1921" i="4"/>
  <c r="I1923" i="4" l="1"/>
  <c r="J1922" i="4"/>
  <c r="K1921" i="4"/>
  <c r="K1922" i="4" l="1"/>
  <c r="I1924" i="4"/>
  <c r="J1923" i="4"/>
  <c r="I1925" i="4" l="1"/>
  <c r="J1924" i="4"/>
  <c r="K1923" i="4"/>
  <c r="K1924" i="4" l="1"/>
  <c r="I1926" i="4"/>
  <c r="J1925" i="4"/>
  <c r="I1927" i="4" l="1"/>
  <c r="J1926" i="4"/>
  <c r="K1925" i="4"/>
  <c r="K1926" i="4" s="1"/>
  <c r="I1928" i="4" l="1"/>
  <c r="J1927" i="4"/>
  <c r="I1929" i="4" l="1"/>
  <c r="J1928" i="4"/>
  <c r="K1927" i="4"/>
  <c r="K1928" i="4" s="1"/>
  <c r="I1930" i="4" l="1"/>
  <c r="J1929" i="4"/>
  <c r="K1929" i="4" l="1"/>
  <c r="I1931" i="4"/>
  <c r="J1930" i="4"/>
  <c r="I1932" i="4" l="1"/>
  <c r="J1931" i="4"/>
  <c r="K1930" i="4"/>
  <c r="K1931" i="4" s="1"/>
  <c r="I1933" i="4" l="1"/>
  <c r="J1932" i="4"/>
  <c r="I1934" i="4" l="1"/>
  <c r="J1933" i="4"/>
  <c r="K1932" i="4"/>
  <c r="K1933" i="4" l="1"/>
  <c r="I1935" i="4"/>
  <c r="J1934" i="4"/>
  <c r="I1936" i="4" l="1"/>
  <c r="J1935" i="4"/>
  <c r="K1934" i="4"/>
  <c r="K1935" i="4" s="1"/>
  <c r="I1937" i="4" l="1"/>
  <c r="J1938" i="4" s="1"/>
  <c r="J1936" i="4"/>
  <c r="K1938" i="4" l="1"/>
  <c r="J1937" i="4"/>
  <c r="K1936" i="4"/>
  <c r="K1937" i="4" l="1"/>
  <c r="O7" i="4" l="1"/>
  <c r="O3" i="4" l="1"/>
  <c r="O2" i="4"/>
  <c r="O5" i="4"/>
  <c r="O4" i="4"/>
  <c r="O6" i="4" s="1"/>
</calcChain>
</file>

<file path=xl/sharedStrings.xml><?xml version="1.0" encoding="utf-8"?>
<sst xmlns="http://schemas.openxmlformats.org/spreadsheetml/2006/main" count="28" uniqueCount="28">
  <si>
    <t>Date</t>
  </si>
  <si>
    <t>Open</t>
  </si>
  <si>
    <t>High</t>
  </si>
  <si>
    <t>Low</t>
  </si>
  <si>
    <t>Close</t>
  </si>
  <si>
    <t>Signal</t>
  </si>
  <si>
    <t>Net Position</t>
  </si>
  <si>
    <t>Trade Price</t>
  </si>
  <si>
    <t>Returns</t>
  </si>
  <si>
    <t>MAX 5D</t>
  </si>
  <si>
    <t>MIN 5D</t>
  </si>
  <si>
    <t>Positive Returns</t>
  </si>
  <si>
    <t>Negative Returns</t>
  </si>
  <si>
    <t>Positive Trades</t>
  </si>
  <si>
    <t>Negative Trades</t>
  </si>
  <si>
    <t>Hit Ratio</t>
  </si>
  <si>
    <t>Average Returns</t>
  </si>
  <si>
    <t>TRADING RULE</t>
  </si>
  <si>
    <t>RULE</t>
  </si>
  <si>
    <t>PERFORMANCE METRICS</t>
  </si>
  <si>
    <t>IF today's close &gt; max( previous 5D closes ) THEN buy</t>
  </si>
  <si>
    <t>IF today's close &lt; min( previous 5D closes ) THEN sell</t>
  </si>
  <si>
    <t>&lt;--- Close Out Position for Performance Measurement</t>
  </si>
  <si>
    <t>CLOSE OUT FINAL POSITION</t>
  </si>
  <si>
    <t>At the very bottom in RED we close out the net position for performance measurement</t>
  </si>
  <si>
    <t>Don't count the returns of the very first trade setting up our postion</t>
  </si>
  <si>
    <t>INITIAL RETURN</t>
  </si>
  <si>
    <t>Total Returns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</si>
</sst>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%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14" fontId="0" fillId="0" borderId="0" xfId="0" applyNumberFormat="1"/>
    <xf numFmtId="0" fontId="2" fillId="2" borderId="0" xfId="0" applyFont="1" applyFill="1"/>
    <xf numFmtId="0" fontId="0" fillId="3" borderId="0" xfId="0" applyFill="1"/>
    <xf numFmtId="0" fontId="0" fillId="0" borderId="0" xfId="0" applyAlignment="1">
      <alignment horizontal="center" vertical="center"/>
    </xf>
    <xf numFmtId="0" fontId="1" fillId="0" borderId="0" xfId="0" applyFont="1"/>
    <xf numFmtId="4" fontId="0" fillId="0" borderId="0" xfId="0" applyNumberFormat="1" applyAlignment="1">
      <alignment horizontal="center" vertical="center"/>
    </xf>
    <xf numFmtId="0" fontId="0" fillId="0" borderId="0" xfId="0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4" fillId="0" borderId="0" xfId="0" applyFont="1"/>
    <xf numFmtId="10" fontId="0" fillId="0" borderId="0" xfId="0" applyNumberFormat="1"/>
    <xf numFmtId="0" fontId="0" fillId="3" borderId="0" xfId="0" applyFill="1" applyAlignment="1">
      <alignment horizontal="center" vertical="center"/>
    </xf>
    <xf numFmtId="0" fontId="0" fillId="3" borderId="0" xfId="0" quotePrefix="1" applyFill="1" applyAlignment="1">
      <alignment horizontal="center" vertical="center"/>
    </xf>
    <xf numFmtId="164" fontId="0" fillId="0" borderId="0" xfId="0" applyNumberFormat="1"/>
    <xf numFmtId="0" fontId="3" fillId="4" borderId="0" xfId="0" applyFont="1" applyFill="1" applyAlignment="1">
      <alignment horizontal="left" vertical="center"/>
    </xf>
    <xf numFmtId="0" fontId="2" fillId="4" borderId="0" xfId="0" applyFont="1" applyFill="1"/>
    <xf numFmtId="0" fontId="2" fillId="2" borderId="0" xfId="0" applyFont="1" applyFill="1" applyAlignment="1">
      <alignment horizontal="center" vertical="center"/>
    </xf>
    <xf numFmtId="4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00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theme="9"/>
  </sheetPr>
  <dimension ref="A1:U1938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5" x14ac:dyDescent="0.25"/>
  <cols>
    <col min="1" max="1" width="10.5703125" bestFit="1" customWidth="1"/>
    <col min="6" max="8" width="9.140625" style="4"/>
    <col min="9" max="9" width="12.7109375" style="4" customWidth="1"/>
    <col min="10" max="10" width="9.140625" style="11"/>
    <col min="11" max="11" width="10.85546875" style="4" bestFit="1" customWidth="1"/>
    <col min="12" max="12" width="9.140625" style="4"/>
    <col min="14" max="14" width="18.42578125" customWidth="1"/>
  </cols>
  <sheetData>
    <row r="1" spans="1:1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s="4" t="s">
        <v>10</v>
      </c>
      <c r="G1" s="4" t="s">
        <v>9</v>
      </c>
      <c r="H1" s="4" t="s">
        <v>5</v>
      </c>
      <c r="I1" s="4" t="s">
        <v>6</v>
      </c>
      <c r="J1" s="19" t="s">
        <v>18</v>
      </c>
      <c r="K1" s="4" t="s">
        <v>7</v>
      </c>
      <c r="L1" s="4" t="s">
        <v>8</v>
      </c>
      <c r="N1" s="14" t="s">
        <v>19</v>
      </c>
      <c r="O1" s="15"/>
    </row>
    <row r="2" spans="1:19" x14ac:dyDescent="0.25">
      <c r="A2" s="1">
        <v>41169</v>
      </c>
      <c r="B2">
        <v>4518.4501950000003</v>
      </c>
      <c r="C2">
        <v>4549.0498049999997</v>
      </c>
      <c r="D2">
        <v>4482.8500979999999</v>
      </c>
      <c r="E2">
        <v>4494.6499020000001</v>
      </c>
      <c r="J2" s="12"/>
      <c r="K2" s="6"/>
      <c r="N2" t="s">
        <v>11</v>
      </c>
      <c r="O2" s="10">
        <f>SUMIF(L:L,"&gt;0")</f>
        <v>3.5307835364408353</v>
      </c>
    </row>
    <row r="3" spans="1:19" x14ac:dyDescent="0.25">
      <c r="A3" s="1">
        <v>41170</v>
      </c>
      <c r="B3">
        <v>4494.1000979999999</v>
      </c>
      <c r="C3">
        <v>4551.7998049999997</v>
      </c>
      <c r="D3">
        <v>4481.5498049999997</v>
      </c>
      <c r="E3">
        <v>4546.2001950000003</v>
      </c>
      <c r="K3" s="6"/>
      <c r="N3" s="7" t="s">
        <v>12</v>
      </c>
      <c r="O3" s="10">
        <f>SUMIF(L:L,"&lt;0")</f>
        <v>-4.529837685092942</v>
      </c>
    </row>
    <row r="4" spans="1:19" x14ac:dyDescent="0.25">
      <c r="A4" s="1">
        <v>41171</v>
      </c>
      <c r="B4">
        <v>4550.25</v>
      </c>
      <c r="C4">
        <v>4739</v>
      </c>
      <c r="D4">
        <v>4550.25</v>
      </c>
      <c r="E4">
        <v>4732.3500979999999</v>
      </c>
      <c r="K4" s="6"/>
      <c r="N4" t="s">
        <v>13</v>
      </c>
      <c r="O4">
        <f>COUNTIF(L:L,"&gt;0")</f>
        <v>84</v>
      </c>
    </row>
    <row r="5" spans="1:19" x14ac:dyDescent="0.25">
      <c r="A5" s="1">
        <v>41172</v>
      </c>
      <c r="B5">
        <v>4734.8500979999999</v>
      </c>
      <c r="C5">
        <v>4760.8500979999999</v>
      </c>
      <c r="D5">
        <v>4721.1499020000001</v>
      </c>
      <c r="E5">
        <v>4747.5498049999997</v>
      </c>
      <c r="K5" s="6"/>
      <c r="N5" s="7" t="s">
        <v>14</v>
      </c>
      <c r="O5">
        <f>COUNTIF(L:L,"&lt;0")</f>
        <v>155</v>
      </c>
    </row>
    <row r="6" spans="1:19" x14ac:dyDescent="0.25">
      <c r="A6" s="1">
        <v>41173</v>
      </c>
      <c r="B6">
        <v>4752.9501950000003</v>
      </c>
      <c r="C6">
        <v>4855.7001950000003</v>
      </c>
      <c r="D6">
        <v>4733.7001950000003</v>
      </c>
      <c r="E6">
        <v>4837.5498049999997</v>
      </c>
      <c r="F6" s="4">
        <f>MIN(E2:E6)</f>
        <v>4494.6499020000001</v>
      </c>
      <c r="G6" s="4">
        <f>MAX(E2:E6)</f>
        <v>4837.5498049999997</v>
      </c>
      <c r="I6" s="4">
        <v>0</v>
      </c>
      <c r="K6" s="6">
        <f>E6</f>
        <v>4837.5498049999997</v>
      </c>
      <c r="M6" s="5"/>
      <c r="N6" t="s">
        <v>15</v>
      </c>
      <c r="O6" s="10">
        <f>O4/(O4+O5)</f>
        <v>0.35146443514644349</v>
      </c>
    </row>
    <row r="7" spans="1:19" x14ac:dyDescent="0.25">
      <c r="A7" s="1">
        <v>41176</v>
      </c>
      <c r="B7">
        <v>4837.1499020000001</v>
      </c>
      <c r="C7">
        <v>4941.1499020000001</v>
      </c>
      <c r="D7">
        <v>4837.1499020000001</v>
      </c>
      <c r="E7">
        <v>4932.2001950000003</v>
      </c>
      <c r="F7" s="4">
        <f t="shared" ref="F7:F70" si="0">MIN(E3:E7)</f>
        <v>4546.2001950000003</v>
      </c>
      <c r="G7" s="4">
        <f t="shared" ref="G7:G70" si="1">MAX(E3:E7)</f>
        <v>4932.2001950000003</v>
      </c>
      <c r="H7" s="4" t="str">
        <f t="shared" ref="H7:H70" si="2">IF(E7&gt;G6,"BUY",IF(E7&lt;F6,"SELL",0))</f>
        <v>BUY</v>
      </c>
      <c r="I7" s="4">
        <f t="shared" ref="I7:I69" si="3">IF(AND(H7="BUY",I6&lt;&gt;1),1,IF(AND(H7="SELL",I6&lt;&gt;-1),-1,I6))</f>
        <v>1</v>
      </c>
      <c r="J7" s="11" t="str">
        <f t="shared" ref="J7:J70" si="4">IF(I7&lt;&gt;I6,H7,0)</f>
        <v>BUY</v>
      </c>
      <c r="K7" s="6">
        <f t="shared" ref="K7:K70" si="5">IF(J7&lt;&gt;0,E7,K6)</f>
        <v>4932.2001950000003</v>
      </c>
      <c r="L7" s="16">
        <v>0</v>
      </c>
      <c r="N7" s="7" t="s">
        <v>16</v>
      </c>
      <c r="O7" s="13">
        <f>AVERAGE(L:L)</f>
        <v>-5.1710877259425914E-4</v>
      </c>
    </row>
    <row r="8" spans="1:19" x14ac:dyDescent="0.25">
      <c r="A8" s="1">
        <v>41177</v>
      </c>
      <c r="B8">
        <v>4939.1000979999999</v>
      </c>
      <c r="C8">
        <v>4953.8999020000001</v>
      </c>
      <c r="D8">
        <v>4878.1499020000001</v>
      </c>
      <c r="E8">
        <v>4938.8500979999999</v>
      </c>
      <c r="F8" s="4">
        <f t="shared" si="0"/>
        <v>4732.3500979999999</v>
      </c>
      <c r="G8" s="4">
        <f t="shared" si="1"/>
        <v>4938.8500979999999</v>
      </c>
      <c r="H8" s="4" t="str">
        <f t="shared" si="2"/>
        <v>BUY</v>
      </c>
      <c r="I8" s="4">
        <f t="shared" si="3"/>
        <v>1</v>
      </c>
      <c r="J8" s="11">
        <f t="shared" si="4"/>
        <v>0</v>
      </c>
      <c r="K8" s="6">
        <f t="shared" si="5"/>
        <v>4932.2001950000003</v>
      </c>
      <c r="L8" s="4">
        <f t="shared" ref="L8:L71" si="6">IF(J8="BUY",(K7-K8)/K7,IF(J8="SELL",(K9-K7)/K7,0))</f>
        <v>0</v>
      </c>
      <c r="N8" s="7" t="s">
        <v>27</v>
      </c>
      <c r="O8" s="13">
        <f>SUM(L:L)</f>
        <v>-0.99905414865210873</v>
      </c>
    </row>
    <row r="9" spans="1:19" x14ac:dyDescent="0.25">
      <c r="A9" s="1">
        <v>41178</v>
      </c>
      <c r="B9">
        <v>4937.6000979999999</v>
      </c>
      <c r="C9">
        <v>4980.8500979999999</v>
      </c>
      <c r="D9">
        <v>4930.3500979999999</v>
      </c>
      <c r="E9">
        <v>4940.5</v>
      </c>
      <c r="F9" s="4">
        <f t="shared" si="0"/>
        <v>4747.5498049999997</v>
      </c>
      <c r="G9" s="4">
        <f t="shared" si="1"/>
        <v>4940.5</v>
      </c>
      <c r="H9" s="4" t="str">
        <f t="shared" si="2"/>
        <v>BUY</v>
      </c>
      <c r="I9" s="4">
        <f t="shared" si="3"/>
        <v>1</v>
      </c>
      <c r="J9" s="11">
        <f t="shared" si="4"/>
        <v>0</v>
      </c>
      <c r="K9" s="6">
        <f t="shared" si="5"/>
        <v>4932.2001950000003</v>
      </c>
      <c r="L9" s="4">
        <f t="shared" si="6"/>
        <v>0</v>
      </c>
      <c r="M9" s="5"/>
    </row>
    <row r="10" spans="1:19" x14ac:dyDescent="0.25">
      <c r="A10" s="1">
        <v>41179</v>
      </c>
      <c r="B10">
        <v>4942.7001950000003</v>
      </c>
      <c r="C10">
        <v>5016.3999020000001</v>
      </c>
      <c r="D10">
        <v>4942.7001950000003</v>
      </c>
      <c r="E10">
        <v>5000.5498049999997</v>
      </c>
      <c r="F10" s="4">
        <f t="shared" si="0"/>
        <v>4837.5498049999997</v>
      </c>
      <c r="G10" s="4">
        <f t="shared" si="1"/>
        <v>5000.5498049999997</v>
      </c>
      <c r="H10" s="4" t="str">
        <f t="shared" si="2"/>
        <v>BUY</v>
      </c>
      <c r="I10" s="4">
        <f t="shared" si="3"/>
        <v>1</v>
      </c>
      <c r="J10" s="11">
        <f t="shared" si="4"/>
        <v>0</v>
      </c>
      <c r="K10" s="6">
        <f t="shared" si="5"/>
        <v>4932.2001950000003</v>
      </c>
      <c r="L10" s="4">
        <f t="shared" si="6"/>
        <v>0</v>
      </c>
      <c r="N10" s="8" t="s">
        <v>17</v>
      </c>
    </row>
    <row r="11" spans="1:19" x14ac:dyDescent="0.25">
      <c r="A11" s="1">
        <v>41180</v>
      </c>
      <c r="B11">
        <v>4996.4501950000003</v>
      </c>
      <c r="C11">
        <v>5055.7998049999997</v>
      </c>
      <c r="D11">
        <v>4996.4501950000003</v>
      </c>
      <c r="E11">
        <v>5021.3500979999999</v>
      </c>
      <c r="F11" s="4">
        <f t="shared" si="0"/>
        <v>4932.2001950000003</v>
      </c>
      <c r="G11" s="4">
        <f t="shared" si="1"/>
        <v>5021.3500979999999</v>
      </c>
      <c r="H11" s="4" t="str">
        <f t="shared" si="2"/>
        <v>BUY</v>
      </c>
      <c r="I11" s="4">
        <f t="shared" si="3"/>
        <v>1</v>
      </c>
      <c r="J11" s="11">
        <f t="shared" si="4"/>
        <v>0</v>
      </c>
      <c r="K11" s="6">
        <f t="shared" si="5"/>
        <v>4932.2001950000003</v>
      </c>
      <c r="L11" s="4">
        <f t="shared" si="6"/>
        <v>0</v>
      </c>
      <c r="N11" s="3" t="s">
        <v>20</v>
      </c>
      <c r="O11" s="3"/>
      <c r="P11" s="3"/>
      <c r="Q11" s="3"/>
      <c r="R11" s="3"/>
    </row>
    <row r="12" spans="1:19" x14ac:dyDescent="0.25">
      <c r="A12" s="1">
        <v>41183</v>
      </c>
      <c r="B12">
        <v>5021.5</v>
      </c>
      <c r="C12">
        <v>5089.2998049999997</v>
      </c>
      <c r="D12">
        <v>5001.3500979999999</v>
      </c>
      <c r="E12">
        <v>5068.9501950000003</v>
      </c>
      <c r="F12" s="4">
        <f t="shared" si="0"/>
        <v>4938.8500979999999</v>
      </c>
      <c r="G12" s="4">
        <f t="shared" si="1"/>
        <v>5068.9501950000003</v>
      </c>
      <c r="H12" s="4" t="str">
        <f t="shared" si="2"/>
        <v>BUY</v>
      </c>
      <c r="I12" s="4">
        <f t="shared" si="3"/>
        <v>1</v>
      </c>
      <c r="J12" s="11">
        <f t="shared" si="4"/>
        <v>0</v>
      </c>
      <c r="K12" s="6">
        <f t="shared" si="5"/>
        <v>4932.2001950000003</v>
      </c>
      <c r="L12" s="4">
        <f t="shared" si="6"/>
        <v>0</v>
      </c>
      <c r="N12" s="3" t="s">
        <v>21</v>
      </c>
      <c r="O12" s="3"/>
      <c r="P12" s="3"/>
      <c r="Q12" s="3"/>
      <c r="R12" s="3"/>
    </row>
    <row r="13" spans="1:19" x14ac:dyDescent="0.25">
      <c r="A13" s="1">
        <v>41184</v>
      </c>
      <c r="B13">
        <v>5069</v>
      </c>
      <c r="C13">
        <v>5261.3500979999999</v>
      </c>
      <c r="D13">
        <v>5034.1499020000001</v>
      </c>
      <c r="E13">
        <v>5210.7998049999997</v>
      </c>
      <c r="F13" s="4">
        <f t="shared" si="0"/>
        <v>4940.5</v>
      </c>
      <c r="G13" s="4">
        <f t="shared" si="1"/>
        <v>5210.7998049999997</v>
      </c>
      <c r="H13" s="4" t="str">
        <f t="shared" si="2"/>
        <v>BUY</v>
      </c>
      <c r="I13" s="4">
        <f t="shared" si="3"/>
        <v>1</v>
      </c>
      <c r="J13" s="11">
        <f t="shared" si="4"/>
        <v>0</v>
      </c>
      <c r="K13" s="6">
        <f t="shared" si="5"/>
        <v>4932.2001950000003</v>
      </c>
      <c r="L13" s="4">
        <f t="shared" si="6"/>
        <v>0</v>
      </c>
    </row>
    <row r="14" spans="1:19" x14ac:dyDescent="0.25">
      <c r="A14" s="1">
        <v>41185</v>
      </c>
      <c r="B14">
        <v>5211.6499020000001</v>
      </c>
      <c r="C14">
        <v>5233.1000979999999</v>
      </c>
      <c r="D14">
        <v>5126.0498049999997</v>
      </c>
      <c r="E14">
        <v>5208.6499020000001</v>
      </c>
      <c r="F14" s="4">
        <f t="shared" si="0"/>
        <v>5000.5498049999997</v>
      </c>
      <c r="G14" s="4">
        <f t="shared" si="1"/>
        <v>5210.7998049999997</v>
      </c>
      <c r="H14" s="4">
        <f t="shared" si="2"/>
        <v>0</v>
      </c>
      <c r="I14" s="4">
        <f t="shared" si="3"/>
        <v>1</v>
      </c>
      <c r="J14" s="11">
        <f t="shared" si="4"/>
        <v>0</v>
      </c>
      <c r="K14" s="6">
        <f t="shared" si="5"/>
        <v>4932.2001950000003</v>
      </c>
      <c r="L14" s="4">
        <f t="shared" si="6"/>
        <v>0</v>
      </c>
      <c r="N14" s="8" t="s">
        <v>26</v>
      </c>
    </row>
    <row r="15" spans="1:19" x14ac:dyDescent="0.25">
      <c r="A15" s="1">
        <v>41186</v>
      </c>
      <c r="B15">
        <v>5208.1499020000001</v>
      </c>
      <c r="C15">
        <v>5248.5498049999997</v>
      </c>
      <c r="D15">
        <v>5164.5</v>
      </c>
      <c r="E15">
        <v>5185.8500979999999</v>
      </c>
      <c r="F15" s="4">
        <f t="shared" si="0"/>
        <v>5021.3500979999999</v>
      </c>
      <c r="G15" s="4">
        <f t="shared" si="1"/>
        <v>5210.7998049999997</v>
      </c>
      <c r="H15" s="4">
        <f t="shared" si="2"/>
        <v>0</v>
      </c>
      <c r="I15" s="4">
        <f t="shared" si="3"/>
        <v>1</v>
      </c>
      <c r="J15" s="11">
        <f t="shared" si="4"/>
        <v>0</v>
      </c>
      <c r="K15" s="6">
        <f t="shared" si="5"/>
        <v>4932.2001950000003</v>
      </c>
      <c r="L15" s="4">
        <f t="shared" si="6"/>
        <v>0</v>
      </c>
      <c r="N15" s="2" t="s">
        <v>25</v>
      </c>
      <c r="O15" s="2"/>
      <c r="P15" s="2"/>
      <c r="Q15" s="2"/>
      <c r="R15" s="2"/>
      <c r="S15" s="2"/>
    </row>
    <row r="16" spans="1:19" x14ac:dyDescent="0.25">
      <c r="A16" s="1">
        <v>41187</v>
      </c>
      <c r="B16">
        <v>5186.25</v>
      </c>
      <c r="C16">
        <v>5249.2998049999997</v>
      </c>
      <c r="D16">
        <v>5024.75</v>
      </c>
      <c r="E16">
        <v>5085.1000979999999</v>
      </c>
      <c r="F16" s="4">
        <f t="shared" si="0"/>
        <v>5068.9501950000003</v>
      </c>
      <c r="G16" s="4">
        <f t="shared" si="1"/>
        <v>5210.7998049999997</v>
      </c>
      <c r="H16" s="4">
        <f t="shared" si="2"/>
        <v>0</v>
      </c>
      <c r="I16" s="4">
        <f t="shared" si="3"/>
        <v>1</v>
      </c>
      <c r="J16" s="11">
        <f t="shared" si="4"/>
        <v>0</v>
      </c>
      <c r="K16" s="6">
        <f t="shared" si="5"/>
        <v>4932.2001950000003</v>
      </c>
      <c r="L16" s="4">
        <f t="shared" si="6"/>
        <v>0</v>
      </c>
    </row>
    <row r="17" spans="1:21" x14ac:dyDescent="0.25">
      <c r="A17" s="1">
        <v>41190</v>
      </c>
      <c r="B17">
        <v>5062.6499020000001</v>
      </c>
      <c r="C17">
        <v>5348.7001950000003</v>
      </c>
      <c r="D17">
        <v>5000.9501950000003</v>
      </c>
      <c r="E17">
        <v>5327.25</v>
      </c>
      <c r="F17" s="4">
        <f t="shared" si="0"/>
        <v>5085.1000979999999</v>
      </c>
      <c r="G17" s="4">
        <f t="shared" si="1"/>
        <v>5327.25</v>
      </c>
      <c r="H17" s="4" t="str">
        <f t="shared" si="2"/>
        <v>BUY</v>
      </c>
      <c r="I17" s="4">
        <f t="shared" si="3"/>
        <v>1</v>
      </c>
      <c r="J17" s="11">
        <f t="shared" si="4"/>
        <v>0</v>
      </c>
      <c r="K17" s="6">
        <f t="shared" si="5"/>
        <v>4932.2001950000003</v>
      </c>
      <c r="L17" s="4">
        <f t="shared" si="6"/>
        <v>0</v>
      </c>
      <c r="N17" s="8" t="s">
        <v>23</v>
      </c>
    </row>
    <row r="18" spans="1:21" x14ac:dyDescent="0.25">
      <c r="A18" s="1">
        <v>41191</v>
      </c>
      <c r="B18">
        <v>5328.1499020000001</v>
      </c>
      <c r="C18">
        <v>5454.7001950000003</v>
      </c>
      <c r="D18">
        <v>5328.1499020000001</v>
      </c>
      <c r="E18">
        <v>5441.4501950000003</v>
      </c>
      <c r="F18" s="4">
        <f t="shared" si="0"/>
        <v>5085.1000979999999</v>
      </c>
      <c r="G18" s="4">
        <f t="shared" si="1"/>
        <v>5441.4501950000003</v>
      </c>
      <c r="H18" s="4" t="str">
        <f t="shared" si="2"/>
        <v>BUY</v>
      </c>
      <c r="I18" s="4">
        <f t="shared" si="3"/>
        <v>1</v>
      </c>
      <c r="J18" s="11">
        <f t="shared" si="4"/>
        <v>0</v>
      </c>
      <c r="K18" s="6">
        <f t="shared" si="5"/>
        <v>4932.2001950000003</v>
      </c>
      <c r="L18" s="4">
        <f t="shared" si="6"/>
        <v>0</v>
      </c>
      <c r="N18" s="2" t="s">
        <v>24</v>
      </c>
      <c r="O18" s="2"/>
      <c r="P18" s="2"/>
      <c r="Q18" s="2"/>
      <c r="R18" s="2"/>
      <c r="S18" s="2"/>
      <c r="T18" s="2"/>
      <c r="U18" s="2"/>
    </row>
    <row r="19" spans="1:21" x14ac:dyDescent="0.25">
      <c r="A19" s="1">
        <v>41192</v>
      </c>
      <c r="B19">
        <v>5438.8999020000001</v>
      </c>
      <c r="C19">
        <v>5532.75</v>
      </c>
      <c r="D19">
        <v>5424.25</v>
      </c>
      <c r="E19">
        <v>5524.8500979999999</v>
      </c>
      <c r="F19" s="4">
        <f t="shared" si="0"/>
        <v>5085.1000979999999</v>
      </c>
      <c r="G19" s="4">
        <f t="shared" si="1"/>
        <v>5524.8500979999999</v>
      </c>
      <c r="H19" s="4" t="str">
        <f t="shared" si="2"/>
        <v>BUY</v>
      </c>
      <c r="I19" s="4">
        <f t="shared" si="3"/>
        <v>1</v>
      </c>
      <c r="J19" s="11">
        <f t="shared" si="4"/>
        <v>0</v>
      </c>
      <c r="K19" s="6">
        <f t="shared" si="5"/>
        <v>4932.2001950000003</v>
      </c>
      <c r="L19" s="4">
        <f t="shared" si="6"/>
        <v>0</v>
      </c>
    </row>
    <row r="20" spans="1:21" x14ac:dyDescent="0.25">
      <c r="A20" s="1">
        <v>41193</v>
      </c>
      <c r="B20">
        <v>5525.2998049999997</v>
      </c>
      <c r="C20">
        <v>5549.2998049999997</v>
      </c>
      <c r="D20">
        <v>5402.6000979999999</v>
      </c>
      <c r="E20">
        <v>5428.25</v>
      </c>
      <c r="F20" s="4">
        <f t="shared" si="0"/>
        <v>5085.1000979999999</v>
      </c>
      <c r="G20" s="4">
        <f t="shared" si="1"/>
        <v>5524.8500979999999</v>
      </c>
      <c r="H20" s="4">
        <f t="shared" si="2"/>
        <v>0</v>
      </c>
      <c r="I20" s="4">
        <f t="shared" si="3"/>
        <v>1</v>
      </c>
      <c r="J20" s="11">
        <f t="shared" si="4"/>
        <v>0</v>
      </c>
      <c r="K20" s="6">
        <f t="shared" si="5"/>
        <v>4932.2001950000003</v>
      </c>
      <c r="L20" s="4">
        <f t="shared" si="6"/>
        <v>0</v>
      </c>
    </row>
    <row r="21" spans="1:21" x14ac:dyDescent="0.25">
      <c r="A21" s="1">
        <v>41194</v>
      </c>
      <c r="B21">
        <v>5428.3500979999999</v>
      </c>
      <c r="C21">
        <v>5682.6499020000001</v>
      </c>
      <c r="D21">
        <v>5419.8999020000001</v>
      </c>
      <c r="E21">
        <v>5670.3999020000001</v>
      </c>
      <c r="F21" s="4">
        <f t="shared" si="0"/>
        <v>5327.25</v>
      </c>
      <c r="G21" s="4">
        <f t="shared" si="1"/>
        <v>5670.3999020000001</v>
      </c>
      <c r="H21" s="4" t="str">
        <f t="shared" si="2"/>
        <v>BUY</v>
      </c>
      <c r="I21" s="4">
        <f t="shared" si="3"/>
        <v>1</v>
      </c>
      <c r="J21" s="11">
        <f t="shared" si="4"/>
        <v>0</v>
      </c>
      <c r="K21" s="6">
        <f t="shared" si="5"/>
        <v>4932.2001950000003</v>
      </c>
      <c r="L21" s="4">
        <f t="shared" si="6"/>
        <v>0</v>
      </c>
      <c r="O21" s="4"/>
    </row>
    <row r="22" spans="1:21" x14ac:dyDescent="0.25">
      <c r="A22" s="1">
        <v>41197</v>
      </c>
      <c r="B22">
        <v>5670.6499020000001</v>
      </c>
      <c r="C22">
        <v>5708.3500979999999</v>
      </c>
      <c r="D22">
        <v>5578.4501950000003</v>
      </c>
      <c r="E22">
        <v>5668.0498049999997</v>
      </c>
      <c r="F22" s="4">
        <f t="shared" si="0"/>
        <v>5428.25</v>
      </c>
      <c r="G22" s="4">
        <f t="shared" si="1"/>
        <v>5670.3999020000001</v>
      </c>
      <c r="H22" s="4">
        <f t="shared" si="2"/>
        <v>0</v>
      </c>
      <c r="I22" s="4">
        <f t="shared" si="3"/>
        <v>1</v>
      </c>
      <c r="J22" s="11">
        <f t="shared" si="4"/>
        <v>0</v>
      </c>
      <c r="K22" s="6">
        <f t="shared" si="5"/>
        <v>4932.2001950000003</v>
      </c>
      <c r="L22" s="4">
        <f t="shared" si="6"/>
        <v>0</v>
      </c>
    </row>
    <row r="23" spans="1:21" x14ac:dyDescent="0.25">
      <c r="A23" s="1">
        <v>41198</v>
      </c>
      <c r="B23">
        <v>5658.8999020000001</v>
      </c>
      <c r="C23">
        <v>5658.8999020000001</v>
      </c>
      <c r="D23">
        <v>5107.2998049999997</v>
      </c>
      <c r="E23">
        <v>5559.2998049999997</v>
      </c>
      <c r="F23" s="4">
        <f t="shared" si="0"/>
        <v>5428.25</v>
      </c>
      <c r="G23" s="4">
        <f t="shared" si="1"/>
        <v>5670.3999020000001</v>
      </c>
      <c r="H23" s="4">
        <f t="shared" si="2"/>
        <v>0</v>
      </c>
      <c r="I23" s="4">
        <f t="shared" si="3"/>
        <v>1</v>
      </c>
      <c r="J23" s="11">
        <f t="shared" si="4"/>
        <v>0</v>
      </c>
      <c r="K23" s="6">
        <f t="shared" si="5"/>
        <v>4932.2001950000003</v>
      </c>
      <c r="L23" s="4">
        <f t="shared" si="6"/>
        <v>0</v>
      </c>
    </row>
    <row r="24" spans="1:21" x14ac:dyDescent="0.25">
      <c r="A24" s="1">
        <v>41199</v>
      </c>
      <c r="B24">
        <v>5551.1000979999999</v>
      </c>
      <c r="C24">
        <v>5736.7998049999997</v>
      </c>
      <c r="D24">
        <v>5269.6499020000001</v>
      </c>
      <c r="E24">
        <v>5351</v>
      </c>
      <c r="F24" s="4">
        <f t="shared" si="0"/>
        <v>5351</v>
      </c>
      <c r="G24" s="4">
        <f t="shared" si="1"/>
        <v>5670.3999020000001</v>
      </c>
      <c r="H24" s="4" t="str">
        <f t="shared" si="2"/>
        <v>SELL</v>
      </c>
      <c r="I24" s="4">
        <f t="shared" si="3"/>
        <v>-1</v>
      </c>
      <c r="J24" s="11" t="str">
        <f t="shared" si="4"/>
        <v>SELL</v>
      </c>
      <c r="K24" s="6">
        <f t="shared" si="5"/>
        <v>5351</v>
      </c>
      <c r="L24" s="4">
        <f t="shared" si="6"/>
        <v>8.4911355671360711E-2</v>
      </c>
    </row>
    <row r="25" spans="1:21" x14ac:dyDescent="0.25">
      <c r="A25" s="1">
        <v>41200</v>
      </c>
      <c r="B25">
        <v>5360.3500979999999</v>
      </c>
      <c r="C25">
        <v>5390.8500979999999</v>
      </c>
      <c r="D25">
        <v>5101.75</v>
      </c>
      <c r="E25">
        <v>5215.2998049999997</v>
      </c>
      <c r="F25" s="4">
        <f t="shared" si="0"/>
        <v>5215.2998049999997</v>
      </c>
      <c r="G25" s="4">
        <f t="shared" si="1"/>
        <v>5670.3999020000001</v>
      </c>
      <c r="H25" s="4" t="str">
        <f t="shared" si="2"/>
        <v>SELL</v>
      </c>
      <c r="I25" s="4">
        <f t="shared" si="3"/>
        <v>-1</v>
      </c>
      <c r="J25" s="11">
        <f t="shared" si="4"/>
        <v>0</v>
      </c>
      <c r="K25" s="6">
        <f t="shared" si="5"/>
        <v>5351</v>
      </c>
      <c r="L25" s="4">
        <f t="shared" si="6"/>
        <v>0</v>
      </c>
    </row>
    <row r="26" spans="1:21" x14ac:dyDescent="0.25">
      <c r="A26" s="1">
        <v>41201</v>
      </c>
      <c r="B26">
        <v>5202.75</v>
      </c>
      <c r="C26">
        <v>5247.3999020000001</v>
      </c>
      <c r="D26">
        <v>5070.8999020000001</v>
      </c>
      <c r="E26">
        <v>5184</v>
      </c>
      <c r="F26" s="4">
        <f t="shared" si="0"/>
        <v>5184</v>
      </c>
      <c r="G26" s="4">
        <f t="shared" si="1"/>
        <v>5668.0498049999997</v>
      </c>
      <c r="H26" s="4" t="str">
        <f t="shared" si="2"/>
        <v>SELL</v>
      </c>
      <c r="I26" s="4">
        <f t="shared" si="3"/>
        <v>-1</v>
      </c>
      <c r="J26" s="11">
        <f t="shared" si="4"/>
        <v>0</v>
      </c>
      <c r="K26" s="6">
        <f t="shared" si="5"/>
        <v>5351</v>
      </c>
      <c r="L26" s="4">
        <f t="shared" si="6"/>
        <v>0</v>
      </c>
    </row>
    <row r="27" spans="1:21" x14ac:dyDescent="0.25">
      <c r="A27" s="1">
        <v>41204</v>
      </c>
      <c r="B27">
        <v>5185.2998049999997</v>
      </c>
      <c r="C27">
        <v>5488.5</v>
      </c>
      <c r="D27">
        <v>5176.8500979999999</v>
      </c>
      <c r="E27">
        <v>5473.7001950000003</v>
      </c>
      <c r="F27" s="4">
        <f t="shared" si="0"/>
        <v>5184</v>
      </c>
      <c r="G27" s="4">
        <f t="shared" si="1"/>
        <v>5559.2998049999997</v>
      </c>
      <c r="H27" s="4">
        <f t="shared" si="2"/>
        <v>0</v>
      </c>
      <c r="I27" s="4">
        <f t="shared" si="3"/>
        <v>-1</v>
      </c>
      <c r="J27" s="11">
        <f t="shared" si="4"/>
        <v>0</v>
      </c>
      <c r="K27" s="6">
        <f t="shared" si="5"/>
        <v>5351</v>
      </c>
      <c r="L27" s="4">
        <f t="shared" si="6"/>
        <v>0</v>
      </c>
    </row>
    <row r="28" spans="1:21" x14ac:dyDescent="0.25">
      <c r="A28" s="1">
        <v>41205</v>
      </c>
      <c r="B28">
        <v>5477.6000979999999</v>
      </c>
      <c r="C28">
        <v>5577.8999020000001</v>
      </c>
      <c r="D28">
        <v>5419.3999020000001</v>
      </c>
      <c r="E28">
        <v>5496.1499020000001</v>
      </c>
      <c r="F28" s="4">
        <f t="shared" si="0"/>
        <v>5184</v>
      </c>
      <c r="G28" s="4">
        <f t="shared" si="1"/>
        <v>5496.1499020000001</v>
      </c>
      <c r="H28" s="4">
        <f t="shared" si="2"/>
        <v>0</v>
      </c>
      <c r="I28" s="4">
        <f t="shared" si="3"/>
        <v>-1</v>
      </c>
      <c r="J28" s="11">
        <f t="shared" si="4"/>
        <v>0</v>
      </c>
      <c r="K28" s="6">
        <f t="shared" si="5"/>
        <v>5351</v>
      </c>
      <c r="L28" s="4">
        <f t="shared" si="6"/>
        <v>0</v>
      </c>
    </row>
    <row r="29" spans="1:21" x14ac:dyDescent="0.25">
      <c r="A29" s="1">
        <v>41206</v>
      </c>
      <c r="B29">
        <v>5499.0498049999997</v>
      </c>
      <c r="C29">
        <v>5605.9501950000003</v>
      </c>
      <c r="D29">
        <v>5469.2998049999997</v>
      </c>
      <c r="E29">
        <v>5568.9501950000003</v>
      </c>
      <c r="F29" s="4">
        <f t="shared" si="0"/>
        <v>5184</v>
      </c>
      <c r="G29" s="4">
        <f t="shared" si="1"/>
        <v>5568.9501950000003</v>
      </c>
      <c r="H29" s="4" t="str">
        <f t="shared" si="2"/>
        <v>BUY</v>
      </c>
      <c r="I29" s="4">
        <f t="shared" si="3"/>
        <v>1</v>
      </c>
      <c r="J29" s="11" t="str">
        <f t="shared" si="4"/>
        <v>BUY</v>
      </c>
      <c r="K29" s="6">
        <f t="shared" si="5"/>
        <v>5568.9501950000003</v>
      </c>
      <c r="L29" s="4">
        <f t="shared" si="6"/>
        <v>-4.0730740982993896E-2</v>
      </c>
    </row>
    <row r="30" spans="1:21" x14ac:dyDescent="0.25">
      <c r="A30" s="1">
        <v>41207</v>
      </c>
      <c r="B30">
        <v>5564.25</v>
      </c>
      <c r="C30">
        <v>5716.8999020000001</v>
      </c>
      <c r="D30">
        <v>5513.3500979999999</v>
      </c>
      <c r="E30">
        <v>5702.2998049999997</v>
      </c>
      <c r="F30" s="4">
        <f t="shared" si="0"/>
        <v>5184</v>
      </c>
      <c r="G30" s="4">
        <f t="shared" si="1"/>
        <v>5702.2998049999997</v>
      </c>
      <c r="H30" s="4" t="str">
        <f t="shared" si="2"/>
        <v>BUY</v>
      </c>
      <c r="I30" s="4">
        <f t="shared" si="3"/>
        <v>1</v>
      </c>
      <c r="J30" s="11">
        <f t="shared" si="4"/>
        <v>0</v>
      </c>
      <c r="K30" s="6">
        <f t="shared" si="5"/>
        <v>5568.9501950000003</v>
      </c>
      <c r="L30" s="4">
        <f t="shared" si="6"/>
        <v>0</v>
      </c>
    </row>
    <row r="31" spans="1:21" x14ac:dyDescent="0.25">
      <c r="A31" s="1">
        <v>41208</v>
      </c>
      <c r="B31">
        <v>5708.8999020000001</v>
      </c>
      <c r="C31">
        <v>5922.5</v>
      </c>
      <c r="D31">
        <v>5708.8999020000001</v>
      </c>
      <c r="E31">
        <v>5905.8999020000001</v>
      </c>
      <c r="F31" s="4">
        <f t="shared" si="0"/>
        <v>5473.7001950000003</v>
      </c>
      <c r="G31" s="4">
        <f t="shared" si="1"/>
        <v>5905.8999020000001</v>
      </c>
      <c r="H31" s="4" t="str">
        <f t="shared" si="2"/>
        <v>BUY</v>
      </c>
      <c r="I31" s="4">
        <f t="shared" si="3"/>
        <v>1</v>
      </c>
      <c r="J31" s="11">
        <f t="shared" si="4"/>
        <v>0</v>
      </c>
      <c r="K31" s="6">
        <f t="shared" si="5"/>
        <v>5568.9501950000003</v>
      </c>
      <c r="L31" s="4">
        <f t="shared" si="6"/>
        <v>0</v>
      </c>
    </row>
    <row r="32" spans="1:21" x14ac:dyDescent="0.25">
      <c r="A32" s="1">
        <v>41211</v>
      </c>
      <c r="B32">
        <v>5917.5498049999997</v>
      </c>
      <c r="C32">
        <v>5976</v>
      </c>
      <c r="D32">
        <v>5833.8999020000001</v>
      </c>
      <c r="E32">
        <v>5868.75</v>
      </c>
      <c r="F32" s="4">
        <f t="shared" si="0"/>
        <v>5496.1499020000001</v>
      </c>
      <c r="G32" s="4">
        <f t="shared" si="1"/>
        <v>5905.8999020000001</v>
      </c>
      <c r="H32" s="4">
        <f t="shared" si="2"/>
        <v>0</v>
      </c>
      <c r="I32" s="4">
        <f t="shared" si="3"/>
        <v>1</v>
      </c>
      <c r="J32" s="11">
        <f t="shared" si="4"/>
        <v>0</v>
      </c>
      <c r="K32" s="6">
        <f t="shared" si="5"/>
        <v>5568.9501950000003</v>
      </c>
      <c r="L32" s="4">
        <f t="shared" si="6"/>
        <v>0</v>
      </c>
    </row>
    <row r="33" spans="1:12" x14ac:dyDescent="0.25">
      <c r="A33" s="1">
        <v>41212</v>
      </c>
      <c r="B33">
        <v>5868.8999020000001</v>
      </c>
      <c r="C33">
        <v>5952.25</v>
      </c>
      <c r="D33">
        <v>5861.2998049999997</v>
      </c>
      <c r="E33">
        <v>5900.6499020000001</v>
      </c>
      <c r="F33" s="4">
        <f t="shared" si="0"/>
        <v>5568.9501950000003</v>
      </c>
      <c r="G33" s="4">
        <f t="shared" si="1"/>
        <v>5905.8999020000001</v>
      </c>
      <c r="H33" s="4">
        <f t="shared" si="2"/>
        <v>0</v>
      </c>
      <c r="I33" s="4">
        <f t="shared" si="3"/>
        <v>1</v>
      </c>
      <c r="J33" s="11">
        <f t="shared" si="4"/>
        <v>0</v>
      </c>
      <c r="K33" s="6">
        <f t="shared" si="5"/>
        <v>5568.9501950000003</v>
      </c>
      <c r="L33" s="4">
        <f t="shared" si="6"/>
        <v>0</v>
      </c>
    </row>
    <row r="34" spans="1:12" x14ac:dyDescent="0.25">
      <c r="A34" s="1">
        <v>41213</v>
      </c>
      <c r="B34">
        <v>5903.7998049999997</v>
      </c>
      <c r="C34">
        <v>6011.9501950000003</v>
      </c>
      <c r="D34">
        <v>5837.2001950000003</v>
      </c>
      <c r="E34">
        <v>5866.4501950000003</v>
      </c>
      <c r="F34" s="4">
        <f t="shared" si="0"/>
        <v>5702.2998049999997</v>
      </c>
      <c r="G34" s="4">
        <f t="shared" si="1"/>
        <v>5905.8999020000001</v>
      </c>
      <c r="H34" s="4">
        <f t="shared" si="2"/>
        <v>0</v>
      </c>
      <c r="I34" s="4">
        <f t="shared" si="3"/>
        <v>1</v>
      </c>
      <c r="J34" s="11">
        <f t="shared" si="4"/>
        <v>0</v>
      </c>
      <c r="K34" s="6">
        <f t="shared" si="5"/>
        <v>5568.9501950000003</v>
      </c>
      <c r="L34" s="4">
        <f t="shared" si="6"/>
        <v>0</v>
      </c>
    </row>
    <row r="35" spans="1:12" x14ac:dyDescent="0.25">
      <c r="A35" s="1">
        <v>41214</v>
      </c>
      <c r="B35">
        <v>5854.8500979999999</v>
      </c>
      <c r="C35">
        <v>5944.75</v>
      </c>
      <c r="D35">
        <v>5714.25</v>
      </c>
      <c r="E35">
        <v>5932.3999020000001</v>
      </c>
      <c r="F35" s="4">
        <f t="shared" si="0"/>
        <v>5866.4501950000003</v>
      </c>
      <c r="G35" s="4">
        <f t="shared" si="1"/>
        <v>5932.3999020000001</v>
      </c>
      <c r="H35" s="4" t="str">
        <f t="shared" si="2"/>
        <v>BUY</v>
      </c>
      <c r="I35" s="4">
        <f t="shared" si="3"/>
        <v>1</v>
      </c>
      <c r="J35" s="11">
        <f t="shared" si="4"/>
        <v>0</v>
      </c>
      <c r="K35" s="6">
        <f t="shared" si="5"/>
        <v>5568.9501950000003</v>
      </c>
      <c r="L35" s="4">
        <f t="shared" si="6"/>
        <v>0</v>
      </c>
    </row>
    <row r="36" spans="1:12" x14ac:dyDescent="0.25">
      <c r="A36" s="1">
        <v>41215</v>
      </c>
      <c r="B36">
        <v>5931.8999020000001</v>
      </c>
      <c r="C36">
        <v>5948.5498049999997</v>
      </c>
      <c r="D36">
        <v>5819.6000979999999</v>
      </c>
      <c r="E36">
        <v>5847.2998049999997</v>
      </c>
      <c r="F36" s="4">
        <f t="shared" si="0"/>
        <v>5847.2998049999997</v>
      </c>
      <c r="G36" s="4">
        <f t="shared" si="1"/>
        <v>5932.3999020000001</v>
      </c>
      <c r="H36" s="4" t="str">
        <f t="shared" si="2"/>
        <v>SELL</v>
      </c>
      <c r="I36" s="4">
        <f t="shared" si="3"/>
        <v>-1</v>
      </c>
      <c r="J36" s="11" t="str">
        <f t="shared" si="4"/>
        <v>SELL</v>
      </c>
      <c r="K36" s="6">
        <f t="shared" si="5"/>
        <v>5847.2998049999997</v>
      </c>
      <c r="L36" s="4">
        <f t="shared" si="6"/>
        <v>4.9982420429960282E-2</v>
      </c>
    </row>
    <row r="37" spans="1:12" x14ac:dyDescent="0.25">
      <c r="A37" s="1">
        <v>41218</v>
      </c>
      <c r="B37">
        <v>5847.1000979999999</v>
      </c>
      <c r="C37">
        <v>5957.2001950000003</v>
      </c>
      <c r="D37">
        <v>5759.9501950000003</v>
      </c>
      <c r="E37">
        <v>5786.5</v>
      </c>
      <c r="F37" s="4">
        <f t="shared" si="0"/>
        <v>5786.5</v>
      </c>
      <c r="G37" s="4">
        <f t="shared" si="1"/>
        <v>5932.3999020000001</v>
      </c>
      <c r="H37" s="4" t="str">
        <f t="shared" si="2"/>
        <v>SELL</v>
      </c>
      <c r="I37" s="4">
        <f t="shared" si="3"/>
        <v>-1</v>
      </c>
      <c r="J37" s="11">
        <f t="shared" si="4"/>
        <v>0</v>
      </c>
      <c r="K37" s="6">
        <f t="shared" si="5"/>
        <v>5847.2998049999997</v>
      </c>
      <c r="L37" s="4">
        <f t="shared" si="6"/>
        <v>0</v>
      </c>
    </row>
    <row r="38" spans="1:12" x14ac:dyDescent="0.25">
      <c r="A38" s="1">
        <v>41219</v>
      </c>
      <c r="B38">
        <v>5782.3999020000001</v>
      </c>
      <c r="C38">
        <v>5861.3500979999999</v>
      </c>
      <c r="D38">
        <v>5744.2998049999997</v>
      </c>
      <c r="E38">
        <v>5782.3500979999999</v>
      </c>
      <c r="F38" s="4">
        <f t="shared" si="0"/>
        <v>5782.3500979999999</v>
      </c>
      <c r="G38" s="4">
        <f t="shared" si="1"/>
        <v>5932.3999020000001</v>
      </c>
      <c r="H38" s="4" t="str">
        <f t="shared" si="2"/>
        <v>SELL</v>
      </c>
      <c r="I38" s="4">
        <f t="shared" si="3"/>
        <v>-1</v>
      </c>
      <c r="J38" s="11">
        <f t="shared" si="4"/>
        <v>0</v>
      </c>
      <c r="K38" s="6">
        <f t="shared" si="5"/>
        <v>5847.2998049999997</v>
      </c>
      <c r="L38" s="4">
        <f t="shared" si="6"/>
        <v>0</v>
      </c>
    </row>
    <row r="39" spans="1:12" x14ac:dyDescent="0.25">
      <c r="A39" s="1">
        <v>41220</v>
      </c>
      <c r="B39">
        <v>5779.2998049999997</v>
      </c>
      <c r="C39">
        <v>5780.7998049999997</v>
      </c>
      <c r="D39">
        <v>5646.75</v>
      </c>
      <c r="E39">
        <v>5698.75</v>
      </c>
      <c r="F39" s="4">
        <f t="shared" si="0"/>
        <v>5698.75</v>
      </c>
      <c r="G39" s="4">
        <f t="shared" si="1"/>
        <v>5932.3999020000001</v>
      </c>
      <c r="H39" s="4" t="str">
        <f t="shared" si="2"/>
        <v>SELL</v>
      </c>
      <c r="I39" s="4">
        <f t="shared" si="3"/>
        <v>-1</v>
      </c>
      <c r="J39" s="11">
        <f t="shared" si="4"/>
        <v>0</v>
      </c>
      <c r="K39" s="6">
        <f t="shared" si="5"/>
        <v>5847.2998049999997</v>
      </c>
      <c r="L39" s="4">
        <f t="shared" si="6"/>
        <v>0</v>
      </c>
    </row>
    <row r="40" spans="1:12" x14ac:dyDescent="0.25">
      <c r="A40" s="1">
        <v>41221</v>
      </c>
      <c r="B40">
        <v>5703.4501950000003</v>
      </c>
      <c r="C40">
        <v>5794.2001950000003</v>
      </c>
      <c r="D40">
        <v>5614.8999020000001</v>
      </c>
      <c r="E40">
        <v>5663.25</v>
      </c>
      <c r="F40" s="4">
        <f t="shared" si="0"/>
        <v>5663.25</v>
      </c>
      <c r="G40" s="4">
        <f t="shared" si="1"/>
        <v>5847.2998049999997</v>
      </c>
      <c r="H40" s="4" t="str">
        <f t="shared" si="2"/>
        <v>SELL</v>
      </c>
      <c r="I40" s="4">
        <f t="shared" si="3"/>
        <v>-1</v>
      </c>
      <c r="J40" s="11">
        <f t="shared" si="4"/>
        <v>0</v>
      </c>
      <c r="K40" s="6">
        <f t="shared" si="5"/>
        <v>5847.2998049999997</v>
      </c>
      <c r="L40" s="4">
        <f t="shared" si="6"/>
        <v>0</v>
      </c>
    </row>
    <row r="41" spans="1:12" x14ac:dyDescent="0.25">
      <c r="A41" s="1">
        <v>41222</v>
      </c>
      <c r="B41">
        <v>5660.6000979999999</v>
      </c>
      <c r="C41">
        <v>5660.6000979999999</v>
      </c>
      <c r="D41">
        <v>5477.5</v>
      </c>
      <c r="E41">
        <v>5617.1000979999999</v>
      </c>
      <c r="F41" s="4">
        <f t="shared" si="0"/>
        <v>5617.1000979999999</v>
      </c>
      <c r="G41" s="4">
        <f t="shared" si="1"/>
        <v>5786.5</v>
      </c>
      <c r="H41" s="4" t="str">
        <f t="shared" si="2"/>
        <v>SELL</v>
      </c>
      <c r="I41" s="4">
        <f t="shared" si="3"/>
        <v>-1</v>
      </c>
      <c r="J41" s="11">
        <f t="shared" si="4"/>
        <v>0</v>
      </c>
      <c r="K41" s="6">
        <f t="shared" si="5"/>
        <v>5847.2998049999997</v>
      </c>
      <c r="L41" s="4">
        <f t="shared" si="6"/>
        <v>0</v>
      </c>
    </row>
    <row r="42" spans="1:12" x14ac:dyDescent="0.25">
      <c r="A42" s="1">
        <v>41225</v>
      </c>
      <c r="B42">
        <v>5612.3500979999999</v>
      </c>
      <c r="C42">
        <v>5758.8500979999999</v>
      </c>
      <c r="D42">
        <v>5591.6000979999999</v>
      </c>
      <c r="E42">
        <v>5695.3999020000001</v>
      </c>
      <c r="F42" s="4">
        <f t="shared" si="0"/>
        <v>5617.1000979999999</v>
      </c>
      <c r="G42" s="4">
        <f t="shared" si="1"/>
        <v>5782.3500979999999</v>
      </c>
      <c r="H42" s="4">
        <f t="shared" si="2"/>
        <v>0</v>
      </c>
      <c r="I42" s="4">
        <f t="shared" si="3"/>
        <v>-1</v>
      </c>
      <c r="J42" s="11">
        <f t="shared" si="4"/>
        <v>0</v>
      </c>
      <c r="K42" s="6">
        <f t="shared" si="5"/>
        <v>5847.2998049999997</v>
      </c>
      <c r="L42" s="4">
        <f t="shared" si="6"/>
        <v>0</v>
      </c>
    </row>
    <row r="43" spans="1:12" x14ac:dyDescent="0.25">
      <c r="A43" s="1">
        <v>41226</v>
      </c>
      <c r="B43">
        <v>5703.9501950000003</v>
      </c>
      <c r="C43">
        <v>5950.2001950000003</v>
      </c>
      <c r="D43">
        <v>5700.0498049999997</v>
      </c>
      <c r="E43">
        <v>5937.8999020000001</v>
      </c>
      <c r="F43" s="4">
        <f t="shared" si="0"/>
        <v>5617.1000979999999</v>
      </c>
      <c r="G43" s="4">
        <f t="shared" si="1"/>
        <v>5937.8999020000001</v>
      </c>
      <c r="H43" s="4" t="str">
        <f t="shared" si="2"/>
        <v>BUY</v>
      </c>
      <c r="I43" s="4">
        <f t="shared" si="3"/>
        <v>1</v>
      </c>
      <c r="J43" s="11" t="str">
        <f t="shared" si="4"/>
        <v>BUY</v>
      </c>
      <c r="K43" s="6">
        <f t="shared" si="5"/>
        <v>5937.8999020000001</v>
      </c>
      <c r="L43" s="4">
        <f t="shared" si="6"/>
        <v>-1.549434782231086E-2</v>
      </c>
    </row>
    <row r="44" spans="1:12" x14ac:dyDescent="0.25">
      <c r="A44" s="1">
        <v>41227</v>
      </c>
      <c r="B44">
        <v>5942.7001950000003</v>
      </c>
      <c r="C44">
        <v>5966.9501950000003</v>
      </c>
      <c r="D44">
        <v>5895.6499020000001</v>
      </c>
      <c r="E44">
        <v>5912.1000979999999</v>
      </c>
      <c r="F44" s="4">
        <f t="shared" si="0"/>
        <v>5617.1000979999999</v>
      </c>
      <c r="G44" s="4">
        <f t="shared" si="1"/>
        <v>5937.8999020000001</v>
      </c>
      <c r="H44" s="4">
        <f t="shared" si="2"/>
        <v>0</v>
      </c>
      <c r="I44" s="4">
        <f t="shared" si="3"/>
        <v>1</v>
      </c>
      <c r="J44" s="11">
        <f t="shared" si="4"/>
        <v>0</v>
      </c>
      <c r="K44" s="6">
        <f t="shared" si="5"/>
        <v>5937.8999020000001</v>
      </c>
      <c r="L44" s="4">
        <f t="shared" si="6"/>
        <v>0</v>
      </c>
    </row>
    <row r="45" spans="1:12" x14ac:dyDescent="0.25">
      <c r="A45" s="1">
        <v>41228</v>
      </c>
      <c r="B45">
        <v>5913.1499020000001</v>
      </c>
      <c r="C45">
        <v>5948.0498049999997</v>
      </c>
      <c r="D45">
        <v>5817.3999020000001</v>
      </c>
      <c r="E45">
        <v>5906.8500979999999</v>
      </c>
      <c r="F45" s="4">
        <f t="shared" si="0"/>
        <v>5617.1000979999999</v>
      </c>
      <c r="G45" s="4">
        <f t="shared" si="1"/>
        <v>5937.8999020000001</v>
      </c>
      <c r="H45" s="4">
        <f t="shared" si="2"/>
        <v>0</v>
      </c>
      <c r="I45" s="4">
        <f t="shared" si="3"/>
        <v>1</v>
      </c>
      <c r="J45" s="11">
        <f t="shared" si="4"/>
        <v>0</v>
      </c>
      <c r="K45" s="6">
        <f t="shared" si="5"/>
        <v>5937.8999020000001</v>
      </c>
      <c r="L45" s="4">
        <f t="shared" si="6"/>
        <v>0</v>
      </c>
    </row>
    <row r="46" spans="1:12" x14ac:dyDescent="0.25">
      <c r="A46" s="1">
        <v>41229</v>
      </c>
      <c r="B46">
        <v>5908.0498049999997</v>
      </c>
      <c r="C46">
        <v>5981.7998049999997</v>
      </c>
      <c r="D46">
        <v>5893.7998049999997</v>
      </c>
      <c r="E46">
        <v>5907.6499020000001</v>
      </c>
      <c r="F46" s="4">
        <f t="shared" si="0"/>
        <v>5695.3999020000001</v>
      </c>
      <c r="G46" s="4">
        <f t="shared" si="1"/>
        <v>5937.8999020000001</v>
      </c>
      <c r="H46" s="4">
        <f t="shared" si="2"/>
        <v>0</v>
      </c>
      <c r="I46" s="4">
        <f t="shared" si="3"/>
        <v>1</v>
      </c>
      <c r="J46" s="11">
        <f t="shared" si="4"/>
        <v>0</v>
      </c>
      <c r="K46" s="6">
        <f t="shared" si="5"/>
        <v>5937.8999020000001</v>
      </c>
      <c r="L46" s="4">
        <f t="shared" si="6"/>
        <v>0</v>
      </c>
    </row>
    <row r="47" spans="1:12" x14ac:dyDescent="0.25">
      <c r="A47" s="1">
        <v>41232</v>
      </c>
      <c r="B47">
        <v>5911.25</v>
      </c>
      <c r="C47">
        <v>5923.7001950000003</v>
      </c>
      <c r="D47">
        <v>5755.7998049999997</v>
      </c>
      <c r="E47">
        <v>5780.8999020000001</v>
      </c>
      <c r="F47" s="4">
        <f t="shared" si="0"/>
        <v>5780.8999020000001</v>
      </c>
      <c r="G47" s="4">
        <f t="shared" si="1"/>
        <v>5937.8999020000001</v>
      </c>
      <c r="H47" s="4">
        <f t="shared" si="2"/>
        <v>0</v>
      </c>
      <c r="I47" s="4">
        <f t="shared" si="3"/>
        <v>1</v>
      </c>
      <c r="J47" s="11">
        <f t="shared" si="4"/>
        <v>0</v>
      </c>
      <c r="K47" s="6">
        <f t="shared" si="5"/>
        <v>5937.8999020000001</v>
      </c>
      <c r="L47" s="4">
        <f t="shared" si="6"/>
        <v>0</v>
      </c>
    </row>
    <row r="48" spans="1:12" x14ac:dyDescent="0.25">
      <c r="A48" s="1">
        <v>41233</v>
      </c>
      <c r="B48">
        <v>5778.7998049999997</v>
      </c>
      <c r="C48">
        <v>5790.0498049999997</v>
      </c>
      <c r="D48">
        <v>5530.8500979999999</v>
      </c>
      <c r="E48">
        <v>5561.0498049999997</v>
      </c>
      <c r="F48" s="4">
        <f t="shared" si="0"/>
        <v>5561.0498049999997</v>
      </c>
      <c r="G48" s="4">
        <f t="shared" si="1"/>
        <v>5912.1000979999999</v>
      </c>
      <c r="H48" s="4" t="str">
        <f t="shared" si="2"/>
        <v>SELL</v>
      </c>
      <c r="I48" s="4">
        <f t="shared" si="3"/>
        <v>-1</v>
      </c>
      <c r="J48" s="11" t="str">
        <f t="shared" si="4"/>
        <v>SELL</v>
      </c>
      <c r="K48" s="6">
        <f t="shared" si="5"/>
        <v>5561.0498049999997</v>
      </c>
      <c r="L48" s="4">
        <f t="shared" si="6"/>
        <v>-6.3465215517201634E-2</v>
      </c>
    </row>
    <row r="49" spans="1:12" x14ac:dyDescent="0.25">
      <c r="A49" s="1">
        <v>41234</v>
      </c>
      <c r="B49">
        <v>5564.6499020000001</v>
      </c>
      <c r="C49">
        <v>5608.6499020000001</v>
      </c>
      <c r="D49">
        <v>5394.3500979999999</v>
      </c>
      <c r="E49">
        <v>5519.3500979999999</v>
      </c>
      <c r="F49" s="4">
        <f t="shared" si="0"/>
        <v>5519.3500979999999</v>
      </c>
      <c r="G49" s="4">
        <f t="shared" si="1"/>
        <v>5907.6499020000001</v>
      </c>
      <c r="H49" s="4" t="str">
        <f t="shared" si="2"/>
        <v>SELL</v>
      </c>
      <c r="I49" s="4">
        <f t="shared" si="3"/>
        <v>-1</v>
      </c>
      <c r="J49" s="11">
        <f t="shared" si="4"/>
        <v>0</v>
      </c>
      <c r="K49" s="6">
        <f t="shared" si="5"/>
        <v>5561.0498049999997</v>
      </c>
      <c r="L49" s="4">
        <f t="shared" si="6"/>
        <v>0</v>
      </c>
    </row>
    <row r="50" spans="1:12" x14ac:dyDescent="0.25">
      <c r="A50" s="1">
        <v>41235</v>
      </c>
      <c r="B50">
        <v>5524.2998049999997</v>
      </c>
      <c r="C50">
        <v>5638.6000979999999</v>
      </c>
      <c r="D50">
        <v>5514.75</v>
      </c>
      <c r="E50">
        <v>5608.6000979999999</v>
      </c>
      <c r="F50" s="4">
        <f t="shared" si="0"/>
        <v>5519.3500979999999</v>
      </c>
      <c r="G50" s="4">
        <f t="shared" si="1"/>
        <v>5907.6499020000001</v>
      </c>
      <c r="H50" s="4">
        <f t="shared" si="2"/>
        <v>0</v>
      </c>
      <c r="I50" s="4">
        <f t="shared" si="3"/>
        <v>-1</v>
      </c>
      <c r="J50" s="11">
        <f t="shared" si="4"/>
        <v>0</v>
      </c>
      <c r="K50" s="6">
        <f t="shared" si="5"/>
        <v>5561.0498049999997</v>
      </c>
      <c r="L50" s="4">
        <f t="shared" si="6"/>
        <v>0</v>
      </c>
    </row>
    <row r="51" spans="1:12" x14ac:dyDescent="0.25">
      <c r="A51" s="1">
        <v>41236</v>
      </c>
      <c r="B51">
        <v>5611.2998049999997</v>
      </c>
      <c r="C51">
        <v>5772.5498049999997</v>
      </c>
      <c r="D51">
        <v>5608.9501950000003</v>
      </c>
      <c r="E51">
        <v>5731.7001950000003</v>
      </c>
      <c r="F51" s="4">
        <f t="shared" si="0"/>
        <v>5519.3500979999999</v>
      </c>
      <c r="G51" s="4">
        <f t="shared" si="1"/>
        <v>5780.8999020000001</v>
      </c>
      <c r="H51" s="4">
        <f t="shared" si="2"/>
        <v>0</v>
      </c>
      <c r="I51" s="4">
        <f t="shared" si="3"/>
        <v>-1</v>
      </c>
      <c r="J51" s="11">
        <f t="shared" si="4"/>
        <v>0</v>
      </c>
      <c r="K51" s="6">
        <f t="shared" si="5"/>
        <v>5561.0498049999997</v>
      </c>
      <c r="L51" s="4">
        <f t="shared" si="6"/>
        <v>0</v>
      </c>
    </row>
    <row r="52" spans="1:12" x14ac:dyDescent="0.25">
      <c r="A52" s="1">
        <v>41239</v>
      </c>
      <c r="B52">
        <v>5729.25</v>
      </c>
      <c r="C52">
        <v>5743.5498049999997</v>
      </c>
      <c r="D52">
        <v>5655.6000979999999</v>
      </c>
      <c r="E52">
        <v>5698.1499020000001</v>
      </c>
      <c r="F52" s="4">
        <f t="shared" si="0"/>
        <v>5519.3500979999999</v>
      </c>
      <c r="G52" s="4">
        <f t="shared" si="1"/>
        <v>5731.7001950000003</v>
      </c>
      <c r="H52" s="4">
        <f t="shared" si="2"/>
        <v>0</v>
      </c>
      <c r="I52" s="4">
        <f t="shared" si="3"/>
        <v>-1</v>
      </c>
      <c r="J52" s="11">
        <f t="shared" si="4"/>
        <v>0</v>
      </c>
      <c r="K52" s="6">
        <f t="shared" si="5"/>
        <v>5561.0498049999997</v>
      </c>
      <c r="L52" s="4">
        <f t="shared" si="6"/>
        <v>0</v>
      </c>
    </row>
    <row r="53" spans="1:12" x14ac:dyDescent="0.25">
      <c r="A53" s="1">
        <v>41240</v>
      </c>
      <c r="B53">
        <v>5699.5498049999997</v>
      </c>
      <c r="C53">
        <v>5749.9501950000003</v>
      </c>
      <c r="D53">
        <v>5595.5</v>
      </c>
      <c r="E53">
        <v>5617.5498049999997</v>
      </c>
      <c r="F53" s="4">
        <f t="shared" si="0"/>
        <v>5519.3500979999999</v>
      </c>
      <c r="G53" s="4">
        <f t="shared" si="1"/>
        <v>5731.7001950000003</v>
      </c>
      <c r="H53" s="4">
        <f t="shared" si="2"/>
        <v>0</v>
      </c>
      <c r="I53" s="4">
        <f t="shared" si="3"/>
        <v>-1</v>
      </c>
      <c r="J53" s="11">
        <f t="shared" si="4"/>
        <v>0</v>
      </c>
      <c r="K53" s="6">
        <f t="shared" si="5"/>
        <v>5561.0498049999997</v>
      </c>
      <c r="L53" s="4">
        <f t="shared" si="6"/>
        <v>0</v>
      </c>
    </row>
    <row r="54" spans="1:12" x14ac:dyDescent="0.25">
      <c r="A54" s="1">
        <v>41241</v>
      </c>
      <c r="B54">
        <v>5617.7998049999997</v>
      </c>
      <c r="C54">
        <v>5725</v>
      </c>
      <c r="D54">
        <v>5612.1000979999999</v>
      </c>
      <c r="E54">
        <v>5634.6000979999999</v>
      </c>
      <c r="F54" s="4">
        <f t="shared" si="0"/>
        <v>5608.6000979999999</v>
      </c>
      <c r="G54" s="4">
        <f t="shared" si="1"/>
        <v>5731.7001950000003</v>
      </c>
      <c r="H54" s="4">
        <f t="shared" si="2"/>
        <v>0</v>
      </c>
      <c r="I54" s="4">
        <f t="shared" si="3"/>
        <v>-1</v>
      </c>
      <c r="J54" s="11">
        <f t="shared" si="4"/>
        <v>0</v>
      </c>
      <c r="K54" s="6">
        <f t="shared" si="5"/>
        <v>5561.0498049999997</v>
      </c>
      <c r="L54" s="4">
        <f t="shared" si="6"/>
        <v>0</v>
      </c>
    </row>
    <row r="55" spans="1:12" x14ac:dyDescent="0.25">
      <c r="A55" s="1">
        <v>41242</v>
      </c>
      <c r="B55">
        <v>5633.8999020000001</v>
      </c>
      <c r="C55">
        <v>5782.5498049999997</v>
      </c>
      <c r="D55">
        <v>5632.6499020000001</v>
      </c>
      <c r="E55">
        <v>5762.75</v>
      </c>
      <c r="F55" s="4">
        <f t="shared" si="0"/>
        <v>5617.5498049999997</v>
      </c>
      <c r="G55" s="4">
        <f t="shared" si="1"/>
        <v>5762.75</v>
      </c>
      <c r="H55" s="4" t="str">
        <f t="shared" si="2"/>
        <v>BUY</v>
      </c>
      <c r="I55" s="4">
        <f t="shared" si="3"/>
        <v>1</v>
      </c>
      <c r="J55" s="11" t="str">
        <f t="shared" si="4"/>
        <v>BUY</v>
      </c>
      <c r="K55" s="6">
        <f t="shared" si="5"/>
        <v>5762.75</v>
      </c>
      <c r="L55" s="4">
        <f t="shared" si="6"/>
        <v>-3.6270165179720121E-2</v>
      </c>
    </row>
    <row r="56" spans="1:12" x14ac:dyDescent="0.25">
      <c r="A56" s="1">
        <v>41243</v>
      </c>
      <c r="B56">
        <v>5765.4501950000003</v>
      </c>
      <c r="C56">
        <v>5878.7998049999997</v>
      </c>
      <c r="D56">
        <v>5754.6000979999999</v>
      </c>
      <c r="E56">
        <v>5865</v>
      </c>
      <c r="F56" s="4">
        <f t="shared" si="0"/>
        <v>5617.5498049999997</v>
      </c>
      <c r="G56" s="4">
        <f t="shared" si="1"/>
        <v>5865</v>
      </c>
      <c r="H56" s="4" t="str">
        <f t="shared" si="2"/>
        <v>BUY</v>
      </c>
      <c r="I56" s="4">
        <f t="shared" si="3"/>
        <v>1</v>
      </c>
      <c r="J56" s="11">
        <f t="shared" si="4"/>
        <v>0</v>
      </c>
      <c r="K56" s="6">
        <f t="shared" si="5"/>
        <v>5762.75</v>
      </c>
      <c r="L56" s="4">
        <f t="shared" si="6"/>
        <v>0</v>
      </c>
    </row>
    <row r="57" spans="1:12" x14ac:dyDescent="0.25">
      <c r="A57" s="1">
        <v>41246</v>
      </c>
      <c r="B57">
        <v>5870.2001950000003</v>
      </c>
      <c r="C57">
        <v>5897.25</v>
      </c>
      <c r="D57">
        <v>5840.2998049999997</v>
      </c>
      <c r="E57">
        <v>5858.3500979999999</v>
      </c>
      <c r="F57" s="4">
        <f t="shared" si="0"/>
        <v>5617.5498049999997</v>
      </c>
      <c r="G57" s="4">
        <f t="shared" si="1"/>
        <v>5865</v>
      </c>
      <c r="H57" s="4">
        <f t="shared" si="2"/>
        <v>0</v>
      </c>
      <c r="I57" s="4">
        <f t="shared" si="3"/>
        <v>1</v>
      </c>
      <c r="J57" s="11">
        <f t="shared" si="4"/>
        <v>0</v>
      </c>
      <c r="K57" s="6">
        <f t="shared" si="5"/>
        <v>5762.75</v>
      </c>
      <c r="L57" s="4">
        <f t="shared" si="6"/>
        <v>0</v>
      </c>
    </row>
    <row r="58" spans="1:12" x14ac:dyDescent="0.25">
      <c r="A58" s="1">
        <v>41247</v>
      </c>
      <c r="B58">
        <v>5861.8999020000001</v>
      </c>
      <c r="C58">
        <v>5949.2998049999997</v>
      </c>
      <c r="D58">
        <v>5859.9501950000003</v>
      </c>
      <c r="E58">
        <v>5940</v>
      </c>
      <c r="F58" s="4">
        <f t="shared" si="0"/>
        <v>5634.6000979999999</v>
      </c>
      <c r="G58" s="4">
        <f t="shared" si="1"/>
        <v>5940</v>
      </c>
      <c r="H58" s="4" t="str">
        <f t="shared" si="2"/>
        <v>BUY</v>
      </c>
      <c r="I58" s="4">
        <f t="shared" si="3"/>
        <v>1</v>
      </c>
      <c r="J58" s="11">
        <f t="shared" si="4"/>
        <v>0</v>
      </c>
      <c r="K58" s="6">
        <f t="shared" si="5"/>
        <v>5762.75</v>
      </c>
      <c r="L58" s="4">
        <f t="shared" si="6"/>
        <v>0</v>
      </c>
    </row>
    <row r="59" spans="1:12" x14ac:dyDescent="0.25">
      <c r="A59" s="1">
        <v>41248</v>
      </c>
      <c r="B59">
        <v>5941.0498049999997</v>
      </c>
      <c r="C59">
        <v>6027.0498049999997</v>
      </c>
      <c r="D59">
        <v>5919.7998049999997</v>
      </c>
      <c r="E59">
        <v>5954.7001950000003</v>
      </c>
      <c r="F59" s="4">
        <f t="shared" si="0"/>
        <v>5762.75</v>
      </c>
      <c r="G59" s="4">
        <f t="shared" si="1"/>
        <v>5954.7001950000003</v>
      </c>
      <c r="H59" s="4" t="str">
        <f t="shared" si="2"/>
        <v>BUY</v>
      </c>
      <c r="I59" s="4">
        <f t="shared" si="3"/>
        <v>1</v>
      </c>
      <c r="J59" s="11">
        <f t="shared" si="4"/>
        <v>0</v>
      </c>
      <c r="K59" s="6">
        <f t="shared" si="5"/>
        <v>5762.75</v>
      </c>
      <c r="L59" s="4">
        <f t="shared" si="6"/>
        <v>0</v>
      </c>
    </row>
    <row r="60" spans="1:12" x14ac:dyDescent="0.25">
      <c r="A60" s="1">
        <v>41249</v>
      </c>
      <c r="B60">
        <v>5963.6000979999999</v>
      </c>
      <c r="C60">
        <v>6042.1000979999999</v>
      </c>
      <c r="D60">
        <v>5894.7998049999997</v>
      </c>
      <c r="E60">
        <v>5974.2998049999997</v>
      </c>
      <c r="F60" s="4">
        <f t="shared" si="0"/>
        <v>5858.3500979999999</v>
      </c>
      <c r="G60" s="4">
        <f t="shared" si="1"/>
        <v>5974.2998049999997</v>
      </c>
      <c r="H60" s="4" t="str">
        <f t="shared" si="2"/>
        <v>BUY</v>
      </c>
      <c r="I60" s="4">
        <f t="shared" si="3"/>
        <v>1</v>
      </c>
      <c r="J60" s="11">
        <f t="shared" si="4"/>
        <v>0</v>
      </c>
      <c r="K60" s="6">
        <f t="shared" si="5"/>
        <v>5762.75</v>
      </c>
      <c r="L60" s="4">
        <f t="shared" si="6"/>
        <v>0</v>
      </c>
    </row>
    <row r="61" spans="1:12" x14ac:dyDescent="0.25">
      <c r="A61" s="1">
        <v>41250</v>
      </c>
      <c r="B61">
        <v>5974</v>
      </c>
      <c r="C61">
        <v>6015.2998049999997</v>
      </c>
      <c r="D61">
        <v>5923.3500979999999</v>
      </c>
      <c r="E61">
        <v>5960.6000979999999</v>
      </c>
      <c r="F61" s="4">
        <f t="shared" si="0"/>
        <v>5858.3500979999999</v>
      </c>
      <c r="G61" s="4">
        <f t="shared" si="1"/>
        <v>5974.2998049999997</v>
      </c>
      <c r="H61" s="4">
        <f t="shared" si="2"/>
        <v>0</v>
      </c>
      <c r="I61" s="4">
        <f t="shared" si="3"/>
        <v>1</v>
      </c>
      <c r="J61" s="11">
        <f t="shared" si="4"/>
        <v>0</v>
      </c>
      <c r="K61" s="6">
        <f t="shared" si="5"/>
        <v>5762.75</v>
      </c>
      <c r="L61" s="4">
        <f t="shared" si="6"/>
        <v>0</v>
      </c>
    </row>
    <row r="62" spans="1:12" x14ac:dyDescent="0.25">
      <c r="A62" s="1">
        <v>41253</v>
      </c>
      <c r="B62">
        <v>5960.3999020000001</v>
      </c>
      <c r="C62">
        <v>6111.2001950000003</v>
      </c>
      <c r="D62">
        <v>5960.3999020000001</v>
      </c>
      <c r="E62">
        <v>6097.25</v>
      </c>
      <c r="F62" s="4">
        <f t="shared" si="0"/>
        <v>5940</v>
      </c>
      <c r="G62" s="4">
        <f t="shared" si="1"/>
        <v>6097.25</v>
      </c>
      <c r="H62" s="4" t="str">
        <f t="shared" si="2"/>
        <v>BUY</v>
      </c>
      <c r="I62" s="4">
        <f t="shared" si="3"/>
        <v>1</v>
      </c>
      <c r="J62" s="11">
        <f t="shared" si="4"/>
        <v>0</v>
      </c>
      <c r="K62" s="6">
        <f t="shared" si="5"/>
        <v>5762.75</v>
      </c>
      <c r="L62" s="4">
        <f t="shared" si="6"/>
        <v>0</v>
      </c>
    </row>
    <row r="63" spans="1:12" x14ac:dyDescent="0.25">
      <c r="A63" s="1">
        <v>41254</v>
      </c>
      <c r="B63">
        <v>6067.0498049999997</v>
      </c>
      <c r="C63">
        <v>6175.6499020000001</v>
      </c>
      <c r="D63">
        <v>6005.4501950000003</v>
      </c>
      <c r="E63">
        <v>6159.2998049999997</v>
      </c>
      <c r="F63" s="4">
        <f t="shared" si="0"/>
        <v>5954.7001950000003</v>
      </c>
      <c r="G63" s="4">
        <f t="shared" si="1"/>
        <v>6159.2998049999997</v>
      </c>
      <c r="H63" s="4" t="str">
        <f t="shared" si="2"/>
        <v>BUY</v>
      </c>
      <c r="I63" s="4">
        <f t="shared" si="3"/>
        <v>1</v>
      </c>
      <c r="J63" s="11">
        <f t="shared" si="4"/>
        <v>0</v>
      </c>
      <c r="K63" s="6">
        <f t="shared" si="5"/>
        <v>5762.75</v>
      </c>
      <c r="L63" s="4">
        <f t="shared" si="6"/>
        <v>0</v>
      </c>
    </row>
    <row r="64" spans="1:12" x14ac:dyDescent="0.25">
      <c r="A64" s="1">
        <v>41255</v>
      </c>
      <c r="B64">
        <v>6159.25</v>
      </c>
      <c r="C64">
        <v>6185.3999020000001</v>
      </c>
      <c r="D64">
        <v>6040.3999020000001</v>
      </c>
      <c r="E64">
        <v>6058.1000979999999</v>
      </c>
      <c r="F64" s="4">
        <f t="shared" si="0"/>
        <v>5960.6000979999999</v>
      </c>
      <c r="G64" s="4">
        <f t="shared" si="1"/>
        <v>6159.2998049999997</v>
      </c>
      <c r="H64" s="4">
        <f t="shared" si="2"/>
        <v>0</v>
      </c>
      <c r="I64" s="4">
        <f t="shared" si="3"/>
        <v>1</v>
      </c>
      <c r="J64" s="11">
        <f t="shared" si="4"/>
        <v>0</v>
      </c>
      <c r="K64" s="6">
        <f t="shared" si="5"/>
        <v>5762.75</v>
      </c>
      <c r="L64" s="4">
        <f t="shared" si="6"/>
        <v>0</v>
      </c>
    </row>
    <row r="65" spans="1:12" x14ac:dyDescent="0.25">
      <c r="A65" s="1">
        <v>41256</v>
      </c>
      <c r="B65">
        <v>6056.2001950000003</v>
      </c>
      <c r="C65">
        <v>6078.5498049999997</v>
      </c>
      <c r="D65">
        <v>6015.0498049999997</v>
      </c>
      <c r="E65">
        <v>6047.7001950000003</v>
      </c>
      <c r="F65" s="4">
        <f t="shared" si="0"/>
        <v>5960.6000979999999</v>
      </c>
      <c r="G65" s="4">
        <f t="shared" si="1"/>
        <v>6159.2998049999997</v>
      </c>
      <c r="H65" s="4">
        <f t="shared" si="2"/>
        <v>0</v>
      </c>
      <c r="I65" s="4">
        <f t="shared" si="3"/>
        <v>1</v>
      </c>
      <c r="J65" s="11">
        <f t="shared" si="4"/>
        <v>0</v>
      </c>
      <c r="K65" s="6">
        <f t="shared" si="5"/>
        <v>5762.75</v>
      </c>
      <c r="L65" s="4">
        <f t="shared" si="6"/>
        <v>0</v>
      </c>
    </row>
    <row r="66" spans="1:12" x14ac:dyDescent="0.25">
      <c r="A66" s="1">
        <v>41257</v>
      </c>
      <c r="B66">
        <v>6037.9501950000003</v>
      </c>
      <c r="C66">
        <v>6039.9501950000003</v>
      </c>
      <c r="D66">
        <v>5740.6000979999999</v>
      </c>
      <c r="E66">
        <v>5777</v>
      </c>
      <c r="F66" s="4">
        <f t="shared" si="0"/>
        <v>5777</v>
      </c>
      <c r="G66" s="4">
        <f t="shared" si="1"/>
        <v>6159.2998049999997</v>
      </c>
      <c r="H66" s="4" t="str">
        <f t="shared" si="2"/>
        <v>SELL</v>
      </c>
      <c r="I66" s="4">
        <f t="shared" si="3"/>
        <v>-1</v>
      </c>
      <c r="J66" s="11" t="str">
        <f t="shared" si="4"/>
        <v>SELL</v>
      </c>
      <c r="K66" s="6">
        <f t="shared" si="5"/>
        <v>5777</v>
      </c>
      <c r="L66" s="4">
        <f t="shared" si="6"/>
        <v>2.47277775367663E-3</v>
      </c>
    </row>
    <row r="67" spans="1:12" x14ac:dyDescent="0.25">
      <c r="A67" s="1">
        <v>41260</v>
      </c>
      <c r="B67">
        <v>5777.6000979999999</v>
      </c>
      <c r="C67">
        <v>5874.6000979999999</v>
      </c>
      <c r="D67">
        <v>5710.6000979999999</v>
      </c>
      <c r="E67">
        <v>5742.2998049999997</v>
      </c>
      <c r="F67" s="4">
        <f t="shared" si="0"/>
        <v>5742.2998049999997</v>
      </c>
      <c r="G67" s="4">
        <f t="shared" si="1"/>
        <v>6159.2998049999997</v>
      </c>
      <c r="H67" s="4" t="str">
        <f t="shared" si="2"/>
        <v>SELL</v>
      </c>
      <c r="I67" s="4">
        <f t="shared" si="3"/>
        <v>-1</v>
      </c>
      <c r="J67" s="11">
        <f t="shared" si="4"/>
        <v>0</v>
      </c>
      <c r="K67" s="6">
        <f t="shared" si="5"/>
        <v>5777</v>
      </c>
      <c r="L67" s="4">
        <f t="shared" si="6"/>
        <v>0</v>
      </c>
    </row>
    <row r="68" spans="1:12" x14ac:dyDescent="0.25">
      <c r="A68" s="1">
        <v>41261</v>
      </c>
      <c r="B68">
        <v>5730.25</v>
      </c>
      <c r="C68">
        <v>5840.7998049999997</v>
      </c>
      <c r="D68">
        <v>5676.7001950000003</v>
      </c>
      <c r="E68">
        <v>5751.1499020000001</v>
      </c>
      <c r="F68" s="4">
        <f t="shared" si="0"/>
        <v>5742.2998049999997</v>
      </c>
      <c r="G68" s="4">
        <f t="shared" si="1"/>
        <v>6058.1000979999999</v>
      </c>
      <c r="H68" s="4">
        <f t="shared" si="2"/>
        <v>0</v>
      </c>
      <c r="I68" s="4">
        <f t="shared" si="3"/>
        <v>-1</v>
      </c>
      <c r="J68" s="11">
        <f t="shared" si="4"/>
        <v>0</v>
      </c>
      <c r="K68" s="6">
        <f t="shared" si="5"/>
        <v>5777</v>
      </c>
      <c r="L68" s="4">
        <f t="shared" si="6"/>
        <v>0</v>
      </c>
    </row>
    <row r="69" spans="1:12" x14ac:dyDescent="0.25">
      <c r="A69" s="1">
        <v>41262</v>
      </c>
      <c r="B69">
        <v>5751.75</v>
      </c>
      <c r="C69">
        <v>5799.5</v>
      </c>
      <c r="D69">
        <v>5742.75</v>
      </c>
      <c r="E69">
        <v>5766.5</v>
      </c>
      <c r="F69" s="4">
        <f t="shared" si="0"/>
        <v>5742.2998049999997</v>
      </c>
      <c r="G69" s="4">
        <f t="shared" si="1"/>
        <v>6047.7001950000003</v>
      </c>
      <c r="H69" s="4">
        <f t="shared" si="2"/>
        <v>0</v>
      </c>
      <c r="I69" s="4">
        <f t="shared" si="3"/>
        <v>-1</v>
      </c>
      <c r="J69" s="11">
        <f t="shared" si="4"/>
        <v>0</v>
      </c>
      <c r="K69" s="6">
        <f t="shared" si="5"/>
        <v>5777</v>
      </c>
      <c r="L69" s="4">
        <f t="shared" si="6"/>
        <v>0</v>
      </c>
    </row>
    <row r="70" spans="1:12" x14ac:dyDescent="0.25">
      <c r="A70" s="1">
        <v>41263</v>
      </c>
      <c r="B70">
        <v>5771.2998049999997</v>
      </c>
      <c r="C70">
        <v>6001.0498049999997</v>
      </c>
      <c r="D70">
        <v>5771.2998049999997</v>
      </c>
      <c r="E70">
        <v>5985.1000979999999</v>
      </c>
      <c r="F70" s="4">
        <f t="shared" si="0"/>
        <v>5742.2998049999997</v>
      </c>
      <c r="G70" s="4">
        <f t="shared" si="1"/>
        <v>5985.1000979999999</v>
      </c>
      <c r="H70" s="4">
        <f t="shared" si="2"/>
        <v>0</v>
      </c>
      <c r="I70" s="4">
        <f t="shared" ref="I70:I133" si="7">IF(AND(H70="BUY",I69&lt;&gt;1),1,IF(AND(H70="SELL",I69&lt;&gt;-1),-1,I69))</f>
        <v>-1</v>
      </c>
      <c r="J70" s="11">
        <f t="shared" si="4"/>
        <v>0</v>
      </c>
      <c r="K70" s="6">
        <f t="shared" si="5"/>
        <v>5777</v>
      </c>
      <c r="L70" s="4">
        <f t="shared" si="6"/>
        <v>0</v>
      </c>
    </row>
    <row r="71" spans="1:12" x14ac:dyDescent="0.25">
      <c r="A71" s="1">
        <v>41264</v>
      </c>
      <c r="B71">
        <v>5988.4501950000003</v>
      </c>
      <c r="C71">
        <v>6085.25</v>
      </c>
      <c r="D71">
        <v>5988.4501950000003</v>
      </c>
      <c r="E71">
        <v>6070.75</v>
      </c>
      <c r="F71" s="4">
        <f t="shared" ref="F71:F134" si="8">MIN(E67:E71)</f>
        <v>5742.2998049999997</v>
      </c>
      <c r="G71" s="4">
        <f t="shared" ref="G71:G134" si="9">MAX(E67:E71)</f>
        <v>6070.75</v>
      </c>
      <c r="H71" s="4" t="str">
        <f t="shared" ref="H71:H134" si="10">IF(E71&gt;G70,"BUY",IF(E71&lt;F70,"SELL",0))</f>
        <v>BUY</v>
      </c>
      <c r="I71" s="4">
        <f t="shared" si="7"/>
        <v>1</v>
      </c>
      <c r="J71" s="11" t="str">
        <f t="shared" ref="J71:J134" si="11">IF(I71&lt;&gt;I70,H71,0)</f>
        <v>BUY</v>
      </c>
      <c r="K71" s="6">
        <f t="shared" ref="K71:K134" si="12">IF(J71&lt;&gt;0,E71,K70)</f>
        <v>6070.75</v>
      </c>
      <c r="L71" s="4">
        <f t="shared" si="6"/>
        <v>-5.0848191102648432E-2</v>
      </c>
    </row>
    <row r="72" spans="1:12" x14ac:dyDescent="0.25">
      <c r="A72" s="1">
        <v>41267</v>
      </c>
      <c r="B72">
        <v>6069</v>
      </c>
      <c r="C72">
        <v>6110.8500979999999</v>
      </c>
      <c r="D72">
        <v>6060.2001950000003</v>
      </c>
      <c r="E72">
        <v>6081.5</v>
      </c>
      <c r="F72" s="4">
        <f t="shared" si="8"/>
        <v>5751.1499020000001</v>
      </c>
      <c r="G72" s="4">
        <f t="shared" si="9"/>
        <v>6081.5</v>
      </c>
      <c r="H72" s="4" t="str">
        <f t="shared" si="10"/>
        <v>BUY</v>
      </c>
      <c r="I72" s="4">
        <f t="shared" si="7"/>
        <v>1</v>
      </c>
      <c r="J72" s="11">
        <f t="shared" si="11"/>
        <v>0</v>
      </c>
      <c r="K72" s="6">
        <f t="shared" si="12"/>
        <v>6070.75</v>
      </c>
      <c r="L72" s="4">
        <f t="shared" ref="L72:L135" si="13">IF(J72="BUY",(K71-K72)/K71,IF(J72="SELL",(K73-K71)/K71,0))</f>
        <v>0</v>
      </c>
    </row>
    <row r="73" spans="1:12" x14ac:dyDescent="0.25">
      <c r="A73" s="1">
        <v>41268</v>
      </c>
      <c r="B73">
        <v>6079.5498049999997</v>
      </c>
      <c r="C73">
        <v>6098.6000979999999</v>
      </c>
      <c r="D73">
        <v>6021.8999020000001</v>
      </c>
      <c r="E73">
        <v>6079.7001950000003</v>
      </c>
      <c r="F73" s="4">
        <f t="shared" si="8"/>
        <v>5766.5</v>
      </c>
      <c r="G73" s="4">
        <f t="shared" si="9"/>
        <v>6081.5</v>
      </c>
      <c r="H73" s="4">
        <f t="shared" si="10"/>
        <v>0</v>
      </c>
      <c r="I73" s="4">
        <f t="shared" si="7"/>
        <v>1</v>
      </c>
      <c r="J73" s="11">
        <f t="shared" si="11"/>
        <v>0</v>
      </c>
      <c r="K73" s="6">
        <f t="shared" si="12"/>
        <v>6070.75</v>
      </c>
      <c r="L73" s="4">
        <f t="shared" si="13"/>
        <v>0</v>
      </c>
    </row>
    <row r="74" spans="1:12" x14ac:dyDescent="0.25">
      <c r="A74" s="1">
        <v>41269</v>
      </c>
      <c r="B74">
        <v>6095</v>
      </c>
      <c r="C74">
        <v>6167.75</v>
      </c>
      <c r="D74">
        <v>6095</v>
      </c>
      <c r="E74">
        <v>6138.6000979999999</v>
      </c>
      <c r="F74" s="4">
        <f t="shared" si="8"/>
        <v>5985.1000979999999</v>
      </c>
      <c r="G74" s="4">
        <f t="shared" si="9"/>
        <v>6138.6000979999999</v>
      </c>
      <c r="H74" s="4" t="str">
        <f t="shared" si="10"/>
        <v>BUY</v>
      </c>
      <c r="I74" s="4">
        <f t="shared" si="7"/>
        <v>1</v>
      </c>
      <c r="J74" s="11">
        <f t="shared" si="11"/>
        <v>0</v>
      </c>
      <c r="K74" s="6">
        <f t="shared" si="12"/>
        <v>6070.75</v>
      </c>
      <c r="L74" s="4">
        <f t="shared" si="13"/>
        <v>0</v>
      </c>
    </row>
    <row r="75" spans="1:12" x14ac:dyDescent="0.25">
      <c r="A75" s="1">
        <v>41270</v>
      </c>
      <c r="B75">
        <v>6136.75</v>
      </c>
      <c r="C75">
        <v>6165.3500979999999</v>
      </c>
      <c r="D75">
        <v>6109.8500979999999</v>
      </c>
      <c r="E75">
        <v>6144.3500979999999</v>
      </c>
      <c r="F75" s="4">
        <f t="shared" si="8"/>
        <v>6070.75</v>
      </c>
      <c r="G75" s="4">
        <f t="shared" si="9"/>
        <v>6144.3500979999999</v>
      </c>
      <c r="H75" s="4" t="str">
        <f t="shared" si="10"/>
        <v>BUY</v>
      </c>
      <c r="I75" s="4">
        <f t="shared" si="7"/>
        <v>1</v>
      </c>
      <c r="J75" s="11">
        <f t="shared" si="11"/>
        <v>0</v>
      </c>
      <c r="K75" s="6">
        <f t="shared" si="12"/>
        <v>6070.75</v>
      </c>
      <c r="L75" s="4">
        <f t="shared" si="13"/>
        <v>0</v>
      </c>
    </row>
    <row r="76" spans="1:12" x14ac:dyDescent="0.25">
      <c r="A76" s="1">
        <v>41271</v>
      </c>
      <c r="B76">
        <v>6144.7001950000003</v>
      </c>
      <c r="C76">
        <v>6197</v>
      </c>
      <c r="D76">
        <v>6060.8500979999999</v>
      </c>
      <c r="E76">
        <v>6179.3999020000001</v>
      </c>
      <c r="F76" s="4">
        <f t="shared" si="8"/>
        <v>6079.7001950000003</v>
      </c>
      <c r="G76" s="4">
        <f t="shared" si="9"/>
        <v>6179.3999020000001</v>
      </c>
      <c r="H76" s="4" t="str">
        <f t="shared" si="10"/>
        <v>BUY</v>
      </c>
      <c r="I76" s="4">
        <f t="shared" si="7"/>
        <v>1</v>
      </c>
      <c r="J76" s="11">
        <f t="shared" si="11"/>
        <v>0</v>
      </c>
      <c r="K76" s="6">
        <f t="shared" si="12"/>
        <v>6070.75</v>
      </c>
      <c r="L76" s="4">
        <f t="shared" si="13"/>
        <v>0</v>
      </c>
    </row>
    <row r="77" spans="1:12" x14ac:dyDescent="0.25">
      <c r="A77" s="1">
        <v>41274</v>
      </c>
      <c r="B77">
        <v>6184.25</v>
      </c>
      <c r="C77">
        <v>6230.1499020000001</v>
      </c>
      <c r="D77">
        <v>6126.3999020000001</v>
      </c>
      <c r="E77">
        <v>6178.5498049999997</v>
      </c>
      <c r="F77" s="4">
        <f t="shared" si="8"/>
        <v>6079.7001950000003</v>
      </c>
      <c r="G77" s="4">
        <f t="shared" si="9"/>
        <v>6179.3999020000001</v>
      </c>
      <c r="H77" s="4">
        <f t="shared" si="10"/>
        <v>0</v>
      </c>
      <c r="I77" s="4">
        <f t="shared" si="7"/>
        <v>1</v>
      </c>
      <c r="J77" s="11">
        <f t="shared" si="11"/>
        <v>0</v>
      </c>
      <c r="K77" s="6">
        <f t="shared" si="12"/>
        <v>6070.75</v>
      </c>
      <c r="L77" s="4">
        <f t="shared" si="13"/>
        <v>0</v>
      </c>
    </row>
    <row r="78" spans="1:12" x14ac:dyDescent="0.25">
      <c r="A78" s="1">
        <v>41275</v>
      </c>
      <c r="B78">
        <v>6179.1000979999999</v>
      </c>
      <c r="C78">
        <v>6300.0498049999997</v>
      </c>
      <c r="D78">
        <v>6179.1000979999999</v>
      </c>
      <c r="E78">
        <v>6274.2998049999997</v>
      </c>
      <c r="F78" s="4">
        <f t="shared" si="8"/>
        <v>6138.6000979999999</v>
      </c>
      <c r="G78" s="4">
        <f t="shared" si="9"/>
        <v>6274.2998049999997</v>
      </c>
      <c r="H78" s="4" t="str">
        <f t="shared" si="10"/>
        <v>BUY</v>
      </c>
      <c r="I78" s="4">
        <f t="shared" si="7"/>
        <v>1</v>
      </c>
      <c r="J78" s="11">
        <f t="shared" si="11"/>
        <v>0</v>
      </c>
      <c r="K78" s="6">
        <f t="shared" si="12"/>
        <v>6070.75</v>
      </c>
      <c r="L78" s="4">
        <f t="shared" si="13"/>
        <v>0</v>
      </c>
    </row>
    <row r="79" spans="1:12" x14ac:dyDescent="0.25">
      <c r="A79" s="1">
        <v>41276</v>
      </c>
      <c r="B79">
        <v>6271</v>
      </c>
      <c r="C79">
        <v>6289.7998049999997</v>
      </c>
      <c r="D79">
        <v>6193.3500979999999</v>
      </c>
      <c r="E79">
        <v>6279.1000979999999</v>
      </c>
      <c r="F79" s="4">
        <f t="shared" si="8"/>
        <v>6144.3500979999999</v>
      </c>
      <c r="G79" s="4">
        <f t="shared" si="9"/>
        <v>6279.1000979999999</v>
      </c>
      <c r="H79" s="4" t="str">
        <f t="shared" si="10"/>
        <v>BUY</v>
      </c>
      <c r="I79" s="4">
        <f t="shared" si="7"/>
        <v>1</v>
      </c>
      <c r="J79" s="11">
        <f t="shared" si="11"/>
        <v>0</v>
      </c>
      <c r="K79" s="6">
        <f t="shared" si="12"/>
        <v>6070.75</v>
      </c>
      <c r="L79" s="4">
        <f t="shared" si="13"/>
        <v>0</v>
      </c>
    </row>
    <row r="80" spans="1:12" x14ac:dyDescent="0.25">
      <c r="A80" s="1">
        <v>41277</v>
      </c>
      <c r="B80">
        <v>6282.4501950000003</v>
      </c>
      <c r="C80">
        <v>6357.1000979999999</v>
      </c>
      <c r="D80">
        <v>6221.6000979999999</v>
      </c>
      <c r="E80">
        <v>6287.8500979999999</v>
      </c>
      <c r="F80" s="4">
        <f t="shared" si="8"/>
        <v>6178.5498049999997</v>
      </c>
      <c r="G80" s="4">
        <f t="shared" si="9"/>
        <v>6287.8500979999999</v>
      </c>
      <c r="H80" s="4" t="str">
        <f t="shared" si="10"/>
        <v>BUY</v>
      </c>
      <c r="I80" s="4">
        <f t="shared" si="7"/>
        <v>1</v>
      </c>
      <c r="J80" s="11">
        <f t="shared" si="11"/>
        <v>0</v>
      </c>
      <c r="K80" s="6">
        <f t="shared" si="12"/>
        <v>6070.75</v>
      </c>
      <c r="L80" s="4">
        <f t="shared" si="13"/>
        <v>0</v>
      </c>
    </row>
    <row r="81" spans="1:12" x14ac:dyDescent="0.25">
      <c r="A81" s="1">
        <v>41278</v>
      </c>
      <c r="B81">
        <v>6287.5498049999997</v>
      </c>
      <c r="C81">
        <v>6338.2998049999997</v>
      </c>
      <c r="D81">
        <v>6231.25</v>
      </c>
      <c r="E81">
        <v>6272</v>
      </c>
      <c r="F81" s="4">
        <f t="shared" si="8"/>
        <v>6178.5498049999997</v>
      </c>
      <c r="G81" s="4">
        <f t="shared" si="9"/>
        <v>6287.8500979999999</v>
      </c>
      <c r="H81" s="4">
        <f t="shared" si="10"/>
        <v>0</v>
      </c>
      <c r="I81" s="4">
        <f t="shared" si="7"/>
        <v>1</v>
      </c>
      <c r="J81" s="11">
        <f t="shared" si="11"/>
        <v>0</v>
      </c>
      <c r="K81" s="6">
        <f t="shared" si="12"/>
        <v>6070.75</v>
      </c>
      <c r="L81" s="4">
        <f t="shared" si="13"/>
        <v>0</v>
      </c>
    </row>
    <row r="82" spans="1:12" x14ac:dyDescent="0.25">
      <c r="A82" s="1">
        <v>41281</v>
      </c>
      <c r="B82">
        <v>6278.1000979999999</v>
      </c>
      <c r="C82">
        <v>6347</v>
      </c>
      <c r="D82">
        <v>6142.8999020000001</v>
      </c>
      <c r="E82">
        <v>6156.9501950000003</v>
      </c>
      <c r="F82" s="4">
        <f t="shared" si="8"/>
        <v>6156.9501950000003</v>
      </c>
      <c r="G82" s="4">
        <f t="shared" si="9"/>
        <v>6287.8500979999999</v>
      </c>
      <c r="H82" s="4" t="str">
        <f t="shared" si="10"/>
        <v>SELL</v>
      </c>
      <c r="I82" s="4">
        <f t="shared" si="7"/>
        <v>-1</v>
      </c>
      <c r="J82" s="11" t="str">
        <f t="shared" si="11"/>
        <v>SELL</v>
      </c>
      <c r="K82" s="6">
        <f t="shared" si="12"/>
        <v>6156.9501950000003</v>
      </c>
      <c r="L82" s="4">
        <f t="shared" si="13"/>
        <v>1.4199266153276012E-2</v>
      </c>
    </row>
    <row r="83" spans="1:12" x14ac:dyDescent="0.25">
      <c r="A83" s="1">
        <v>41282</v>
      </c>
      <c r="B83">
        <v>6166.6499020000001</v>
      </c>
      <c r="C83">
        <v>6224.2001950000003</v>
      </c>
      <c r="D83">
        <v>6112.5498049999997</v>
      </c>
      <c r="E83">
        <v>6200.1000979999999</v>
      </c>
      <c r="F83" s="4">
        <f t="shared" si="8"/>
        <v>6156.9501950000003</v>
      </c>
      <c r="G83" s="4">
        <f t="shared" si="9"/>
        <v>6287.8500979999999</v>
      </c>
      <c r="H83" s="4">
        <f t="shared" si="10"/>
        <v>0</v>
      </c>
      <c r="I83" s="4">
        <f t="shared" si="7"/>
        <v>-1</v>
      </c>
      <c r="J83" s="11">
        <f t="shared" si="11"/>
        <v>0</v>
      </c>
      <c r="K83" s="6">
        <f t="shared" si="12"/>
        <v>6156.9501950000003</v>
      </c>
      <c r="L83" s="4">
        <f t="shared" si="13"/>
        <v>0</v>
      </c>
    </row>
    <row r="84" spans="1:12" x14ac:dyDescent="0.25">
      <c r="A84" s="1">
        <v>41283</v>
      </c>
      <c r="B84">
        <v>6208.7998049999997</v>
      </c>
      <c r="C84">
        <v>6244.1499020000001</v>
      </c>
      <c r="D84">
        <v>6172</v>
      </c>
      <c r="E84">
        <v>6206.7998049999997</v>
      </c>
      <c r="F84" s="4">
        <f t="shared" si="8"/>
        <v>6156.9501950000003</v>
      </c>
      <c r="G84" s="4">
        <f t="shared" si="9"/>
        <v>6287.8500979999999</v>
      </c>
      <c r="H84" s="4">
        <f t="shared" si="10"/>
        <v>0</v>
      </c>
      <c r="I84" s="4">
        <f t="shared" si="7"/>
        <v>-1</v>
      </c>
      <c r="J84" s="11">
        <f t="shared" si="11"/>
        <v>0</v>
      </c>
      <c r="K84" s="6">
        <f t="shared" si="12"/>
        <v>6156.9501950000003</v>
      </c>
      <c r="L84" s="4">
        <f t="shared" si="13"/>
        <v>0</v>
      </c>
    </row>
    <row r="85" spans="1:12" x14ac:dyDescent="0.25">
      <c r="A85" s="1">
        <v>41284</v>
      </c>
      <c r="B85">
        <v>6226.3500979999999</v>
      </c>
      <c r="C85">
        <v>6260.4501950000003</v>
      </c>
      <c r="D85">
        <v>6053.2998049999997</v>
      </c>
      <c r="E85">
        <v>6074.25</v>
      </c>
      <c r="F85" s="4">
        <f t="shared" si="8"/>
        <v>6074.25</v>
      </c>
      <c r="G85" s="4">
        <f t="shared" si="9"/>
        <v>6272</v>
      </c>
      <c r="H85" s="4" t="str">
        <f t="shared" si="10"/>
        <v>SELL</v>
      </c>
      <c r="I85" s="4">
        <f t="shared" si="7"/>
        <v>-1</v>
      </c>
      <c r="J85" s="11">
        <f t="shared" si="11"/>
        <v>0</v>
      </c>
      <c r="K85" s="6">
        <f t="shared" si="12"/>
        <v>6156.9501950000003</v>
      </c>
      <c r="L85" s="4">
        <f t="shared" si="13"/>
        <v>0</v>
      </c>
    </row>
    <row r="86" spans="1:12" x14ac:dyDescent="0.25">
      <c r="A86" s="1">
        <v>41285</v>
      </c>
      <c r="B86">
        <v>6065</v>
      </c>
      <c r="C86">
        <v>6065</v>
      </c>
      <c r="D86">
        <v>5825.75</v>
      </c>
      <c r="E86">
        <v>5935.75</v>
      </c>
      <c r="F86" s="4">
        <f t="shared" si="8"/>
        <v>5935.75</v>
      </c>
      <c r="G86" s="4">
        <f t="shared" si="9"/>
        <v>6206.7998049999997</v>
      </c>
      <c r="H86" s="4" t="str">
        <f t="shared" si="10"/>
        <v>SELL</v>
      </c>
      <c r="I86" s="4">
        <f t="shared" si="7"/>
        <v>-1</v>
      </c>
      <c r="J86" s="11">
        <f t="shared" si="11"/>
        <v>0</v>
      </c>
      <c r="K86" s="6">
        <f t="shared" si="12"/>
        <v>6156.9501950000003</v>
      </c>
      <c r="L86" s="4">
        <f t="shared" si="13"/>
        <v>0</v>
      </c>
    </row>
    <row r="87" spans="1:12" x14ac:dyDescent="0.25">
      <c r="A87" s="1">
        <v>41288</v>
      </c>
      <c r="B87">
        <v>5937.9501950000003</v>
      </c>
      <c r="C87">
        <v>6013.1499020000001</v>
      </c>
      <c r="D87">
        <v>5880.2998049999997</v>
      </c>
      <c r="E87">
        <v>5913.2001950000003</v>
      </c>
      <c r="F87" s="4">
        <f t="shared" si="8"/>
        <v>5913.2001950000003</v>
      </c>
      <c r="G87" s="4">
        <f t="shared" si="9"/>
        <v>6206.7998049999997</v>
      </c>
      <c r="H87" s="4" t="str">
        <f t="shared" si="10"/>
        <v>SELL</v>
      </c>
      <c r="I87" s="4">
        <f t="shared" si="7"/>
        <v>-1</v>
      </c>
      <c r="J87" s="11">
        <f t="shared" si="11"/>
        <v>0</v>
      </c>
      <c r="K87" s="6">
        <f t="shared" si="12"/>
        <v>6156.9501950000003</v>
      </c>
      <c r="L87" s="4">
        <f t="shared" si="13"/>
        <v>0</v>
      </c>
    </row>
    <row r="88" spans="1:12" x14ac:dyDescent="0.25">
      <c r="A88" s="1">
        <v>41289</v>
      </c>
      <c r="B88">
        <v>5907.75</v>
      </c>
      <c r="C88">
        <v>5908.75</v>
      </c>
      <c r="D88">
        <v>5677</v>
      </c>
      <c r="E88">
        <v>5705.2998049999997</v>
      </c>
      <c r="F88" s="4">
        <f t="shared" si="8"/>
        <v>5705.2998049999997</v>
      </c>
      <c r="G88" s="4">
        <f t="shared" si="9"/>
        <v>6206.7998049999997</v>
      </c>
      <c r="H88" s="4" t="str">
        <f t="shared" si="10"/>
        <v>SELL</v>
      </c>
      <c r="I88" s="4">
        <f t="shared" si="7"/>
        <v>-1</v>
      </c>
      <c r="J88" s="11">
        <f t="shared" si="11"/>
        <v>0</v>
      </c>
      <c r="K88" s="6">
        <f t="shared" si="12"/>
        <v>6156.9501950000003</v>
      </c>
      <c r="L88" s="4">
        <f t="shared" si="13"/>
        <v>0</v>
      </c>
    </row>
    <row r="89" spans="1:12" x14ac:dyDescent="0.25">
      <c r="A89" s="1">
        <v>41290</v>
      </c>
      <c r="B89">
        <v>5705</v>
      </c>
      <c r="C89">
        <v>5705</v>
      </c>
      <c r="D89">
        <v>4977.1000979999999</v>
      </c>
      <c r="E89">
        <v>5208.7998049999997</v>
      </c>
      <c r="F89" s="4">
        <f t="shared" si="8"/>
        <v>5208.7998049999997</v>
      </c>
      <c r="G89" s="4">
        <f t="shared" si="9"/>
        <v>6074.25</v>
      </c>
      <c r="H89" s="4" t="str">
        <f t="shared" si="10"/>
        <v>SELL</v>
      </c>
      <c r="I89" s="4">
        <f t="shared" si="7"/>
        <v>-1</v>
      </c>
      <c r="J89" s="11">
        <f t="shared" si="11"/>
        <v>0</v>
      </c>
      <c r="K89" s="6">
        <f t="shared" si="12"/>
        <v>6156.9501950000003</v>
      </c>
      <c r="L89" s="4">
        <f t="shared" si="13"/>
        <v>0</v>
      </c>
    </row>
    <row r="90" spans="1:12" x14ac:dyDescent="0.25">
      <c r="A90" s="1">
        <v>41291</v>
      </c>
      <c r="B90">
        <v>5203.3500979999999</v>
      </c>
      <c r="C90">
        <v>5203.3500979999999</v>
      </c>
      <c r="D90">
        <v>4448.5</v>
      </c>
      <c r="E90">
        <v>4899.2998049999997</v>
      </c>
      <c r="F90" s="4">
        <f t="shared" si="8"/>
        <v>4899.2998049999997</v>
      </c>
      <c r="G90" s="4">
        <f t="shared" si="9"/>
        <v>5935.75</v>
      </c>
      <c r="H90" s="4" t="str">
        <f t="shared" si="10"/>
        <v>SELL</v>
      </c>
      <c r="I90" s="4">
        <f t="shared" si="7"/>
        <v>-1</v>
      </c>
      <c r="J90" s="11">
        <f t="shared" si="11"/>
        <v>0</v>
      </c>
      <c r="K90" s="6">
        <f t="shared" si="12"/>
        <v>6156.9501950000003</v>
      </c>
      <c r="L90" s="4">
        <f t="shared" si="13"/>
        <v>0</v>
      </c>
    </row>
    <row r="91" spans="1:12" x14ac:dyDescent="0.25">
      <c r="A91" s="1">
        <v>41292</v>
      </c>
      <c r="B91">
        <v>4903.0498049999997</v>
      </c>
      <c r="C91">
        <v>5328.0498049999997</v>
      </c>
      <c r="D91">
        <v>4891.6000979999999</v>
      </c>
      <c r="E91">
        <v>5203.3999020000001</v>
      </c>
      <c r="F91" s="4">
        <f t="shared" si="8"/>
        <v>4899.2998049999997</v>
      </c>
      <c r="G91" s="4">
        <f t="shared" si="9"/>
        <v>5913.2001950000003</v>
      </c>
      <c r="H91" s="4">
        <f t="shared" si="10"/>
        <v>0</v>
      </c>
      <c r="I91" s="4">
        <f t="shared" si="7"/>
        <v>-1</v>
      </c>
      <c r="J91" s="11">
        <f t="shared" si="11"/>
        <v>0</v>
      </c>
      <c r="K91" s="6">
        <f t="shared" si="12"/>
        <v>6156.9501950000003</v>
      </c>
      <c r="L91" s="4">
        <f t="shared" si="13"/>
        <v>0</v>
      </c>
    </row>
    <row r="92" spans="1:12" x14ac:dyDescent="0.25">
      <c r="A92" s="1">
        <v>41295</v>
      </c>
      <c r="B92">
        <v>5208</v>
      </c>
      <c r="C92">
        <v>5357.2001950000003</v>
      </c>
      <c r="D92">
        <v>4995.7998049999997</v>
      </c>
      <c r="E92">
        <v>5033.4501950000003</v>
      </c>
      <c r="F92" s="4">
        <f t="shared" si="8"/>
        <v>4899.2998049999997</v>
      </c>
      <c r="G92" s="4">
        <f t="shared" si="9"/>
        <v>5705.2998049999997</v>
      </c>
      <c r="H92" s="4">
        <f t="shared" si="10"/>
        <v>0</v>
      </c>
      <c r="I92" s="4">
        <f t="shared" si="7"/>
        <v>-1</v>
      </c>
      <c r="J92" s="11">
        <f t="shared" si="11"/>
        <v>0</v>
      </c>
      <c r="K92" s="6">
        <f t="shared" si="12"/>
        <v>6156.9501950000003</v>
      </c>
      <c r="L92" s="4">
        <f t="shared" si="13"/>
        <v>0</v>
      </c>
    </row>
    <row r="93" spans="1:12" x14ac:dyDescent="0.25">
      <c r="A93" s="1">
        <v>41296</v>
      </c>
      <c r="B93">
        <v>5035.0498049999997</v>
      </c>
      <c r="C93">
        <v>5399.25</v>
      </c>
      <c r="D93">
        <v>5035.0498049999997</v>
      </c>
      <c r="E93">
        <v>5383.3500979999999</v>
      </c>
      <c r="F93" s="4">
        <f t="shared" si="8"/>
        <v>4899.2998049999997</v>
      </c>
      <c r="G93" s="4">
        <f t="shared" si="9"/>
        <v>5383.3500979999999</v>
      </c>
      <c r="H93" s="4">
        <f t="shared" si="10"/>
        <v>0</v>
      </c>
      <c r="I93" s="4">
        <f t="shared" si="7"/>
        <v>-1</v>
      </c>
      <c r="J93" s="11">
        <f t="shared" si="11"/>
        <v>0</v>
      </c>
      <c r="K93" s="6">
        <f t="shared" si="12"/>
        <v>6156.9501950000003</v>
      </c>
      <c r="L93" s="4">
        <f t="shared" si="13"/>
        <v>0</v>
      </c>
    </row>
    <row r="94" spans="1:12" x14ac:dyDescent="0.25">
      <c r="A94" s="1">
        <v>41297</v>
      </c>
      <c r="B94">
        <v>5380.9501950000003</v>
      </c>
      <c r="C94">
        <v>5380.9501950000003</v>
      </c>
      <c r="D94">
        <v>5071</v>
      </c>
      <c r="E94">
        <v>5274.1000979999999</v>
      </c>
      <c r="F94" s="4">
        <f t="shared" si="8"/>
        <v>4899.2998049999997</v>
      </c>
      <c r="G94" s="4">
        <f t="shared" si="9"/>
        <v>5383.3500979999999</v>
      </c>
      <c r="H94" s="4">
        <f t="shared" si="10"/>
        <v>0</v>
      </c>
      <c r="I94" s="4">
        <f t="shared" si="7"/>
        <v>-1</v>
      </c>
      <c r="J94" s="11">
        <f t="shared" si="11"/>
        <v>0</v>
      </c>
      <c r="K94" s="6">
        <f t="shared" si="12"/>
        <v>6156.9501950000003</v>
      </c>
      <c r="L94" s="4">
        <f t="shared" si="13"/>
        <v>0</v>
      </c>
    </row>
    <row r="95" spans="1:12" x14ac:dyDescent="0.25">
      <c r="A95" s="1">
        <v>41298</v>
      </c>
      <c r="B95">
        <v>5279.5498049999997</v>
      </c>
      <c r="C95">
        <v>5391.6000979999999</v>
      </c>
      <c r="D95">
        <v>5225.25</v>
      </c>
      <c r="E95">
        <v>5280.7998049999997</v>
      </c>
      <c r="F95" s="4">
        <f t="shared" si="8"/>
        <v>5033.4501950000003</v>
      </c>
      <c r="G95" s="4">
        <f t="shared" si="9"/>
        <v>5383.3500979999999</v>
      </c>
      <c r="H95" s="4">
        <f t="shared" si="10"/>
        <v>0</v>
      </c>
      <c r="I95" s="4">
        <f t="shared" si="7"/>
        <v>-1</v>
      </c>
      <c r="J95" s="11">
        <f t="shared" si="11"/>
        <v>0</v>
      </c>
      <c r="K95" s="6">
        <f t="shared" si="12"/>
        <v>6156.9501950000003</v>
      </c>
      <c r="L95" s="4">
        <f t="shared" si="13"/>
        <v>0</v>
      </c>
    </row>
    <row r="96" spans="1:12" x14ac:dyDescent="0.25">
      <c r="A96" s="1">
        <v>41299</v>
      </c>
      <c r="B96">
        <v>5283.75</v>
      </c>
      <c r="C96">
        <v>5314.2998049999997</v>
      </c>
      <c r="D96">
        <v>5142.25</v>
      </c>
      <c r="E96">
        <v>5167.6000979999999</v>
      </c>
      <c r="F96" s="4">
        <f t="shared" si="8"/>
        <v>5033.4501950000003</v>
      </c>
      <c r="G96" s="4">
        <f t="shared" si="9"/>
        <v>5383.3500979999999</v>
      </c>
      <c r="H96" s="4">
        <f t="shared" si="10"/>
        <v>0</v>
      </c>
      <c r="I96" s="4">
        <f t="shared" si="7"/>
        <v>-1</v>
      </c>
      <c r="J96" s="11">
        <f t="shared" si="11"/>
        <v>0</v>
      </c>
      <c r="K96" s="6">
        <f t="shared" si="12"/>
        <v>6156.9501950000003</v>
      </c>
      <c r="L96" s="4">
        <f t="shared" si="13"/>
        <v>0</v>
      </c>
    </row>
    <row r="97" spans="1:12" x14ac:dyDescent="0.25">
      <c r="A97" s="1">
        <v>41302</v>
      </c>
      <c r="B97">
        <v>5172.25</v>
      </c>
      <c r="C97">
        <v>5251.6499020000001</v>
      </c>
      <c r="D97">
        <v>5071.1499020000001</v>
      </c>
      <c r="E97">
        <v>5137.4501950000003</v>
      </c>
      <c r="F97" s="4">
        <f t="shared" si="8"/>
        <v>5137.4501950000003</v>
      </c>
      <c r="G97" s="4">
        <f t="shared" si="9"/>
        <v>5383.3500979999999</v>
      </c>
      <c r="H97" s="4">
        <f t="shared" si="10"/>
        <v>0</v>
      </c>
      <c r="I97" s="4">
        <f t="shared" si="7"/>
        <v>-1</v>
      </c>
      <c r="J97" s="11">
        <f t="shared" si="11"/>
        <v>0</v>
      </c>
      <c r="K97" s="6">
        <f t="shared" si="12"/>
        <v>6156.9501950000003</v>
      </c>
      <c r="L97" s="4">
        <f t="shared" si="13"/>
        <v>0</v>
      </c>
    </row>
    <row r="98" spans="1:12" x14ac:dyDescent="0.25">
      <c r="A98" s="1">
        <v>41303</v>
      </c>
      <c r="B98">
        <v>5140.6000979999999</v>
      </c>
      <c r="C98">
        <v>5339.9501950000003</v>
      </c>
      <c r="D98">
        <v>5090.75</v>
      </c>
      <c r="E98">
        <v>5317.25</v>
      </c>
      <c r="F98" s="4">
        <f t="shared" si="8"/>
        <v>5137.4501950000003</v>
      </c>
      <c r="G98" s="4">
        <f t="shared" si="9"/>
        <v>5317.25</v>
      </c>
      <c r="H98" s="4">
        <f t="shared" si="10"/>
        <v>0</v>
      </c>
      <c r="I98" s="4">
        <f t="shared" si="7"/>
        <v>-1</v>
      </c>
      <c r="J98" s="11">
        <f t="shared" si="11"/>
        <v>0</v>
      </c>
      <c r="K98" s="6">
        <f t="shared" si="12"/>
        <v>6156.9501950000003</v>
      </c>
      <c r="L98" s="4">
        <f t="shared" si="13"/>
        <v>0</v>
      </c>
    </row>
    <row r="99" spans="1:12" x14ac:dyDescent="0.25">
      <c r="A99" s="1">
        <v>41304</v>
      </c>
      <c r="B99">
        <v>5315.5498049999997</v>
      </c>
      <c r="C99">
        <v>5545.2001950000003</v>
      </c>
      <c r="D99">
        <v>5315.5498049999997</v>
      </c>
      <c r="E99">
        <v>5463.5</v>
      </c>
      <c r="F99" s="4">
        <f t="shared" si="8"/>
        <v>5137.4501950000003</v>
      </c>
      <c r="G99" s="4">
        <f t="shared" si="9"/>
        <v>5463.5</v>
      </c>
      <c r="H99" s="4" t="str">
        <f t="shared" si="10"/>
        <v>BUY</v>
      </c>
      <c r="I99" s="4">
        <f t="shared" si="7"/>
        <v>1</v>
      </c>
      <c r="J99" s="11" t="str">
        <f t="shared" si="11"/>
        <v>BUY</v>
      </c>
      <c r="K99" s="6">
        <f t="shared" si="12"/>
        <v>5463.5</v>
      </c>
      <c r="L99" s="4">
        <f t="shared" si="13"/>
        <v>0.11262884594440029</v>
      </c>
    </row>
    <row r="100" spans="1:12" x14ac:dyDescent="0.25">
      <c r="A100" s="1">
        <v>41305</v>
      </c>
      <c r="B100">
        <v>5463.75</v>
      </c>
      <c r="C100">
        <v>5500.6000979999999</v>
      </c>
      <c r="D100">
        <v>5412.9501950000003</v>
      </c>
      <c r="E100">
        <v>5483.8999020000001</v>
      </c>
      <c r="F100" s="4">
        <f t="shared" si="8"/>
        <v>5137.4501950000003</v>
      </c>
      <c r="G100" s="4">
        <f t="shared" si="9"/>
        <v>5483.8999020000001</v>
      </c>
      <c r="H100" s="4" t="str">
        <f t="shared" si="10"/>
        <v>BUY</v>
      </c>
      <c r="I100" s="4">
        <f t="shared" si="7"/>
        <v>1</v>
      </c>
      <c r="J100" s="11">
        <f t="shared" si="11"/>
        <v>0</v>
      </c>
      <c r="K100" s="6">
        <f t="shared" si="12"/>
        <v>5463.5</v>
      </c>
      <c r="L100" s="4">
        <f t="shared" si="13"/>
        <v>0</v>
      </c>
    </row>
    <row r="101" spans="1:12" x14ac:dyDescent="0.25">
      <c r="A101" s="1">
        <v>41306</v>
      </c>
      <c r="B101">
        <v>5470.3999020000001</v>
      </c>
      <c r="C101">
        <v>5470.3999020000001</v>
      </c>
      <c r="D101">
        <v>5257.0498049999997</v>
      </c>
      <c r="E101">
        <v>5322.5498049999997</v>
      </c>
      <c r="F101" s="4">
        <f t="shared" si="8"/>
        <v>5137.4501950000003</v>
      </c>
      <c r="G101" s="4">
        <f t="shared" si="9"/>
        <v>5483.8999020000001</v>
      </c>
      <c r="H101" s="4">
        <f t="shared" si="10"/>
        <v>0</v>
      </c>
      <c r="I101" s="4">
        <f t="shared" si="7"/>
        <v>1</v>
      </c>
      <c r="J101" s="11">
        <f t="shared" si="11"/>
        <v>0</v>
      </c>
      <c r="K101" s="6">
        <f t="shared" si="12"/>
        <v>5463.5</v>
      </c>
      <c r="L101" s="4">
        <f t="shared" si="13"/>
        <v>0</v>
      </c>
    </row>
    <row r="102" spans="1:12" x14ac:dyDescent="0.25">
      <c r="A102" s="1">
        <v>41309</v>
      </c>
      <c r="B102">
        <v>5322.5498049999997</v>
      </c>
      <c r="C102">
        <v>5344.6000979999999</v>
      </c>
      <c r="D102">
        <v>5113.8500979999999</v>
      </c>
      <c r="E102">
        <v>5133.25</v>
      </c>
      <c r="F102" s="4">
        <f t="shared" si="8"/>
        <v>5133.25</v>
      </c>
      <c r="G102" s="4">
        <f t="shared" si="9"/>
        <v>5483.8999020000001</v>
      </c>
      <c r="H102" s="4" t="str">
        <f t="shared" si="10"/>
        <v>SELL</v>
      </c>
      <c r="I102" s="4">
        <f t="shared" si="7"/>
        <v>-1</v>
      </c>
      <c r="J102" s="11" t="str">
        <f t="shared" si="11"/>
        <v>SELL</v>
      </c>
      <c r="K102" s="6">
        <f t="shared" si="12"/>
        <v>5133.25</v>
      </c>
      <c r="L102" s="4">
        <f t="shared" si="13"/>
        <v>-6.0446600164729566E-2</v>
      </c>
    </row>
    <row r="103" spans="1:12" x14ac:dyDescent="0.25">
      <c r="A103" s="1">
        <v>41310</v>
      </c>
      <c r="B103">
        <v>5132.1000979999999</v>
      </c>
      <c r="C103">
        <v>5173.8500979999999</v>
      </c>
      <c r="D103">
        <v>5034.25</v>
      </c>
      <c r="E103">
        <v>5120.3500979999999</v>
      </c>
      <c r="F103" s="4">
        <f t="shared" si="8"/>
        <v>5120.3500979999999</v>
      </c>
      <c r="G103" s="4">
        <f t="shared" si="9"/>
        <v>5483.8999020000001</v>
      </c>
      <c r="H103" s="4" t="str">
        <f t="shared" si="10"/>
        <v>SELL</v>
      </c>
      <c r="I103" s="4">
        <f t="shared" si="7"/>
        <v>-1</v>
      </c>
      <c r="J103" s="11">
        <f t="shared" si="11"/>
        <v>0</v>
      </c>
      <c r="K103" s="6">
        <f t="shared" si="12"/>
        <v>5133.25</v>
      </c>
      <c r="L103" s="4">
        <f t="shared" si="13"/>
        <v>0</v>
      </c>
    </row>
    <row r="104" spans="1:12" x14ac:dyDescent="0.25">
      <c r="A104" s="1">
        <v>41311</v>
      </c>
      <c r="B104">
        <v>5120.5498049999997</v>
      </c>
      <c r="C104">
        <v>5126.3999020000001</v>
      </c>
      <c r="D104">
        <v>4803.6000979999999</v>
      </c>
      <c r="E104">
        <v>4857</v>
      </c>
      <c r="F104" s="4">
        <f t="shared" si="8"/>
        <v>4857</v>
      </c>
      <c r="G104" s="4">
        <f t="shared" si="9"/>
        <v>5483.8999020000001</v>
      </c>
      <c r="H104" s="4" t="str">
        <f t="shared" si="10"/>
        <v>SELL</v>
      </c>
      <c r="I104" s="4">
        <f t="shared" si="7"/>
        <v>-1</v>
      </c>
      <c r="J104" s="11">
        <f t="shared" si="11"/>
        <v>0</v>
      </c>
      <c r="K104" s="6">
        <f t="shared" si="12"/>
        <v>5133.25</v>
      </c>
      <c r="L104" s="4">
        <f t="shared" si="13"/>
        <v>0</v>
      </c>
    </row>
    <row r="105" spans="1:12" x14ac:dyDescent="0.25">
      <c r="A105" s="1">
        <v>41312</v>
      </c>
      <c r="B105">
        <v>4877.8500979999999</v>
      </c>
      <c r="C105">
        <v>4949.6000979999999</v>
      </c>
      <c r="D105">
        <v>4820.4501950000003</v>
      </c>
      <c r="E105">
        <v>4838.25</v>
      </c>
      <c r="F105" s="4">
        <f t="shared" si="8"/>
        <v>4838.25</v>
      </c>
      <c r="G105" s="4">
        <f t="shared" si="9"/>
        <v>5322.5498049999997</v>
      </c>
      <c r="H105" s="4" t="str">
        <f t="shared" si="10"/>
        <v>SELL</v>
      </c>
      <c r="I105" s="4">
        <f t="shared" si="7"/>
        <v>-1</v>
      </c>
      <c r="J105" s="11">
        <f t="shared" si="11"/>
        <v>0</v>
      </c>
      <c r="K105" s="6">
        <f t="shared" si="12"/>
        <v>5133.25</v>
      </c>
      <c r="L105" s="4">
        <f t="shared" si="13"/>
        <v>0</v>
      </c>
    </row>
    <row r="106" spans="1:12" x14ac:dyDescent="0.25">
      <c r="A106" s="1">
        <v>41313</v>
      </c>
      <c r="B106">
        <v>4836.5498049999997</v>
      </c>
      <c r="C106">
        <v>4986.5498049999997</v>
      </c>
      <c r="D106">
        <v>4836.5498049999997</v>
      </c>
      <c r="E106">
        <v>4929.4501950000003</v>
      </c>
      <c r="F106" s="4">
        <f t="shared" si="8"/>
        <v>4838.25</v>
      </c>
      <c r="G106" s="4">
        <f t="shared" si="9"/>
        <v>5133.25</v>
      </c>
      <c r="H106" s="4">
        <f t="shared" si="10"/>
        <v>0</v>
      </c>
      <c r="I106" s="4">
        <f t="shared" si="7"/>
        <v>-1</v>
      </c>
      <c r="J106" s="11">
        <f t="shared" si="11"/>
        <v>0</v>
      </c>
      <c r="K106" s="6">
        <f t="shared" si="12"/>
        <v>5133.25</v>
      </c>
      <c r="L106" s="4">
        <f t="shared" si="13"/>
        <v>0</v>
      </c>
    </row>
    <row r="107" spans="1:12" x14ac:dyDescent="0.25">
      <c r="A107" s="1">
        <v>41316</v>
      </c>
      <c r="B107">
        <v>4944.6499020000001</v>
      </c>
      <c r="C107">
        <v>5220.25</v>
      </c>
      <c r="D107">
        <v>4944.6499020000001</v>
      </c>
      <c r="E107">
        <v>5202</v>
      </c>
      <c r="F107" s="4">
        <f t="shared" si="8"/>
        <v>4838.25</v>
      </c>
      <c r="G107" s="4">
        <f t="shared" si="9"/>
        <v>5202</v>
      </c>
      <c r="H107" s="4" t="str">
        <f t="shared" si="10"/>
        <v>BUY</v>
      </c>
      <c r="I107" s="4">
        <f t="shared" si="7"/>
        <v>1</v>
      </c>
      <c r="J107" s="11" t="str">
        <f t="shared" si="11"/>
        <v>BUY</v>
      </c>
      <c r="K107" s="6">
        <f t="shared" si="12"/>
        <v>5202</v>
      </c>
      <c r="L107" s="4">
        <f t="shared" si="13"/>
        <v>-1.3393074562898748E-2</v>
      </c>
    </row>
    <row r="108" spans="1:12" x14ac:dyDescent="0.25">
      <c r="A108" s="1">
        <v>41317</v>
      </c>
      <c r="B108">
        <v>5202.8500979999999</v>
      </c>
      <c r="C108">
        <v>5315.3999020000001</v>
      </c>
      <c r="D108">
        <v>5104.75</v>
      </c>
      <c r="E108">
        <v>5302.8999020000001</v>
      </c>
      <c r="F108" s="4">
        <f t="shared" si="8"/>
        <v>4838.25</v>
      </c>
      <c r="G108" s="4">
        <f t="shared" si="9"/>
        <v>5302.8999020000001</v>
      </c>
      <c r="H108" s="4" t="str">
        <f t="shared" si="10"/>
        <v>BUY</v>
      </c>
      <c r="I108" s="4">
        <f t="shared" si="7"/>
        <v>1</v>
      </c>
      <c r="J108" s="11">
        <f t="shared" si="11"/>
        <v>0</v>
      </c>
      <c r="K108" s="6">
        <f t="shared" si="12"/>
        <v>5202</v>
      </c>
      <c r="L108" s="4">
        <f t="shared" si="13"/>
        <v>0</v>
      </c>
    </row>
    <row r="109" spans="1:12" x14ac:dyDescent="0.25">
      <c r="A109" s="1">
        <v>41318</v>
      </c>
      <c r="B109">
        <v>5304.4501950000003</v>
      </c>
      <c r="C109">
        <v>5348.6000979999999</v>
      </c>
      <c r="D109">
        <v>5224</v>
      </c>
      <c r="E109">
        <v>5276.8999020000001</v>
      </c>
      <c r="F109" s="4">
        <f t="shared" si="8"/>
        <v>4838.25</v>
      </c>
      <c r="G109" s="4">
        <f t="shared" si="9"/>
        <v>5302.8999020000001</v>
      </c>
      <c r="H109" s="4">
        <f t="shared" si="10"/>
        <v>0</v>
      </c>
      <c r="I109" s="4">
        <f t="shared" si="7"/>
        <v>1</v>
      </c>
      <c r="J109" s="11">
        <f t="shared" si="11"/>
        <v>0</v>
      </c>
      <c r="K109" s="6">
        <f t="shared" si="12"/>
        <v>5202</v>
      </c>
      <c r="L109" s="4">
        <f t="shared" si="13"/>
        <v>0</v>
      </c>
    </row>
    <row r="110" spans="1:12" x14ac:dyDescent="0.25">
      <c r="A110" s="1">
        <v>41319</v>
      </c>
      <c r="B110">
        <v>5278.3999020000001</v>
      </c>
      <c r="C110">
        <v>5368.4501950000003</v>
      </c>
      <c r="D110">
        <v>5262</v>
      </c>
      <c r="E110">
        <v>5280.7998049999997</v>
      </c>
      <c r="F110" s="4">
        <f t="shared" si="8"/>
        <v>4929.4501950000003</v>
      </c>
      <c r="G110" s="4">
        <f t="shared" si="9"/>
        <v>5302.8999020000001</v>
      </c>
      <c r="H110" s="4">
        <f t="shared" si="10"/>
        <v>0</v>
      </c>
      <c r="I110" s="4">
        <f t="shared" si="7"/>
        <v>1</v>
      </c>
      <c r="J110" s="11">
        <f t="shared" si="11"/>
        <v>0</v>
      </c>
      <c r="K110" s="6">
        <f t="shared" si="12"/>
        <v>5202</v>
      </c>
      <c r="L110" s="4">
        <f t="shared" si="13"/>
        <v>0</v>
      </c>
    </row>
    <row r="111" spans="1:12" x14ac:dyDescent="0.25">
      <c r="A111" s="1">
        <v>41320</v>
      </c>
      <c r="B111">
        <v>5267.1499020000001</v>
      </c>
      <c r="C111">
        <v>5267.1499020000001</v>
      </c>
      <c r="D111">
        <v>5116.2998049999997</v>
      </c>
      <c r="E111">
        <v>5154.4501950000003</v>
      </c>
      <c r="F111" s="4">
        <f t="shared" si="8"/>
        <v>5154.4501950000003</v>
      </c>
      <c r="G111" s="4">
        <f t="shared" si="9"/>
        <v>5302.8999020000001</v>
      </c>
      <c r="H111" s="4">
        <f t="shared" si="10"/>
        <v>0</v>
      </c>
      <c r="I111" s="4">
        <f t="shared" si="7"/>
        <v>1</v>
      </c>
      <c r="J111" s="11">
        <f t="shared" si="11"/>
        <v>0</v>
      </c>
      <c r="K111" s="6">
        <f t="shared" si="12"/>
        <v>5202</v>
      </c>
      <c r="L111" s="4">
        <f t="shared" si="13"/>
        <v>0</v>
      </c>
    </row>
    <row r="112" spans="1:12" x14ac:dyDescent="0.25">
      <c r="A112" s="1">
        <v>41323</v>
      </c>
      <c r="B112">
        <v>5156.8999020000001</v>
      </c>
      <c r="C112">
        <v>5241.3500979999999</v>
      </c>
      <c r="D112">
        <v>5120.0498049999997</v>
      </c>
      <c r="E112">
        <v>5191.7998049999997</v>
      </c>
      <c r="F112" s="4">
        <f t="shared" si="8"/>
        <v>5154.4501950000003</v>
      </c>
      <c r="G112" s="4">
        <f t="shared" si="9"/>
        <v>5302.8999020000001</v>
      </c>
      <c r="H112" s="4">
        <f t="shared" si="10"/>
        <v>0</v>
      </c>
      <c r="I112" s="4">
        <f t="shared" si="7"/>
        <v>1</v>
      </c>
      <c r="J112" s="11">
        <f t="shared" si="11"/>
        <v>0</v>
      </c>
      <c r="K112" s="6">
        <f t="shared" si="12"/>
        <v>5202</v>
      </c>
      <c r="L112" s="4">
        <f t="shared" si="13"/>
        <v>0</v>
      </c>
    </row>
    <row r="113" spans="1:12" x14ac:dyDescent="0.25">
      <c r="A113" s="1">
        <v>41324</v>
      </c>
      <c r="B113">
        <v>5183.3999020000001</v>
      </c>
      <c r="C113">
        <v>5184</v>
      </c>
      <c r="D113">
        <v>5092.7998049999997</v>
      </c>
      <c r="E113">
        <v>5110.75</v>
      </c>
      <c r="F113" s="4">
        <f t="shared" si="8"/>
        <v>5110.75</v>
      </c>
      <c r="G113" s="4">
        <f t="shared" si="9"/>
        <v>5280.7998049999997</v>
      </c>
      <c r="H113" s="4" t="str">
        <f t="shared" si="10"/>
        <v>SELL</v>
      </c>
      <c r="I113" s="4">
        <f t="shared" si="7"/>
        <v>-1</v>
      </c>
      <c r="J113" s="11" t="str">
        <f t="shared" si="11"/>
        <v>SELL</v>
      </c>
      <c r="K113" s="6">
        <f t="shared" si="12"/>
        <v>5110.75</v>
      </c>
      <c r="L113" s="4">
        <f t="shared" si="13"/>
        <v>-1.7541330257593232E-2</v>
      </c>
    </row>
    <row r="114" spans="1:12" x14ac:dyDescent="0.25">
      <c r="A114" s="1">
        <v>41325</v>
      </c>
      <c r="B114">
        <v>5112.25</v>
      </c>
      <c r="C114">
        <v>5212.3500979999999</v>
      </c>
      <c r="D114">
        <v>5055.1499020000001</v>
      </c>
      <c r="E114">
        <v>5200.7001950000003</v>
      </c>
      <c r="F114" s="4">
        <f t="shared" si="8"/>
        <v>5110.75</v>
      </c>
      <c r="G114" s="4">
        <f t="shared" si="9"/>
        <v>5280.7998049999997</v>
      </c>
      <c r="H114" s="4">
        <f t="shared" si="10"/>
        <v>0</v>
      </c>
      <c r="I114" s="4">
        <f t="shared" si="7"/>
        <v>-1</v>
      </c>
      <c r="J114" s="11">
        <f t="shared" si="11"/>
        <v>0</v>
      </c>
      <c r="K114" s="6">
        <f t="shared" si="12"/>
        <v>5110.75</v>
      </c>
      <c r="L114" s="4">
        <f t="shared" si="13"/>
        <v>0</v>
      </c>
    </row>
    <row r="115" spans="1:12" x14ac:dyDescent="0.25">
      <c r="A115" s="1">
        <v>41326</v>
      </c>
      <c r="B115">
        <v>5200.7998049999997</v>
      </c>
      <c r="C115">
        <v>5281.2001950000003</v>
      </c>
      <c r="D115">
        <v>5200.7998049999997</v>
      </c>
      <c r="E115">
        <v>5270.0498049999997</v>
      </c>
      <c r="F115" s="4">
        <f t="shared" si="8"/>
        <v>5110.75</v>
      </c>
      <c r="G115" s="4">
        <f t="shared" si="9"/>
        <v>5270.0498049999997</v>
      </c>
      <c r="H115" s="4">
        <f t="shared" si="10"/>
        <v>0</v>
      </c>
      <c r="I115" s="4">
        <f t="shared" si="7"/>
        <v>-1</v>
      </c>
      <c r="J115" s="11">
        <f t="shared" si="11"/>
        <v>0</v>
      </c>
      <c r="K115" s="6">
        <f t="shared" si="12"/>
        <v>5110.75</v>
      </c>
      <c r="L115" s="4">
        <f t="shared" si="13"/>
        <v>0</v>
      </c>
    </row>
    <row r="116" spans="1:12" x14ac:dyDescent="0.25">
      <c r="A116" s="1">
        <v>41327</v>
      </c>
      <c r="B116">
        <v>5271.3999020000001</v>
      </c>
      <c r="C116">
        <v>5368.1499020000001</v>
      </c>
      <c r="D116">
        <v>5249.75</v>
      </c>
      <c r="E116">
        <v>5268.3999020000001</v>
      </c>
      <c r="F116" s="4">
        <f t="shared" si="8"/>
        <v>5110.75</v>
      </c>
      <c r="G116" s="4">
        <f t="shared" si="9"/>
        <v>5270.0498049999997</v>
      </c>
      <c r="H116" s="4">
        <f t="shared" si="10"/>
        <v>0</v>
      </c>
      <c r="I116" s="4">
        <f t="shared" si="7"/>
        <v>-1</v>
      </c>
      <c r="J116" s="11">
        <f t="shared" si="11"/>
        <v>0</v>
      </c>
      <c r="K116" s="6">
        <f t="shared" si="12"/>
        <v>5110.75</v>
      </c>
      <c r="L116" s="4">
        <f t="shared" si="13"/>
        <v>0</v>
      </c>
    </row>
    <row r="117" spans="1:12" x14ac:dyDescent="0.25">
      <c r="A117" s="1">
        <v>41330</v>
      </c>
      <c r="B117">
        <v>5266.3500979999999</v>
      </c>
      <c r="C117">
        <v>5302.8500979999999</v>
      </c>
      <c r="D117">
        <v>5227.1499020000001</v>
      </c>
      <c r="E117">
        <v>5285.1000979999999</v>
      </c>
      <c r="F117" s="4">
        <f t="shared" si="8"/>
        <v>5110.75</v>
      </c>
      <c r="G117" s="4">
        <f t="shared" si="9"/>
        <v>5285.1000979999999</v>
      </c>
      <c r="H117" s="4" t="str">
        <f t="shared" si="10"/>
        <v>BUY</v>
      </c>
      <c r="I117" s="4">
        <f t="shared" si="7"/>
        <v>1</v>
      </c>
      <c r="J117" s="11" t="str">
        <f t="shared" si="11"/>
        <v>BUY</v>
      </c>
      <c r="K117" s="6">
        <f t="shared" si="12"/>
        <v>5285.1000979999999</v>
      </c>
      <c r="L117" s="4">
        <f t="shared" si="13"/>
        <v>-3.4114385951181311E-2</v>
      </c>
    </row>
    <row r="118" spans="1:12" x14ac:dyDescent="0.25">
      <c r="A118" s="1">
        <v>41331</v>
      </c>
      <c r="B118">
        <v>5285</v>
      </c>
      <c r="C118">
        <v>5290.7998049999997</v>
      </c>
      <c r="D118">
        <v>5098.3500979999999</v>
      </c>
      <c r="E118">
        <v>5223.5</v>
      </c>
      <c r="F118" s="4">
        <f t="shared" si="8"/>
        <v>5200.7001950000003</v>
      </c>
      <c r="G118" s="4">
        <f t="shared" si="9"/>
        <v>5285.1000979999999</v>
      </c>
      <c r="H118" s="4">
        <f t="shared" si="10"/>
        <v>0</v>
      </c>
      <c r="I118" s="4">
        <f t="shared" si="7"/>
        <v>1</v>
      </c>
      <c r="J118" s="11">
        <f t="shared" si="11"/>
        <v>0</v>
      </c>
      <c r="K118" s="6">
        <f t="shared" si="12"/>
        <v>5285.1000979999999</v>
      </c>
      <c r="L118" s="4">
        <f t="shared" si="13"/>
        <v>0</v>
      </c>
    </row>
    <row r="119" spans="1:12" x14ac:dyDescent="0.25">
      <c r="A119" s="1">
        <v>41332</v>
      </c>
      <c r="B119">
        <v>5222.7998049999997</v>
      </c>
      <c r="C119">
        <v>5222.7998049999997</v>
      </c>
      <c r="D119">
        <v>4936.0498049999997</v>
      </c>
      <c r="E119">
        <v>4953</v>
      </c>
      <c r="F119" s="4">
        <f t="shared" si="8"/>
        <v>4953</v>
      </c>
      <c r="G119" s="4">
        <f t="shared" si="9"/>
        <v>5285.1000979999999</v>
      </c>
      <c r="H119" s="4" t="str">
        <f t="shared" si="10"/>
        <v>SELL</v>
      </c>
      <c r="I119" s="4">
        <f t="shared" si="7"/>
        <v>-1</v>
      </c>
      <c r="J119" s="11" t="str">
        <f t="shared" si="11"/>
        <v>SELL</v>
      </c>
      <c r="K119" s="6">
        <f t="shared" si="12"/>
        <v>4953</v>
      </c>
      <c r="L119" s="4">
        <f t="shared" si="13"/>
        <v>-6.2837049789402091E-2</v>
      </c>
    </row>
    <row r="120" spans="1:12" x14ac:dyDescent="0.25">
      <c r="A120" s="1">
        <v>41333</v>
      </c>
      <c r="B120">
        <v>4958.5498049999997</v>
      </c>
      <c r="C120">
        <v>4976.7001950000003</v>
      </c>
      <c r="D120">
        <v>4812.9501950000003</v>
      </c>
      <c r="E120">
        <v>4864.25</v>
      </c>
      <c r="F120" s="4">
        <f t="shared" si="8"/>
        <v>4864.25</v>
      </c>
      <c r="G120" s="4">
        <f t="shared" si="9"/>
        <v>5285.1000979999999</v>
      </c>
      <c r="H120" s="4" t="str">
        <f t="shared" si="10"/>
        <v>SELL</v>
      </c>
      <c r="I120" s="4">
        <f t="shared" si="7"/>
        <v>-1</v>
      </c>
      <c r="J120" s="11">
        <f t="shared" si="11"/>
        <v>0</v>
      </c>
      <c r="K120" s="6">
        <f t="shared" si="12"/>
        <v>4953</v>
      </c>
      <c r="L120" s="4">
        <f t="shared" si="13"/>
        <v>0</v>
      </c>
    </row>
    <row r="121" spans="1:12" x14ac:dyDescent="0.25">
      <c r="A121" s="1">
        <v>41334</v>
      </c>
      <c r="B121">
        <v>4866.8500979999999</v>
      </c>
      <c r="C121">
        <v>4936.75</v>
      </c>
      <c r="D121">
        <v>4847.25</v>
      </c>
      <c r="E121">
        <v>4921.3999020000001</v>
      </c>
      <c r="F121" s="4">
        <f t="shared" si="8"/>
        <v>4864.25</v>
      </c>
      <c r="G121" s="4">
        <f t="shared" si="9"/>
        <v>5285.1000979999999</v>
      </c>
      <c r="H121" s="4">
        <f t="shared" si="10"/>
        <v>0</v>
      </c>
      <c r="I121" s="4">
        <f t="shared" si="7"/>
        <v>-1</v>
      </c>
      <c r="J121" s="11">
        <f t="shared" si="11"/>
        <v>0</v>
      </c>
      <c r="K121" s="6">
        <f t="shared" si="12"/>
        <v>4953</v>
      </c>
      <c r="L121" s="4">
        <f t="shared" si="13"/>
        <v>0</v>
      </c>
    </row>
    <row r="122" spans="1:12" x14ac:dyDescent="0.25">
      <c r="A122" s="1">
        <v>41337</v>
      </c>
      <c r="B122">
        <v>4918.2998049999997</v>
      </c>
      <c r="C122">
        <v>4918.2998049999997</v>
      </c>
      <c r="D122">
        <v>4672.25</v>
      </c>
      <c r="E122">
        <v>4771.6000979999999</v>
      </c>
      <c r="F122" s="4">
        <f t="shared" si="8"/>
        <v>4771.6000979999999</v>
      </c>
      <c r="G122" s="4">
        <f t="shared" si="9"/>
        <v>5223.5</v>
      </c>
      <c r="H122" s="4" t="str">
        <f t="shared" si="10"/>
        <v>SELL</v>
      </c>
      <c r="I122" s="4">
        <f t="shared" si="7"/>
        <v>-1</v>
      </c>
      <c r="J122" s="11">
        <f t="shared" si="11"/>
        <v>0</v>
      </c>
      <c r="K122" s="6">
        <f t="shared" si="12"/>
        <v>4953</v>
      </c>
      <c r="L122" s="4">
        <f t="shared" si="13"/>
        <v>0</v>
      </c>
    </row>
    <row r="123" spans="1:12" x14ac:dyDescent="0.25">
      <c r="A123" s="1">
        <v>41338</v>
      </c>
      <c r="B123">
        <v>4767.7998049999997</v>
      </c>
      <c r="C123">
        <v>4814.9501950000003</v>
      </c>
      <c r="D123">
        <v>4620.5</v>
      </c>
      <c r="E123">
        <v>4800.3999020000001</v>
      </c>
      <c r="F123" s="4">
        <f t="shared" si="8"/>
        <v>4771.6000979999999</v>
      </c>
      <c r="G123" s="4">
        <f t="shared" si="9"/>
        <v>4953</v>
      </c>
      <c r="H123" s="4">
        <f t="shared" si="10"/>
        <v>0</v>
      </c>
      <c r="I123" s="4">
        <f t="shared" si="7"/>
        <v>-1</v>
      </c>
      <c r="J123" s="11">
        <f t="shared" si="11"/>
        <v>0</v>
      </c>
      <c r="K123" s="6">
        <f t="shared" si="12"/>
        <v>4953</v>
      </c>
      <c r="L123" s="4">
        <f t="shared" si="13"/>
        <v>0</v>
      </c>
    </row>
    <row r="124" spans="1:12" x14ac:dyDescent="0.25">
      <c r="A124" s="1">
        <v>41339</v>
      </c>
      <c r="B124">
        <v>4796.2998049999997</v>
      </c>
      <c r="C124">
        <v>4888.5</v>
      </c>
      <c r="D124">
        <v>4732.8500979999999</v>
      </c>
      <c r="E124">
        <v>4865.8999020000001</v>
      </c>
      <c r="F124" s="4">
        <f t="shared" si="8"/>
        <v>4771.6000979999999</v>
      </c>
      <c r="G124" s="4">
        <f t="shared" si="9"/>
        <v>4921.3999020000001</v>
      </c>
      <c r="H124" s="4">
        <f t="shared" si="10"/>
        <v>0</v>
      </c>
      <c r="I124" s="4">
        <f t="shared" si="7"/>
        <v>-1</v>
      </c>
      <c r="J124" s="11">
        <f t="shared" si="11"/>
        <v>0</v>
      </c>
      <c r="K124" s="6">
        <f t="shared" si="12"/>
        <v>4953</v>
      </c>
      <c r="L124" s="4">
        <f t="shared" si="13"/>
        <v>0</v>
      </c>
    </row>
    <row r="125" spans="1:12" x14ac:dyDescent="0.25">
      <c r="A125" s="1">
        <v>41340</v>
      </c>
      <c r="B125">
        <v>4869.75</v>
      </c>
      <c r="C125">
        <v>5019.2001950000003</v>
      </c>
      <c r="D125">
        <v>4854.75</v>
      </c>
      <c r="E125">
        <v>4872</v>
      </c>
      <c r="F125" s="4">
        <f t="shared" si="8"/>
        <v>4771.6000979999999</v>
      </c>
      <c r="G125" s="4">
        <f t="shared" si="9"/>
        <v>4921.3999020000001</v>
      </c>
      <c r="H125" s="4">
        <f t="shared" si="10"/>
        <v>0</v>
      </c>
      <c r="I125" s="4">
        <f t="shared" si="7"/>
        <v>-1</v>
      </c>
      <c r="J125" s="11">
        <f t="shared" si="11"/>
        <v>0</v>
      </c>
      <c r="K125" s="6">
        <f t="shared" si="12"/>
        <v>4953</v>
      </c>
      <c r="L125" s="4">
        <f t="shared" si="13"/>
        <v>0</v>
      </c>
    </row>
    <row r="126" spans="1:12" x14ac:dyDescent="0.25">
      <c r="A126" s="1">
        <v>41341</v>
      </c>
      <c r="B126">
        <v>4868.7001950000003</v>
      </c>
      <c r="C126">
        <v>4868.7998049999997</v>
      </c>
      <c r="D126">
        <v>4580.1499020000001</v>
      </c>
      <c r="E126">
        <v>4623.6000979999999</v>
      </c>
      <c r="F126" s="4">
        <f t="shared" si="8"/>
        <v>4623.6000979999999</v>
      </c>
      <c r="G126" s="4">
        <f t="shared" si="9"/>
        <v>4872</v>
      </c>
      <c r="H126" s="4" t="str">
        <f t="shared" si="10"/>
        <v>SELL</v>
      </c>
      <c r="I126" s="4">
        <f t="shared" si="7"/>
        <v>-1</v>
      </c>
      <c r="J126" s="11">
        <f t="shared" si="11"/>
        <v>0</v>
      </c>
      <c r="K126" s="6">
        <f t="shared" si="12"/>
        <v>4953</v>
      </c>
      <c r="L126" s="4">
        <f t="shared" si="13"/>
        <v>0</v>
      </c>
    </row>
    <row r="127" spans="1:12" x14ac:dyDescent="0.25">
      <c r="A127" s="1">
        <v>41344</v>
      </c>
      <c r="B127">
        <v>4623.7998049999997</v>
      </c>
      <c r="C127">
        <v>4758.9501950000003</v>
      </c>
      <c r="D127">
        <v>4607.5498049999997</v>
      </c>
      <c r="E127">
        <v>4745.7998049999997</v>
      </c>
      <c r="F127" s="4">
        <f t="shared" si="8"/>
        <v>4623.6000979999999</v>
      </c>
      <c r="G127" s="4">
        <f t="shared" si="9"/>
        <v>4872</v>
      </c>
      <c r="H127" s="4">
        <f t="shared" si="10"/>
        <v>0</v>
      </c>
      <c r="I127" s="4">
        <f t="shared" si="7"/>
        <v>-1</v>
      </c>
      <c r="J127" s="11">
        <f t="shared" si="11"/>
        <v>0</v>
      </c>
      <c r="K127" s="6">
        <f t="shared" si="12"/>
        <v>4953</v>
      </c>
      <c r="L127" s="4">
        <f t="shared" si="13"/>
        <v>0</v>
      </c>
    </row>
    <row r="128" spans="1:12" x14ac:dyDescent="0.25">
      <c r="A128" s="1">
        <v>41345</v>
      </c>
      <c r="B128">
        <v>4745.4501950000003</v>
      </c>
      <c r="C128">
        <v>4745.4501950000003</v>
      </c>
      <c r="D128">
        <v>4482.1000979999999</v>
      </c>
      <c r="E128">
        <v>4503.1000979999999</v>
      </c>
      <c r="F128" s="4">
        <f t="shared" si="8"/>
        <v>4503.1000979999999</v>
      </c>
      <c r="G128" s="4">
        <f t="shared" si="9"/>
        <v>4872</v>
      </c>
      <c r="H128" s="4" t="str">
        <f t="shared" si="10"/>
        <v>SELL</v>
      </c>
      <c r="I128" s="4">
        <f t="shared" si="7"/>
        <v>-1</v>
      </c>
      <c r="J128" s="11">
        <f t="shared" si="11"/>
        <v>0</v>
      </c>
      <c r="K128" s="6">
        <f t="shared" si="12"/>
        <v>4953</v>
      </c>
      <c r="L128" s="4">
        <f t="shared" si="13"/>
        <v>0</v>
      </c>
    </row>
    <row r="129" spans="1:12" x14ac:dyDescent="0.25">
      <c r="A129" s="1">
        <v>41346</v>
      </c>
      <c r="B129">
        <v>4519.8999020000001</v>
      </c>
      <c r="C129">
        <v>4617.9501950000003</v>
      </c>
      <c r="D129">
        <v>4468.5498049999997</v>
      </c>
      <c r="E129">
        <v>4533</v>
      </c>
      <c r="F129" s="4">
        <f t="shared" si="8"/>
        <v>4503.1000979999999</v>
      </c>
      <c r="G129" s="4">
        <f t="shared" si="9"/>
        <v>4872</v>
      </c>
      <c r="H129" s="4">
        <f t="shared" si="10"/>
        <v>0</v>
      </c>
      <c r="I129" s="4">
        <f t="shared" si="7"/>
        <v>-1</v>
      </c>
      <c r="J129" s="11">
        <f t="shared" si="11"/>
        <v>0</v>
      </c>
      <c r="K129" s="6">
        <f t="shared" si="12"/>
        <v>4953</v>
      </c>
      <c r="L129" s="4">
        <f t="shared" si="13"/>
        <v>0</v>
      </c>
    </row>
    <row r="130" spans="1:12" x14ac:dyDescent="0.25">
      <c r="A130" s="1">
        <v>41347</v>
      </c>
      <c r="B130">
        <v>4534.75</v>
      </c>
      <c r="C130">
        <v>4718.3999020000001</v>
      </c>
      <c r="D130">
        <v>4533.8999020000001</v>
      </c>
      <c r="E130">
        <v>4573.9501950000003</v>
      </c>
      <c r="F130" s="4">
        <f t="shared" si="8"/>
        <v>4503.1000979999999</v>
      </c>
      <c r="G130" s="4">
        <f t="shared" si="9"/>
        <v>4745.7998049999997</v>
      </c>
      <c r="H130" s="4">
        <f t="shared" si="10"/>
        <v>0</v>
      </c>
      <c r="I130" s="4">
        <f t="shared" si="7"/>
        <v>-1</v>
      </c>
      <c r="J130" s="11">
        <f t="shared" si="11"/>
        <v>0</v>
      </c>
      <c r="K130" s="6">
        <f t="shared" si="12"/>
        <v>4953</v>
      </c>
      <c r="L130" s="4">
        <f t="shared" si="13"/>
        <v>0</v>
      </c>
    </row>
    <row r="131" spans="1:12" x14ac:dyDescent="0.25">
      <c r="A131" s="1">
        <v>41348</v>
      </c>
      <c r="B131">
        <v>4576.7998049999997</v>
      </c>
      <c r="C131">
        <v>4649.4501950000003</v>
      </c>
      <c r="D131">
        <v>4539.7998049999997</v>
      </c>
      <c r="E131">
        <v>4609.8500979999999</v>
      </c>
      <c r="F131" s="4">
        <f t="shared" si="8"/>
        <v>4503.1000979999999</v>
      </c>
      <c r="G131" s="4">
        <f t="shared" si="9"/>
        <v>4745.7998049999997</v>
      </c>
      <c r="H131" s="4">
        <f t="shared" si="10"/>
        <v>0</v>
      </c>
      <c r="I131" s="4">
        <f t="shared" si="7"/>
        <v>-1</v>
      </c>
      <c r="J131" s="11">
        <f t="shared" si="11"/>
        <v>0</v>
      </c>
      <c r="K131" s="6">
        <f t="shared" si="12"/>
        <v>4953</v>
      </c>
      <c r="L131" s="4">
        <f t="shared" si="13"/>
        <v>0</v>
      </c>
    </row>
    <row r="132" spans="1:12" x14ac:dyDescent="0.25">
      <c r="A132" s="1">
        <v>41351</v>
      </c>
      <c r="B132">
        <v>4616.7998049999997</v>
      </c>
      <c r="C132">
        <v>4896.7998049999997</v>
      </c>
      <c r="D132">
        <v>4616.7998049999997</v>
      </c>
      <c r="E132">
        <v>4877.5</v>
      </c>
      <c r="F132" s="4">
        <f t="shared" si="8"/>
        <v>4503.1000979999999</v>
      </c>
      <c r="G132" s="4">
        <f t="shared" si="9"/>
        <v>4877.5</v>
      </c>
      <c r="H132" s="4" t="str">
        <f t="shared" si="10"/>
        <v>BUY</v>
      </c>
      <c r="I132" s="4">
        <f t="shared" si="7"/>
        <v>1</v>
      </c>
      <c r="J132" s="11" t="str">
        <f t="shared" si="11"/>
        <v>BUY</v>
      </c>
      <c r="K132" s="6">
        <f t="shared" si="12"/>
        <v>4877.5</v>
      </c>
      <c r="L132" s="4">
        <f t="shared" si="13"/>
        <v>1.5243286896830204E-2</v>
      </c>
    </row>
    <row r="133" spans="1:12" x14ac:dyDescent="0.25">
      <c r="A133" s="1">
        <v>41352</v>
      </c>
      <c r="B133">
        <v>4878.7001950000003</v>
      </c>
      <c r="C133">
        <v>4912.2998049999997</v>
      </c>
      <c r="D133">
        <v>4808.6499020000001</v>
      </c>
      <c r="E133">
        <v>4828.8500979999999</v>
      </c>
      <c r="F133" s="4">
        <f t="shared" si="8"/>
        <v>4533</v>
      </c>
      <c r="G133" s="4">
        <f t="shared" si="9"/>
        <v>4877.5</v>
      </c>
      <c r="H133" s="4">
        <f t="shared" si="10"/>
        <v>0</v>
      </c>
      <c r="I133" s="4">
        <f t="shared" si="7"/>
        <v>1</v>
      </c>
      <c r="J133" s="11">
        <f t="shared" si="11"/>
        <v>0</v>
      </c>
      <c r="K133" s="6">
        <f t="shared" si="12"/>
        <v>4877.5</v>
      </c>
      <c r="L133" s="4">
        <f t="shared" si="13"/>
        <v>0</v>
      </c>
    </row>
    <row r="134" spans="1:12" x14ac:dyDescent="0.25">
      <c r="A134" s="1">
        <v>41353</v>
      </c>
      <c r="B134">
        <v>4828.7998049999997</v>
      </c>
      <c r="C134">
        <v>4863.75</v>
      </c>
      <c r="D134">
        <v>4769.6000979999999</v>
      </c>
      <c r="E134">
        <v>4830.25</v>
      </c>
      <c r="F134" s="4">
        <f t="shared" si="8"/>
        <v>4573.9501950000003</v>
      </c>
      <c r="G134" s="4">
        <f t="shared" si="9"/>
        <v>4877.5</v>
      </c>
      <c r="H134" s="4">
        <f t="shared" si="10"/>
        <v>0</v>
      </c>
      <c r="I134" s="4">
        <f t="shared" ref="I134:I197" si="14">IF(AND(H134="BUY",I133&lt;&gt;1),1,IF(AND(H134="SELL",I133&lt;&gt;-1),-1,I133))</f>
        <v>1</v>
      </c>
      <c r="J134" s="11">
        <f t="shared" si="11"/>
        <v>0</v>
      </c>
      <c r="K134" s="6">
        <f t="shared" si="12"/>
        <v>4877.5</v>
      </c>
      <c r="L134" s="4">
        <f t="shared" si="13"/>
        <v>0</v>
      </c>
    </row>
    <row r="135" spans="1:12" x14ac:dyDescent="0.25">
      <c r="A135" s="1">
        <v>41354</v>
      </c>
      <c r="B135">
        <v>4830</v>
      </c>
      <c r="C135">
        <v>4970.7998049999997</v>
      </c>
      <c r="D135">
        <v>4796.3500979999999</v>
      </c>
      <c r="E135">
        <v>4942</v>
      </c>
      <c r="F135" s="4">
        <f t="shared" ref="F135:F198" si="15">MIN(E131:E135)</f>
        <v>4609.8500979999999</v>
      </c>
      <c r="G135" s="4">
        <f t="shared" ref="G135:G198" si="16">MAX(E131:E135)</f>
        <v>4942</v>
      </c>
      <c r="H135" s="4" t="str">
        <f t="shared" ref="H135:H198" si="17">IF(E135&gt;G134,"BUY",IF(E135&lt;F134,"SELL",0))</f>
        <v>BUY</v>
      </c>
      <c r="I135" s="4">
        <f t="shared" si="14"/>
        <v>1</v>
      </c>
      <c r="J135" s="11">
        <f t="shared" ref="J135:J198" si="18">IF(I135&lt;&gt;I134,H135,0)</f>
        <v>0</v>
      </c>
      <c r="K135" s="6">
        <f t="shared" ref="K135:K198" si="19">IF(J135&lt;&gt;0,E135,K134)</f>
        <v>4877.5</v>
      </c>
      <c r="L135" s="4">
        <f t="shared" si="13"/>
        <v>0</v>
      </c>
    </row>
    <row r="136" spans="1:12" x14ac:dyDescent="0.25">
      <c r="A136" s="1">
        <v>41355</v>
      </c>
      <c r="B136">
        <v>4942.1499020000001</v>
      </c>
      <c r="C136">
        <v>4947</v>
      </c>
      <c r="D136">
        <v>4703.8500979999999</v>
      </c>
      <c r="E136">
        <v>4734.5</v>
      </c>
      <c r="F136" s="4">
        <f t="shared" si="15"/>
        <v>4734.5</v>
      </c>
      <c r="G136" s="4">
        <f t="shared" si="16"/>
        <v>4942</v>
      </c>
      <c r="H136" s="4">
        <f t="shared" si="17"/>
        <v>0</v>
      </c>
      <c r="I136" s="4">
        <f t="shared" si="14"/>
        <v>1</v>
      </c>
      <c r="J136" s="11">
        <f t="shared" si="18"/>
        <v>0</v>
      </c>
      <c r="K136" s="6">
        <f t="shared" si="19"/>
        <v>4877.5</v>
      </c>
      <c r="L136" s="4">
        <f t="shared" ref="L136:L199" si="20">IF(J136="BUY",(K135-K136)/K135,IF(J136="SELL",(K137-K135)/K135,0))</f>
        <v>0</v>
      </c>
    </row>
    <row r="137" spans="1:12" x14ac:dyDescent="0.25">
      <c r="A137" s="1">
        <v>41358</v>
      </c>
      <c r="B137">
        <v>4735.6499020000001</v>
      </c>
      <c r="C137">
        <v>4800.75</v>
      </c>
      <c r="D137">
        <v>4628.75</v>
      </c>
      <c r="E137">
        <v>4739.5498049999997</v>
      </c>
      <c r="F137" s="4">
        <f t="shared" si="15"/>
        <v>4734.5</v>
      </c>
      <c r="G137" s="4">
        <f t="shared" si="16"/>
        <v>4942</v>
      </c>
      <c r="H137" s="4">
        <f t="shared" si="17"/>
        <v>0</v>
      </c>
      <c r="I137" s="4">
        <f t="shared" si="14"/>
        <v>1</v>
      </c>
      <c r="J137" s="11">
        <f t="shared" si="18"/>
        <v>0</v>
      </c>
      <c r="K137" s="6">
        <f t="shared" si="19"/>
        <v>4877.5</v>
      </c>
      <c r="L137" s="4">
        <f t="shared" si="20"/>
        <v>0</v>
      </c>
    </row>
    <row r="138" spans="1:12" x14ac:dyDescent="0.25">
      <c r="A138" s="1">
        <v>41359</v>
      </c>
      <c r="B138">
        <v>4741.3999020000001</v>
      </c>
      <c r="C138">
        <v>4916.75</v>
      </c>
      <c r="D138">
        <v>4741.3999020000001</v>
      </c>
      <c r="E138">
        <v>4754.2001950000003</v>
      </c>
      <c r="F138" s="4">
        <f t="shared" si="15"/>
        <v>4734.5</v>
      </c>
      <c r="G138" s="4">
        <f t="shared" si="16"/>
        <v>4942</v>
      </c>
      <c r="H138" s="4">
        <f t="shared" si="17"/>
        <v>0</v>
      </c>
      <c r="I138" s="4">
        <f t="shared" si="14"/>
        <v>1</v>
      </c>
      <c r="J138" s="11">
        <f t="shared" si="18"/>
        <v>0</v>
      </c>
      <c r="K138" s="6">
        <f t="shared" si="19"/>
        <v>4877.5</v>
      </c>
      <c r="L138" s="4">
        <f t="shared" si="20"/>
        <v>0</v>
      </c>
    </row>
    <row r="139" spans="1:12" x14ac:dyDescent="0.25">
      <c r="A139" s="1">
        <v>41360</v>
      </c>
      <c r="B139">
        <v>4753.8999020000001</v>
      </c>
      <c r="C139">
        <v>4833.25</v>
      </c>
      <c r="D139">
        <v>4738.2001950000003</v>
      </c>
      <c r="E139">
        <v>4771.6000979999999</v>
      </c>
      <c r="F139" s="4">
        <f t="shared" si="15"/>
        <v>4734.5</v>
      </c>
      <c r="G139" s="4">
        <f t="shared" si="16"/>
        <v>4942</v>
      </c>
      <c r="H139" s="4">
        <f t="shared" si="17"/>
        <v>0</v>
      </c>
      <c r="I139" s="4">
        <f t="shared" si="14"/>
        <v>1</v>
      </c>
      <c r="J139" s="11">
        <f t="shared" si="18"/>
        <v>0</v>
      </c>
      <c r="K139" s="6">
        <f t="shared" si="19"/>
        <v>4877.5</v>
      </c>
      <c r="L139" s="4">
        <f t="shared" si="20"/>
        <v>0</v>
      </c>
    </row>
    <row r="140" spans="1:12" x14ac:dyDescent="0.25">
      <c r="A140" s="1">
        <v>41361</v>
      </c>
      <c r="B140">
        <v>4766.7001950000003</v>
      </c>
      <c r="C140">
        <v>4791.7001950000003</v>
      </c>
      <c r="D140">
        <v>4632.7001950000003</v>
      </c>
      <c r="E140">
        <v>4647</v>
      </c>
      <c r="F140" s="4">
        <f t="shared" si="15"/>
        <v>4647</v>
      </c>
      <c r="G140" s="4">
        <f t="shared" si="16"/>
        <v>4771.6000979999999</v>
      </c>
      <c r="H140" s="4" t="str">
        <f t="shared" si="17"/>
        <v>SELL</v>
      </c>
      <c r="I140" s="4">
        <f t="shared" si="14"/>
        <v>-1</v>
      </c>
      <c r="J140" s="11" t="str">
        <f t="shared" si="18"/>
        <v>SELL</v>
      </c>
      <c r="K140" s="6">
        <f t="shared" si="19"/>
        <v>4647</v>
      </c>
      <c r="L140" s="4">
        <f t="shared" si="20"/>
        <v>-4.7257816504356738E-2</v>
      </c>
    </row>
    <row r="141" spans="1:12" x14ac:dyDescent="0.25">
      <c r="A141" s="1">
        <v>41362</v>
      </c>
      <c r="B141">
        <v>4631.3500979999999</v>
      </c>
      <c r="C141">
        <v>4798.5498049999997</v>
      </c>
      <c r="D141">
        <v>4628.7998049999997</v>
      </c>
      <c r="E141">
        <v>4761.2001950000003</v>
      </c>
      <c r="F141" s="4">
        <f t="shared" si="15"/>
        <v>4647</v>
      </c>
      <c r="G141" s="4">
        <f t="shared" si="16"/>
        <v>4771.6000979999999</v>
      </c>
      <c r="H141" s="4">
        <f t="shared" si="17"/>
        <v>0</v>
      </c>
      <c r="I141" s="4">
        <f t="shared" si="14"/>
        <v>-1</v>
      </c>
      <c r="J141" s="11">
        <f t="shared" si="18"/>
        <v>0</v>
      </c>
      <c r="K141" s="6">
        <f t="shared" si="19"/>
        <v>4647</v>
      </c>
      <c r="L141" s="4">
        <f t="shared" si="20"/>
        <v>0</v>
      </c>
    </row>
    <row r="142" spans="1:12" x14ac:dyDescent="0.25">
      <c r="A142" s="1">
        <v>41365</v>
      </c>
      <c r="B142">
        <v>4760.6499020000001</v>
      </c>
      <c r="C142">
        <v>4769.5498049999997</v>
      </c>
      <c r="D142">
        <v>4677.7998049999997</v>
      </c>
      <c r="E142">
        <v>4709.6499020000001</v>
      </c>
      <c r="F142" s="4">
        <f t="shared" si="15"/>
        <v>4647</v>
      </c>
      <c r="G142" s="4">
        <f t="shared" si="16"/>
        <v>4771.6000979999999</v>
      </c>
      <c r="H142" s="4">
        <f t="shared" si="17"/>
        <v>0</v>
      </c>
      <c r="I142" s="4">
        <f t="shared" si="14"/>
        <v>-1</v>
      </c>
      <c r="J142" s="11">
        <f t="shared" si="18"/>
        <v>0</v>
      </c>
      <c r="K142" s="6">
        <f t="shared" si="19"/>
        <v>4647</v>
      </c>
      <c r="L142" s="4">
        <f t="shared" si="20"/>
        <v>0</v>
      </c>
    </row>
    <row r="143" spans="1:12" x14ac:dyDescent="0.25">
      <c r="A143" s="1">
        <v>41366</v>
      </c>
      <c r="B143">
        <v>4707.0498049999997</v>
      </c>
      <c r="C143">
        <v>4758.25</v>
      </c>
      <c r="D143">
        <v>4667.5</v>
      </c>
      <c r="E143">
        <v>4747.0498049999997</v>
      </c>
      <c r="F143" s="4">
        <f t="shared" si="15"/>
        <v>4647</v>
      </c>
      <c r="G143" s="4">
        <f t="shared" si="16"/>
        <v>4771.6000979999999</v>
      </c>
      <c r="H143" s="4">
        <f t="shared" si="17"/>
        <v>0</v>
      </c>
      <c r="I143" s="4">
        <f t="shared" si="14"/>
        <v>-1</v>
      </c>
      <c r="J143" s="11">
        <f t="shared" si="18"/>
        <v>0</v>
      </c>
      <c r="K143" s="6">
        <f t="shared" si="19"/>
        <v>4647</v>
      </c>
      <c r="L143" s="4">
        <f t="shared" si="20"/>
        <v>0</v>
      </c>
    </row>
    <row r="144" spans="1:12" x14ac:dyDescent="0.25">
      <c r="A144" s="1">
        <v>41367</v>
      </c>
      <c r="B144">
        <v>4747.5498049999997</v>
      </c>
      <c r="C144">
        <v>4799.5</v>
      </c>
      <c r="D144">
        <v>4720.8999020000001</v>
      </c>
      <c r="E144">
        <v>4733</v>
      </c>
      <c r="F144" s="4">
        <f t="shared" si="15"/>
        <v>4647</v>
      </c>
      <c r="G144" s="4">
        <f t="shared" si="16"/>
        <v>4761.2001950000003</v>
      </c>
      <c r="H144" s="4">
        <f t="shared" si="17"/>
        <v>0</v>
      </c>
      <c r="I144" s="4">
        <f t="shared" si="14"/>
        <v>-1</v>
      </c>
      <c r="J144" s="11">
        <f t="shared" si="18"/>
        <v>0</v>
      </c>
      <c r="K144" s="6">
        <f t="shared" si="19"/>
        <v>4647</v>
      </c>
      <c r="L144" s="4">
        <f t="shared" si="20"/>
        <v>0</v>
      </c>
    </row>
    <row r="145" spans="1:12" x14ac:dyDescent="0.25">
      <c r="A145" s="1">
        <v>41368</v>
      </c>
      <c r="B145">
        <v>4734.3500979999999</v>
      </c>
      <c r="C145">
        <v>4817.3999020000001</v>
      </c>
      <c r="D145">
        <v>4727.25</v>
      </c>
      <c r="E145">
        <v>4777.7998049999997</v>
      </c>
      <c r="F145" s="4">
        <f t="shared" si="15"/>
        <v>4709.6499020000001</v>
      </c>
      <c r="G145" s="4">
        <f t="shared" si="16"/>
        <v>4777.7998049999997</v>
      </c>
      <c r="H145" s="4" t="str">
        <f t="shared" si="17"/>
        <v>BUY</v>
      </c>
      <c r="I145" s="4">
        <f t="shared" si="14"/>
        <v>1</v>
      </c>
      <c r="J145" s="11" t="str">
        <f t="shared" si="18"/>
        <v>BUY</v>
      </c>
      <c r="K145" s="6">
        <f t="shared" si="19"/>
        <v>4777.7998049999997</v>
      </c>
      <c r="L145" s="4">
        <f t="shared" si="20"/>
        <v>-2.8147149774047697E-2</v>
      </c>
    </row>
    <row r="146" spans="1:12" x14ac:dyDescent="0.25">
      <c r="A146" s="1">
        <v>41369</v>
      </c>
      <c r="B146">
        <v>4779.9501950000003</v>
      </c>
      <c r="C146">
        <v>4917.1000979999999</v>
      </c>
      <c r="D146">
        <v>4708.2998049999997</v>
      </c>
      <c r="E146">
        <v>4879.6499020000001</v>
      </c>
      <c r="F146" s="4">
        <f t="shared" si="15"/>
        <v>4709.6499020000001</v>
      </c>
      <c r="G146" s="4">
        <f t="shared" si="16"/>
        <v>4879.6499020000001</v>
      </c>
      <c r="H146" s="4" t="str">
        <f t="shared" si="17"/>
        <v>BUY</v>
      </c>
      <c r="I146" s="4">
        <f t="shared" si="14"/>
        <v>1</v>
      </c>
      <c r="J146" s="11">
        <f t="shared" si="18"/>
        <v>0</v>
      </c>
      <c r="K146" s="6">
        <f t="shared" si="19"/>
        <v>4777.7998049999997</v>
      </c>
      <c r="L146" s="4">
        <f t="shared" si="20"/>
        <v>0</v>
      </c>
    </row>
    <row r="147" spans="1:12" x14ac:dyDescent="0.25">
      <c r="A147" s="1">
        <v>41372</v>
      </c>
      <c r="B147">
        <v>4881.6499020000001</v>
      </c>
      <c r="C147">
        <v>4951.3999020000001</v>
      </c>
      <c r="D147">
        <v>4874.0498049999997</v>
      </c>
      <c r="E147">
        <v>4887.2998049999997</v>
      </c>
      <c r="F147" s="4">
        <f t="shared" si="15"/>
        <v>4733</v>
      </c>
      <c r="G147" s="4">
        <f t="shared" si="16"/>
        <v>4887.2998049999997</v>
      </c>
      <c r="H147" s="4" t="str">
        <f t="shared" si="17"/>
        <v>BUY</v>
      </c>
      <c r="I147" s="4">
        <f t="shared" si="14"/>
        <v>1</v>
      </c>
      <c r="J147" s="11">
        <f t="shared" si="18"/>
        <v>0</v>
      </c>
      <c r="K147" s="6">
        <f t="shared" si="19"/>
        <v>4777.7998049999997</v>
      </c>
      <c r="L147" s="4">
        <f t="shared" si="20"/>
        <v>0</v>
      </c>
    </row>
    <row r="148" spans="1:12" x14ac:dyDescent="0.25">
      <c r="A148" s="1">
        <v>41373</v>
      </c>
      <c r="B148">
        <v>4890.6000979999999</v>
      </c>
      <c r="C148">
        <v>4984.9501950000003</v>
      </c>
      <c r="D148">
        <v>4889.6499020000001</v>
      </c>
      <c r="E148">
        <v>4958.3999020000001</v>
      </c>
      <c r="F148" s="4">
        <f t="shared" si="15"/>
        <v>4733</v>
      </c>
      <c r="G148" s="4">
        <f t="shared" si="16"/>
        <v>4958.3999020000001</v>
      </c>
      <c r="H148" s="4" t="str">
        <f t="shared" si="17"/>
        <v>BUY</v>
      </c>
      <c r="I148" s="4">
        <f t="shared" si="14"/>
        <v>1</v>
      </c>
      <c r="J148" s="11">
        <f t="shared" si="18"/>
        <v>0</v>
      </c>
      <c r="K148" s="6">
        <f t="shared" si="19"/>
        <v>4777.7998049999997</v>
      </c>
      <c r="L148" s="4">
        <f t="shared" si="20"/>
        <v>0</v>
      </c>
    </row>
    <row r="149" spans="1:12" x14ac:dyDescent="0.25">
      <c r="A149" s="1">
        <v>41374</v>
      </c>
      <c r="B149">
        <v>4955.8999020000001</v>
      </c>
      <c r="C149">
        <v>5053.3999020000001</v>
      </c>
      <c r="D149">
        <v>4955.8999020000001</v>
      </c>
      <c r="E149">
        <v>5037</v>
      </c>
      <c r="F149" s="4">
        <f t="shared" si="15"/>
        <v>4777.7998049999997</v>
      </c>
      <c r="G149" s="4">
        <f t="shared" si="16"/>
        <v>5037</v>
      </c>
      <c r="H149" s="4" t="str">
        <f t="shared" si="17"/>
        <v>BUY</v>
      </c>
      <c r="I149" s="4">
        <f t="shared" si="14"/>
        <v>1</v>
      </c>
      <c r="J149" s="11">
        <f t="shared" si="18"/>
        <v>0</v>
      </c>
      <c r="K149" s="6">
        <f t="shared" si="19"/>
        <v>4777.7998049999997</v>
      </c>
      <c r="L149" s="4">
        <f t="shared" si="20"/>
        <v>0</v>
      </c>
    </row>
    <row r="150" spans="1:12" x14ac:dyDescent="0.25">
      <c r="A150" s="1">
        <v>41375</v>
      </c>
      <c r="B150">
        <v>5037.0498049999997</v>
      </c>
      <c r="C150">
        <v>5074.25</v>
      </c>
      <c r="D150">
        <v>4994.0498049999997</v>
      </c>
      <c r="E150">
        <v>5049.2998049999997</v>
      </c>
      <c r="F150" s="4">
        <f t="shared" si="15"/>
        <v>4879.6499020000001</v>
      </c>
      <c r="G150" s="4">
        <f t="shared" si="16"/>
        <v>5049.2998049999997</v>
      </c>
      <c r="H150" s="4" t="str">
        <f t="shared" si="17"/>
        <v>BUY</v>
      </c>
      <c r="I150" s="4">
        <f t="shared" si="14"/>
        <v>1</v>
      </c>
      <c r="J150" s="11">
        <f t="shared" si="18"/>
        <v>0</v>
      </c>
      <c r="K150" s="6">
        <f t="shared" si="19"/>
        <v>4777.7998049999997</v>
      </c>
      <c r="L150" s="4">
        <f t="shared" si="20"/>
        <v>0</v>
      </c>
    </row>
    <row r="151" spans="1:12" x14ac:dyDescent="0.25">
      <c r="A151" s="1">
        <v>41376</v>
      </c>
      <c r="B151">
        <v>5044.3500979999999</v>
      </c>
      <c r="C151">
        <v>5083.5</v>
      </c>
      <c r="D151">
        <v>5003.5498049999997</v>
      </c>
      <c r="E151">
        <v>5022.7998049999997</v>
      </c>
      <c r="F151" s="4">
        <f t="shared" si="15"/>
        <v>4887.2998049999997</v>
      </c>
      <c r="G151" s="4">
        <f t="shared" si="16"/>
        <v>5049.2998049999997</v>
      </c>
      <c r="H151" s="4">
        <f t="shared" si="17"/>
        <v>0</v>
      </c>
      <c r="I151" s="4">
        <f t="shared" si="14"/>
        <v>1</v>
      </c>
      <c r="J151" s="11">
        <f t="shared" si="18"/>
        <v>0</v>
      </c>
      <c r="K151" s="6">
        <f t="shared" si="19"/>
        <v>4777.7998049999997</v>
      </c>
      <c r="L151" s="4">
        <f t="shared" si="20"/>
        <v>0</v>
      </c>
    </row>
    <row r="152" spans="1:12" x14ac:dyDescent="0.25">
      <c r="A152" s="1">
        <v>41379</v>
      </c>
      <c r="B152">
        <v>5022.8999020000001</v>
      </c>
      <c r="C152">
        <v>5072.7001950000003</v>
      </c>
      <c r="D152">
        <v>4991.3500979999999</v>
      </c>
      <c r="E152">
        <v>4999.8500979999999</v>
      </c>
      <c r="F152" s="4">
        <f t="shared" si="15"/>
        <v>4958.3999020000001</v>
      </c>
      <c r="G152" s="4">
        <f t="shared" si="16"/>
        <v>5049.2998049999997</v>
      </c>
      <c r="H152" s="4">
        <f t="shared" si="17"/>
        <v>0</v>
      </c>
      <c r="I152" s="4">
        <f t="shared" si="14"/>
        <v>1</v>
      </c>
      <c r="J152" s="11">
        <f t="shared" si="18"/>
        <v>0</v>
      </c>
      <c r="K152" s="6">
        <f t="shared" si="19"/>
        <v>4777.7998049999997</v>
      </c>
      <c r="L152" s="4">
        <f t="shared" si="20"/>
        <v>0</v>
      </c>
    </row>
    <row r="153" spans="1:12" x14ac:dyDescent="0.25">
      <c r="A153" s="1">
        <v>41380</v>
      </c>
      <c r="B153">
        <v>4999.1499020000001</v>
      </c>
      <c r="C153">
        <v>5117.7001950000003</v>
      </c>
      <c r="D153">
        <v>4999.1499020000001</v>
      </c>
      <c r="E153">
        <v>5111.7001950000003</v>
      </c>
      <c r="F153" s="4">
        <f t="shared" si="15"/>
        <v>4999.8500979999999</v>
      </c>
      <c r="G153" s="4">
        <f t="shared" si="16"/>
        <v>5111.7001950000003</v>
      </c>
      <c r="H153" s="4" t="str">
        <f t="shared" si="17"/>
        <v>BUY</v>
      </c>
      <c r="I153" s="4">
        <f t="shared" si="14"/>
        <v>1</v>
      </c>
      <c r="J153" s="11">
        <f t="shared" si="18"/>
        <v>0</v>
      </c>
      <c r="K153" s="6">
        <f t="shared" si="19"/>
        <v>4777.7998049999997</v>
      </c>
      <c r="L153" s="4">
        <f t="shared" si="20"/>
        <v>0</v>
      </c>
    </row>
    <row r="154" spans="1:12" x14ac:dyDescent="0.25">
      <c r="A154" s="1">
        <v>41381</v>
      </c>
      <c r="B154">
        <v>5112.5</v>
      </c>
      <c r="C154">
        <v>5147.4501950000003</v>
      </c>
      <c r="D154">
        <v>5079.1499020000001</v>
      </c>
      <c r="E154">
        <v>5089.6499020000001</v>
      </c>
      <c r="F154" s="4">
        <f t="shared" si="15"/>
        <v>4999.8500979999999</v>
      </c>
      <c r="G154" s="4">
        <f t="shared" si="16"/>
        <v>5111.7001950000003</v>
      </c>
      <c r="H154" s="4">
        <f t="shared" si="17"/>
        <v>0</v>
      </c>
      <c r="I154" s="4">
        <f t="shared" si="14"/>
        <v>1</v>
      </c>
      <c r="J154" s="11">
        <f t="shared" si="18"/>
        <v>0</v>
      </c>
      <c r="K154" s="6">
        <f t="shared" si="19"/>
        <v>4777.7998049999997</v>
      </c>
      <c r="L154" s="4">
        <f t="shared" si="20"/>
        <v>0</v>
      </c>
    </row>
    <row r="155" spans="1:12" x14ac:dyDescent="0.25">
      <c r="A155" s="1">
        <v>41382</v>
      </c>
      <c r="B155">
        <v>5092.3999020000001</v>
      </c>
      <c r="C155">
        <v>5210.8999020000001</v>
      </c>
      <c r="D155">
        <v>5082.1499020000001</v>
      </c>
      <c r="E155">
        <v>5195.5</v>
      </c>
      <c r="F155" s="4">
        <f t="shared" si="15"/>
        <v>4999.8500979999999</v>
      </c>
      <c r="G155" s="4">
        <f t="shared" si="16"/>
        <v>5195.5</v>
      </c>
      <c r="H155" s="4" t="str">
        <f t="shared" si="17"/>
        <v>BUY</v>
      </c>
      <c r="I155" s="4">
        <f t="shared" si="14"/>
        <v>1</v>
      </c>
      <c r="J155" s="11">
        <f t="shared" si="18"/>
        <v>0</v>
      </c>
      <c r="K155" s="6">
        <f t="shared" si="19"/>
        <v>4777.7998049999997</v>
      </c>
      <c r="L155" s="4">
        <f t="shared" si="20"/>
        <v>0</v>
      </c>
    </row>
    <row r="156" spans="1:12" x14ac:dyDescent="0.25">
      <c r="A156" s="1">
        <v>41383</v>
      </c>
      <c r="B156">
        <v>5198.3500979999999</v>
      </c>
      <c r="C156">
        <v>5230.75</v>
      </c>
      <c r="D156">
        <v>5155.8500979999999</v>
      </c>
      <c r="E156">
        <v>5165.8999020000001</v>
      </c>
      <c r="F156" s="4">
        <f t="shared" si="15"/>
        <v>4999.8500979999999</v>
      </c>
      <c r="G156" s="4">
        <f t="shared" si="16"/>
        <v>5195.5</v>
      </c>
      <c r="H156" s="4">
        <f t="shared" si="17"/>
        <v>0</v>
      </c>
      <c r="I156" s="4">
        <f t="shared" si="14"/>
        <v>1</v>
      </c>
      <c r="J156" s="11">
        <f t="shared" si="18"/>
        <v>0</v>
      </c>
      <c r="K156" s="6">
        <f t="shared" si="19"/>
        <v>4777.7998049999997</v>
      </c>
      <c r="L156" s="4">
        <f t="shared" si="20"/>
        <v>0</v>
      </c>
    </row>
    <row r="157" spans="1:12" x14ac:dyDescent="0.25">
      <c r="A157" s="1">
        <v>41386</v>
      </c>
      <c r="B157">
        <v>5265.2998049999997</v>
      </c>
      <c r="C157">
        <v>5298.8500979999999</v>
      </c>
      <c r="D157">
        <v>5197.6000979999999</v>
      </c>
      <c r="E157">
        <v>5228.2001950000003</v>
      </c>
      <c r="F157" s="4">
        <f t="shared" si="15"/>
        <v>5089.6499020000001</v>
      </c>
      <c r="G157" s="4">
        <f t="shared" si="16"/>
        <v>5228.2001950000003</v>
      </c>
      <c r="H157" s="4" t="str">
        <f t="shared" si="17"/>
        <v>BUY</v>
      </c>
      <c r="I157" s="4">
        <f t="shared" si="14"/>
        <v>1</v>
      </c>
      <c r="J157" s="11">
        <f t="shared" si="18"/>
        <v>0</v>
      </c>
      <c r="K157" s="6">
        <f t="shared" si="19"/>
        <v>4777.7998049999997</v>
      </c>
      <c r="L157" s="4">
        <f t="shared" si="20"/>
        <v>0</v>
      </c>
    </row>
    <row r="158" spans="1:12" x14ac:dyDescent="0.25">
      <c r="A158" s="1">
        <v>41387</v>
      </c>
      <c r="B158">
        <v>5227.25</v>
      </c>
      <c r="C158">
        <v>5254.5</v>
      </c>
      <c r="D158">
        <v>5182.6000979999999</v>
      </c>
      <c r="E158">
        <v>5192.25</v>
      </c>
      <c r="F158" s="4">
        <f t="shared" si="15"/>
        <v>5089.6499020000001</v>
      </c>
      <c r="G158" s="4">
        <f t="shared" si="16"/>
        <v>5228.2001950000003</v>
      </c>
      <c r="H158" s="4">
        <f t="shared" si="17"/>
        <v>0</v>
      </c>
      <c r="I158" s="4">
        <f t="shared" si="14"/>
        <v>1</v>
      </c>
      <c r="J158" s="11">
        <f t="shared" si="18"/>
        <v>0</v>
      </c>
      <c r="K158" s="6">
        <f t="shared" si="19"/>
        <v>4777.7998049999997</v>
      </c>
      <c r="L158" s="4">
        <f t="shared" si="20"/>
        <v>0</v>
      </c>
    </row>
    <row r="159" spans="1:12" x14ac:dyDescent="0.25">
      <c r="A159" s="1">
        <v>41388</v>
      </c>
      <c r="B159">
        <v>5192.3500979999999</v>
      </c>
      <c r="C159">
        <v>5206.5</v>
      </c>
      <c r="D159">
        <v>5110.8999020000001</v>
      </c>
      <c r="E159">
        <v>5144.6499020000001</v>
      </c>
      <c r="F159" s="4">
        <f t="shared" si="15"/>
        <v>5144.6499020000001</v>
      </c>
      <c r="G159" s="4">
        <f t="shared" si="16"/>
        <v>5228.2001950000003</v>
      </c>
      <c r="H159" s="4">
        <f t="shared" si="17"/>
        <v>0</v>
      </c>
      <c r="I159" s="4">
        <f t="shared" si="14"/>
        <v>1</v>
      </c>
      <c r="J159" s="11">
        <f t="shared" si="18"/>
        <v>0</v>
      </c>
      <c r="K159" s="6">
        <f t="shared" si="19"/>
        <v>4777.7998049999997</v>
      </c>
      <c r="L159" s="4">
        <f t="shared" si="20"/>
        <v>0</v>
      </c>
    </row>
    <row r="160" spans="1:12" x14ac:dyDescent="0.25">
      <c r="A160" s="1">
        <v>41389</v>
      </c>
      <c r="B160">
        <v>5156.7001950000003</v>
      </c>
      <c r="C160">
        <v>5159.0498049999997</v>
      </c>
      <c r="D160">
        <v>5101.25</v>
      </c>
      <c r="E160">
        <v>5135.5</v>
      </c>
      <c r="F160" s="4">
        <f t="shared" si="15"/>
        <v>5135.5</v>
      </c>
      <c r="G160" s="4">
        <f t="shared" si="16"/>
        <v>5228.2001950000003</v>
      </c>
      <c r="H160" s="4" t="str">
        <f t="shared" si="17"/>
        <v>SELL</v>
      </c>
      <c r="I160" s="4">
        <f t="shared" si="14"/>
        <v>-1</v>
      </c>
      <c r="J160" s="11" t="str">
        <f t="shared" si="18"/>
        <v>SELL</v>
      </c>
      <c r="K160" s="6">
        <f t="shared" si="19"/>
        <v>5135.5</v>
      </c>
      <c r="L160" s="4">
        <f t="shared" si="20"/>
        <v>7.4867137510798321E-2</v>
      </c>
    </row>
    <row r="161" spans="1:12" x14ac:dyDescent="0.25">
      <c r="A161" s="1">
        <v>41390</v>
      </c>
      <c r="B161">
        <v>5135.7998049999997</v>
      </c>
      <c r="C161">
        <v>5143.0498049999997</v>
      </c>
      <c r="D161">
        <v>5062.4501950000003</v>
      </c>
      <c r="E161">
        <v>5081.7001950000003</v>
      </c>
      <c r="F161" s="4">
        <f t="shared" si="15"/>
        <v>5081.7001950000003</v>
      </c>
      <c r="G161" s="4">
        <f t="shared" si="16"/>
        <v>5228.2001950000003</v>
      </c>
      <c r="H161" s="4" t="str">
        <f t="shared" si="17"/>
        <v>SELL</v>
      </c>
      <c r="I161" s="4">
        <f t="shared" si="14"/>
        <v>-1</v>
      </c>
      <c r="J161" s="11">
        <f t="shared" si="18"/>
        <v>0</v>
      </c>
      <c r="K161" s="6">
        <f t="shared" si="19"/>
        <v>5135.5</v>
      </c>
      <c r="L161" s="4">
        <f t="shared" si="20"/>
        <v>0</v>
      </c>
    </row>
    <row r="162" spans="1:12" x14ac:dyDescent="0.25">
      <c r="A162" s="1">
        <v>41393</v>
      </c>
      <c r="B162">
        <v>5070.8500979999999</v>
      </c>
      <c r="C162">
        <v>5087.6499020000001</v>
      </c>
      <c r="D162">
        <v>4969.3999020000001</v>
      </c>
      <c r="E162">
        <v>4982.6000979999999</v>
      </c>
      <c r="F162" s="4">
        <f t="shared" si="15"/>
        <v>4982.6000979999999</v>
      </c>
      <c r="G162" s="4">
        <f t="shared" si="16"/>
        <v>5192.25</v>
      </c>
      <c r="H162" s="4" t="str">
        <f t="shared" si="17"/>
        <v>SELL</v>
      </c>
      <c r="I162" s="4">
        <f t="shared" si="14"/>
        <v>-1</v>
      </c>
      <c r="J162" s="11">
        <f t="shared" si="18"/>
        <v>0</v>
      </c>
      <c r="K162" s="6">
        <f t="shared" si="19"/>
        <v>5135.5</v>
      </c>
      <c r="L162" s="4">
        <f t="shared" si="20"/>
        <v>0</v>
      </c>
    </row>
    <row r="163" spans="1:12" x14ac:dyDescent="0.25">
      <c r="A163" s="1">
        <v>41394</v>
      </c>
      <c r="B163">
        <v>4981</v>
      </c>
      <c r="C163">
        <v>5021.75</v>
      </c>
      <c r="D163">
        <v>4913.7998049999997</v>
      </c>
      <c r="E163">
        <v>5012.6499020000001</v>
      </c>
      <c r="F163" s="4">
        <f t="shared" si="15"/>
        <v>4982.6000979999999</v>
      </c>
      <c r="G163" s="4">
        <f t="shared" si="16"/>
        <v>5144.6499020000001</v>
      </c>
      <c r="H163" s="4">
        <f t="shared" si="17"/>
        <v>0</v>
      </c>
      <c r="I163" s="4">
        <f t="shared" si="14"/>
        <v>-1</v>
      </c>
      <c r="J163" s="11">
        <f t="shared" si="18"/>
        <v>0</v>
      </c>
      <c r="K163" s="6">
        <f t="shared" si="19"/>
        <v>5135.5</v>
      </c>
      <c r="L163" s="4">
        <f t="shared" si="20"/>
        <v>0</v>
      </c>
    </row>
    <row r="164" spans="1:12" x14ac:dyDescent="0.25">
      <c r="A164" s="1">
        <v>41395</v>
      </c>
      <c r="B164">
        <v>5008.6000979999999</v>
      </c>
      <c r="C164">
        <v>5066</v>
      </c>
      <c r="D164">
        <v>4943.75</v>
      </c>
      <c r="E164">
        <v>4957.7998049999997</v>
      </c>
      <c r="F164" s="4">
        <f t="shared" si="15"/>
        <v>4957.7998049999997</v>
      </c>
      <c r="G164" s="4">
        <f t="shared" si="16"/>
        <v>5135.5</v>
      </c>
      <c r="H164" s="4" t="str">
        <f t="shared" si="17"/>
        <v>SELL</v>
      </c>
      <c r="I164" s="4">
        <f t="shared" si="14"/>
        <v>-1</v>
      </c>
      <c r="J164" s="11">
        <f t="shared" si="18"/>
        <v>0</v>
      </c>
      <c r="K164" s="6">
        <f t="shared" si="19"/>
        <v>5135.5</v>
      </c>
      <c r="L164" s="4">
        <f t="shared" si="20"/>
        <v>0</v>
      </c>
    </row>
    <row r="165" spans="1:12" x14ac:dyDescent="0.25">
      <c r="A165" s="1">
        <v>41396</v>
      </c>
      <c r="B165">
        <v>4958.4501950000003</v>
      </c>
      <c r="C165">
        <v>5026.1000979999999</v>
      </c>
      <c r="D165">
        <v>4932.0498049999997</v>
      </c>
      <c r="E165">
        <v>5011.75</v>
      </c>
      <c r="F165" s="4">
        <f t="shared" si="15"/>
        <v>4957.7998049999997</v>
      </c>
      <c r="G165" s="4">
        <f t="shared" si="16"/>
        <v>5081.7001950000003</v>
      </c>
      <c r="H165" s="4">
        <f t="shared" si="17"/>
        <v>0</v>
      </c>
      <c r="I165" s="4">
        <f t="shared" si="14"/>
        <v>-1</v>
      </c>
      <c r="J165" s="11">
        <f t="shared" si="18"/>
        <v>0</v>
      </c>
      <c r="K165" s="6">
        <f t="shared" si="19"/>
        <v>5135.5</v>
      </c>
      <c r="L165" s="4">
        <f t="shared" si="20"/>
        <v>0</v>
      </c>
    </row>
    <row r="166" spans="1:12" x14ac:dyDescent="0.25">
      <c r="A166" s="1">
        <v>41397</v>
      </c>
      <c r="B166">
        <v>5010.8999020000001</v>
      </c>
      <c r="C166">
        <v>5118.5498049999997</v>
      </c>
      <c r="D166">
        <v>4999.6000979999999</v>
      </c>
      <c r="E166">
        <v>5115.25</v>
      </c>
      <c r="F166" s="4">
        <f t="shared" si="15"/>
        <v>4957.7998049999997</v>
      </c>
      <c r="G166" s="4">
        <f t="shared" si="16"/>
        <v>5115.25</v>
      </c>
      <c r="H166" s="4" t="str">
        <f t="shared" si="17"/>
        <v>BUY</v>
      </c>
      <c r="I166" s="4">
        <f t="shared" si="14"/>
        <v>1</v>
      </c>
      <c r="J166" s="11" t="str">
        <f t="shared" si="18"/>
        <v>BUY</v>
      </c>
      <c r="K166" s="6">
        <f t="shared" si="19"/>
        <v>5115.25</v>
      </c>
      <c r="L166" s="4">
        <f t="shared" si="20"/>
        <v>3.9431408820952193E-3</v>
      </c>
    </row>
    <row r="167" spans="1:12" x14ac:dyDescent="0.25">
      <c r="A167" s="1">
        <v>41400</v>
      </c>
      <c r="B167">
        <v>5115.6499020000001</v>
      </c>
      <c r="C167">
        <v>5167.3999020000001</v>
      </c>
      <c r="D167">
        <v>5106.3999020000001</v>
      </c>
      <c r="E167">
        <v>5157.7001950000003</v>
      </c>
      <c r="F167" s="4">
        <f t="shared" si="15"/>
        <v>4957.7998049999997</v>
      </c>
      <c r="G167" s="4">
        <f t="shared" si="16"/>
        <v>5157.7001950000003</v>
      </c>
      <c r="H167" s="4" t="str">
        <f t="shared" si="17"/>
        <v>BUY</v>
      </c>
      <c r="I167" s="4">
        <f t="shared" si="14"/>
        <v>1</v>
      </c>
      <c r="J167" s="11">
        <f t="shared" si="18"/>
        <v>0</v>
      </c>
      <c r="K167" s="6">
        <f t="shared" si="19"/>
        <v>5115.25</v>
      </c>
      <c r="L167" s="4">
        <f t="shared" si="20"/>
        <v>0</v>
      </c>
    </row>
    <row r="168" spans="1:12" x14ac:dyDescent="0.25">
      <c r="A168" s="1">
        <v>41401</v>
      </c>
      <c r="B168">
        <v>5157</v>
      </c>
      <c r="C168">
        <v>5160.0498049999997</v>
      </c>
      <c r="D168">
        <v>5072.3999020000001</v>
      </c>
      <c r="E168">
        <v>5104.9501950000003</v>
      </c>
      <c r="F168" s="4">
        <f t="shared" si="15"/>
        <v>4957.7998049999997</v>
      </c>
      <c r="G168" s="4">
        <f t="shared" si="16"/>
        <v>5157.7001950000003</v>
      </c>
      <c r="H168" s="4">
        <f t="shared" si="17"/>
        <v>0</v>
      </c>
      <c r="I168" s="4">
        <f t="shared" si="14"/>
        <v>1</v>
      </c>
      <c r="J168" s="11">
        <f t="shared" si="18"/>
        <v>0</v>
      </c>
      <c r="K168" s="6">
        <f t="shared" si="19"/>
        <v>5115.25</v>
      </c>
      <c r="L168" s="4">
        <f t="shared" si="20"/>
        <v>0</v>
      </c>
    </row>
    <row r="169" spans="1:12" x14ac:dyDescent="0.25">
      <c r="A169" s="1">
        <v>41402</v>
      </c>
      <c r="B169">
        <v>5105.7001950000003</v>
      </c>
      <c r="C169">
        <v>5135.5498049999997</v>
      </c>
      <c r="D169">
        <v>5048.7001950000003</v>
      </c>
      <c r="E169">
        <v>5117.6499020000001</v>
      </c>
      <c r="F169" s="4">
        <f t="shared" si="15"/>
        <v>5011.75</v>
      </c>
      <c r="G169" s="4">
        <f t="shared" si="16"/>
        <v>5157.7001950000003</v>
      </c>
      <c r="H169" s="4">
        <f t="shared" si="17"/>
        <v>0</v>
      </c>
      <c r="I169" s="4">
        <f t="shared" si="14"/>
        <v>1</v>
      </c>
      <c r="J169" s="11">
        <f t="shared" si="18"/>
        <v>0</v>
      </c>
      <c r="K169" s="6">
        <f t="shared" si="19"/>
        <v>5115.25</v>
      </c>
      <c r="L169" s="4">
        <f t="shared" si="20"/>
        <v>0</v>
      </c>
    </row>
    <row r="170" spans="1:12" x14ac:dyDescent="0.25">
      <c r="A170" s="1">
        <v>41403</v>
      </c>
      <c r="B170">
        <v>5117</v>
      </c>
      <c r="C170">
        <v>5118.8999020000001</v>
      </c>
      <c r="D170">
        <v>5010.7001950000003</v>
      </c>
      <c r="E170">
        <v>5025.4501950000003</v>
      </c>
      <c r="F170" s="4">
        <f t="shared" si="15"/>
        <v>5025.4501950000003</v>
      </c>
      <c r="G170" s="4">
        <f t="shared" si="16"/>
        <v>5157.7001950000003</v>
      </c>
      <c r="H170" s="4">
        <f t="shared" si="17"/>
        <v>0</v>
      </c>
      <c r="I170" s="4">
        <f t="shared" si="14"/>
        <v>1</v>
      </c>
      <c r="J170" s="11">
        <f t="shared" si="18"/>
        <v>0</v>
      </c>
      <c r="K170" s="6">
        <f t="shared" si="19"/>
        <v>5115.25</v>
      </c>
      <c r="L170" s="4">
        <f t="shared" si="20"/>
        <v>0</v>
      </c>
    </row>
    <row r="171" spans="1:12" x14ac:dyDescent="0.25">
      <c r="A171" s="1">
        <v>41404</v>
      </c>
      <c r="B171">
        <v>5026.5498049999997</v>
      </c>
      <c r="C171">
        <v>5059.0498049999997</v>
      </c>
      <c r="D171">
        <v>4940.7001950000003</v>
      </c>
      <c r="E171">
        <v>4946.5498049999997</v>
      </c>
      <c r="F171" s="4">
        <f t="shared" si="15"/>
        <v>4946.5498049999997</v>
      </c>
      <c r="G171" s="4">
        <f t="shared" si="16"/>
        <v>5157.7001950000003</v>
      </c>
      <c r="H171" s="4" t="str">
        <f t="shared" si="17"/>
        <v>SELL</v>
      </c>
      <c r="I171" s="4">
        <f t="shared" si="14"/>
        <v>-1</v>
      </c>
      <c r="J171" s="11" t="str">
        <f t="shared" si="18"/>
        <v>SELL</v>
      </c>
      <c r="K171" s="6">
        <f t="shared" si="19"/>
        <v>4946.5498049999997</v>
      </c>
      <c r="L171" s="4">
        <f t="shared" si="20"/>
        <v>-3.2979853379600285E-2</v>
      </c>
    </row>
    <row r="172" spans="1:12" x14ac:dyDescent="0.25">
      <c r="A172" s="1">
        <v>41407</v>
      </c>
      <c r="B172">
        <v>4953.6000979999999</v>
      </c>
      <c r="C172">
        <v>4953.6000979999999</v>
      </c>
      <c r="D172">
        <v>4858</v>
      </c>
      <c r="E172">
        <v>4875.0498049999997</v>
      </c>
      <c r="F172" s="4">
        <f t="shared" si="15"/>
        <v>4875.0498049999997</v>
      </c>
      <c r="G172" s="4">
        <f t="shared" si="16"/>
        <v>5117.6499020000001</v>
      </c>
      <c r="H172" s="4" t="str">
        <f t="shared" si="17"/>
        <v>SELL</v>
      </c>
      <c r="I172" s="4">
        <f t="shared" si="14"/>
        <v>-1</v>
      </c>
      <c r="J172" s="11">
        <f t="shared" si="18"/>
        <v>0</v>
      </c>
      <c r="K172" s="6">
        <f t="shared" si="19"/>
        <v>4946.5498049999997</v>
      </c>
      <c r="L172" s="4">
        <f t="shared" si="20"/>
        <v>0</v>
      </c>
    </row>
    <row r="173" spans="1:12" x14ac:dyDescent="0.25">
      <c r="A173" s="1">
        <v>41408</v>
      </c>
      <c r="B173">
        <v>4877.1499020000001</v>
      </c>
      <c r="C173">
        <v>4932</v>
      </c>
      <c r="D173">
        <v>4846.2001950000003</v>
      </c>
      <c r="E173">
        <v>4859.7998049999997</v>
      </c>
      <c r="F173" s="4">
        <f t="shared" si="15"/>
        <v>4859.7998049999997</v>
      </c>
      <c r="G173" s="4">
        <f t="shared" si="16"/>
        <v>5117.6499020000001</v>
      </c>
      <c r="H173" s="4" t="str">
        <f t="shared" si="17"/>
        <v>SELL</v>
      </c>
      <c r="I173" s="4">
        <f t="shared" si="14"/>
        <v>-1</v>
      </c>
      <c r="J173" s="11">
        <f t="shared" si="18"/>
        <v>0</v>
      </c>
      <c r="K173" s="6">
        <f t="shared" si="19"/>
        <v>4946.5498049999997</v>
      </c>
      <c r="L173" s="4">
        <f t="shared" si="20"/>
        <v>0</v>
      </c>
    </row>
    <row r="174" spans="1:12" x14ac:dyDescent="0.25">
      <c r="A174" s="1">
        <v>41409</v>
      </c>
      <c r="B174">
        <v>4862.7001950000003</v>
      </c>
      <c r="C174">
        <v>4926.8999020000001</v>
      </c>
      <c r="D174">
        <v>4835.6499020000001</v>
      </c>
      <c r="E174">
        <v>4918.3500979999999</v>
      </c>
      <c r="F174" s="4">
        <f t="shared" si="15"/>
        <v>4859.7998049999997</v>
      </c>
      <c r="G174" s="4">
        <f t="shared" si="16"/>
        <v>5025.4501950000003</v>
      </c>
      <c r="H174" s="4">
        <f t="shared" si="17"/>
        <v>0</v>
      </c>
      <c r="I174" s="4">
        <f t="shared" si="14"/>
        <v>-1</v>
      </c>
      <c r="J174" s="11">
        <f t="shared" si="18"/>
        <v>0</v>
      </c>
      <c r="K174" s="6">
        <f t="shared" si="19"/>
        <v>4946.5498049999997</v>
      </c>
      <c r="L174" s="4">
        <f t="shared" si="20"/>
        <v>0</v>
      </c>
    </row>
    <row r="175" spans="1:12" x14ac:dyDescent="0.25">
      <c r="A175" s="1">
        <v>41410</v>
      </c>
      <c r="B175">
        <v>4926.2998049999997</v>
      </c>
      <c r="C175">
        <v>4957.3999020000001</v>
      </c>
      <c r="D175">
        <v>4801.8999020000001</v>
      </c>
      <c r="E175">
        <v>4835.2998049999997</v>
      </c>
      <c r="F175" s="4">
        <f t="shared" si="15"/>
        <v>4835.2998049999997</v>
      </c>
      <c r="G175" s="4">
        <f t="shared" si="16"/>
        <v>4946.5498049999997</v>
      </c>
      <c r="H175" s="4" t="str">
        <f t="shared" si="17"/>
        <v>SELL</v>
      </c>
      <c r="I175" s="4">
        <f t="shared" si="14"/>
        <v>-1</v>
      </c>
      <c r="J175" s="11">
        <f t="shared" si="18"/>
        <v>0</v>
      </c>
      <c r="K175" s="6">
        <f t="shared" si="19"/>
        <v>4946.5498049999997</v>
      </c>
      <c r="L175" s="4">
        <f t="shared" si="20"/>
        <v>0</v>
      </c>
    </row>
    <row r="176" spans="1:12" x14ac:dyDescent="0.25">
      <c r="A176" s="1">
        <v>41411</v>
      </c>
      <c r="B176">
        <v>4844.0498049999997</v>
      </c>
      <c r="C176">
        <v>4908.8500979999999</v>
      </c>
      <c r="D176">
        <v>4833.4501950000003</v>
      </c>
      <c r="E176">
        <v>4870.1000979999999</v>
      </c>
      <c r="F176" s="4">
        <f t="shared" si="15"/>
        <v>4835.2998049999997</v>
      </c>
      <c r="G176" s="4">
        <f t="shared" si="16"/>
        <v>4918.3500979999999</v>
      </c>
      <c r="H176" s="4">
        <f t="shared" si="17"/>
        <v>0</v>
      </c>
      <c r="I176" s="4">
        <f t="shared" si="14"/>
        <v>-1</v>
      </c>
      <c r="J176" s="11">
        <f t="shared" si="18"/>
        <v>0</v>
      </c>
      <c r="K176" s="6">
        <f t="shared" si="19"/>
        <v>4946.5498049999997</v>
      </c>
      <c r="L176" s="4">
        <f t="shared" si="20"/>
        <v>0</v>
      </c>
    </row>
    <row r="177" spans="1:12" x14ac:dyDescent="0.25">
      <c r="A177" s="1">
        <v>41414</v>
      </c>
      <c r="B177">
        <v>4869.25</v>
      </c>
      <c r="C177">
        <v>4908.7998049999997</v>
      </c>
      <c r="D177">
        <v>4713</v>
      </c>
      <c r="E177">
        <v>4739.6000979999999</v>
      </c>
      <c r="F177" s="4">
        <f t="shared" si="15"/>
        <v>4739.6000979999999</v>
      </c>
      <c r="G177" s="4">
        <f t="shared" si="16"/>
        <v>4918.3500979999999</v>
      </c>
      <c r="H177" s="4" t="str">
        <f t="shared" si="17"/>
        <v>SELL</v>
      </c>
      <c r="I177" s="4">
        <f t="shared" si="14"/>
        <v>-1</v>
      </c>
      <c r="J177" s="11">
        <f t="shared" si="18"/>
        <v>0</v>
      </c>
      <c r="K177" s="6">
        <f t="shared" si="19"/>
        <v>4946.5498049999997</v>
      </c>
      <c r="L177" s="4">
        <f t="shared" si="20"/>
        <v>0</v>
      </c>
    </row>
    <row r="178" spans="1:12" x14ac:dyDescent="0.25">
      <c r="A178" s="1">
        <v>41415</v>
      </c>
      <c r="B178">
        <v>4739.2998049999997</v>
      </c>
      <c r="C178">
        <v>4739.2998049999997</v>
      </c>
      <c r="D178">
        <v>4634</v>
      </c>
      <c r="E178">
        <v>4715.8999020000001</v>
      </c>
      <c r="F178" s="4">
        <f t="shared" si="15"/>
        <v>4715.8999020000001</v>
      </c>
      <c r="G178" s="4">
        <f t="shared" si="16"/>
        <v>4918.3500979999999</v>
      </c>
      <c r="H178" s="4" t="str">
        <f t="shared" si="17"/>
        <v>SELL</v>
      </c>
      <c r="I178" s="4">
        <f t="shared" si="14"/>
        <v>-1</v>
      </c>
      <c r="J178" s="11">
        <f t="shared" si="18"/>
        <v>0</v>
      </c>
      <c r="K178" s="6">
        <f t="shared" si="19"/>
        <v>4946.5498049999997</v>
      </c>
      <c r="L178" s="4">
        <f t="shared" si="20"/>
        <v>0</v>
      </c>
    </row>
    <row r="179" spans="1:12" x14ac:dyDescent="0.25">
      <c r="A179" s="1">
        <v>41416</v>
      </c>
      <c r="B179">
        <v>4718.7001950000003</v>
      </c>
      <c r="C179">
        <v>4731.5</v>
      </c>
      <c r="D179">
        <v>4564.5</v>
      </c>
      <c r="E179">
        <v>4585.6000979999999</v>
      </c>
      <c r="F179" s="4">
        <f t="shared" si="15"/>
        <v>4585.6000979999999</v>
      </c>
      <c r="G179" s="4">
        <f t="shared" si="16"/>
        <v>4870.1000979999999</v>
      </c>
      <c r="H179" s="4" t="str">
        <f t="shared" si="17"/>
        <v>SELL</v>
      </c>
      <c r="I179" s="4">
        <f t="shared" si="14"/>
        <v>-1</v>
      </c>
      <c r="J179" s="11">
        <f t="shared" si="18"/>
        <v>0</v>
      </c>
      <c r="K179" s="6">
        <f t="shared" si="19"/>
        <v>4946.5498049999997</v>
      </c>
      <c r="L179" s="4">
        <f t="shared" si="20"/>
        <v>0</v>
      </c>
    </row>
    <row r="180" spans="1:12" x14ac:dyDescent="0.25">
      <c r="A180" s="1">
        <v>41417</v>
      </c>
      <c r="B180">
        <v>4586.9501950000003</v>
      </c>
      <c r="C180">
        <v>4690.6000979999999</v>
      </c>
      <c r="D180">
        <v>4536.25</v>
      </c>
      <c r="E180">
        <v>4676.9501950000003</v>
      </c>
      <c r="F180" s="4">
        <f t="shared" si="15"/>
        <v>4585.6000979999999</v>
      </c>
      <c r="G180" s="4">
        <f t="shared" si="16"/>
        <v>4870.1000979999999</v>
      </c>
      <c r="H180" s="4">
        <f t="shared" si="17"/>
        <v>0</v>
      </c>
      <c r="I180" s="4">
        <f t="shared" si="14"/>
        <v>-1</v>
      </c>
      <c r="J180" s="11">
        <f t="shared" si="18"/>
        <v>0</v>
      </c>
      <c r="K180" s="6">
        <f t="shared" si="19"/>
        <v>4946.5498049999997</v>
      </c>
      <c r="L180" s="4">
        <f t="shared" si="20"/>
        <v>0</v>
      </c>
    </row>
    <row r="181" spans="1:12" x14ac:dyDescent="0.25">
      <c r="A181" s="1">
        <v>41418</v>
      </c>
      <c r="B181">
        <v>4680.5498049999997</v>
      </c>
      <c r="C181">
        <v>4746.2998049999997</v>
      </c>
      <c r="D181">
        <v>4614.25</v>
      </c>
      <c r="E181">
        <v>4627.7998049999997</v>
      </c>
      <c r="F181" s="4">
        <f t="shared" si="15"/>
        <v>4585.6000979999999</v>
      </c>
      <c r="G181" s="4">
        <f t="shared" si="16"/>
        <v>4739.6000979999999</v>
      </c>
      <c r="H181" s="4">
        <f t="shared" si="17"/>
        <v>0</v>
      </c>
      <c r="I181" s="4">
        <f t="shared" si="14"/>
        <v>-1</v>
      </c>
      <c r="J181" s="11">
        <f t="shared" si="18"/>
        <v>0</v>
      </c>
      <c r="K181" s="6">
        <f t="shared" si="19"/>
        <v>4946.5498049999997</v>
      </c>
      <c r="L181" s="4">
        <f t="shared" si="20"/>
        <v>0</v>
      </c>
    </row>
    <row r="182" spans="1:12" x14ac:dyDescent="0.25">
      <c r="A182" s="1">
        <v>41421</v>
      </c>
      <c r="B182">
        <v>4626.4501950000003</v>
      </c>
      <c r="C182">
        <v>4626.4501950000003</v>
      </c>
      <c r="D182">
        <v>4411.6000979999999</v>
      </c>
      <c r="E182">
        <v>4500.9501950000003</v>
      </c>
      <c r="F182" s="4">
        <f t="shared" si="15"/>
        <v>4500.9501950000003</v>
      </c>
      <c r="G182" s="4">
        <f t="shared" si="16"/>
        <v>4715.8999020000001</v>
      </c>
      <c r="H182" s="4" t="str">
        <f t="shared" si="17"/>
        <v>SELL</v>
      </c>
      <c r="I182" s="4">
        <f t="shared" si="14"/>
        <v>-1</v>
      </c>
      <c r="J182" s="11">
        <f t="shared" si="18"/>
        <v>0</v>
      </c>
      <c r="K182" s="6">
        <f t="shared" si="19"/>
        <v>4946.5498049999997</v>
      </c>
      <c r="L182" s="4">
        <f t="shared" si="20"/>
        <v>0</v>
      </c>
    </row>
    <row r="183" spans="1:12" x14ac:dyDescent="0.25">
      <c r="A183" s="1">
        <v>41422</v>
      </c>
      <c r="B183">
        <v>4522</v>
      </c>
      <c r="C183">
        <v>4522.5498049999997</v>
      </c>
      <c r="D183">
        <v>4369.7998049999997</v>
      </c>
      <c r="E183">
        <v>4449.7998049999997</v>
      </c>
      <c r="F183" s="4">
        <f t="shared" si="15"/>
        <v>4449.7998049999997</v>
      </c>
      <c r="G183" s="4">
        <f t="shared" si="16"/>
        <v>4676.9501950000003</v>
      </c>
      <c r="H183" s="4" t="str">
        <f t="shared" si="17"/>
        <v>SELL</v>
      </c>
      <c r="I183" s="4">
        <f t="shared" si="14"/>
        <v>-1</v>
      </c>
      <c r="J183" s="11">
        <f t="shared" si="18"/>
        <v>0</v>
      </c>
      <c r="K183" s="6">
        <f t="shared" si="19"/>
        <v>4946.5498049999997</v>
      </c>
      <c r="L183" s="4">
        <f t="shared" si="20"/>
        <v>0</v>
      </c>
    </row>
    <row r="184" spans="1:12" x14ac:dyDescent="0.25">
      <c r="A184" s="1">
        <v>41423</v>
      </c>
      <c r="B184">
        <v>4469.6499020000001</v>
      </c>
      <c r="C184">
        <v>4541.0498049999997</v>
      </c>
      <c r="D184">
        <v>4468.0498049999997</v>
      </c>
      <c r="E184">
        <v>4523.6000979999999</v>
      </c>
      <c r="F184" s="4">
        <f t="shared" si="15"/>
        <v>4449.7998049999997</v>
      </c>
      <c r="G184" s="4">
        <f t="shared" si="16"/>
        <v>4676.9501950000003</v>
      </c>
      <c r="H184" s="4">
        <f t="shared" si="17"/>
        <v>0</v>
      </c>
      <c r="I184" s="4">
        <f t="shared" si="14"/>
        <v>-1</v>
      </c>
      <c r="J184" s="11">
        <f t="shared" si="18"/>
        <v>0</v>
      </c>
      <c r="K184" s="6">
        <f t="shared" si="19"/>
        <v>4946.5498049999997</v>
      </c>
      <c r="L184" s="4">
        <f t="shared" si="20"/>
        <v>0</v>
      </c>
    </row>
    <row r="185" spans="1:12" x14ac:dyDescent="0.25">
      <c r="A185" s="1">
        <v>41424</v>
      </c>
      <c r="B185">
        <v>4524.3999020000001</v>
      </c>
      <c r="C185">
        <v>4550</v>
      </c>
      <c r="D185">
        <v>4392</v>
      </c>
      <c r="E185">
        <v>4539.3500979999999</v>
      </c>
      <c r="F185" s="4">
        <f t="shared" si="15"/>
        <v>4449.7998049999997</v>
      </c>
      <c r="G185" s="4">
        <f t="shared" si="16"/>
        <v>4627.7998049999997</v>
      </c>
      <c r="H185" s="4">
        <f t="shared" si="17"/>
        <v>0</v>
      </c>
      <c r="I185" s="4">
        <f t="shared" si="14"/>
        <v>-1</v>
      </c>
      <c r="J185" s="11">
        <f t="shared" si="18"/>
        <v>0</v>
      </c>
      <c r="K185" s="6">
        <f t="shared" si="19"/>
        <v>4946.5498049999997</v>
      </c>
      <c r="L185" s="4">
        <f t="shared" si="20"/>
        <v>0</v>
      </c>
    </row>
    <row r="186" spans="1:12" x14ac:dyDescent="0.25">
      <c r="A186" s="1">
        <v>41425</v>
      </c>
      <c r="B186">
        <v>4539.5</v>
      </c>
      <c r="C186">
        <v>4563.3500979999999</v>
      </c>
      <c r="D186">
        <v>4491.3500979999999</v>
      </c>
      <c r="E186">
        <v>4517.1000979999999</v>
      </c>
      <c r="F186" s="4">
        <f t="shared" si="15"/>
        <v>4449.7998049999997</v>
      </c>
      <c r="G186" s="4">
        <f t="shared" si="16"/>
        <v>4539.3500979999999</v>
      </c>
      <c r="H186" s="4">
        <f t="shared" si="17"/>
        <v>0</v>
      </c>
      <c r="I186" s="4">
        <f t="shared" si="14"/>
        <v>-1</v>
      </c>
      <c r="J186" s="11">
        <f t="shared" si="18"/>
        <v>0</v>
      </c>
      <c r="K186" s="6">
        <f t="shared" si="19"/>
        <v>4946.5498049999997</v>
      </c>
      <c r="L186" s="4">
        <f t="shared" si="20"/>
        <v>0</v>
      </c>
    </row>
    <row r="187" spans="1:12" x14ac:dyDescent="0.25">
      <c r="A187" s="1">
        <v>41428</v>
      </c>
      <c r="B187">
        <v>4536.2998049999997</v>
      </c>
      <c r="C187">
        <v>4617.7001950000003</v>
      </c>
      <c r="D187">
        <v>4536.2998049999997</v>
      </c>
      <c r="E187">
        <v>4572.5</v>
      </c>
      <c r="F187" s="4">
        <f t="shared" si="15"/>
        <v>4449.7998049999997</v>
      </c>
      <c r="G187" s="4">
        <f t="shared" si="16"/>
        <v>4572.5</v>
      </c>
      <c r="H187" s="4" t="str">
        <f t="shared" si="17"/>
        <v>BUY</v>
      </c>
      <c r="I187" s="4">
        <f t="shared" si="14"/>
        <v>1</v>
      </c>
      <c r="J187" s="11" t="str">
        <f t="shared" si="18"/>
        <v>BUY</v>
      </c>
      <c r="K187" s="6">
        <f t="shared" si="19"/>
        <v>4572.5</v>
      </c>
      <c r="L187" s="4">
        <f t="shared" si="20"/>
        <v>7.561832383086653E-2</v>
      </c>
    </row>
    <row r="188" spans="1:12" x14ac:dyDescent="0.25">
      <c r="A188" s="1">
        <v>41429</v>
      </c>
      <c r="B188">
        <v>4572.5</v>
      </c>
      <c r="C188">
        <v>4664.0498049999997</v>
      </c>
      <c r="D188">
        <v>4561.75</v>
      </c>
      <c r="E188">
        <v>4653</v>
      </c>
      <c r="F188" s="4">
        <f t="shared" si="15"/>
        <v>4517.1000979999999</v>
      </c>
      <c r="G188" s="4">
        <f t="shared" si="16"/>
        <v>4653</v>
      </c>
      <c r="H188" s="4" t="str">
        <f t="shared" si="17"/>
        <v>BUY</v>
      </c>
      <c r="I188" s="4">
        <f t="shared" si="14"/>
        <v>1</v>
      </c>
      <c r="J188" s="11">
        <f t="shared" si="18"/>
        <v>0</v>
      </c>
      <c r="K188" s="6">
        <f t="shared" si="19"/>
        <v>4572.5</v>
      </c>
      <c r="L188" s="4">
        <f t="shared" si="20"/>
        <v>0</v>
      </c>
    </row>
    <row r="189" spans="1:12" x14ac:dyDescent="0.25">
      <c r="A189" s="1">
        <v>41430</v>
      </c>
      <c r="B189">
        <v>4652.7998049999997</v>
      </c>
      <c r="C189">
        <v>4679.75</v>
      </c>
      <c r="D189">
        <v>4569.8999020000001</v>
      </c>
      <c r="E189">
        <v>4582.3999020000001</v>
      </c>
      <c r="F189" s="4">
        <f t="shared" si="15"/>
        <v>4517.1000979999999</v>
      </c>
      <c r="G189" s="4">
        <f t="shared" si="16"/>
        <v>4653</v>
      </c>
      <c r="H189" s="4">
        <f t="shared" si="17"/>
        <v>0</v>
      </c>
      <c r="I189" s="4">
        <f t="shared" si="14"/>
        <v>1</v>
      </c>
      <c r="J189" s="11">
        <f t="shared" si="18"/>
        <v>0</v>
      </c>
      <c r="K189" s="6">
        <f t="shared" si="19"/>
        <v>4572.5</v>
      </c>
      <c r="L189" s="4">
        <f t="shared" si="20"/>
        <v>0</v>
      </c>
    </row>
    <row r="190" spans="1:12" x14ac:dyDescent="0.25">
      <c r="A190" s="1">
        <v>41431</v>
      </c>
      <c r="B190">
        <v>4582.5498049999997</v>
      </c>
      <c r="C190">
        <v>4585.7001950000003</v>
      </c>
      <c r="D190">
        <v>4488.9501950000003</v>
      </c>
      <c r="E190">
        <v>4504.25</v>
      </c>
      <c r="F190" s="4">
        <f t="shared" si="15"/>
        <v>4504.25</v>
      </c>
      <c r="G190" s="4">
        <f t="shared" si="16"/>
        <v>4653</v>
      </c>
      <c r="H190" s="4" t="str">
        <f t="shared" si="17"/>
        <v>SELL</v>
      </c>
      <c r="I190" s="4">
        <f t="shared" si="14"/>
        <v>-1</v>
      </c>
      <c r="J190" s="11" t="str">
        <f t="shared" si="18"/>
        <v>SELL</v>
      </c>
      <c r="K190" s="6">
        <f t="shared" si="19"/>
        <v>4504.25</v>
      </c>
      <c r="L190" s="4">
        <f t="shared" si="20"/>
        <v>-1.4926189174412248E-2</v>
      </c>
    </row>
    <row r="191" spans="1:12" x14ac:dyDescent="0.25">
      <c r="A191" s="1">
        <v>41432</v>
      </c>
      <c r="B191">
        <v>4504.2001950000003</v>
      </c>
      <c r="C191">
        <v>4532</v>
      </c>
      <c r="D191">
        <v>4333.6000979999999</v>
      </c>
      <c r="E191">
        <v>4347.5498049999997</v>
      </c>
      <c r="F191" s="4">
        <f t="shared" si="15"/>
        <v>4347.5498049999997</v>
      </c>
      <c r="G191" s="4">
        <f t="shared" si="16"/>
        <v>4653</v>
      </c>
      <c r="H191" s="4" t="str">
        <f t="shared" si="17"/>
        <v>SELL</v>
      </c>
      <c r="I191" s="4">
        <f t="shared" si="14"/>
        <v>-1</v>
      </c>
      <c r="J191" s="11">
        <f t="shared" si="18"/>
        <v>0</v>
      </c>
      <c r="K191" s="6">
        <f t="shared" si="19"/>
        <v>4504.25</v>
      </c>
      <c r="L191" s="4">
        <f t="shared" si="20"/>
        <v>0</v>
      </c>
    </row>
    <row r="192" spans="1:12" x14ac:dyDescent="0.25">
      <c r="A192" s="1">
        <v>41435</v>
      </c>
      <c r="B192">
        <v>4351.1499020000001</v>
      </c>
      <c r="C192">
        <v>4351.1499020000001</v>
      </c>
      <c r="D192">
        <v>4225.5</v>
      </c>
      <c r="E192">
        <v>4266.3999020000001</v>
      </c>
      <c r="F192" s="4">
        <f t="shared" si="15"/>
        <v>4266.3999020000001</v>
      </c>
      <c r="G192" s="4">
        <f t="shared" si="16"/>
        <v>4653</v>
      </c>
      <c r="H192" s="4" t="str">
        <f t="shared" si="17"/>
        <v>SELL</v>
      </c>
      <c r="I192" s="4">
        <f t="shared" si="14"/>
        <v>-1</v>
      </c>
      <c r="J192" s="11">
        <f t="shared" si="18"/>
        <v>0</v>
      </c>
      <c r="K192" s="6">
        <f t="shared" si="19"/>
        <v>4504.25</v>
      </c>
      <c r="L192" s="4">
        <f t="shared" si="20"/>
        <v>0</v>
      </c>
    </row>
    <row r="193" spans="1:12" x14ac:dyDescent="0.25">
      <c r="A193" s="1">
        <v>41436</v>
      </c>
      <c r="B193">
        <v>4271.0498049999997</v>
      </c>
      <c r="C193">
        <v>4305.8999020000001</v>
      </c>
      <c r="D193">
        <v>4156.1000979999999</v>
      </c>
      <c r="E193">
        <v>4191.1000979999999</v>
      </c>
      <c r="F193" s="4">
        <f t="shared" si="15"/>
        <v>4191.1000979999999</v>
      </c>
      <c r="G193" s="4">
        <f t="shared" si="16"/>
        <v>4582.3999020000001</v>
      </c>
      <c r="H193" s="4" t="str">
        <f t="shared" si="17"/>
        <v>SELL</v>
      </c>
      <c r="I193" s="4">
        <f t="shared" si="14"/>
        <v>-1</v>
      </c>
      <c r="J193" s="11">
        <f t="shared" si="18"/>
        <v>0</v>
      </c>
      <c r="K193" s="6">
        <f t="shared" si="19"/>
        <v>4504.25</v>
      </c>
      <c r="L193" s="4">
        <f t="shared" si="20"/>
        <v>0</v>
      </c>
    </row>
    <row r="194" spans="1:12" x14ac:dyDescent="0.25">
      <c r="A194" s="1">
        <v>41437</v>
      </c>
      <c r="B194">
        <v>4189.6000979999999</v>
      </c>
      <c r="C194">
        <v>4264.5498049999997</v>
      </c>
      <c r="D194">
        <v>4093.1999510000001</v>
      </c>
      <c r="E194">
        <v>4252.6499020000001</v>
      </c>
      <c r="F194" s="4">
        <f t="shared" si="15"/>
        <v>4191.1000979999999</v>
      </c>
      <c r="G194" s="4">
        <f t="shared" si="16"/>
        <v>4504.25</v>
      </c>
      <c r="H194" s="4">
        <f t="shared" si="17"/>
        <v>0</v>
      </c>
      <c r="I194" s="4">
        <f t="shared" si="14"/>
        <v>-1</v>
      </c>
      <c r="J194" s="11">
        <f t="shared" si="18"/>
        <v>0</v>
      </c>
      <c r="K194" s="6">
        <f t="shared" si="19"/>
        <v>4504.25</v>
      </c>
      <c r="L194" s="4">
        <f t="shared" si="20"/>
        <v>0</v>
      </c>
    </row>
    <row r="195" spans="1:12" x14ac:dyDescent="0.25">
      <c r="A195" s="1">
        <v>41438</v>
      </c>
      <c r="B195">
        <v>4252.6000979999999</v>
      </c>
      <c r="C195">
        <v>4324.75</v>
      </c>
      <c r="D195">
        <v>4230</v>
      </c>
      <c r="E195">
        <v>4315.8500979999999</v>
      </c>
      <c r="F195" s="4">
        <f t="shared" si="15"/>
        <v>4191.1000979999999</v>
      </c>
      <c r="G195" s="4">
        <f t="shared" si="16"/>
        <v>4347.5498049999997</v>
      </c>
      <c r="H195" s="4">
        <f t="shared" si="17"/>
        <v>0</v>
      </c>
      <c r="I195" s="4">
        <f t="shared" si="14"/>
        <v>-1</v>
      </c>
      <c r="J195" s="11">
        <f t="shared" si="18"/>
        <v>0</v>
      </c>
      <c r="K195" s="6">
        <f t="shared" si="19"/>
        <v>4504.25</v>
      </c>
      <c r="L195" s="4">
        <f t="shared" si="20"/>
        <v>0</v>
      </c>
    </row>
    <row r="196" spans="1:12" x14ac:dyDescent="0.25">
      <c r="A196" s="1">
        <v>41439</v>
      </c>
      <c r="B196">
        <v>4315.2998049999997</v>
      </c>
      <c r="C196">
        <v>4315.2998049999997</v>
      </c>
      <c r="D196">
        <v>4119.2001950000003</v>
      </c>
      <c r="E196">
        <v>4136.6499020000001</v>
      </c>
      <c r="F196" s="4">
        <f t="shared" si="15"/>
        <v>4136.6499020000001</v>
      </c>
      <c r="G196" s="4">
        <f t="shared" si="16"/>
        <v>4315.8500979999999</v>
      </c>
      <c r="H196" s="4" t="str">
        <f t="shared" si="17"/>
        <v>SELL</v>
      </c>
      <c r="I196" s="4">
        <f t="shared" si="14"/>
        <v>-1</v>
      </c>
      <c r="J196" s="11">
        <f t="shared" si="18"/>
        <v>0</v>
      </c>
      <c r="K196" s="6">
        <f t="shared" si="19"/>
        <v>4504.25</v>
      </c>
      <c r="L196" s="4">
        <f t="shared" si="20"/>
        <v>0</v>
      </c>
    </row>
    <row r="197" spans="1:12" x14ac:dyDescent="0.25">
      <c r="A197" s="1">
        <v>41442</v>
      </c>
      <c r="B197">
        <v>4136.25</v>
      </c>
      <c r="C197">
        <v>4163</v>
      </c>
      <c r="D197">
        <v>4021.6999510000001</v>
      </c>
      <c r="E197">
        <v>4040.5500489999999</v>
      </c>
      <c r="F197" s="4">
        <f t="shared" si="15"/>
        <v>4040.5500489999999</v>
      </c>
      <c r="G197" s="4">
        <f t="shared" si="16"/>
        <v>4315.8500979999999</v>
      </c>
      <c r="H197" s="4" t="str">
        <f t="shared" si="17"/>
        <v>SELL</v>
      </c>
      <c r="I197" s="4">
        <f t="shared" si="14"/>
        <v>-1</v>
      </c>
      <c r="J197" s="11">
        <f t="shared" si="18"/>
        <v>0</v>
      </c>
      <c r="K197" s="6">
        <f t="shared" si="19"/>
        <v>4504.25</v>
      </c>
      <c r="L197" s="4">
        <f t="shared" si="20"/>
        <v>0</v>
      </c>
    </row>
    <row r="198" spans="1:12" x14ac:dyDescent="0.25">
      <c r="A198" s="1">
        <v>41443</v>
      </c>
      <c r="B198">
        <v>4039.75</v>
      </c>
      <c r="C198">
        <v>4075.3999020000001</v>
      </c>
      <c r="D198">
        <v>3878.1999510000001</v>
      </c>
      <c r="E198">
        <v>3896.75</v>
      </c>
      <c r="F198" s="4">
        <f t="shared" si="15"/>
        <v>3896.75</v>
      </c>
      <c r="G198" s="4">
        <f t="shared" si="16"/>
        <v>4315.8500979999999</v>
      </c>
      <c r="H198" s="4" t="str">
        <f t="shared" si="17"/>
        <v>SELL</v>
      </c>
      <c r="I198" s="4">
        <f t="shared" ref="I198:I261" si="21">IF(AND(H198="BUY",I197&lt;&gt;1),1,IF(AND(H198="SELL",I197&lt;&gt;-1),-1,I197))</f>
        <v>-1</v>
      </c>
      <c r="J198" s="11">
        <f t="shared" si="18"/>
        <v>0</v>
      </c>
      <c r="K198" s="6">
        <f t="shared" si="19"/>
        <v>4504.25</v>
      </c>
      <c r="L198" s="4">
        <f t="shared" si="20"/>
        <v>0</v>
      </c>
    </row>
    <row r="199" spans="1:12" x14ac:dyDescent="0.25">
      <c r="A199" s="1">
        <v>41444</v>
      </c>
      <c r="B199">
        <v>3895.3000489999999</v>
      </c>
      <c r="C199">
        <v>4107.1499020000001</v>
      </c>
      <c r="D199">
        <v>3848.25</v>
      </c>
      <c r="E199">
        <v>4093.3500979999999</v>
      </c>
      <c r="F199" s="4">
        <f t="shared" ref="F199:F262" si="22">MIN(E195:E199)</f>
        <v>3896.75</v>
      </c>
      <c r="G199" s="4">
        <f t="shared" ref="G199:G262" si="23">MAX(E195:E199)</f>
        <v>4315.8500979999999</v>
      </c>
      <c r="H199" s="4">
        <f t="shared" ref="H199:H262" si="24">IF(E199&gt;G198,"BUY",IF(E199&lt;F198,"SELL",0))</f>
        <v>0</v>
      </c>
      <c r="I199" s="4">
        <f t="shared" si="21"/>
        <v>-1</v>
      </c>
      <c r="J199" s="11">
        <f t="shared" ref="J199:J262" si="25">IF(I199&lt;&gt;I198,H199,0)</f>
        <v>0</v>
      </c>
      <c r="K199" s="6">
        <f t="shared" ref="K199:K262" si="26">IF(J199&lt;&gt;0,E199,K198)</f>
        <v>4504.25</v>
      </c>
      <c r="L199" s="4">
        <f t="shared" si="20"/>
        <v>0</v>
      </c>
    </row>
    <row r="200" spans="1:12" x14ac:dyDescent="0.25">
      <c r="A200" s="1">
        <v>41445</v>
      </c>
      <c r="B200">
        <v>4094.6000979999999</v>
      </c>
      <c r="C200">
        <v>4097.3500979999999</v>
      </c>
      <c r="D200">
        <v>3874.8500979999999</v>
      </c>
      <c r="E200">
        <v>3925.75</v>
      </c>
      <c r="F200" s="4">
        <f t="shared" si="22"/>
        <v>3896.75</v>
      </c>
      <c r="G200" s="4">
        <f t="shared" si="23"/>
        <v>4136.6499020000001</v>
      </c>
      <c r="H200" s="4">
        <f t="shared" si="24"/>
        <v>0</v>
      </c>
      <c r="I200" s="4">
        <f t="shared" si="21"/>
        <v>-1</v>
      </c>
      <c r="J200" s="11">
        <f t="shared" si="25"/>
        <v>0</v>
      </c>
      <c r="K200" s="6">
        <f t="shared" si="26"/>
        <v>4504.25</v>
      </c>
      <c r="L200" s="4">
        <f t="shared" ref="L200:L263" si="27">IF(J200="BUY",(K199-K200)/K199,IF(J200="SELL",(K201-K199)/K199,0))</f>
        <v>0</v>
      </c>
    </row>
    <row r="201" spans="1:12" x14ac:dyDescent="0.25">
      <c r="A201" s="1">
        <v>41446</v>
      </c>
      <c r="B201">
        <v>3926.6499020000001</v>
      </c>
      <c r="C201">
        <v>4033.5</v>
      </c>
      <c r="D201">
        <v>3896.3999020000001</v>
      </c>
      <c r="E201">
        <v>4016</v>
      </c>
      <c r="F201" s="4">
        <f t="shared" si="22"/>
        <v>3896.75</v>
      </c>
      <c r="G201" s="4">
        <f t="shared" si="23"/>
        <v>4093.3500979999999</v>
      </c>
      <c r="H201" s="4">
        <f t="shared" si="24"/>
        <v>0</v>
      </c>
      <c r="I201" s="4">
        <f t="shared" si="21"/>
        <v>-1</v>
      </c>
      <c r="J201" s="11">
        <f t="shared" si="25"/>
        <v>0</v>
      </c>
      <c r="K201" s="6">
        <f t="shared" si="26"/>
        <v>4504.25</v>
      </c>
      <c r="L201" s="4">
        <f t="shared" si="27"/>
        <v>0</v>
      </c>
    </row>
    <row r="202" spans="1:12" x14ac:dyDescent="0.25">
      <c r="A202" s="1">
        <v>41449</v>
      </c>
      <c r="B202">
        <v>4002</v>
      </c>
      <c r="C202">
        <v>4114.5</v>
      </c>
      <c r="D202">
        <v>4002</v>
      </c>
      <c r="E202">
        <v>4030</v>
      </c>
      <c r="F202" s="4">
        <f t="shared" si="22"/>
        <v>3896.75</v>
      </c>
      <c r="G202" s="4">
        <f t="shared" si="23"/>
        <v>4093.3500979999999</v>
      </c>
      <c r="H202" s="4">
        <f t="shared" si="24"/>
        <v>0</v>
      </c>
      <c r="I202" s="4">
        <f t="shared" si="21"/>
        <v>-1</v>
      </c>
      <c r="J202" s="11">
        <f t="shared" si="25"/>
        <v>0</v>
      </c>
      <c r="K202" s="6">
        <f t="shared" si="26"/>
        <v>4504.25</v>
      </c>
      <c r="L202" s="4">
        <f t="shared" si="27"/>
        <v>0</v>
      </c>
    </row>
    <row r="203" spans="1:12" x14ac:dyDescent="0.25">
      <c r="A203" s="1">
        <v>41450</v>
      </c>
      <c r="B203">
        <v>4028.6999510000001</v>
      </c>
      <c r="C203">
        <v>4028.6999510000001</v>
      </c>
      <c r="D203">
        <v>3896.0500489999999</v>
      </c>
      <c r="E203">
        <v>3988.5500489999999</v>
      </c>
      <c r="F203" s="4">
        <f t="shared" si="22"/>
        <v>3925.75</v>
      </c>
      <c r="G203" s="4">
        <f t="shared" si="23"/>
        <v>4093.3500979999999</v>
      </c>
      <c r="H203" s="4">
        <f t="shared" si="24"/>
        <v>0</v>
      </c>
      <c r="I203" s="4">
        <f t="shared" si="21"/>
        <v>-1</v>
      </c>
      <c r="J203" s="11">
        <f t="shared" si="25"/>
        <v>0</v>
      </c>
      <c r="K203" s="6">
        <f t="shared" si="26"/>
        <v>4504.25</v>
      </c>
      <c r="L203" s="4">
        <f t="shared" si="27"/>
        <v>0</v>
      </c>
    </row>
    <row r="204" spans="1:12" x14ac:dyDescent="0.25">
      <c r="A204" s="1">
        <v>41451</v>
      </c>
      <c r="B204">
        <v>3990.8999020000001</v>
      </c>
      <c r="C204">
        <v>4169.3999020000001</v>
      </c>
      <c r="D204">
        <v>3990.8999020000001</v>
      </c>
      <c r="E204">
        <v>4157.1000979999999</v>
      </c>
      <c r="F204" s="4">
        <f t="shared" si="22"/>
        <v>3925.75</v>
      </c>
      <c r="G204" s="4">
        <f t="shared" si="23"/>
        <v>4157.1000979999999</v>
      </c>
      <c r="H204" s="4" t="str">
        <f t="shared" si="24"/>
        <v>BUY</v>
      </c>
      <c r="I204" s="4">
        <f t="shared" si="21"/>
        <v>1</v>
      </c>
      <c r="J204" s="11" t="str">
        <f t="shared" si="25"/>
        <v>BUY</v>
      </c>
      <c r="K204" s="6">
        <f t="shared" si="26"/>
        <v>4157.1000979999999</v>
      </c>
      <c r="L204" s="4">
        <f t="shared" si="27"/>
        <v>7.7071632791252731E-2</v>
      </c>
    </row>
    <row r="205" spans="1:12" x14ac:dyDescent="0.25">
      <c r="A205" s="1">
        <v>41452</v>
      </c>
      <c r="B205">
        <v>4155.6499020000001</v>
      </c>
      <c r="C205">
        <v>4187.9501950000003</v>
      </c>
      <c r="D205">
        <v>4110.3999020000001</v>
      </c>
      <c r="E205">
        <v>4162.2001950000003</v>
      </c>
      <c r="F205" s="4">
        <f t="shared" si="22"/>
        <v>3988.5500489999999</v>
      </c>
      <c r="G205" s="4">
        <f t="shared" si="23"/>
        <v>4162.2001950000003</v>
      </c>
      <c r="H205" s="4" t="str">
        <f t="shared" si="24"/>
        <v>BUY</v>
      </c>
      <c r="I205" s="4">
        <f t="shared" si="21"/>
        <v>1</v>
      </c>
      <c r="J205" s="11">
        <f t="shared" si="25"/>
        <v>0</v>
      </c>
      <c r="K205" s="6">
        <f t="shared" si="26"/>
        <v>4157.1000979999999</v>
      </c>
      <c r="L205" s="4">
        <f t="shared" si="27"/>
        <v>0</v>
      </c>
    </row>
    <row r="206" spans="1:12" x14ac:dyDescent="0.25">
      <c r="A206" s="1">
        <v>41453</v>
      </c>
      <c r="B206">
        <v>4166</v>
      </c>
      <c r="C206">
        <v>4215.5</v>
      </c>
      <c r="D206">
        <v>4014.4499510000001</v>
      </c>
      <c r="E206">
        <v>4049</v>
      </c>
      <c r="F206" s="4">
        <f t="shared" si="22"/>
        <v>3988.5500489999999</v>
      </c>
      <c r="G206" s="4">
        <f t="shared" si="23"/>
        <v>4162.2001950000003</v>
      </c>
      <c r="H206" s="4">
        <f t="shared" si="24"/>
        <v>0</v>
      </c>
      <c r="I206" s="4">
        <f t="shared" si="21"/>
        <v>1</v>
      </c>
      <c r="J206" s="11">
        <f t="shared" si="25"/>
        <v>0</v>
      </c>
      <c r="K206" s="6">
        <f t="shared" si="26"/>
        <v>4157.1000979999999</v>
      </c>
      <c r="L206" s="4">
        <f t="shared" si="27"/>
        <v>0</v>
      </c>
    </row>
    <row r="207" spans="1:12" x14ac:dyDescent="0.25">
      <c r="A207" s="1">
        <v>41456</v>
      </c>
      <c r="B207">
        <v>4047.4499510000001</v>
      </c>
      <c r="C207">
        <v>4118.1000979999999</v>
      </c>
      <c r="D207">
        <v>4004.25</v>
      </c>
      <c r="E207">
        <v>4039.6999510000001</v>
      </c>
      <c r="F207" s="4">
        <f t="shared" si="22"/>
        <v>3988.5500489999999</v>
      </c>
      <c r="G207" s="4">
        <f t="shared" si="23"/>
        <v>4162.2001950000003</v>
      </c>
      <c r="H207" s="4">
        <f t="shared" si="24"/>
        <v>0</v>
      </c>
      <c r="I207" s="4">
        <f t="shared" si="21"/>
        <v>1</v>
      </c>
      <c r="J207" s="11">
        <f t="shared" si="25"/>
        <v>0</v>
      </c>
      <c r="K207" s="6">
        <f t="shared" si="26"/>
        <v>4157.1000979999999</v>
      </c>
      <c r="L207" s="4">
        <f t="shared" si="27"/>
        <v>0</v>
      </c>
    </row>
    <row r="208" spans="1:12" x14ac:dyDescent="0.25">
      <c r="A208" s="1">
        <v>41457</v>
      </c>
      <c r="B208">
        <v>4039.3000489999999</v>
      </c>
      <c r="C208">
        <v>4040.6999510000001</v>
      </c>
      <c r="D208">
        <v>3835.5</v>
      </c>
      <c r="E208">
        <v>3861.1000979999999</v>
      </c>
      <c r="F208" s="4">
        <f t="shared" si="22"/>
        <v>3861.1000979999999</v>
      </c>
      <c r="G208" s="4">
        <f t="shared" si="23"/>
        <v>4162.2001950000003</v>
      </c>
      <c r="H208" s="4" t="str">
        <f t="shared" si="24"/>
        <v>SELL</v>
      </c>
      <c r="I208" s="4">
        <f t="shared" si="21"/>
        <v>-1</v>
      </c>
      <c r="J208" s="11" t="str">
        <f t="shared" si="25"/>
        <v>SELL</v>
      </c>
      <c r="K208" s="6">
        <f t="shared" si="26"/>
        <v>3861.1000979999999</v>
      </c>
      <c r="L208" s="4">
        <f t="shared" si="27"/>
        <v>-7.1203481518861425E-2</v>
      </c>
    </row>
    <row r="209" spans="1:12" x14ac:dyDescent="0.25">
      <c r="A209" s="1">
        <v>41458</v>
      </c>
      <c r="B209">
        <v>3861.5500489999999</v>
      </c>
      <c r="C209">
        <v>3920.0500489999999</v>
      </c>
      <c r="D209">
        <v>3790.1999510000001</v>
      </c>
      <c r="E209">
        <v>3816.6999510000001</v>
      </c>
      <c r="F209" s="4">
        <f t="shared" si="22"/>
        <v>3816.6999510000001</v>
      </c>
      <c r="G209" s="4">
        <f t="shared" si="23"/>
        <v>4162.2001950000003</v>
      </c>
      <c r="H209" s="4" t="str">
        <f t="shared" si="24"/>
        <v>SELL</v>
      </c>
      <c r="I209" s="4">
        <f t="shared" si="21"/>
        <v>-1</v>
      </c>
      <c r="J209" s="11">
        <f t="shared" si="25"/>
        <v>0</v>
      </c>
      <c r="K209" s="6">
        <f t="shared" si="26"/>
        <v>3861.1000979999999</v>
      </c>
      <c r="L209" s="4">
        <f t="shared" si="27"/>
        <v>0</v>
      </c>
    </row>
    <row r="210" spans="1:12" x14ac:dyDescent="0.25">
      <c r="A210" s="1">
        <v>41459</v>
      </c>
      <c r="B210">
        <v>3823.1499020000001</v>
      </c>
      <c r="C210">
        <v>3968.75</v>
      </c>
      <c r="D210">
        <v>3823.1499020000001</v>
      </c>
      <c r="E210">
        <v>3947.1999510000001</v>
      </c>
      <c r="F210" s="4">
        <f t="shared" si="22"/>
        <v>3816.6999510000001</v>
      </c>
      <c r="G210" s="4">
        <f t="shared" si="23"/>
        <v>4049</v>
      </c>
      <c r="H210" s="4">
        <f t="shared" si="24"/>
        <v>0</v>
      </c>
      <c r="I210" s="4">
        <f t="shared" si="21"/>
        <v>-1</v>
      </c>
      <c r="J210" s="11">
        <f t="shared" si="25"/>
        <v>0</v>
      </c>
      <c r="K210" s="6">
        <f t="shared" si="26"/>
        <v>3861.1000979999999</v>
      </c>
      <c r="L210" s="4">
        <f t="shared" si="27"/>
        <v>0</v>
      </c>
    </row>
    <row r="211" spans="1:12" x14ac:dyDescent="0.25">
      <c r="A211" s="1">
        <v>41460</v>
      </c>
      <c r="B211">
        <v>3962.9499510000001</v>
      </c>
      <c r="C211">
        <v>4110.5498049999997</v>
      </c>
      <c r="D211">
        <v>3926.3000489999999</v>
      </c>
      <c r="E211">
        <v>4092.25</v>
      </c>
      <c r="F211" s="4">
        <f t="shared" si="22"/>
        <v>3816.6999510000001</v>
      </c>
      <c r="G211" s="4">
        <f t="shared" si="23"/>
        <v>4092.25</v>
      </c>
      <c r="H211" s="4" t="str">
        <f t="shared" si="24"/>
        <v>BUY</v>
      </c>
      <c r="I211" s="4">
        <f t="shared" si="21"/>
        <v>1</v>
      </c>
      <c r="J211" s="11" t="str">
        <f t="shared" si="25"/>
        <v>BUY</v>
      </c>
      <c r="K211" s="6">
        <f t="shared" si="26"/>
        <v>4092.25</v>
      </c>
      <c r="L211" s="4">
        <f t="shared" si="27"/>
        <v>-5.986633242679535E-2</v>
      </c>
    </row>
    <row r="212" spans="1:12" x14ac:dyDescent="0.25">
      <c r="A212" s="1">
        <v>41463</v>
      </c>
      <c r="B212">
        <v>4092.1999510000001</v>
      </c>
      <c r="C212">
        <v>4168.1499020000001</v>
      </c>
      <c r="D212">
        <v>4072.75</v>
      </c>
      <c r="E212">
        <v>4159.5</v>
      </c>
      <c r="F212" s="4">
        <f t="shared" si="22"/>
        <v>3816.6999510000001</v>
      </c>
      <c r="G212" s="4">
        <f t="shared" si="23"/>
        <v>4159.5</v>
      </c>
      <c r="H212" s="4" t="str">
        <f t="shared" si="24"/>
        <v>BUY</v>
      </c>
      <c r="I212" s="4">
        <f t="shared" si="21"/>
        <v>1</v>
      </c>
      <c r="J212" s="11">
        <f t="shared" si="25"/>
        <v>0</v>
      </c>
      <c r="K212" s="6">
        <f t="shared" si="26"/>
        <v>4092.25</v>
      </c>
      <c r="L212" s="4">
        <f t="shared" si="27"/>
        <v>0</v>
      </c>
    </row>
    <row r="213" spans="1:12" x14ac:dyDescent="0.25">
      <c r="A213" s="1">
        <v>41464</v>
      </c>
      <c r="B213">
        <v>4158.4501950000003</v>
      </c>
      <c r="C213">
        <v>4262.4501950000003</v>
      </c>
      <c r="D213">
        <v>4137.9501950000003</v>
      </c>
      <c r="E213">
        <v>4240.1000979999999</v>
      </c>
      <c r="F213" s="4">
        <f t="shared" si="22"/>
        <v>3816.6999510000001</v>
      </c>
      <c r="G213" s="4">
        <f t="shared" si="23"/>
        <v>4240.1000979999999</v>
      </c>
      <c r="H213" s="4" t="str">
        <f t="shared" si="24"/>
        <v>BUY</v>
      </c>
      <c r="I213" s="4">
        <f t="shared" si="21"/>
        <v>1</v>
      </c>
      <c r="J213" s="11">
        <f t="shared" si="25"/>
        <v>0</v>
      </c>
      <c r="K213" s="6">
        <f t="shared" si="26"/>
        <v>4092.25</v>
      </c>
      <c r="L213" s="4">
        <f t="shared" si="27"/>
        <v>0</v>
      </c>
    </row>
    <row r="214" spans="1:12" x14ac:dyDescent="0.25">
      <c r="A214" s="1">
        <v>41465</v>
      </c>
      <c r="B214">
        <v>4246.7001950000003</v>
      </c>
      <c r="C214">
        <v>4491.5498049999997</v>
      </c>
      <c r="D214">
        <v>4246.7001950000003</v>
      </c>
      <c r="E214">
        <v>4476.7998049999997</v>
      </c>
      <c r="F214" s="4">
        <f t="shared" si="22"/>
        <v>3947.1999510000001</v>
      </c>
      <c r="G214" s="4">
        <f t="shared" si="23"/>
        <v>4476.7998049999997</v>
      </c>
      <c r="H214" s="4" t="str">
        <f t="shared" si="24"/>
        <v>BUY</v>
      </c>
      <c r="I214" s="4">
        <f t="shared" si="21"/>
        <v>1</v>
      </c>
      <c r="J214" s="11">
        <f t="shared" si="25"/>
        <v>0</v>
      </c>
      <c r="K214" s="6">
        <f t="shared" si="26"/>
        <v>4092.25</v>
      </c>
      <c r="L214" s="4">
        <f t="shared" si="27"/>
        <v>0</v>
      </c>
    </row>
    <row r="215" spans="1:12" x14ac:dyDescent="0.25">
      <c r="A215" s="1">
        <v>41466</v>
      </c>
      <c r="B215">
        <v>4476.2001950000003</v>
      </c>
      <c r="C215">
        <v>4539.4501950000003</v>
      </c>
      <c r="D215">
        <v>4385.8500979999999</v>
      </c>
      <c r="E215">
        <v>4433.5498049999997</v>
      </c>
      <c r="F215" s="4">
        <f t="shared" si="22"/>
        <v>4092.25</v>
      </c>
      <c r="G215" s="4">
        <f t="shared" si="23"/>
        <v>4476.7998049999997</v>
      </c>
      <c r="H215" s="4">
        <f t="shared" si="24"/>
        <v>0</v>
      </c>
      <c r="I215" s="4">
        <f t="shared" si="21"/>
        <v>1</v>
      </c>
      <c r="J215" s="11">
        <f t="shared" si="25"/>
        <v>0</v>
      </c>
      <c r="K215" s="6">
        <f t="shared" si="26"/>
        <v>4092.25</v>
      </c>
      <c r="L215" s="4">
        <f t="shared" si="27"/>
        <v>0</v>
      </c>
    </row>
    <row r="216" spans="1:12" x14ac:dyDescent="0.25">
      <c r="A216" s="1">
        <v>41467</v>
      </c>
      <c r="B216">
        <v>4440.8500979999999</v>
      </c>
      <c r="C216">
        <v>4440.8500979999999</v>
      </c>
      <c r="D216">
        <v>4297.1499020000001</v>
      </c>
      <c r="E216">
        <v>4311.8500979999999</v>
      </c>
      <c r="F216" s="4">
        <f t="shared" si="22"/>
        <v>4159.5</v>
      </c>
      <c r="G216" s="4">
        <f t="shared" si="23"/>
        <v>4476.7998049999997</v>
      </c>
      <c r="H216" s="4">
        <f t="shared" si="24"/>
        <v>0</v>
      </c>
      <c r="I216" s="4">
        <f t="shared" si="21"/>
        <v>1</v>
      </c>
      <c r="J216" s="11">
        <f t="shared" si="25"/>
        <v>0</v>
      </c>
      <c r="K216" s="6">
        <f t="shared" si="26"/>
        <v>4092.25</v>
      </c>
      <c r="L216" s="4">
        <f t="shared" si="27"/>
        <v>0</v>
      </c>
    </row>
    <row r="217" spans="1:12" x14ac:dyDescent="0.25">
      <c r="A217" s="1">
        <v>41470</v>
      </c>
      <c r="B217">
        <v>4282.25</v>
      </c>
      <c r="C217">
        <v>4352.6499020000001</v>
      </c>
      <c r="D217">
        <v>4282.25</v>
      </c>
      <c r="E217">
        <v>4332.1000979999999</v>
      </c>
      <c r="F217" s="4">
        <f t="shared" si="22"/>
        <v>4240.1000979999999</v>
      </c>
      <c r="G217" s="4">
        <f t="shared" si="23"/>
        <v>4476.7998049999997</v>
      </c>
      <c r="H217" s="4">
        <f t="shared" si="24"/>
        <v>0</v>
      </c>
      <c r="I217" s="4">
        <f t="shared" si="21"/>
        <v>1</v>
      </c>
      <c r="J217" s="11">
        <f t="shared" si="25"/>
        <v>0</v>
      </c>
      <c r="K217" s="6">
        <f t="shared" si="26"/>
        <v>4092.25</v>
      </c>
      <c r="L217" s="4">
        <f t="shared" si="27"/>
        <v>0</v>
      </c>
    </row>
    <row r="218" spans="1:12" x14ac:dyDescent="0.25">
      <c r="A218" s="1">
        <v>41471</v>
      </c>
      <c r="B218">
        <v>4332.2001950000003</v>
      </c>
      <c r="C218">
        <v>4332.2001950000003</v>
      </c>
      <c r="D218">
        <v>4159.1499020000001</v>
      </c>
      <c r="E218">
        <v>4189.8500979999999</v>
      </c>
      <c r="F218" s="4">
        <f t="shared" si="22"/>
        <v>4189.8500979999999</v>
      </c>
      <c r="G218" s="4">
        <f t="shared" si="23"/>
        <v>4476.7998049999997</v>
      </c>
      <c r="H218" s="4" t="str">
        <f t="shared" si="24"/>
        <v>SELL</v>
      </c>
      <c r="I218" s="4">
        <f t="shared" si="21"/>
        <v>-1</v>
      </c>
      <c r="J218" s="11" t="str">
        <f t="shared" si="25"/>
        <v>SELL</v>
      </c>
      <c r="K218" s="6">
        <f t="shared" si="26"/>
        <v>4189.8500979999999</v>
      </c>
      <c r="L218" s="4">
        <f t="shared" si="27"/>
        <v>2.3849984238499575E-2</v>
      </c>
    </row>
    <row r="219" spans="1:12" x14ac:dyDescent="0.25">
      <c r="A219" s="1">
        <v>41472</v>
      </c>
      <c r="B219">
        <v>4191.2001950000003</v>
      </c>
      <c r="C219">
        <v>4327</v>
      </c>
      <c r="D219">
        <v>4191.2001950000003</v>
      </c>
      <c r="E219">
        <v>4313.5498049999997</v>
      </c>
      <c r="F219" s="4">
        <f t="shared" si="22"/>
        <v>4189.8500979999999</v>
      </c>
      <c r="G219" s="4">
        <f t="shared" si="23"/>
        <v>4433.5498049999997</v>
      </c>
      <c r="H219" s="4">
        <f t="shared" si="24"/>
        <v>0</v>
      </c>
      <c r="I219" s="4">
        <f t="shared" si="21"/>
        <v>-1</v>
      </c>
      <c r="J219" s="11">
        <f t="shared" si="25"/>
        <v>0</v>
      </c>
      <c r="K219" s="6">
        <f t="shared" si="26"/>
        <v>4189.8500979999999</v>
      </c>
      <c r="L219" s="4">
        <f t="shared" si="27"/>
        <v>0</v>
      </c>
    </row>
    <row r="220" spans="1:12" x14ac:dyDescent="0.25">
      <c r="A220" s="1">
        <v>41473</v>
      </c>
      <c r="B220">
        <v>4314.3500979999999</v>
      </c>
      <c r="C220">
        <v>4342</v>
      </c>
      <c r="D220">
        <v>4285.5498049999997</v>
      </c>
      <c r="E220">
        <v>4332.9501950000003</v>
      </c>
      <c r="F220" s="4">
        <f t="shared" si="22"/>
        <v>4189.8500979999999</v>
      </c>
      <c r="G220" s="4">
        <f t="shared" si="23"/>
        <v>4332.9501950000003</v>
      </c>
      <c r="H220" s="4">
        <f t="shared" si="24"/>
        <v>0</v>
      </c>
      <c r="I220" s="4">
        <f t="shared" si="21"/>
        <v>-1</v>
      </c>
      <c r="J220" s="11">
        <f t="shared" si="25"/>
        <v>0</v>
      </c>
      <c r="K220" s="6">
        <f t="shared" si="26"/>
        <v>4189.8500979999999</v>
      </c>
      <c r="L220" s="4">
        <f t="shared" si="27"/>
        <v>0</v>
      </c>
    </row>
    <row r="221" spans="1:12" x14ac:dyDescent="0.25">
      <c r="A221" s="1">
        <v>41474</v>
      </c>
      <c r="B221">
        <v>4331.6000979999999</v>
      </c>
      <c r="C221">
        <v>4422.9501950000003</v>
      </c>
      <c r="D221">
        <v>4235.7001950000003</v>
      </c>
      <c r="E221">
        <v>4413.5498049999997</v>
      </c>
      <c r="F221" s="4">
        <f t="shared" si="22"/>
        <v>4189.8500979999999</v>
      </c>
      <c r="G221" s="4">
        <f t="shared" si="23"/>
        <v>4413.5498049999997</v>
      </c>
      <c r="H221" s="4" t="str">
        <f t="shared" si="24"/>
        <v>BUY</v>
      </c>
      <c r="I221" s="4">
        <f t="shared" si="21"/>
        <v>1</v>
      </c>
      <c r="J221" s="11" t="str">
        <f t="shared" si="25"/>
        <v>BUY</v>
      </c>
      <c r="K221" s="6">
        <f t="shared" si="26"/>
        <v>4413.5498049999997</v>
      </c>
      <c r="L221" s="4">
        <f t="shared" si="27"/>
        <v>-5.3390861669915468E-2</v>
      </c>
    </row>
    <row r="222" spans="1:12" x14ac:dyDescent="0.25">
      <c r="A222" s="1">
        <v>41477</v>
      </c>
      <c r="B222">
        <v>4426.1000979999999</v>
      </c>
      <c r="C222">
        <v>4436.1499020000001</v>
      </c>
      <c r="D222">
        <v>4362.8999020000001</v>
      </c>
      <c r="E222">
        <v>4395.3500979999999</v>
      </c>
      <c r="F222" s="4">
        <f t="shared" si="22"/>
        <v>4189.8500979999999</v>
      </c>
      <c r="G222" s="4">
        <f t="shared" si="23"/>
        <v>4413.5498049999997</v>
      </c>
      <c r="H222" s="4">
        <f t="shared" si="24"/>
        <v>0</v>
      </c>
      <c r="I222" s="4">
        <f t="shared" si="21"/>
        <v>1</v>
      </c>
      <c r="J222" s="11">
        <f t="shared" si="25"/>
        <v>0</v>
      </c>
      <c r="K222" s="6">
        <f t="shared" si="26"/>
        <v>4413.5498049999997</v>
      </c>
      <c r="L222" s="4">
        <f t="shared" si="27"/>
        <v>0</v>
      </c>
    </row>
    <row r="223" spans="1:12" x14ac:dyDescent="0.25">
      <c r="A223" s="1">
        <v>41478</v>
      </c>
      <c r="B223">
        <v>4395.7998049999997</v>
      </c>
      <c r="C223">
        <v>4515.1499020000001</v>
      </c>
      <c r="D223">
        <v>4376</v>
      </c>
      <c r="E223">
        <v>4502.8500979999999</v>
      </c>
      <c r="F223" s="4">
        <f t="shared" si="22"/>
        <v>4313.5498049999997</v>
      </c>
      <c r="G223" s="4">
        <f t="shared" si="23"/>
        <v>4502.8500979999999</v>
      </c>
      <c r="H223" s="4" t="str">
        <f t="shared" si="24"/>
        <v>BUY</v>
      </c>
      <c r="I223" s="4">
        <f t="shared" si="21"/>
        <v>1</v>
      </c>
      <c r="J223" s="11">
        <f t="shared" si="25"/>
        <v>0</v>
      </c>
      <c r="K223" s="6">
        <f t="shared" si="26"/>
        <v>4413.5498049999997</v>
      </c>
      <c r="L223" s="4">
        <f t="shared" si="27"/>
        <v>0</v>
      </c>
    </row>
    <row r="224" spans="1:12" x14ac:dyDescent="0.25">
      <c r="A224" s="1">
        <v>41479</v>
      </c>
      <c r="B224">
        <v>4506.25</v>
      </c>
      <c r="C224">
        <v>4615.8999020000001</v>
      </c>
      <c r="D224">
        <v>4503.8999020000001</v>
      </c>
      <c r="E224">
        <v>4517.5498049999997</v>
      </c>
      <c r="F224" s="4">
        <f t="shared" si="22"/>
        <v>4332.9501950000003</v>
      </c>
      <c r="G224" s="4">
        <f t="shared" si="23"/>
        <v>4517.5498049999997</v>
      </c>
      <c r="H224" s="4" t="str">
        <f t="shared" si="24"/>
        <v>BUY</v>
      </c>
      <c r="I224" s="4">
        <f t="shared" si="21"/>
        <v>1</v>
      </c>
      <c r="J224" s="11">
        <f t="shared" si="25"/>
        <v>0</v>
      </c>
      <c r="K224" s="6">
        <f t="shared" si="26"/>
        <v>4413.5498049999997</v>
      </c>
      <c r="L224" s="4">
        <f t="shared" si="27"/>
        <v>0</v>
      </c>
    </row>
    <row r="225" spans="1:12" x14ac:dyDescent="0.25">
      <c r="A225" s="1">
        <v>41480</v>
      </c>
      <c r="B225">
        <v>4515.25</v>
      </c>
      <c r="C225">
        <v>4580.1499020000001</v>
      </c>
      <c r="D225">
        <v>4493.7001950000003</v>
      </c>
      <c r="E225">
        <v>4523.8500979999999</v>
      </c>
      <c r="F225" s="4">
        <f t="shared" si="22"/>
        <v>4395.3500979999999</v>
      </c>
      <c r="G225" s="4">
        <f t="shared" si="23"/>
        <v>4523.8500979999999</v>
      </c>
      <c r="H225" s="4" t="str">
        <f t="shared" si="24"/>
        <v>BUY</v>
      </c>
      <c r="I225" s="4">
        <f t="shared" si="21"/>
        <v>1</v>
      </c>
      <c r="J225" s="11">
        <f t="shared" si="25"/>
        <v>0</v>
      </c>
      <c r="K225" s="6">
        <f t="shared" si="26"/>
        <v>4413.5498049999997</v>
      </c>
      <c r="L225" s="4">
        <f t="shared" si="27"/>
        <v>0</v>
      </c>
    </row>
    <row r="226" spans="1:12" x14ac:dyDescent="0.25">
      <c r="A226" s="1">
        <v>41481</v>
      </c>
      <c r="B226">
        <v>4518.3500979999999</v>
      </c>
      <c r="C226">
        <v>4546.3500979999999</v>
      </c>
      <c r="D226">
        <v>4464</v>
      </c>
      <c r="E226">
        <v>4529.5</v>
      </c>
      <c r="F226" s="4">
        <f t="shared" si="22"/>
        <v>4395.3500979999999</v>
      </c>
      <c r="G226" s="4">
        <f t="shared" si="23"/>
        <v>4529.5</v>
      </c>
      <c r="H226" s="4" t="str">
        <f t="shared" si="24"/>
        <v>BUY</v>
      </c>
      <c r="I226" s="4">
        <f t="shared" si="21"/>
        <v>1</v>
      </c>
      <c r="J226" s="11">
        <f t="shared" si="25"/>
        <v>0</v>
      </c>
      <c r="K226" s="6">
        <f t="shared" si="26"/>
        <v>4413.5498049999997</v>
      </c>
      <c r="L226" s="4">
        <f t="shared" si="27"/>
        <v>0</v>
      </c>
    </row>
    <row r="227" spans="1:12" x14ac:dyDescent="0.25">
      <c r="A227" s="1">
        <v>41484</v>
      </c>
      <c r="B227">
        <v>4529.3500979999999</v>
      </c>
      <c r="C227">
        <v>4625.2001950000003</v>
      </c>
      <c r="D227">
        <v>4529.3500979999999</v>
      </c>
      <c r="E227">
        <v>4620.3999020000001</v>
      </c>
      <c r="F227" s="4">
        <f t="shared" si="22"/>
        <v>4502.8500979999999</v>
      </c>
      <c r="G227" s="4">
        <f t="shared" si="23"/>
        <v>4620.3999020000001</v>
      </c>
      <c r="H227" s="4" t="str">
        <f t="shared" si="24"/>
        <v>BUY</v>
      </c>
      <c r="I227" s="4">
        <f t="shared" si="21"/>
        <v>1</v>
      </c>
      <c r="J227" s="11">
        <f t="shared" si="25"/>
        <v>0</v>
      </c>
      <c r="K227" s="6">
        <f t="shared" si="26"/>
        <v>4413.5498049999997</v>
      </c>
      <c r="L227" s="4">
        <f t="shared" si="27"/>
        <v>0</v>
      </c>
    </row>
    <row r="228" spans="1:12" x14ac:dyDescent="0.25">
      <c r="A228" s="1">
        <v>41485</v>
      </c>
      <c r="B228">
        <v>4620.9501950000003</v>
      </c>
      <c r="C228">
        <v>4649.8500979999999</v>
      </c>
      <c r="D228">
        <v>4525.75</v>
      </c>
      <c r="E228">
        <v>4552.25</v>
      </c>
      <c r="F228" s="4">
        <f t="shared" si="22"/>
        <v>4517.5498049999997</v>
      </c>
      <c r="G228" s="4">
        <f t="shared" si="23"/>
        <v>4620.3999020000001</v>
      </c>
      <c r="H228" s="4">
        <f t="shared" si="24"/>
        <v>0</v>
      </c>
      <c r="I228" s="4">
        <f t="shared" si="21"/>
        <v>1</v>
      </c>
      <c r="J228" s="11">
        <f t="shared" si="25"/>
        <v>0</v>
      </c>
      <c r="K228" s="6">
        <f t="shared" si="26"/>
        <v>4413.5498049999997</v>
      </c>
      <c r="L228" s="4">
        <f t="shared" si="27"/>
        <v>0</v>
      </c>
    </row>
    <row r="229" spans="1:12" x14ac:dyDescent="0.25">
      <c r="A229" s="1">
        <v>41486</v>
      </c>
      <c r="B229">
        <v>4548.0498049999997</v>
      </c>
      <c r="C229">
        <v>4572.6499020000001</v>
      </c>
      <c r="D229">
        <v>4497.25</v>
      </c>
      <c r="E229">
        <v>4529.0498049999997</v>
      </c>
      <c r="F229" s="4">
        <f t="shared" si="22"/>
        <v>4523.8500979999999</v>
      </c>
      <c r="G229" s="4">
        <f t="shared" si="23"/>
        <v>4620.3999020000001</v>
      </c>
      <c r="H229" s="4">
        <f t="shared" si="24"/>
        <v>0</v>
      </c>
      <c r="I229" s="4">
        <f t="shared" si="21"/>
        <v>1</v>
      </c>
      <c r="J229" s="11">
        <f t="shared" si="25"/>
        <v>0</v>
      </c>
      <c r="K229" s="6">
        <f t="shared" si="26"/>
        <v>4413.5498049999997</v>
      </c>
      <c r="L229" s="4">
        <f t="shared" si="27"/>
        <v>0</v>
      </c>
    </row>
    <row r="230" spans="1:12" x14ac:dyDescent="0.25">
      <c r="A230" s="1">
        <v>41487</v>
      </c>
      <c r="B230">
        <v>4524.2001950000003</v>
      </c>
      <c r="C230">
        <v>4529.7998049999997</v>
      </c>
      <c r="D230">
        <v>4421.25</v>
      </c>
      <c r="E230">
        <v>4430.7001950000003</v>
      </c>
      <c r="F230" s="4">
        <f t="shared" si="22"/>
        <v>4430.7001950000003</v>
      </c>
      <c r="G230" s="4">
        <f t="shared" si="23"/>
        <v>4620.3999020000001</v>
      </c>
      <c r="H230" s="4" t="str">
        <f t="shared" si="24"/>
        <v>SELL</v>
      </c>
      <c r="I230" s="4">
        <f t="shared" si="21"/>
        <v>-1</v>
      </c>
      <c r="J230" s="11" t="str">
        <f t="shared" si="25"/>
        <v>SELL</v>
      </c>
      <c r="K230" s="6">
        <f t="shared" si="26"/>
        <v>4430.7001950000003</v>
      </c>
      <c r="L230" s="4">
        <f t="shared" si="27"/>
        <v>3.885849431351483E-3</v>
      </c>
    </row>
    <row r="231" spans="1:12" x14ac:dyDescent="0.25">
      <c r="A231" s="1">
        <v>41488</v>
      </c>
      <c r="B231">
        <v>4430.7001950000003</v>
      </c>
      <c r="C231">
        <v>4447.3999020000001</v>
      </c>
      <c r="D231">
        <v>4379.8500979999999</v>
      </c>
      <c r="E231">
        <v>4393.0498049999997</v>
      </c>
      <c r="F231" s="4">
        <f t="shared" si="22"/>
        <v>4393.0498049999997</v>
      </c>
      <c r="G231" s="4">
        <f t="shared" si="23"/>
        <v>4620.3999020000001</v>
      </c>
      <c r="H231" s="4" t="str">
        <f t="shared" si="24"/>
        <v>SELL</v>
      </c>
      <c r="I231" s="4">
        <f t="shared" si="21"/>
        <v>-1</v>
      </c>
      <c r="J231" s="11">
        <f t="shared" si="25"/>
        <v>0</v>
      </c>
      <c r="K231" s="6">
        <f t="shared" si="26"/>
        <v>4430.7001950000003</v>
      </c>
      <c r="L231" s="4">
        <f t="shared" si="27"/>
        <v>0</v>
      </c>
    </row>
    <row r="232" spans="1:12" x14ac:dyDescent="0.25">
      <c r="A232" s="1">
        <v>41491</v>
      </c>
      <c r="B232">
        <v>4393.1000979999999</v>
      </c>
      <c r="C232">
        <v>4393.7001950000003</v>
      </c>
      <c r="D232">
        <v>4316.5498049999997</v>
      </c>
      <c r="E232">
        <v>4368.25</v>
      </c>
      <c r="F232" s="4">
        <f t="shared" si="22"/>
        <v>4368.25</v>
      </c>
      <c r="G232" s="4">
        <f t="shared" si="23"/>
        <v>4552.25</v>
      </c>
      <c r="H232" s="4" t="str">
        <f t="shared" si="24"/>
        <v>SELL</v>
      </c>
      <c r="I232" s="4">
        <f t="shared" si="21"/>
        <v>-1</v>
      </c>
      <c r="J232" s="11">
        <f t="shared" si="25"/>
        <v>0</v>
      </c>
      <c r="K232" s="6">
        <f t="shared" si="26"/>
        <v>4430.7001950000003</v>
      </c>
      <c r="L232" s="4">
        <f t="shared" si="27"/>
        <v>0</v>
      </c>
    </row>
    <row r="233" spans="1:12" x14ac:dyDescent="0.25">
      <c r="A233" s="1">
        <v>41492</v>
      </c>
      <c r="B233">
        <v>4365.4501950000003</v>
      </c>
      <c r="C233">
        <v>4434.8999020000001</v>
      </c>
      <c r="D233">
        <v>4365.4501950000003</v>
      </c>
      <c r="E233">
        <v>4415.75</v>
      </c>
      <c r="F233" s="4">
        <f t="shared" si="22"/>
        <v>4368.25</v>
      </c>
      <c r="G233" s="4">
        <f t="shared" si="23"/>
        <v>4529.0498049999997</v>
      </c>
      <c r="H233" s="4">
        <f t="shared" si="24"/>
        <v>0</v>
      </c>
      <c r="I233" s="4">
        <f t="shared" si="21"/>
        <v>-1</v>
      </c>
      <c r="J233" s="11">
        <f t="shared" si="25"/>
        <v>0</v>
      </c>
      <c r="K233" s="6">
        <f t="shared" si="26"/>
        <v>4430.7001950000003</v>
      </c>
      <c r="L233" s="4">
        <f t="shared" si="27"/>
        <v>0</v>
      </c>
    </row>
    <row r="234" spans="1:12" x14ac:dyDescent="0.25">
      <c r="A234" s="1">
        <v>41493</v>
      </c>
      <c r="B234">
        <v>4416.2001950000003</v>
      </c>
      <c r="C234">
        <v>4418.5498049999997</v>
      </c>
      <c r="D234">
        <v>4271.2998049999997</v>
      </c>
      <c r="E234">
        <v>4283.8500979999999</v>
      </c>
      <c r="F234" s="4">
        <f t="shared" si="22"/>
        <v>4283.8500979999999</v>
      </c>
      <c r="G234" s="4">
        <f t="shared" si="23"/>
        <v>4430.7001950000003</v>
      </c>
      <c r="H234" s="4" t="str">
        <f t="shared" si="24"/>
        <v>SELL</v>
      </c>
      <c r="I234" s="4">
        <f t="shared" si="21"/>
        <v>-1</v>
      </c>
      <c r="J234" s="11">
        <f t="shared" si="25"/>
        <v>0</v>
      </c>
      <c r="K234" s="6">
        <f t="shared" si="26"/>
        <v>4430.7001950000003</v>
      </c>
      <c r="L234" s="4">
        <f t="shared" si="27"/>
        <v>0</v>
      </c>
    </row>
    <row r="235" spans="1:12" x14ac:dyDescent="0.25">
      <c r="A235" s="1">
        <v>41494</v>
      </c>
      <c r="B235">
        <v>4283.8500979999999</v>
      </c>
      <c r="C235">
        <v>4337</v>
      </c>
      <c r="D235">
        <v>4248</v>
      </c>
      <c r="E235">
        <v>4327.4501950000003</v>
      </c>
      <c r="F235" s="4">
        <f t="shared" si="22"/>
        <v>4283.8500979999999</v>
      </c>
      <c r="G235" s="4">
        <f t="shared" si="23"/>
        <v>4415.75</v>
      </c>
      <c r="H235" s="4">
        <f t="shared" si="24"/>
        <v>0</v>
      </c>
      <c r="I235" s="4">
        <f t="shared" si="21"/>
        <v>-1</v>
      </c>
      <c r="J235" s="11">
        <f t="shared" si="25"/>
        <v>0</v>
      </c>
      <c r="K235" s="6">
        <f t="shared" si="26"/>
        <v>4430.7001950000003</v>
      </c>
      <c r="L235" s="4">
        <f t="shared" si="27"/>
        <v>0</v>
      </c>
    </row>
    <row r="236" spans="1:12" x14ac:dyDescent="0.25">
      <c r="A236" s="1">
        <v>41495</v>
      </c>
      <c r="B236">
        <v>4317.9501950000003</v>
      </c>
      <c r="C236">
        <v>4398.7998049999997</v>
      </c>
      <c r="D236">
        <v>4317.9501950000003</v>
      </c>
      <c r="E236">
        <v>4335.3500979999999</v>
      </c>
      <c r="F236" s="4">
        <f t="shared" si="22"/>
        <v>4283.8500979999999</v>
      </c>
      <c r="G236" s="4">
        <f t="shared" si="23"/>
        <v>4415.75</v>
      </c>
      <c r="H236" s="4">
        <f t="shared" si="24"/>
        <v>0</v>
      </c>
      <c r="I236" s="4">
        <f t="shared" si="21"/>
        <v>-1</v>
      </c>
      <c r="J236" s="11">
        <f t="shared" si="25"/>
        <v>0</v>
      </c>
      <c r="K236" s="6">
        <f t="shared" si="26"/>
        <v>4430.7001950000003</v>
      </c>
      <c r="L236" s="4">
        <f t="shared" si="27"/>
        <v>0</v>
      </c>
    </row>
    <row r="237" spans="1:12" x14ac:dyDescent="0.25">
      <c r="A237" s="1">
        <v>41498</v>
      </c>
      <c r="B237">
        <v>4335.2001950000003</v>
      </c>
      <c r="C237">
        <v>4345.0498049999997</v>
      </c>
      <c r="D237">
        <v>4283.2998049999997</v>
      </c>
      <c r="E237">
        <v>4337.5</v>
      </c>
      <c r="F237" s="4">
        <f t="shared" si="22"/>
        <v>4283.8500979999999</v>
      </c>
      <c r="G237" s="4">
        <f t="shared" si="23"/>
        <v>4415.75</v>
      </c>
      <c r="H237" s="4">
        <f t="shared" si="24"/>
        <v>0</v>
      </c>
      <c r="I237" s="4">
        <f t="shared" si="21"/>
        <v>-1</v>
      </c>
      <c r="J237" s="11">
        <f t="shared" si="25"/>
        <v>0</v>
      </c>
      <c r="K237" s="6">
        <f t="shared" si="26"/>
        <v>4430.7001950000003</v>
      </c>
      <c r="L237" s="4">
        <f t="shared" si="27"/>
        <v>0</v>
      </c>
    </row>
    <row r="238" spans="1:12" x14ac:dyDescent="0.25">
      <c r="A238" s="1">
        <v>41499</v>
      </c>
      <c r="B238">
        <v>4336.8500979999999</v>
      </c>
      <c r="C238">
        <v>4364.25</v>
      </c>
      <c r="D238">
        <v>4282.6499020000001</v>
      </c>
      <c r="E238">
        <v>4292.1000979999999</v>
      </c>
      <c r="F238" s="4">
        <f t="shared" si="22"/>
        <v>4283.8500979999999</v>
      </c>
      <c r="G238" s="4">
        <f t="shared" si="23"/>
        <v>4337.5</v>
      </c>
      <c r="H238" s="4">
        <f t="shared" si="24"/>
        <v>0</v>
      </c>
      <c r="I238" s="4">
        <f t="shared" si="21"/>
        <v>-1</v>
      </c>
      <c r="J238" s="11">
        <f t="shared" si="25"/>
        <v>0</v>
      </c>
      <c r="K238" s="6">
        <f t="shared" si="26"/>
        <v>4430.7001950000003</v>
      </c>
      <c r="L238" s="4">
        <f t="shared" si="27"/>
        <v>0</v>
      </c>
    </row>
    <row r="239" spans="1:12" x14ac:dyDescent="0.25">
      <c r="A239" s="1">
        <v>41500</v>
      </c>
      <c r="B239">
        <v>4290.75</v>
      </c>
      <c r="C239">
        <v>4304.5</v>
      </c>
      <c r="D239">
        <v>4201.8500979999999</v>
      </c>
      <c r="E239">
        <v>4214</v>
      </c>
      <c r="F239" s="4">
        <f t="shared" si="22"/>
        <v>4214</v>
      </c>
      <c r="G239" s="4">
        <f t="shared" si="23"/>
        <v>4337.5</v>
      </c>
      <c r="H239" s="4" t="str">
        <f t="shared" si="24"/>
        <v>SELL</v>
      </c>
      <c r="I239" s="4">
        <f t="shared" si="21"/>
        <v>-1</v>
      </c>
      <c r="J239" s="11">
        <f t="shared" si="25"/>
        <v>0</v>
      </c>
      <c r="K239" s="6">
        <f t="shared" si="26"/>
        <v>4430.7001950000003</v>
      </c>
      <c r="L239" s="4">
        <f t="shared" si="27"/>
        <v>0</v>
      </c>
    </row>
    <row r="240" spans="1:12" x14ac:dyDescent="0.25">
      <c r="A240" s="1">
        <v>41501</v>
      </c>
      <c r="B240">
        <v>4230.6000979999999</v>
      </c>
      <c r="C240">
        <v>4368.7998049999997</v>
      </c>
      <c r="D240">
        <v>4230.6000979999999</v>
      </c>
      <c r="E240">
        <v>4360</v>
      </c>
      <c r="F240" s="4">
        <f t="shared" si="22"/>
        <v>4214</v>
      </c>
      <c r="G240" s="4">
        <f t="shared" si="23"/>
        <v>4360</v>
      </c>
      <c r="H240" s="4" t="str">
        <f t="shared" si="24"/>
        <v>BUY</v>
      </c>
      <c r="I240" s="4">
        <f t="shared" si="21"/>
        <v>1</v>
      </c>
      <c r="J240" s="11" t="str">
        <f t="shared" si="25"/>
        <v>BUY</v>
      </c>
      <c r="K240" s="6">
        <f t="shared" si="26"/>
        <v>4360</v>
      </c>
      <c r="L240" s="4">
        <f t="shared" si="27"/>
        <v>1.5956889856773609E-2</v>
      </c>
    </row>
    <row r="241" spans="1:12" x14ac:dyDescent="0.25">
      <c r="A241" s="1">
        <v>41502</v>
      </c>
      <c r="B241">
        <v>4356.1000979999999</v>
      </c>
      <c r="C241">
        <v>4365</v>
      </c>
      <c r="D241">
        <v>4281.3500979999999</v>
      </c>
      <c r="E241">
        <v>4348.6499020000001</v>
      </c>
      <c r="F241" s="4">
        <f t="shared" si="22"/>
        <v>4214</v>
      </c>
      <c r="G241" s="4">
        <f t="shared" si="23"/>
        <v>4360</v>
      </c>
      <c r="H241" s="4">
        <f t="shared" si="24"/>
        <v>0</v>
      </c>
      <c r="I241" s="4">
        <f t="shared" si="21"/>
        <v>1</v>
      </c>
      <c r="J241" s="11">
        <f t="shared" si="25"/>
        <v>0</v>
      </c>
      <c r="K241" s="6">
        <f t="shared" si="26"/>
        <v>4360</v>
      </c>
      <c r="L241" s="4">
        <f t="shared" si="27"/>
        <v>0</v>
      </c>
    </row>
    <row r="242" spans="1:12" x14ac:dyDescent="0.25">
      <c r="A242" s="1">
        <v>41505</v>
      </c>
      <c r="B242">
        <v>4358.8500979999999</v>
      </c>
      <c r="C242">
        <v>4522.3999020000001</v>
      </c>
      <c r="D242">
        <v>4343.1000979999999</v>
      </c>
      <c r="E242">
        <v>4504</v>
      </c>
      <c r="F242" s="4">
        <f t="shared" si="22"/>
        <v>4214</v>
      </c>
      <c r="G242" s="4">
        <f t="shared" si="23"/>
        <v>4504</v>
      </c>
      <c r="H242" s="4" t="str">
        <f t="shared" si="24"/>
        <v>BUY</v>
      </c>
      <c r="I242" s="4">
        <f t="shared" si="21"/>
        <v>1</v>
      </c>
      <c r="J242" s="11">
        <f t="shared" si="25"/>
        <v>0</v>
      </c>
      <c r="K242" s="6">
        <f t="shared" si="26"/>
        <v>4360</v>
      </c>
      <c r="L242" s="4">
        <f t="shared" si="27"/>
        <v>0</v>
      </c>
    </row>
    <row r="243" spans="1:12" x14ac:dyDescent="0.25">
      <c r="A243" s="1">
        <v>41506</v>
      </c>
      <c r="B243">
        <v>4512.9501950000003</v>
      </c>
      <c r="C243">
        <v>4514.6000979999999</v>
      </c>
      <c r="D243">
        <v>4419.4501950000003</v>
      </c>
      <c r="E243">
        <v>4447.75</v>
      </c>
      <c r="F243" s="4">
        <f t="shared" si="22"/>
        <v>4214</v>
      </c>
      <c r="G243" s="4">
        <f t="shared" si="23"/>
        <v>4504</v>
      </c>
      <c r="H243" s="4">
        <f t="shared" si="24"/>
        <v>0</v>
      </c>
      <c r="I243" s="4">
        <f t="shared" si="21"/>
        <v>1</v>
      </c>
      <c r="J243" s="11">
        <f t="shared" si="25"/>
        <v>0</v>
      </c>
      <c r="K243" s="6">
        <f t="shared" si="26"/>
        <v>4360</v>
      </c>
      <c r="L243" s="4">
        <f t="shared" si="27"/>
        <v>0</v>
      </c>
    </row>
    <row r="244" spans="1:12" x14ac:dyDescent="0.25">
      <c r="A244" s="1">
        <v>41507</v>
      </c>
      <c r="B244">
        <v>4444.7001950000003</v>
      </c>
      <c r="C244">
        <v>4444.7001950000003</v>
      </c>
      <c r="D244">
        <v>4328.8999020000001</v>
      </c>
      <c r="E244">
        <v>4352.2998049999997</v>
      </c>
      <c r="F244" s="4">
        <f t="shared" si="22"/>
        <v>4348.6499020000001</v>
      </c>
      <c r="G244" s="4">
        <f t="shared" si="23"/>
        <v>4504</v>
      </c>
      <c r="H244" s="4">
        <f t="shared" si="24"/>
        <v>0</v>
      </c>
      <c r="I244" s="4">
        <f t="shared" si="21"/>
        <v>1</v>
      </c>
      <c r="J244" s="11">
        <f t="shared" si="25"/>
        <v>0</v>
      </c>
      <c r="K244" s="6">
        <f t="shared" si="26"/>
        <v>4360</v>
      </c>
      <c r="L244" s="4">
        <f t="shared" si="27"/>
        <v>0</v>
      </c>
    </row>
    <row r="245" spans="1:12" x14ac:dyDescent="0.25">
      <c r="A245" s="1">
        <v>41508</v>
      </c>
      <c r="B245">
        <v>4358.2998049999997</v>
      </c>
      <c r="C245">
        <v>4558</v>
      </c>
      <c r="D245">
        <v>4358.2998049999997</v>
      </c>
      <c r="E245">
        <v>4482.2998049999997</v>
      </c>
      <c r="F245" s="4">
        <f t="shared" si="22"/>
        <v>4348.6499020000001</v>
      </c>
      <c r="G245" s="4">
        <f t="shared" si="23"/>
        <v>4504</v>
      </c>
      <c r="H245" s="4">
        <f t="shared" si="24"/>
        <v>0</v>
      </c>
      <c r="I245" s="4">
        <f t="shared" si="21"/>
        <v>1</v>
      </c>
      <c r="J245" s="11">
        <f t="shared" si="25"/>
        <v>0</v>
      </c>
      <c r="K245" s="6">
        <f t="shared" si="26"/>
        <v>4360</v>
      </c>
      <c r="L245" s="4">
        <f t="shared" si="27"/>
        <v>0</v>
      </c>
    </row>
    <row r="246" spans="1:12" x14ac:dyDescent="0.25">
      <c r="A246" s="1">
        <v>41509</v>
      </c>
      <c r="B246">
        <v>4485.1499020000001</v>
      </c>
      <c r="C246">
        <v>4497.5</v>
      </c>
      <c r="D246">
        <v>4418.9501950000003</v>
      </c>
      <c r="E246">
        <v>4468.7001950000003</v>
      </c>
      <c r="F246" s="4">
        <f t="shared" si="22"/>
        <v>4352.2998049999997</v>
      </c>
      <c r="G246" s="4">
        <f t="shared" si="23"/>
        <v>4504</v>
      </c>
      <c r="H246" s="4">
        <f t="shared" si="24"/>
        <v>0</v>
      </c>
      <c r="I246" s="4">
        <f t="shared" si="21"/>
        <v>1</v>
      </c>
      <c r="J246" s="11">
        <f t="shared" si="25"/>
        <v>0</v>
      </c>
      <c r="K246" s="6">
        <f t="shared" si="26"/>
        <v>4360</v>
      </c>
      <c r="L246" s="4">
        <f t="shared" si="27"/>
        <v>0</v>
      </c>
    </row>
    <row r="247" spans="1:12" x14ac:dyDescent="0.25">
      <c r="A247" s="1">
        <v>41512</v>
      </c>
      <c r="B247">
        <v>4467.5</v>
      </c>
      <c r="C247">
        <v>4467.5</v>
      </c>
      <c r="D247">
        <v>4382.3500979999999</v>
      </c>
      <c r="E247">
        <v>4400.25</v>
      </c>
      <c r="F247" s="4">
        <f t="shared" si="22"/>
        <v>4352.2998049999997</v>
      </c>
      <c r="G247" s="4">
        <f t="shared" si="23"/>
        <v>4482.2998049999997</v>
      </c>
      <c r="H247" s="4">
        <f t="shared" si="24"/>
        <v>0</v>
      </c>
      <c r="I247" s="4">
        <f t="shared" si="21"/>
        <v>1</v>
      </c>
      <c r="J247" s="11">
        <f t="shared" si="25"/>
        <v>0</v>
      </c>
      <c r="K247" s="6">
        <f t="shared" si="26"/>
        <v>4360</v>
      </c>
      <c r="L247" s="4">
        <f t="shared" si="27"/>
        <v>0</v>
      </c>
    </row>
    <row r="248" spans="1:12" x14ac:dyDescent="0.25">
      <c r="A248" s="1">
        <v>41513</v>
      </c>
      <c r="B248">
        <v>4397.25</v>
      </c>
      <c r="C248">
        <v>4399.2998049999997</v>
      </c>
      <c r="D248">
        <v>4272.75</v>
      </c>
      <c r="E248">
        <v>4290.2998049999997</v>
      </c>
      <c r="F248" s="4">
        <f t="shared" si="22"/>
        <v>4290.2998049999997</v>
      </c>
      <c r="G248" s="4">
        <f t="shared" si="23"/>
        <v>4482.2998049999997</v>
      </c>
      <c r="H248" s="4" t="str">
        <f t="shared" si="24"/>
        <v>SELL</v>
      </c>
      <c r="I248" s="4">
        <f t="shared" si="21"/>
        <v>-1</v>
      </c>
      <c r="J248" s="11" t="str">
        <f t="shared" si="25"/>
        <v>SELL</v>
      </c>
      <c r="K248" s="6">
        <f t="shared" si="26"/>
        <v>4290.2998049999997</v>
      </c>
      <c r="L248" s="4">
        <f t="shared" si="27"/>
        <v>-1.5986283256880816E-2</v>
      </c>
    </row>
    <row r="249" spans="1:12" x14ac:dyDescent="0.25">
      <c r="A249" s="1">
        <v>41514</v>
      </c>
      <c r="B249">
        <v>4291.6000979999999</v>
      </c>
      <c r="C249">
        <v>4323.8999020000001</v>
      </c>
      <c r="D249">
        <v>4200.1499020000001</v>
      </c>
      <c r="E249">
        <v>4228.4501950000003</v>
      </c>
      <c r="F249" s="4">
        <f t="shared" si="22"/>
        <v>4228.4501950000003</v>
      </c>
      <c r="G249" s="4">
        <f t="shared" si="23"/>
        <v>4482.2998049999997</v>
      </c>
      <c r="H249" s="4" t="str">
        <f t="shared" si="24"/>
        <v>SELL</v>
      </c>
      <c r="I249" s="4">
        <f t="shared" si="21"/>
        <v>-1</v>
      </c>
      <c r="J249" s="11">
        <f t="shared" si="25"/>
        <v>0</v>
      </c>
      <c r="K249" s="6">
        <f t="shared" si="26"/>
        <v>4290.2998049999997</v>
      </c>
      <c r="L249" s="4">
        <f t="shared" si="27"/>
        <v>0</v>
      </c>
    </row>
    <row r="250" spans="1:12" x14ac:dyDescent="0.25">
      <c r="A250" s="1">
        <v>41515</v>
      </c>
      <c r="B250">
        <v>4231.9501950000003</v>
      </c>
      <c r="C250">
        <v>4237.25</v>
      </c>
      <c r="D250">
        <v>3955.3999020000001</v>
      </c>
      <c r="E250">
        <v>4072.8999020000001</v>
      </c>
      <c r="F250" s="4">
        <f t="shared" si="22"/>
        <v>4072.8999020000001</v>
      </c>
      <c r="G250" s="4">
        <f t="shared" si="23"/>
        <v>4468.7001950000003</v>
      </c>
      <c r="H250" s="4" t="str">
        <f t="shared" si="24"/>
        <v>SELL</v>
      </c>
      <c r="I250" s="4">
        <f t="shared" si="21"/>
        <v>-1</v>
      </c>
      <c r="J250" s="11">
        <f t="shared" si="25"/>
        <v>0</v>
      </c>
      <c r="K250" s="6">
        <f t="shared" si="26"/>
        <v>4290.2998049999997</v>
      </c>
      <c r="L250" s="4">
        <f t="shared" si="27"/>
        <v>0</v>
      </c>
    </row>
    <row r="251" spans="1:12" x14ac:dyDescent="0.25">
      <c r="A251" s="1">
        <v>41516</v>
      </c>
      <c r="B251">
        <v>4072.5500489999999</v>
      </c>
      <c r="C251">
        <v>4090.1000979999999</v>
      </c>
      <c r="D251">
        <v>3919.3500979999999</v>
      </c>
      <c r="E251">
        <v>4074.8999020000001</v>
      </c>
      <c r="F251" s="4">
        <f t="shared" si="22"/>
        <v>4072.8999020000001</v>
      </c>
      <c r="G251" s="4">
        <f t="shared" si="23"/>
        <v>4400.25</v>
      </c>
      <c r="H251" s="4">
        <f t="shared" si="24"/>
        <v>0</v>
      </c>
      <c r="I251" s="4">
        <f t="shared" si="21"/>
        <v>-1</v>
      </c>
      <c r="J251" s="11">
        <f t="shared" si="25"/>
        <v>0</v>
      </c>
      <c r="K251" s="6">
        <f t="shared" si="26"/>
        <v>4290.2998049999997</v>
      </c>
      <c r="L251" s="4">
        <f t="shared" si="27"/>
        <v>0</v>
      </c>
    </row>
    <row r="252" spans="1:12" x14ac:dyDescent="0.25">
      <c r="A252" s="1">
        <v>41519</v>
      </c>
      <c r="B252">
        <v>4074.8000489999999</v>
      </c>
      <c r="C252">
        <v>4116.7001950000003</v>
      </c>
      <c r="D252">
        <v>3974.6000979999999</v>
      </c>
      <c r="E252">
        <v>4008.25</v>
      </c>
      <c r="F252" s="4">
        <f t="shared" si="22"/>
        <v>4008.25</v>
      </c>
      <c r="G252" s="4">
        <f t="shared" si="23"/>
        <v>4290.2998049999997</v>
      </c>
      <c r="H252" s="4" t="str">
        <f t="shared" si="24"/>
        <v>SELL</v>
      </c>
      <c r="I252" s="4">
        <f t="shared" si="21"/>
        <v>-1</v>
      </c>
      <c r="J252" s="11">
        <f t="shared" si="25"/>
        <v>0</v>
      </c>
      <c r="K252" s="6">
        <f t="shared" si="26"/>
        <v>4290.2998049999997</v>
      </c>
      <c r="L252" s="4">
        <f t="shared" si="27"/>
        <v>0</v>
      </c>
    </row>
    <row r="253" spans="1:12" x14ac:dyDescent="0.25">
      <c r="A253" s="1">
        <v>41520</v>
      </c>
      <c r="B253">
        <v>4005.25</v>
      </c>
      <c r="C253">
        <v>4050.1000979999999</v>
      </c>
      <c r="D253">
        <v>3799.5500489999999</v>
      </c>
      <c r="E253">
        <v>4038.1499020000001</v>
      </c>
      <c r="F253" s="4">
        <f t="shared" si="22"/>
        <v>4008.25</v>
      </c>
      <c r="G253" s="4">
        <f t="shared" si="23"/>
        <v>4228.4501950000003</v>
      </c>
      <c r="H253" s="4">
        <f t="shared" si="24"/>
        <v>0</v>
      </c>
      <c r="I253" s="4">
        <f t="shared" si="21"/>
        <v>-1</v>
      </c>
      <c r="J253" s="11">
        <f t="shared" si="25"/>
        <v>0</v>
      </c>
      <c r="K253" s="6">
        <f t="shared" si="26"/>
        <v>4290.2998049999997</v>
      </c>
      <c r="L253" s="4">
        <f t="shared" si="27"/>
        <v>0</v>
      </c>
    </row>
    <row r="254" spans="1:12" x14ac:dyDescent="0.25">
      <c r="A254" s="1">
        <v>41521</v>
      </c>
      <c r="B254">
        <v>4040.8000489999999</v>
      </c>
      <c r="C254">
        <v>4262.6499020000001</v>
      </c>
      <c r="D254">
        <v>4040.8000489999999</v>
      </c>
      <c r="E254">
        <v>4245.25</v>
      </c>
      <c r="F254" s="4">
        <f t="shared" si="22"/>
        <v>4008.25</v>
      </c>
      <c r="G254" s="4">
        <f t="shared" si="23"/>
        <v>4245.25</v>
      </c>
      <c r="H254" s="4" t="str">
        <f t="shared" si="24"/>
        <v>BUY</v>
      </c>
      <c r="I254" s="4">
        <f t="shared" si="21"/>
        <v>1</v>
      </c>
      <c r="J254" s="11" t="str">
        <f t="shared" si="25"/>
        <v>BUY</v>
      </c>
      <c r="K254" s="6">
        <f t="shared" si="26"/>
        <v>4245.25</v>
      </c>
      <c r="L254" s="4">
        <f t="shared" si="27"/>
        <v>1.0500386231166812E-2</v>
      </c>
    </row>
    <row r="255" spans="1:12" x14ac:dyDescent="0.25">
      <c r="A255" s="1">
        <v>41522</v>
      </c>
      <c r="B255">
        <v>4248.9501950000003</v>
      </c>
      <c r="C255">
        <v>4303.25</v>
      </c>
      <c r="D255">
        <v>4202.3999020000001</v>
      </c>
      <c r="E255">
        <v>4223.0498049999997</v>
      </c>
      <c r="F255" s="4">
        <f t="shared" si="22"/>
        <v>4008.25</v>
      </c>
      <c r="G255" s="4">
        <f t="shared" si="23"/>
        <v>4245.25</v>
      </c>
      <c r="H255" s="4">
        <f t="shared" si="24"/>
        <v>0</v>
      </c>
      <c r="I255" s="4">
        <f t="shared" si="21"/>
        <v>1</v>
      </c>
      <c r="J255" s="11">
        <f t="shared" si="25"/>
        <v>0</v>
      </c>
      <c r="K255" s="6">
        <f t="shared" si="26"/>
        <v>4245.25</v>
      </c>
      <c r="L255" s="4">
        <f t="shared" si="27"/>
        <v>0</v>
      </c>
    </row>
    <row r="256" spans="1:12" x14ac:dyDescent="0.25">
      <c r="A256" s="1">
        <v>41523</v>
      </c>
      <c r="B256">
        <v>4223.8999020000001</v>
      </c>
      <c r="C256">
        <v>4224.7001950000003</v>
      </c>
      <c r="D256">
        <v>4117.8999020000001</v>
      </c>
      <c r="E256">
        <v>4126.8999020000001</v>
      </c>
      <c r="F256" s="4">
        <f t="shared" si="22"/>
        <v>4008.25</v>
      </c>
      <c r="G256" s="4">
        <f t="shared" si="23"/>
        <v>4245.25</v>
      </c>
      <c r="H256" s="4">
        <f t="shared" si="24"/>
        <v>0</v>
      </c>
      <c r="I256" s="4">
        <f t="shared" si="21"/>
        <v>1</v>
      </c>
      <c r="J256" s="11">
        <f t="shared" si="25"/>
        <v>0</v>
      </c>
      <c r="K256" s="6">
        <f t="shared" si="26"/>
        <v>4245.25</v>
      </c>
      <c r="L256" s="4">
        <f t="shared" si="27"/>
        <v>0</v>
      </c>
    </row>
    <row r="257" spans="1:12" x14ac:dyDescent="0.25">
      <c r="A257" s="1">
        <v>41526</v>
      </c>
      <c r="B257">
        <v>4125.75</v>
      </c>
      <c r="C257">
        <v>4207.9501950000003</v>
      </c>
      <c r="D257">
        <v>4115.8500979999999</v>
      </c>
      <c r="E257">
        <v>4161.25</v>
      </c>
      <c r="F257" s="4">
        <f t="shared" si="22"/>
        <v>4038.1499020000001</v>
      </c>
      <c r="G257" s="4">
        <f t="shared" si="23"/>
        <v>4245.25</v>
      </c>
      <c r="H257" s="4">
        <f t="shared" si="24"/>
        <v>0</v>
      </c>
      <c r="I257" s="4">
        <f t="shared" si="21"/>
        <v>1</v>
      </c>
      <c r="J257" s="11">
        <f t="shared" si="25"/>
        <v>0</v>
      </c>
      <c r="K257" s="6">
        <f t="shared" si="26"/>
        <v>4245.25</v>
      </c>
      <c r="L257" s="4">
        <f t="shared" si="27"/>
        <v>0</v>
      </c>
    </row>
    <row r="258" spans="1:12" x14ac:dyDescent="0.25">
      <c r="A258" s="1">
        <v>41527</v>
      </c>
      <c r="B258">
        <v>4162.1499020000001</v>
      </c>
      <c r="C258">
        <v>4172.6000979999999</v>
      </c>
      <c r="D258">
        <v>4077.5</v>
      </c>
      <c r="E258">
        <v>4110.5498049999997</v>
      </c>
      <c r="F258" s="4">
        <f t="shared" si="22"/>
        <v>4110.5498049999997</v>
      </c>
      <c r="G258" s="4">
        <f t="shared" si="23"/>
        <v>4245.25</v>
      </c>
      <c r="H258" s="4">
        <f t="shared" si="24"/>
        <v>0</v>
      </c>
      <c r="I258" s="4">
        <f t="shared" si="21"/>
        <v>1</v>
      </c>
      <c r="J258" s="11">
        <f t="shared" si="25"/>
        <v>0</v>
      </c>
      <c r="K258" s="6">
        <f t="shared" si="26"/>
        <v>4245.25</v>
      </c>
      <c r="L258" s="4">
        <f t="shared" si="27"/>
        <v>0</v>
      </c>
    </row>
    <row r="259" spans="1:12" x14ac:dyDescent="0.25">
      <c r="A259" s="1">
        <v>41528</v>
      </c>
      <c r="B259">
        <v>4108.75</v>
      </c>
      <c r="C259">
        <v>4110.7001950000003</v>
      </c>
      <c r="D259">
        <v>3970.3500979999999</v>
      </c>
      <c r="E259">
        <v>3985.25</v>
      </c>
      <c r="F259" s="4">
        <f t="shared" si="22"/>
        <v>3985.25</v>
      </c>
      <c r="G259" s="4">
        <f t="shared" si="23"/>
        <v>4223.0498049999997</v>
      </c>
      <c r="H259" s="4" t="str">
        <f t="shared" si="24"/>
        <v>SELL</v>
      </c>
      <c r="I259" s="4">
        <f t="shared" si="21"/>
        <v>-1</v>
      </c>
      <c r="J259" s="11" t="str">
        <f t="shared" si="25"/>
        <v>SELL</v>
      </c>
      <c r="K259" s="6">
        <f t="shared" si="26"/>
        <v>3985.25</v>
      </c>
      <c r="L259" s="4">
        <f t="shared" si="27"/>
        <v>-6.1244920793828393E-2</v>
      </c>
    </row>
    <row r="260" spans="1:12" x14ac:dyDescent="0.25">
      <c r="A260" s="1">
        <v>41529</v>
      </c>
      <c r="B260">
        <v>3990.1999510000001</v>
      </c>
      <c r="C260">
        <v>3997.5500489999999</v>
      </c>
      <c r="D260">
        <v>3777.3000489999999</v>
      </c>
      <c r="E260">
        <v>3850.0500489999999</v>
      </c>
      <c r="F260" s="4">
        <f t="shared" si="22"/>
        <v>3850.0500489999999</v>
      </c>
      <c r="G260" s="4">
        <f t="shared" si="23"/>
        <v>4161.25</v>
      </c>
      <c r="H260" s="4" t="str">
        <f t="shared" si="24"/>
        <v>SELL</v>
      </c>
      <c r="I260" s="4">
        <f t="shared" si="21"/>
        <v>-1</v>
      </c>
      <c r="J260" s="11">
        <f t="shared" si="25"/>
        <v>0</v>
      </c>
      <c r="K260" s="6">
        <f t="shared" si="26"/>
        <v>3985.25</v>
      </c>
      <c r="L260" s="4">
        <f t="shared" si="27"/>
        <v>0</v>
      </c>
    </row>
    <row r="261" spans="1:12" x14ac:dyDescent="0.25">
      <c r="A261" s="1">
        <v>41530</v>
      </c>
      <c r="B261">
        <v>3848.6999510000001</v>
      </c>
      <c r="C261">
        <v>3966.8500979999999</v>
      </c>
      <c r="D261">
        <v>3715.0500489999999</v>
      </c>
      <c r="E261">
        <v>3921.1999510000001</v>
      </c>
      <c r="F261" s="4">
        <f t="shared" si="22"/>
        <v>3850.0500489999999</v>
      </c>
      <c r="G261" s="4">
        <f t="shared" si="23"/>
        <v>4161.25</v>
      </c>
      <c r="H261" s="4">
        <f t="shared" si="24"/>
        <v>0</v>
      </c>
      <c r="I261" s="4">
        <f t="shared" si="21"/>
        <v>-1</v>
      </c>
      <c r="J261" s="11">
        <f t="shared" si="25"/>
        <v>0</v>
      </c>
      <c r="K261" s="6">
        <f t="shared" si="26"/>
        <v>3985.25</v>
      </c>
      <c r="L261" s="4">
        <f t="shared" si="27"/>
        <v>0</v>
      </c>
    </row>
    <row r="262" spans="1:12" x14ac:dyDescent="0.25">
      <c r="A262" s="1">
        <v>41533</v>
      </c>
      <c r="B262">
        <v>3921.8500979999999</v>
      </c>
      <c r="C262">
        <v>4000.5</v>
      </c>
      <c r="D262">
        <v>3861.25</v>
      </c>
      <c r="E262">
        <v>3950.75</v>
      </c>
      <c r="F262" s="4">
        <f t="shared" si="22"/>
        <v>3850.0500489999999</v>
      </c>
      <c r="G262" s="4">
        <f t="shared" si="23"/>
        <v>4110.5498049999997</v>
      </c>
      <c r="H262" s="4">
        <f t="shared" si="24"/>
        <v>0</v>
      </c>
      <c r="I262" s="4">
        <f t="shared" ref="I262:I325" si="28">IF(AND(H262="BUY",I261&lt;&gt;1),1,IF(AND(H262="SELL",I261&lt;&gt;-1),-1,I261))</f>
        <v>-1</v>
      </c>
      <c r="J262" s="11">
        <f t="shared" si="25"/>
        <v>0</v>
      </c>
      <c r="K262" s="6">
        <f t="shared" si="26"/>
        <v>3985.25</v>
      </c>
      <c r="L262" s="4">
        <f t="shared" si="27"/>
        <v>0</v>
      </c>
    </row>
    <row r="263" spans="1:12" x14ac:dyDescent="0.25">
      <c r="A263" s="1">
        <v>41534</v>
      </c>
      <c r="B263">
        <v>3953.5500489999999</v>
      </c>
      <c r="C263">
        <v>3969.5500489999999</v>
      </c>
      <c r="D263">
        <v>3804.8500979999999</v>
      </c>
      <c r="E263">
        <v>3818.3000489999999</v>
      </c>
      <c r="F263" s="4">
        <f t="shared" ref="F263:F326" si="29">MIN(E259:E263)</f>
        <v>3818.3000489999999</v>
      </c>
      <c r="G263" s="4">
        <f t="shared" ref="G263:G326" si="30">MAX(E259:E263)</f>
        <v>3985.25</v>
      </c>
      <c r="H263" s="4" t="str">
        <f t="shared" ref="H263:H326" si="31">IF(E263&gt;G262,"BUY",IF(E263&lt;F262,"SELL",0))</f>
        <v>SELL</v>
      </c>
      <c r="I263" s="4">
        <f t="shared" si="28"/>
        <v>-1</v>
      </c>
      <c r="J263" s="11">
        <f t="shared" ref="J263:J326" si="32">IF(I263&lt;&gt;I262,H263,0)</f>
        <v>0</v>
      </c>
      <c r="K263" s="6">
        <f t="shared" ref="K263:K326" si="33">IF(J263&lt;&gt;0,E263,K262)</f>
        <v>3985.25</v>
      </c>
      <c r="L263" s="4">
        <f t="shared" si="27"/>
        <v>0</v>
      </c>
    </row>
    <row r="264" spans="1:12" x14ac:dyDescent="0.25">
      <c r="A264" s="1">
        <v>41535</v>
      </c>
      <c r="B264">
        <v>3817.3000489999999</v>
      </c>
      <c r="C264">
        <v>3820.8500979999999</v>
      </c>
      <c r="D264">
        <v>3581.6000979999999</v>
      </c>
      <c r="E264">
        <v>3602.3500979999999</v>
      </c>
      <c r="F264" s="4">
        <f t="shared" si="29"/>
        <v>3602.3500979999999</v>
      </c>
      <c r="G264" s="4">
        <f t="shared" si="30"/>
        <v>3950.75</v>
      </c>
      <c r="H264" s="4" t="str">
        <f t="shared" si="31"/>
        <v>SELL</v>
      </c>
      <c r="I264" s="4">
        <f t="shared" si="28"/>
        <v>-1</v>
      </c>
      <c r="J264" s="11">
        <f t="shared" si="32"/>
        <v>0</v>
      </c>
      <c r="K264" s="6">
        <f t="shared" si="33"/>
        <v>3985.25</v>
      </c>
      <c r="L264" s="4">
        <f t="shared" ref="L264:L327" si="34">IF(J264="BUY",(K263-K264)/K263,IF(J264="SELL",(K265-K263)/K263,0))</f>
        <v>0</v>
      </c>
    </row>
    <row r="265" spans="1:12" x14ac:dyDescent="0.25">
      <c r="A265" s="1">
        <v>41536</v>
      </c>
      <c r="B265">
        <v>3606.9499510000001</v>
      </c>
      <c r="C265">
        <v>3732.6499020000001</v>
      </c>
      <c r="D265">
        <v>3537</v>
      </c>
      <c r="E265">
        <v>3606.6000979999999</v>
      </c>
      <c r="F265" s="4">
        <f t="shared" si="29"/>
        <v>3602.3500979999999</v>
      </c>
      <c r="G265" s="4">
        <f t="shared" si="30"/>
        <v>3950.75</v>
      </c>
      <c r="H265" s="4">
        <f t="shared" si="31"/>
        <v>0</v>
      </c>
      <c r="I265" s="4">
        <f t="shared" si="28"/>
        <v>-1</v>
      </c>
      <c r="J265" s="11">
        <f t="shared" si="32"/>
        <v>0</v>
      </c>
      <c r="K265" s="6">
        <f t="shared" si="33"/>
        <v>3985.25</v>
      </c>
      <c r="L265" s="4">
        <f t="shared" si="34"/>
        <v>0</v>
      </c>
    </row>
    <row r="266" spans="1:12" x14ac:dyDescent="0.25">
      <c r="A266" s="1">
        <v>41537</v>
      </c>
      <c r="B266">
        <v>3604.3999020000001</v>
      </c>
      <c r="C266">
        <v>3604.3999020000001</v>
      </c>
      <c r="D266">
        <v>3329.4499510000001</v>
      </c>
      <c r="E266">
        <v>3513.6499020000001</v>
      </c>
      <c r="F266" s="4">
        <f t="shared" si="29"/>
        <v>3513.6499020000001</v>
      </c>
      <c r="G266" s="4">
        <f t="shared" si="30"/>
        <v>3950.75</v>
      </c>
      <c r="H266" s="4" t="str">
        <f t="shared" si="31"/>
        <v>SELL</v>
      </c>
      <c r="I266" s="4">
        <f t="shared" si="28"/>
        <v>-1</v>
      </c>
      <c r="J266" s="11">
        <f t="shared" si="32"/>
        <v>0</v>
      </c>
      <c r="K266" s="6">
        <f t="shared" si="33"/>
        <v>3985.25</v>
      </c>
      <c r="L266" s="4">
        <f t="shared" si="34"/>
        <v>0</v>
      </c>
    </row>
    <row r="267" spans="1:12" x14ac:dyDescent="0.25">
      <c r="A267" s="1">
        <v>41540</v>
      </c>
      <c r="B267">
        <v>3502.0500489999999</v>
      </c>
      <c r="C267">
        <v>3502.0500489999999</v>
      </c>
      <c r="D267">
        <v>3198.9499510000001</v>
      </c>
      <c r="E267">
        <v>3279.9499510000001</v>
      </c>
      <c r="F267" s="4">
        <f t="shared" si="29"/>
        <v>3279.9499510000001</v>
      </c>
      <c r="G267" s="4">
        <f t="shared" si="30"/>
        <v>3818.3000489999999</v>
      </c>
      <c r="H267" s="4" t="str">
        <f t="shared" si="31"/>
        <v>SELL</v>
      </c>
      <c r="I267" s="4">
        <f t="shared" si="28"/>
        <v>-1</v>
      </c>
      <c r="J267" s="11">
        <f t="shared" si="32"/>
        <v>0</v>
      </c>
      <c r="K267" s="6">
        <f t="shared" si="33"/>
        <v>3985.25</v>
      </c>
      <c r="L267" s="4">
        <f t="shared" si="34"/>
        <v>0</v>
      </c>
    </row>
    <row r="268" spans="1:12" x14ac:dyDescent="0.25">
      <c r="A268" s="1">
        <v>41541</v>
      </c>
      <c r="B268">
        <v>3272.8999020000001</v>
      </c>
      <c r="C268">
        <v>3510.1999510000001</v>
      </c>
      <c r="D268">
        <v>3272.8999020000001</v>
      </c>
      <c r="E268">
        <v>3490.6999510000001</v>
      </c>
      <c r="F268" s="4">
        <f t="shared" si="29"/>
        <v>3279.9499510000001</v>
      </c>
      <c r="G268" s="4">
        <f t="shared" si="30"/>
        <v>3606.6000979999999</v>
      </c>
      <c r="H268" s="4">
        <f t="shared" si="31"/>
        <v>0</v>
      </c>
      <c r="I268" s="4">
        <f t="shared" si="28"/>
        <v>-1</v>
      </c>
      <c r="J268" s="11">
        <f t="shared" si="32"/>
        <v>0</v>
      </c>
      <c r="K268" s="6">
        <f t="shared" si="33"/>
        <v>3985.25</v>
      </c>
      <c r="L268" s="4">
        <f t="shared" si="34"/>
        <v>0</v>
      </c>
    </row>
    <row r="269" spans="1:12" x14ac:dyDescent="0.25">
      <c r="A269" s="1">
        <v>41542</v>
      </c>
      <c r="B269">
        <v>3494.1000979999999</v>
      </c>
      <c r="C269">
        <v>3648.25</v>
      </c>
      <c r="D269">
        <v>3491.5</v>
      </c>
      <c r="E269">
        <v>3518.6499020000001</v>
      </c>
      <c r="F269" s="4">
        <f t="shared" si="29"/>
        <v>3279.9499510000001</v>
      </c>
      <c r="G269" s="4">
        <f t="shared" si="30"/>
        <v>3606.6000979999999</v>
      </c>
      <c r="H269" s="4">
        <f t="shared" si="31"/>
        <v>0</v>
      </c>
      <c r="I269" s="4">
        <f t="shared" si="28"/>
        <v>-1</v>
      </c>
      <c r="J269" s="11">
        <f t="shared" si="32"/>
        <v>0</v>
      </c>
      <c r="K269" s="6">
        <f t="shared" si="33"/>
        <v>3985.25</v>
      </c>
      <c r="L269" s="4">
        <f t="shared" si="34"/>
        <v>0</v>
      </c>
    </row>
    <row r="270" spans="1:12" x14ac:dyDescent="0.25">
      <c r="A270" s="1">
        <v>41543</v>
      </c>
      <c r="B270">
        <v>3517.8999020000001</v>
      </c>
      <c r="C270">
        <v>3518.5</v>
      </c>
      <c r="D270">
        <v>3324.5500489999999</v>
      </c>
      <c r="E270">
        <v>3338.3999020000001</v>
      </c>
      <c r="F270" s="4">
        <f t="shared" si="29"/>
        <v>3279.9499510000001</v>
      </c>
      <c r="G270" s="4">
        <f t="shared" si="30"/>
        <v>3518.6499020000001</v>
      </c>
      <c r="H270" s="4">
        <f t="shared" si="31"/>
        <v>0</v>
      </c>
      <c r="I270" s="4">
        <f t="shared" si="28"/>
        <v>-1</v>
      </c>
      <c r="J270" s="11">
        <f t="shared" si="32"/>
        <v>0</v>
      </c>
      <c r="K270" s="6">
        <f t="shared" si="33"/>
        <v>3985.25</v>
      </c>
      <c r="L270" s="4">
        <f t="shared" si="34"/>
        <v>0</v>
      </c>
    </row>
    <row r="271" spans="1:12" x14ac:dyDescent="0.25">
      <c r="A271" s="1">
        <v>41544</v>
      </c>
      <c r="B271">
        <v>3333.8500979999999</v>
      </c>
      <c r="C271">
        <v>3333.8500979999999</v>
      </c>
      <c r="D271">
        <v>3099.8999020000001</v>
      </c>
      <c r="E271">
        <v>3269.3000489999999</v>
      </c>
      <c r="F271" s="4">
        <f t="shared" si="29"/>
        <v>3269.3000489999999</v>
      </c>
      <c r="G271" s="4">
        <f t="shared" si="30"/>
        <v>3518.6499020000001</v>
      </c>
      <c r="H271" s="4" t="str">
        <f t="shared" si="31"/>
        <v>SELL</v>
      </c>
      <c r="I271" s="4">
        <f t="shared" si="28"/>
        <v>-1</v>
      </c>
      <c r="J271" s="11">
        <f t="shared" si="32"/>
        <v>0</v>
      </c>
      <c r="K271" s="6">
        <f t="shared" si="33"/>
        <v>3985.25</v>
      </c>
      <c r="L271" s="4">
        <f t="shared" si="34"/>
        <v>0</v>
      </c>
    </row>
    <row r="272" spans="1:12" x14ac:dyDescent="0.25">
      <c r="A272" s="1">
        <v>41547</v>
      </c>
      <c r="B272">
        <v>3269.0500489999999</v>
      </c>
      <c r="C272">
        <v>3335.9499510000001</v>
      </c>
      <c r="D272">
        <v>3046.6000979999999</v>
      </c>
      <c r="E272">
        <v>3074.3500979999999</v>
      </c>
      <c r="F272" s="4">
        <f t="shared" si="29"/>
        <v>3074.3500979999999</v>
      </c>
      <c r="G272" s="4">
        <f t="shared" si="30"/>
        <v>3518.6499020000001</v>
      </c>
      <c r="H272" s="4" t="str">
        <f t="shared" si="31"/>
        <v>SELL</v>
      </c>
      <c r="I272" s="4">
        <f t="shared" si="28"/>
        <v>-1</v>
      </c>
      <c r="J272" s="11">
        <f t="shared" si="32"/>
        <v>0</v>
      </c>
      <c r="K272" s="6">
        <f t="shared" si="33"/>
        <v>3985.25</v>
      </c>
      <c r="L272" s="4">
        <f t="shared" si="34"/>
        <v>0</v>
      </c>
    </row>
    <row r="273" spans="1:12" x14ac:dyDescent="0.25">
      <c r="A273" s="1">
        <v>41548</v>
      </c>
      <c r="B273">
        <v>3108.1999510000001</v>
      </c>
      <c r="C273">
        <v>3238.3999020000001</v>
      </c>
      <c r="D273">
        <v>3058.9499510000001</v>
      </c>
      <c r="E273">
        <v>3122.8000489999999</v>
      </c>
      <c r="F273" s="4">
        <f t="shared" si="29"/>
        <v>3074.3500979999999</v>
      </c>
      <c r="G273" s="4">
        <f t="shared" si="30"/>
        <v>3518.6499020000001</v>
      </c>
      <c r="H273" s="4">
        <f t="shared" si="31"/>
        <v>0</v>
      </c>
      <c r="I273" s="4">
        <f t="shared" si="28"/>
        <v>-1</v>
      </c>
      <c r="J273" s="11">
        <f t="shared" si="32"/>
        <v>0</v>
      </c>
      <c r="K273" s="6">
        <f t="shared" si="33"/>
        <v>3985.25</v>
      </c>
      <c r="L273" s="4">
        <f t="shared" si="34"/>
        <v>0</v>
      </c>
    </row>
    <row r="274" spans="1:12" x14ac:dyDescent="0.25">
      <c r="A274" s="1">
        <v>41549</v>
      </c>
      <c r="B274">
        <v>3125.3999020000001</v>
      </c>
      <c r="C274">
        <v>3254.8500979999999</v>
      </c>
      <c r="D274">
        <v>3117.3500979999999</v>
      </c>
      <c r="E274">
        <v>3234.8999020000001</v>
      </c>
      <c r="F274" s="4">
        <f t="shared" si="29"/>
        <v>3074.3500979999999</v>
      </c>
      <c r="G274" s="4">
        <f t="shared" si="30"/>
        <v>3338.3999020000001</v>
      </c>
      <c r="H274" s="4">
        <f t="shared" si="31"/>
        <v>0</v>
      </c>
      <c r="I274" s="4">
        <f t="shared" si="28"/>
        <v>-1</v>
      </c>
      <c r="J274" s="11">
        <f t="shared" si="32"/>
        <v>0</v>
      </c>
      <c r="K274" s="6">
        <f t="shared" si="33"/>
        <v>3985.25</v>
      </c>
      <c r="L274" s="4">
        <f t="shared" si="34"/>
        <v>0</v>
      </c>
    </row>
    <row r="275" spans="1:12" x14ac:dyDescent="0.25">
      <c r="A275" s="1">
        <v>41550</v>
      </c>
      <c r="B275">
        <v>3234.6999510000001</v>
      </c>
      <c r="C275">
        <v>3235.75</v>
      </c>
      <c r="D275">
        <v>3051.8000489999999</v>
      </c>
      <c r="E275">
        <v>3065.1499020000001</v>
      </c>
      <c r="F275" s="4">
        <f t="shared" si="29"/>
        <v>3065.1499020000001</v>
      </c>
      <c r="G275" s="4">
        <f t="shared" si="30"/>
        <v>3269.3000489999999</v>
      </c>
      <c r="H275" s="4" t="str">
        <f t="shared" si="31"/>
        <v>SELL</v>
      </c>
      <c r="I275" s="4">
        <f t="shared" si="28"/>
        <v>-1</v>
      </c>
      <c r="J275" s="11">
        <f t="shared" si="32"/>
        <v>0</v>
      </c>
      <c r="K275" s="6">
        <f t="shared" si="33"/>
        <v>3985.25</v>
      </c>
      <c r="L275" s="4">
        <f t="shared" si="34"/>
        <v>0</v>
      </c>
    </row>
    <row r="276" spans="1:12" x14ac:dyDescent="0.25">
      <c r="A276" s="1">
        <v>41551</v>
      </c>
      <c r="B276">
        <v>3064.8000489999999</v>
      </c>
      <c r="C276">
        <v>3085.1000979999999</v>
      </c>
      <c r="D276">
        <v>2917.1499020000001</v>
      </c>
      <c r="E276">
        <v>2943.1499020000001</v>
      </c>
      <c r="F276" s="4">
        <f t="shared" si="29"/>
        <v>2943.1499020000001</v>
      </c>
      <c r="G276" s="4">
        <f t="shared" si="30"/>
        <v>3234.8999020000001</v>
      </c>
      <c r="H276" s="4" t="str">
        <f t="shared" si="31"/>
        <v>SELL</v>
      </c>
      <c r="I276" s="4">
        <f t="shared" si="28"/>
        <v>-1</v>
      </c>
      <c r="J276" s="11">
        <f t="shared" si="32"/>
        <v>0</v>
      </c>
      <c r="K276" s="6">
        <f t="shared" si="33"/>
        <v>3985.25</v>
      </c>
      <c r="L276" s="4">
        <f t="shared" si="34"/>
        <v>0</v>
      </c>
    </row>
    <row r="277" spans="1:12" x14ac:dyDescent="0.25">
      <c r="A277" s="1">
        <v>41554</v>
      </c>
      <c r="B277">
        <v>2936.25</v>
      </c>
      <c r="C277">
        <v>2936.25</v>
      </c>
      <c r="D277">
        <v>2525.0500489999999</v>
      </c>
      <c r="E277">
        <v>2584</v>
      </c>
      <c r="F277" s="4">
        <f t="shared" si="29"/>
        <v>2584</v>
      </c>
      <c r="G277" s="4">
        <f t="shared" si="30"/>
        <v>3234.8999020000001</v>
      </c>
      <c r="H277" s="4" t="str">
        <f t="shared" si="31"/>
        <v>SELL</v>
      </c>
      <c r="I277" s="4">
        <f t="shared" si="28"/>
        <v>-1</v>
      </c>
      <c r="J277" s="11">
        <f t="shared" si="32"/>
        <v>0</v>
      </c>
      <c r="K277" s="6">
        <f t="shared" si="33"/>
        <v>3985.25</v>
      </c>
      <c r="L277" s="4">
        <f t="shared" si="34"/>
        <v>0</v>
      </c>
    </row>
    <row r="278" spans="1:12" x14ac:dyDescent="0.25">
      <c r="A278" s="1">
        <v>41555</v>
      </c>
      <c r="B278">
        <v>2583.75</v>
      </c>
      <c r="C278">
        <v>2585.3000489999999</v>
      </c>
      <c r="D278">
        <v>2252.75</v>
      </c>
      <c r="E278">
        <v>2524.1999510000001</v>
      </c>
      <c r="F278" s="4">
        <f t="shared" si="29"/>
        <v>2524.1999510000001</v>
      </c>
      <c r="G278" s="4">
        <f t="shared" si="30"/>
        <v>3234.8999020000001</v>
      </c>
      <c r="H278" s="4" t="str">
        <f t="shared" si="31"/>
        <v>SELL</v>
      </c>
      <c r="I278" s="4">
        <f t="shared" si="28"/>
        <v>-1</v>
      </c>
      <c r="J278" s="11">
        <f t="shared" si="32"/>
        <v>0</v>
      </c>
      <c r="K278" s="6">
        <f t="shared" si="33"/>
        <v>3985.25</v>
      </c>
      <c r="L278" s="4">
        <f t="shared" si="34"/>
        <v>0</v>
      </c>
    </row>
    <row r="279" spans="1:12" x14ac:dyDescent="0.25">
      <c r="A279" s="1">
        <v>41556</v>
      </c>
      <c r="B279">
        <v>2526.1999510000001</v>
      </c>
      <c r="C279">
        <v>2695.9499510000001</v>
      </c>
      <c r="D279">
        <v>2526.1999510000001</v>
      </c>
      <c r="E279">
        <v>2684.6000979999999</v>
      </c>
      <c r="F279" s="4">
        <f t="shared" si="29"/>
        <v>2524.1999510000001</v>
      </c>
      <c r="G279" s="4">
        <f t="shared" si="30"/>
        <v>3065.1499020000001</v>
      </c>
      <c r="H279" s="4">
        <f t="shared" si="31"/>
        <v>0</v>
      </c>
      <c r="I279" s="4">
        <f t="shared" si="28"/>
        <v>-1</v>
      </c>
      <c r="J279" s="11">
        <f t="shared" si="32"/>
        <v>0</v>
      </c>
      <c r="K279" s="6">
        <f t="shared" si="33"/>
        <v>3985.25</v>
      </c>
      <c r="L279" s="4">
        <f t="shared" si="34"/>
        <v>0</v>
      </c>
    </row>
    <row r="280" spans="1:12" x14ac:dyDescent="0.25">
      <c r="A280" s="1">
        <v>41557</v>
      </c>
      <c r="B280">
        <v>2685.3000489999999</v>
      </c>
      <c r="C280">
        <v>2781.25</v>
      </c>
      <c r="D280">
        <v>2631.8999020000001</v>
      </c>
      <c r="E280">
        <v>2697.0500489999999</v>
      </c>
      <c r="F280" s="4">
        <f t="shared" si="29"/>
        <v>2524.1999510000001</v>
      </c>
      <c r="G280" s="4">
        <f t="shared" si="30"/>
        <v>2943.1499020000001</v>
      </c>
      <c r="H280" s="4">
        <f t="shared" si="31"/>
        <v>0</v>
      </c>
      <c r="I280" s="4">
        <f t="shared" si="28"/>
        <v>-1</v>
      </c>
      <c r="J280" s="11">
        <f t="shared" si="32"/>
        <v>0</v>
      </c>
      <c r="K280" s="6">
        <f t="shared" si="33"/>
        <v>3985.25</v>
      </c>
      <c r="L280" s="4">
        <f t="shared" si="34"/>
        <v>0</v>
      </c>
    </row>
    <row r="281" spans="1:12" x14ac:dyDescent="0.25">
      <c r="A281" s="1">
        <v>41558</v>
      </c>
      <c r="B281">
        <v>2696.3000489999999</v>
      </c>
      <c r="C281">
        <v>2921.3500979999999</v>
      </c>
      <c r="D281">
        <v>2696.3000489999999</v>
      </c>
      <c r="E281">
        <v>2885.6000979999999</v>
      </c>
      <c r="F281" s="4">
        <f t="shared" si="29"/>
        <v>2524.1999510000001</v>
      </c>
      <c r="G281" s="4">
        <f t="shared" si="30"/>
        <v>2885.6000979999999</v>
      </c>
      <c r="H281" s="4">
        <f t="shared" si="31"/>
        <v>0</v>
      </c>
      <c r="I281" s="4">
        <f t="shared" si="28"/>
        <v>-1</v>
      </c>
      <c r="J281" s="11">
        <f t="shared" si="32"/>
        <v>0</v>
      </c>
      <c r="K281" s="6">
        <f t="shared" si="33"/>
        <v>3985.25</v>
      </c>
      <c r="L281" s="4">
        <f t="shared" si="34"/>
        <v>0</v>
      </c>
    </row>
    <row r="282" spans="1:12" x14ac:dyDescent="0.25">
      <c r="A282" s="1">
        <v>41561</v>
      </c>
      <c r="B282">
        <v>2885.3999020000001</v>
      </c>
      <c r="C282">
        <v>3062.0500489999999</v>
      </c>
      <c r="D282">
        <v>2885.3999020000001</v>
      </c>
      <c r="E282">
        <v>3043.8500979999999</v>
      </c>
      <c r="F282" s="4">
        <f t="shared" si="29"/>
        <v>2524.1999510000001</v>
      </c>
      <c r="G282" s="4">
        <f t="shared" si="30"/>
        <v>3043.8500979999999</v>
      </c>
      <c r="H282" s="4" t="str">
        <f t="shared" si="31"/>
        <v>BUY</v>
      </c>
      <c r="I282" s="4">
        <f t="shared" si="28"/>
        <v>1</v>
      </c>
      <c r="J282" s="11" t="str">
        <f t="shared" si="32"/>
        <v>BUY</v>
      </c>
      <c r="K282" s="6">
        <f t="shared" si="33"/>
        <v>3043.8500979999999</v>
      </c>
      <c r="L282" s="4">
        <f t="shared" si="34"/>
        <v>0.2362210405871652</v>
      </c>
    </row>
    <row r="283" spans="1:12" x14ac:dyDescent="0.25">
      <c r="A283" s="1">
        <v>41562</v>
      </c>
      <c r="B283">
        <v>3050.25</v>
      </c>
      <c r="C283">
        <v>3152.3000489999999</v>
      </c>
      <c r="D283">
        <v>2985</v>
      </c>
      <c r="E283">
        <v>3142.1000979999999</v>
      </c>
      <c r="F283" s="4">
        <f t="shared" si="29"/>
        <v>2684.6000979999999</v>
      </c>
      <c r="G283" s="4">
        <f t="shared" si="30"/>
        <v>3142.1000979999999</v>
      </c>
      <c r="H283" s="4" t="str">
        <f t="shared" si="31"/>
        <v>BUY</v>
      </c>
      <c r="I283" s="4">
        <f t="shared" si="28"/>
        <v>1</v>
      </c>
      <c r="J283" s="11">
        <f t="shared" si="32"/>
        <v>0</v>
      </c>
      <c r="K283" s="6">
        <f t="shared" si="33"/>
        <v>3043.8500979999999</v>
      </c>
      <c r="L283" s="4">
        <f t="shared" si="34"/>
        <v>0</v>
      </c>
    </row>
    <row r="284" spans="1:12" x14ac:dyDescent="0.25">
      <c r="A284" s="1">
        <v>41563</v>
      </c>
      <c r="B284">
        <v>3155.75</v>
      </c>
      <c r="C284">
        <v>3240.5500489999999</v>
      </c>
      <c r="D284">
        <v>2971</v>
      </c>
      <c r="E284">
        <v>2994.9499510000001</v>
      </c>
      <c r="F284" s="4">
        <f t="shared" si="29"/>
        <v>2697.0500489999999</v>
      </c>
      <c r="G284" s="4">
        <f t="shared" si="30"/>
        <v>3142.1000979999999</v>
      </c>
      <c r="H284" s="4">
        <f t="shared" si="31"/>
        <v>0</v>
      </c>
      <c r="I284" s="4">
        <f t="shared" si="28"/>
        <v>1</v>
      </c>
      <c r="J284" s="11">
        <f t="shared" si="32"/>
        <v>0</v>
      </c>
      <c r="K284" s="6">
        <f t="shared" si="33"/>
        <v>3043.8500979999999</v>
      </c>
      <c r="L284" s="4">
        <f t="shared" si="34"/>
        <v>0</v>
      </c>
    </row>
    <row r="285" spans="1:12" x14ac:dyDescent="0.25">
      <c r="A285" s="1">
        <v>41564</v>
      </c>
      <c r="B285">
        <v>2998.4499510000001</v>
      </c>
      <c r="C285">
        <v>3007.8000489999999</v>
      </c>
      <c r="D285">
        <v>2860.25</v>
      </c>
      <c r="E285">
        <v>2892.6499020000001</v>
      </c>
      <c r="F285" s="4">
        <f t="shared" si="29"/>
        <v>2885.6000979999999</v>
      </c>
      <c r="G285" s="4">
        <f t="shared" si="30"/>
        <v>3142.1000979999999</v>
      </c>
      <c r="H285" s="4">
        <f t="shared" si="31"/>
        <v>0</v>
      </c>
      <c r="I285" s="4">
        <f t="shared" si="28"/>
        <v>1</v>
      </c>
      <c r="J285" s="11">
        <f t="shared" si="32"/>
        <v>0</v>
      </c>
      <c r="K285" s="6">
        <f t="shared" si="33"/>
        <v>3043.8500979999999</v>
      </c>
      <c r="L285" s="4">
        <f t="shared" si="34"/>
        <v>0</v>
      </c>
    </row>
    <row r="286" spans="1:12" x14ac:dyDescent="0.25">
      <c r="A286" s="1">
        <v>41565</v>
      </c>
      <c r="B286">
        <v>2893.25</v>
      </c>
      <c r="C286">
        <v>3010</v>
      </c>
      <c r="D286">
        <v>2860.1000979999999</v>
      </c>
      <c r="E286">
        <v>2973</v>
      </c>
      <c r="F286" s="4">
        <f t="shared" si="29"/>
        <v>2892.6499020000001</v>
      </c>
      <c r="G286" s="4">
        <f t="shared" si="30"/>
        <v>3142.1000979999999</v>
      </c>
      <c r="H286" s="4">
        <f t="shared" si="31"/>
        <v>0</v>
      </c>
      <c r="I286" s="4">
        <f t="shared" si="28"/>
        <v>1</v>
      </c>
      <c r="J286" s="11">
        <f t="shared" si="32"/>
        <v>0</v>
      </c>
      <c r="K286" s="6">
        <f t="shared" si="33"/>
        <v>3043.8500979999999</v>
      </c>
      <c r="L286" s="4">
        <f t="shared" si="34"/>
        <v>0</v>
      </c>
    </row>
    <row r="287" spans="1:12" x14ac:dyDescent="0.25">
      <c r="A287" s="1">
        <v>41568</v>
      </c>
      <c r="B287">
        <v>2973.3000489999999</v>
      </c>
      <c r="C287">
        <v>3161.25</v>
      </c>
      <c r="D287">
        <v>2973.3000489999999</v>
      </c>
      <c r="E287">
        <v>3148.25</v>
      </c>
      <c r="F287" s="4">
        <f t="shared" si="29"/>
        <v>2892.6499020000001</v>
      </c>
      <c r="G287" s="4">
        <f t="shared" si="30"/>
        <v>3148.25</v>
      </c>
      <c r="H287" s="4" t="str">
        <f t="shared" si="31"/>
        <v>BUY</v>
      </c>
      <c r="I287" s="4">
        <f t="shared" si="28"/>
        <v>1</v>
      </c>
      <c r="J287" s="11">
        <f t="shared" si="32"/>
        <v>0</v>
      </c>
      <c r="K287" s="6">
        <f t="shared" si="33"/>
        <v>3043.8500979999999</v>
      </c>
      <c r="L287" s="4">
        <f t="shared" si="34"/>
        <v>0</v>
      </c>
    </row>
    <row r="288" spans="1:12" x14ac:dyDescent="0.25">
      <c r="A288" s="1">
        <v>41569</v>
      </c>
      <c r="B288">
        <v>3147.1999510000001</v>
      </c>
      <c r="C288">
        <v>3147.1999510000001</v>
      </c>
      <c r="D288">
        <v>2919.4499510000001</v>
      </c>
      <c r="E288">
        <v>2938.6499020000001</v>
      </c>
      <c r="F288" s="4">
        <f t="shared" si="29"/>
        <v>2892.6499020000001</v>
      </c>
      <c r="G288" s="4">
        <f t="shared" si="30"/>
        <v>3148.25</v>
      </c>
      <c r="H288" s="4">
        <f t="shared" si="31"/>
        <v>0</v>
      </c>
      <c r="I288" s="4">
        <f t="shared" si="28"/>
        <v>1</v>
      </c>
      <c r="J288" s="11">
        <f t="shared" si="32"/>
        <v>0</v>
      </c>
      <c r="K288" s="6">
        <f t="shared" si="33"/>
        <v>3043.8500979999999</v>
      </c>
      <c r="L288" s="4">
        <f t="shared" si="34"/>
        <v>0</v>
      </c>
    </row>
    <row r="289" spans="1:12" x14ac:dyDescent="0.25">
      <c r="A289" s="1">
        <v>41570</v>
      </c>
      <c r="B289">
        <v>2937.8999020000001</v>
      </c>
      <c r="C289">
        <v>2975.1999510000001</v>
      </c>
      <c r="D289">
        <v>2794.9499510000001</v>
      </c>
      <c r="E289">
        <v>2848.4499510000001</v>
      </c>
      <c r="F289" s="4">
        <f t="shared" si="29"/>
        <v>2848.4499510000001</v>
      </c>
      <c r="G289" s="4">
        <f t="shared" si="30"/>
        <v>3148.25</v>
      </c>
      <c r="H289" s="4" t="str">
        <f t="shared" si="31"/>
        <v>SELL</v>
      </c>
      <c r="I289" s="4">
        <f t="shared" si="28"/>
        <v>-1</v>
      </c>
      <c r="J289" s="11" t="str">
        <f t="shared" si="32"/>
        <v>SELL</v>
      </c>
      <c r="K289" s="6">
        <f t="shared" si="33"/>
        <v>2848.4499510000001</v>
      </c>
      <c r="L289" s="4">
        <f t="shared" si="34"/>
        <v>-6.4195062407439177E-2</v>
      </c>
    </row>
    <row r="290" spans="1:12" x14ac:dyDescent="0.25">
      <c r="A290" s="1">
        <v>41571</v>
      </c>
      <c r="B290">
        <v>2848</v>
      </c>
      <c r="C290">
        <v>2938.8000489999999</v>
      </c>
      <c r="D290">
        <v>2778.8000489999999</v>
      </c>
      <c r="E290">
        <v>2810.3500979999999</v>
      </c>
      <c r="F290" s="4">
        <f t="shared" si="29"/>
        <v>2810.3500979999999</v>
      </c>
      <c r="G290" s="4">
        <f t="shared" si="30"/>
        <v>3148.25</v>
      </c>
      <c r="H290" s="4" t="str">
        <f t="shared" si="31"/>
        <v>SELL</v>
      </c>
      <c r="I290" s="4">
        <f t="shared" si="28"/>
        <v>-1</v>
      </c>
      <c r="J290" s="11">
        <f t="shared" si="32"/>
        <v>0</v>
      </c>
      <c r="K290" s="6">
        <f t="shared" si="33"/>
        <v>2848.4499510000001</v>
      </c>
      <c r="L290" s="4">
        <f t="shared" si="34"/>
        <v>0</v>
      </c>
    </row>
    <row r="291" spans="1:12" x14ac:dyDescent="0.25">
      <c r="A291" s="1">
        <v>41572</v>
      </c>
      <c r="B291">
        <v>2813.3999020000001</v>
      </c>
      <c r="C291">
        <v>2835.6999510000001</v>
      </c>
      <c r="D291">
        <v>2694.5</v>
      </c>
      <c r="E291">
        <v>2799.5500489999999</v>
      </c>
      <c r="F291" s="4">
        <f t="shared" si="29"/>
        <v>2799.5500489999999</v>
      </c>
      <c r="G291" s="4">
        <f t="shared" si="30"/>
        <v>3148.25</v>
      </c>
      <c r="H291" s="4" t="str">
        <f t="shared" si="31"/>
        <v>SELL</v>
      </c>
      <c r="I291" s="4">
        <f t="shared" si="28"/>
        <v>-1</v>
      </c>
      <c r="J291" s="11">
        <f t="shared" si="32"/>
        <v>0</v>
      </c>
      <c r="K291" s="6">
        <f t="shared" si="33"/>
        <v>2848.4499510000001</v>
      </c>
      <c r="L291" s="4">
        <f t="shared" si="34"/>
        <v>0</v>
      </c>
    </row>
    <row r="292" spans="1:12" x14ac:dyDescent="0.25">
      <c r="A292" s="1">
        <v>41575</v>
      </c>
      <c r="B292">
        <v>2802.4499510000001</v>
      </c>
      <c r="C292">
        <v>2802.4499510000001</v>
      </c>
      <c r="D292">
        <v>2664.3000489999999</v>
      </c>
      <c r="E292">
        <v>2683.1499020000001</v>
      </c>
      <c r="F292" s="4">
        <f t="shared" si="29"/>
        <v>2683.1499020000001</v>
      </c>
      <c r="G292" s="4">
        <f t="shared" si="30"/>
        <v>2938.6499020000001</v>
      </c>
      <c r="H292" s="4" t="str">
        <f t="shared" si="31"/>
        <v>SELL</v>
      </c>
      <c r="I292" s="4">
        <f t="shared" si="28"/>
        <v>-1</v>
      </c>
      <c r="J292" s="11">
        <f t="shared" si="32"/>
        <v>0</v>
      </c>
      <c r="K292" s="6">
        <f t="shared" si="33"/>
        <v>2848.4499510000001</v>
      </c>
      <c r="L292" s="4">
        <f t="shared" si="34"/>
        <v>0</v>
      </c>
    </row>
    <row r="293" spans="1:12" x14ac:dyDescent="0.25">
      <c r="A293" s="1">
        <v>41576</v>
      </c>
      <c r="B293">
        <v>2682.75</v>
      </c>
      <c r="C293">
        <v>2772.3999020000001</v>
      </c>
      <c r="D293">
        <v>2617.8999020000001</v>
      </c>
      <c r="E293">
        <v>2635</v>
      </c>
      <c r="F293" s="4">
        <f t="shared" si="29"/>
        <v>2635</v>
      </c>
      <c r="G293" s="4">
        <f t="shared" si="30"/>
        <v>2848.4499510000001</v>
      </c>
      <c r="H293" s="4" t="str">
        <f t="shared" si="31"/>
        <v>SELL</v>
      </c>
      <c r="I293" s="4">
        <f t="shared" si="28"/>
        <v>-1</v>
      </c>
      <c r="J293" s="11">
        <f t="shared" si="32"/>
        <v>0</v>
      </c>
      <c r="K293" s="6">
        <f t="shared" si="33"/>
        <v>2848.4499510000001</v>
      </c>
      <c r="L293" s="4">
        <f t="shared" si="34"/>
        <v>0</v>
      </c>
    </row>
    <row r="294" spans="1:12" x14ac:dyDescent="0.25">
      <c r="A294" s="1">
        <v>41577</v>
      </c>
      <c r="B294">
        <v>2634.1999510000001</v>
      </c>
      <c r="C294">
        <v>2634.1999510000001</v>
      </c>
      <c r="D294">
        <v>2502.8999020000001</v>
      </c>
      <c r="E294">
        <v>2553.1499020000001</v>
      </c>
      <c r="F294" s="4">
        <f t="shared" si="29"/>
        <v>2553.1499020000001</v>
      </c>
      <c r="G294" s="4">
        <f t="shared" si="30"/>
        <v>2810.3500979999999</v>
      </c>
      <c r="H294" s="4" t="str">
        <f t="shared" si="31"/>
        <v>SELL</v>
      </c>
      <c r="I294" s="4">
        <f t="shared" si="28"/>
        <v>-1</v>
      </c>
      <c r="J294" s="11">
        <f t="shared" si="32"/>
        <v>0</v>
      </c>
      <c r="K294" s="6">
        <f t="shared" si="33"/>
        <v>2848.4499510000001</v>
      </c>
      <c r="L294" s="4">
        <f t="shared" si="34"/>
        <v>0</v>
      </c>
    </row>
    <row r="295" spans="1:12" x14ac:dyDescent="0.25">
      <c r="A295" s="1">
        <v>41578</v>
      </c>
      <c r="B295">
        <v>2553.6000979999999</v>
      </c>
      <c r="C295">
        <v>2718.6000979999999</v>
      </c>
      <c r="D295">
        <v>2539.8000489999999</v>
      </c>
      <c r="E295">
        <v>2693.4499510000001</v>
      </c>
      <c r="F295" s="4">
        <f t="shared" si="29"/>
        <v>2553.1499020000001</v>
      </c>
      <c r="G295" s="4">
        <f t="shared" si="30"/>
        <v>2799.5500489999999</v>
      </c>
      <c r="H295" s="4">
        <f t="shared" si="31"/>
        <v>0</v>
      </c>
      <c r="I295" s="4">
        <f t="shared" si="28"/>
        <v>-1</v>
      </c>
      <c r="J295" s="11">
        <f t="shared" si="32"/>
        <v>0</v>
      </c>
      <c r="K295" s="6">
        <f t="shared" si="33"/>
        <v>2848.4499510000001</v>
      </c>
      <c r="L295" s="4">
        <f t="shared" si="34"/>
        <v>0</v>
      </c>
    </row>
    <row r="296" spans="1:12" x14ac:dyDescent="0.25">
      <c r="A296" s="1">
        <v>41579</v>
      </c>
      <c r="B296">
        <v>2690.8500979999999</v>
      </c>
      <c r="C296">
        <v>2740.3500979999999</v>
      </c>
      <c r="D296">
        <v>2633.8000489999999</v>
      </c>
      <c r="E296">
        <v>2708.25</v>
      </c>
      <c r="F296" s="4">
        <f t="shared" si="29"/>
        <v>2553.1499020000001</v>
      </c>
      <c r="G296" s="4">
        <f t="shared" si="30"/>
        <v>2708.25</v>
      </c>
      <c r="H296" s="4">
        <f t="shared" si="31"/>
        <v>0</v>
      </c>
      <c r="I296" s="4">
        <f t="shared" si="28"/>
        <v>-1</v>
      </c>
      <c r="J296" s="11">
        <f t="shared" si="32"/>
        <v>0</v>
      </c>
      <c r="K296" s="6">
        <f t="shared" si="33"/>
        <v>2848.4499510000001</v>
      </c>
      <c r="L296" s="4">
        <f t="shared" si="34"/>
        <v>0</v>
      </c>
    </row>
    <row r="297" spans="1:12" x14ac:dyDescent="0.25">
      <c r="A297" s="1">
        <v>41582</v>
      </c>
      <c r="B297">
        <v>2708.3000489999999</v>
      </c>
      <c r="C297">
        <v>2790.6999510000001</v>
      </c>
      <c r="D297">
        <v>2638.1999510000001</v>
      </c>
      <c r="E297">
        <v>2654</v>
      </c>
      <c r="F297" s="4">
        <f t="shared" si="29"/>
        <v>2553.1499020000001</v>
      </c>
      <c r="G297" s="4">
        <f t="shared" si="30"/>
        <v>2708.25</v>
      </c>
      <c r="H297" s="4">
        <f t="shared" si="31"/>
        <v>0</v>
      </c>
      <c r="I297" s="4">
        <f t="shared" si="28"/>
        <v>-1</v>
      </c>
      <c r="J297" s="11">
        <f t="shared" si="32"/>
        <v>0</v>
      </c>
      <c r="K297" s="6">
        <f t="shared" si="33"/>
        <v>2848.4499510000001</v>
      </c>
      <c r="L297" s="4">
        <f t="shared" si="34"/>
        <v>0</v>
      </c>
    </row>
    <row r="298" spans="1:12" x14ac:dyDescent="0.25">
      <c r="A298" s="1">
        <v>41583</v>
      </c>
      <c r="B298">
        <v>2652.4499510000001</v>
      </c>
      <c r="C298">
        <v>2762.6000979999999</v>
      </c>
      <c r="D298">
        <v>2643.3500979999999</v>
      </c>
      <c r="E298">
        <v>2752.25</v>
      </c>
      <c r="F298" s="4">
        <f t="shared" si="29"/>
        <v>2553.1499020000001</v>
      </c>
      <c r="G298" s="4">
        <f t="shared" si="30"/>
        <v>2752.25</v>
      </c>
      <c r="H298" s="4" t="str">
        <f t="shared" si="31"/>
        <v>BUY</v>
      </c>
      <c r="I298" s="4">
        <f t="shared" si="28"/>
        <v>1</v>
      </c>
      <c r="J298" s="11" t="str">
        <f t="shared" si="32"/>
        <v>BUY</v>
      </c>
      <c r="K298" s="6">
        <f t="shared" si="33"/>
        <v>2752.25</v>
      </c>
      <c r="L298" s="4">
        <f t="shared" si="34"/>
        <v>3.3772736981468578E-2</v>
      </c>
    </row>
    <row r="299" spans="1:12" x14ac:dyDescent="0.25">
      <c r="A299" s="1">
        <v>41584</v>
      </c>
      <c r="B299">
        <v>2745.6999510000001</v>
      </c>
      <c r="C299">
        <v>2779</v>
      </c>
      <c r="D299">
        <v>2690.3000489999999</v>
      </c>
      <c r="E299">
        <v>2755.1000979999999</v>
      </c>
      <c r="F299" s="4">
        <f t="shared" si="29"/>
        <v>2654</v>
      </c>
      <c r="G299" s="4">
        <f t="shared" si="30"/>
        <v>2755.1000979999999</v>
      </c>
      <c r="H299" s="4" t="str">
        <f t="shared" si="31"/>
        <v>BUY</v>
      </c>
      <c r="I299" s="4">
        <f t="shared" si="28"/>
        <v>1</v>
      </c>
      <c r="J299" s="11">
        <f t="shared" si="32"/>
        <v>0</v>
      </c>
      <c r="K299" s="6">
        <f t="shared" si="33"/>
        <v>2752.25</v>
      </c>
      <c r="L299" s="4">
        <f t="shared" si="34"/>
        <v>0</v>
      </c>
    </row>
    <row r="300" spans="1:12" x14ac:dyDescent="0.25">
      <c r="A300" s="1">
        <v>41585</v>
      </c>
      <c r="B300">
        <v>2755.1499020000001</v>
      </c>
      <c r="C300">
        <v>2832.8500979999999</v>
      </c>
      <c r="D300">
        <v>2669.5</v>
      </c>
      <c r="E300">
        <v>2682.8999020000001</v>
      </c>
      <c r="F300" s="4">
        <f t="shared" si="29"/>
        <v>2654</v>
      </c>
      <c r="G300" s="4">
        <f t="shared" si="30"/>
        <v>2755.1000979999999</v>
      </c>
      <c r="H300" s="4">
        <f t="shared" si="31"/>
        <v>0</v>
      </c>
      <c r="I300" s="4">
        <f t="shared" si="28"/>
        <v>1</v>
      </c>
      <c r="J300" s="11">
        <f t="shared" si="32"/>
        <v>0</v>
      </c>
      <c r="K300" s="6">
        <f t="shared" si="33"/>
        <v>2752.25</v>
      </c>
      <c r="L300" s="4">
        <f t="shared" si="34"/>
        <v>0</v>
      </c>
    </row>
    <row r="301" spans="1:12" x14ac:dyDescent="0.25">
      <c r="A301" s="1">
        <v>41586</v>
      </c>
      <c r="B301">
        <v>2672.8999020000001</v>
      </c>
      <c r="C301">
        <v>2672.8999020000001</v>
      </c>
      <c r="D301">
        <v>2570.6999510000001</v>
      </c>
      <c r="E301">
        <v>2657.8000489999999</v>
      </c>
      <c r="F301" s="4">
        <f t="shared" si="29"/>
        <v>2654</v>
      </c>
      <c r="G301" s="4">
        <f t="shared" si="30"/>
        <v>2755.1000979999999</v>
      </c>
      <c r="H301" s="4">
        <f t="shared" si="31"/>
        <v>0</v>
      </c>
      <c r="I301" s="4">
        <f t="shared" si="28"/>
        <v>1</v>
      </c>
      <c r="J301" s="11">
        <f t="shared" si="32"/>
        <v>0</v>
      </c>
      <c r="K301" s="6">
        <f t="shared" si="33"/>
        <v>2752.25</v>
      </c>
      <c r="L301" s="4">
        <f t="shared" si="34"/>
        <v>0</v>
      </c>
    </row>
    <row r="302" spans="1:12" x14ac:dyDescent="0.25">
      <c r="A302" s="1">
        <v>41589</v>
      </c>
      <c r="B302">
        <v>2657.5</v>
      </c>
      <c r="C302">
        <v>2693.6499020000001</v>
      </c>
      <c r="D302">
        <v>2611.9499510000001</v>
      </c>
      <c r="E302">
        <v>2656.4499510000001</v>
      </c>
      <c r="F302" s="4">
        <f t="shared" si="29"/>
        <v>2656.4499510000001</v>
      </c>
      <c r="G302" s="4">
        <f t="shared" si="30"/>
        <v>2755.1000979999999</v>
      </c>
      <c r="H302" s="4">
        <f t="shared" si="31"/>
        <v>0</v>
      </c>
      <c r="I302" s="4">
        <f t="shared" si="28"/>
        <v>1</v>
      </c>
      <c r="J302" s="11">
        <f t="shared" si="32"/>
        <v>0</v>
      </c>
      <c r="K302" s="6">
        <f t="shared" si="33"/>
        <v>2752.25</v>
      </c>
      <c r="L302" s="4">
        <f t="shared" si="34"/>
        <v>0</v>
      </c>
    </row>
    <row r="303" spans="1:12" x14ac:dyDescent="0.25">
      <c r="A303" s="1">
        <v>41590</v>
      </c>
      <c r="B303">
        <v>2656.5</v>
      </c>
      <c r="C303">
        <v>2793.8000489999999</v>
      </c>
      <c r="D303">
        <v>2646.3500979999999</v>
      </c>
      <c r="E303">
        <v>2788</v>
      </c>
      <c r="F303" s="4">
        <f t="shared" si="29"/>
        <v>2656.4499510000001</v>
      </c>
      <c r="G303" s="4">
        <f t="shared" si="30"/>
        <v>2788</v>
      </c>
      <c r="H303" s="4" t="str">
        <f t="shared" si="31"/>
        <v>BUY</v>
      </c>
      <c r="I303" s="4">
        <f t="shared" si="28"/>
        <v>1</v>
      </c>
      <c r="J303" s="11">
        <f t="shared" si="32"/>
        <v>0</v>
      </c>
      <c r="K303" s="6">
        <f t="shared" si="33"/>
        <v>2752.25</v>
      </c>
      <c r="L303" s="4">
        <f t="shared" si="34"/>
        <v>0</v>
      </c>
    </row>
    <row r="304" spans="1:12" x14ac:dyDescent="0.25">
      <c r="A304" s="1">
        <v>41591</v>
      </c>
      <c r="B304">
        <v>2786.6499020000001</v>
      </c>
      <c r="C304">
        <v>2821.1499020000001</v>
      </c>
      <c r="D304">
        <v>2701.3500979999999</v>
      </c>
      <c r="E304">
        <v>2714.3999020000001</v>
      </c>
      <c r="F304" s="4">
        <f t="shared" si="29"/>
        <v>2656.4499510000001</v>
      </c>
      <c r="G304" s="4">
        <f t="shared" si="30"/>
        <v>2788</v>
      </c>
      <c r="H304" s="4">
        <f t="shared" si="31"/>
        <v>0</v>
      </c>
      <c r="I304" s="4">
        <f t="shared" si="28"/>
        <v>1</v>
      </c>
      <c r="J304" s="11">
        <f t="shared" si="32"/>
        <v>0</v>
      </c>
      <c r="K304" s="6">
        <f t="shared" si="33"/>
        <v>2752.25</v>
      </c>
      <c r="L304" s="4">
        <f t="shared" si="34"/>
        <v>0</v>
      </c>
    </row>
    <row r="305" spans="1:12" x14ac:dyDescent="0.25">
      <c r="A305" s="1">
        <v>41592</v>
      </c>
      <c r="B305">
        <v>2714.6999510000001</v>
      </c>
      <c r="C305">
        <v>2861.5500489999999</v>
      </c>
      <c r="D305">
        <v>2714.6999510000001</v>
      </c>
      <c r="E305">
        <v>2784</v>
      </c>
      <c r="F305" s="4">
        <f t="shared" si="29"/>
        <v>2656.4499510000001</v>
      </c>
      <c r="G305" s="4">
        <f t="shared" si="30"/>
        <v>2788</v>
      </c>
      <c r="H305" s="4">
        <f t="shared" si="31"/>
        <v>0</v>
      </c>
      <c r="I305" s="4">
        <f t="shared" si="28"/>
        <v>1</v>
      </c>
      <c r="J305" s="11">
        <f t="shared" si="32"/>
        <v>0</v>
      </c>
      <c r="K305" s="6">
        <f t="shared" si="33"/>
        <v>2752.25</v>
      </c>
      <c r="L305" s="4">
        <f t="shared" si="34"/>
        <v>0</v>
      </c>
    </row>
    <row r="306" spans="1:12" x14ac:dyDescent="0.25">
      <c r="A306" s="1">
        <v>41593</v>
      </c>
      <c r="B306">
        <v>2785.6999510000001</v>
      </c>
      <c r="C306">
        <v>2940.1499020000001</v>
      </c>
      <c r="D306">
        <v>2785.6999510000001</v>
      </c>
      <c r="E306">
        <v>2928.25</v>
      </c>
      <c r="F306" s="4">
        <f t="shared" si="29"/>
        <v>2656.4499510000001</v>
      </c>
      <c r="G306" s="4">
        <f t="shared" si="30"/>
        <v>2928.25</v>
      </c>
      <c r="H306" s="4" t="str">
        <f t="shared" si="31"/>
        <v>BUY</v>
      </c>
      <c r="I306" s="4">
        <f t="shared" si="28"/>
        <v>1</v>
      </c>
      <c r="J306" s="11">
        <f t="shared" si="32"/>
        <v>0</v>
      </c>
      <c r="K306" s="6">
        <f t="shared" si="33"/>
        <v>2752.25</v>
      </c>
      <c r="L306" s="4">
        <f t="shared" si="34"/>
        <v>0</v>
      </c>
    </row>
    <row r="307" spans="1:12" x14ac:dyDescent="0.25">
      <c r="A307" s="1">
        <v>41596</v>
      </c>
      <c r="B307">
        <v>2934.0500489999999</v>
      </c>
      <c r="C307">
        <v>2945.3000489999999</v>
      </c>
      <c r="D307">
        <v>2861.5500489999999</v>
      </c>
      <c r="E307">
        <v>2920.1499020000001</v>
      </c>
      <c r="F307" s="4">
        <f t="shared" si="29"/>
        <v>2714.3999020000001</v>
      </c>
      <c r="G307" s="4">
        <f t="shared" si="30"/>
        <v>2928.25</v>
      </c>
      <c r="H307" s="4">
        <f t="shared" si="31"/>
        <v>0</v>
      </c>
      <c r="I307" s="4">
        <f t="shared" si="28"/>
        <v>1</v>
      </c>
      <c r="J307" s="11">
        <f t="shared" si="32"/>
        <v>0</v>
      </c>
      <c r="K307" s="6">
        <f t="shared" si="33"/>
        <v>2752.25</v>
      </c>
      <c r="L307" s="4">
        <f t="shared" si="34"/>
        <v>0</v>
      </c>
    </row>
    <row r="308" spans="1:12" x14ac:dyDescent="0.25">
      <c r="A308" s="1">
        <v>41597</v>
      </c>
      <c r="B308">
        <v>2915.3500979999999</v>
      </c>
      <c r="C308">
        <v>2936.8000489999999</v>
      </c>
      <c r="D308">
        <v>2812.5500489999999</v>
      </c>
      <c r="E308">
        <v>2921.3500979999999</v>
      </c>
      <c r="F308" s="4">
        <f t="shared" si="29"/>
        <v>2714.3999020000001</v>
      </c>
      <c r="G308" s="4">
        <f t="shared" si="30"/>
        <v>2928.25</v>
      </c>
      <c r="H308" s="4">
        <f t="shared" si="31"/>
        <v>0</v>
      </c>
      <c r="I308" s="4">
        <f t="shared" si="28"/>
        <v>1</v>
      </c>
      <c r="J308" s="11">
        <f t="shared" si="32"/>
        <v>0</v>
      </c>
      <c r="K308" s="6">
        <f t="shared" si="33"/>
        <v>2752.25</v>
      </c>
      <c r="L308" s="4">
        <f t="shared" si="34"/>
        <v>0</v>
      </c>
    </row>
    <row r="309" spans="1:12" x14ac:dyDescent="0.25">
      <c r="A309" s="1">
        <v>41598</v>
      </c>
      <c r="B309">
        <v>2917.8999020000001</v>
      </c>
      <c r="C309">
        <v>3012.1000979999999</v>
      </c>
      <c r="D309">
        <v>2917.8999020000001</v>
      </c>
      <c r="E309">
        <v>2981.1999510000001</v>
      </c>
      <c r="F309" s="4">
        <f t="shared" si="29"/>
        <v>2784</v>
      </c>
      <c r="G309" s="4">
        <f t="shared" si="30"/>
        <v>2981.1999510000001</v>
      </c>
      <c r="H309" s="4" t="str">
        <f t="shared" si="31"/>
        <v>BUY</v>
      </c>
      <c r="I309" s="4">
        <f t="shared" si="28"/>
        <v>1</v>
      </c>
      <c r="J309" s="11">
        <f t="shared" si="32"/>
        <v>0</v>
      </c>
      <c r="K309" s="6">
        <f t="shared" si="33"/>
        <v>2752.25</v>
      </c>
      <c r="L309" s="4">
        <f t="shared" si="34"/>
        <v>0</v>
      </c>
    </row>
    <row r="310" spans="1:12" x14ac:dyDescent="0.25">
      <c r="A310" s="1">
        <v>41599</v>
      </c>
      <c r="B310">
        <v>2983.6000979999999</v>
      </c>
      <c r="C310">
        <v>3052.5500489999999</v>
      </c>
      <c r="D310">
        <v>2963.3000489999999</v>
      </c>
      <c r="E310">
        <v>3041.75</v>
      </c>
      <c r="F310" s="4">
        <f t="shared" si="29"/>
        <v>2920.1499020000001</v>
      </c>
      <c r="G310" s="4">
        <f t="shared" si="30"/>
        <v>3041.75</v>
      </c>
      <c r="H310" s="4" t="str">
        <f t="shared" si="31"/>
        <v>BUY</v>
      </c>
      <c r="I310" s="4">
        <f t="shared" si="28"/>
        <v>1</v>
      </c>
      <c r="J310" s="11">
        <f t="shared" si="32"/>
        <v>0</v>
      </c>
      <c r="K310" s="6">
        <f t="shared" si="33"/>
        <v>2752.25</v>
      </c>
      <c r="L310" s="4">
        <f t="shared" si="34"/>
        <v>0</v>
      </c>
    </row>
    <row r="311" spans="1:12" x14ac:dyDescent="0.25">
      <c r="A311" s="1">
        <v>41600</v>
      </c>
      <c r="B311">
        <v>3040.4499510000001</v>
      </c>
      <c r="C311">
        <v>3076.1999510000001</v>
      </c>
      <c r="D311">
        <v>2943.5</v>
      </c>
      <c r="E311">
        <v>2954.3500979999999</v>
      </c>
      <c r="F311" s="4">
        <f t="shared" si="29"/>
        <v>2920.1499020000001</v>
      </c>
      <c r="G311" s="4">
        <f t="shared" si="30"/>
        <v>3041.75</v>
      </c>
      <c r="H311" s="4">
        <f t="shared" si="31"/>
        <v>0</v>
      </c>
      <c r="I311" s="4">
        <f t="shared" si="28"/>
        <v>1</v>
      </c>
      <c r="J311" s="11">
        <f t="shared" si="32"/>
        <v>0</v>
      </c>
      <c r="K311" s="6">
        <f t="shared" si="33"/>
        <v>2752.25</v>
      </c>
      <c r="L311" s="4">
        <f t="shared" si="34"/>
        <v>0</v>
      </c>
    </row>
    <row r="312" spans="1:12" x14ac:dyDescent="0.25">
      <c r="A312" s="1">
        <v>41603</v>
      </c>
      <c r="B312">
        <v>2955.3500979999999</v>
      </c>
      <c r="C312">
        <v>3072.5500489999999</v>
      </c>
      <c r="D312">
        <v>2922.6499020000001</v>
      </c>
      <c r="E312">
        <v>3060.75</v>
      </c>
      <c r="F312" s="4">
        <f t="shared" si="29"/>
        <v>2921.3500979999999</v>
      </c>
      <c r="G312" s="4">
        <f t="shared" si="30"/>
        <v>3060.75</v>
      </c>
      <c r="H312" s="4" t="str">
        <f t="shared" si="31"/>
        <v>BUY</v>
      </c>
      <c r="I312" s="4">
        <f t="shared" si="28"/>
        <v>1</v>
      </c>
      <c r="J312" s="11">
        <f t="shared" si="32"/>
        <v>0</v>
      </c>
      <c r="K312" s="6">
        <f t="shared" si="33"/>
        <v>2752.25</v>
      </c>
      <c r="L312" s="4">
        <f t="shared" si="34"/>
        <v>0</v>
      </c>
    </row>
    <row r="313" spans="1:12" x14ac:dyDescent="0.25">
      <c r="A313" s="1">
        <v>41604</v>
      </c>
      <c r="B313">
        <v>3063</v>
      </c>
      <c r="C313">
        <v>3106.8000489999999</v>
      </c>
      <c r="D313">
        <v>3036.3000489999999</v>
      </c>
      <c r="E313">
        <v>3077.5</v>
      </c>
      <c r="F313" s="4">
        <f t="shared" si="29"/>
        <v>2954.3500979999999</v>
      </c>
      <c r="G313" s="4">
        <f t="shared" si="30"/>
        <v>3077.5</v>
      </c>
      <c r="H313" s="4" t="str">
        <f t="shared" si="31"/>
        <v>BUY</v>
      </c>
      <c r="I313" s="4">
        <f t="shared" si="28"/>
        <v>1</v>
      </c>
      <c r="J313" s="11">
        <f t="shared" si="32"/>
        <v>0</v>
      </c>
      <c r="K313" s="6">
        <f t="shared" si="33"/>
        <v>2752.25</v>
      </c>
      <c r="L313" s="4">
        <f t="shared" si="34"/>
        <v>0</v>
      </c>
    </row>
    <row r="314" spans="1:12" x14ac:dyDescent="0.25">
      <c r="A314" s="1">
        <v>41605</v>
      </c>
      <c r="B314">
        <v>3077.25</v>
      </c>
      <c r="C314">
        <v>3110.4499510000001</v>
      </c>
      <c r="D314">
        <v>3027.8000489999999</v>
      </c>
      <c r="E314">
        <v>3039.3000489999999</v>
      </c>
      <c r="F314" s="4">
        <f t="shared" si="29"/>
        <v>2954.3500979999999</v>
      </c>
      <c r="G314" s="4">
        <f t="shared" si="30"/>
        <v>3077.5</v>
      </c>
      <c r="H314" s="4">
        <f t="shared" si="31"/>
        <v>0</v>
      </c>
      <c r="I314" s="4">
        <f t="shared" si="28"/>
        <v>1</v>
      </c>
      <c r="J314" s="11">
        <f t="shared" si="32"/>
        <v>0</v>
      </c>
      <c r="K314" s="6">
        <f t="shared" si="33"/>
        <v>2752.25</v>
      </c>
      <c r="L314" s="4">
        <f t="shared" si="34"/>
        <v>0</v>
      </c>
    </row>
    <row r="315" spans="1:12" x14ac:dyDescent="0.25">
      <c r="A315" s="1">
        <v>41606</v>
      </c>
      <c r="B315">
        <v>3039.25</v>
      </c>
      <c r="C315">
        <v>3040</v>
      </c>
      <c r="D315">
        <v>2957.0500489999999</v>
      </c>
      <c r="E315">
        <v>2968.6499020000001</v>
      </c>
      <c r="F315" s="4">
        <f t="shared" si="29"/>
        <v>2954.3500979999999</v>
      </c>
      <c r="G315" s="4">
        <f t="shared" si="30"/>
        <v>3077.5</v>
      </c>
      <c r="H315" s="4">
        <f t="shared" si="31"/>
        <v>0</v>
      </c>
      <c r="I315" s="4">
        <f t="shared" si="28"/>
        <v>1</v>
      </c>
      <c r="J315" s="11">
        <f t="shared" si="32"/>
        <v>0</v>
      </c>
      <c r="K315" s="6">
        <f t="shared" si="33"/>
        <v>2752.25</v>
      </c>
      <c r="L315" s="4">
        <f t="shared" si="34"/>
        <v>0</v>
      </c>
    </row>
    <row r="316" spans="1:12" x14ac:dyDescent="0.25">
      <c r="A316" s="1">
        <v>41607</v>
      </c>
      <c r="B316">
        <v>2967.3999020000001</v>
      </c>
      <c r="C316">
        <v>2968</v>
      </c>
      <c r="D316">
        <v>2900.4499510000001</v>
      </c>
      <c r="E316">
        <v>2916.8500979999999</v>
      </c>
      <c r="F316" s="4">
        <f t="shared" si="29"/>
        <v>2916.8500979999999</v>
      </c>
      <c r="G316" s="4">
        <f t="shared" si="30"/>
        <v>3077.5</v>
      </c>
      <c r="H316" s="4" t="str">
        <f t="shared" si="31"/>
        <v>SELL</v>
      </c>
      <c r="I316" s="4">
        <f t="shared" si="28"/>
        <v>-1</v>
      </c>
      <c r="J316" s="11" t="str">
        <f t="shared" si="32"/>
        <v>SELL</v>
      </c>
      <c r="K316" s="6">
        <f t="shared" si="33"/>
        <v>2916.8500979999999</v>
      </c>
      <c r="L316" s="4">
        <f t="shared" si="34"/>
        <v>5.9805649196112233E-2</v>
      </c>
    </row>
    <row r="317" spans="1:12" x14ac:dyDescent="0.25">
      <c r="A317" s="1">
        <v>41610</v>
      </c>
      <c r="B317">
        <v>2919.8500979999999</v>
      </c>
      <c r="C317">
        <v>2960.9499510000001</v>
      </c>
      <c r="D317">
        <v>2844.8000489999999</v>
      </c>
      <c r="E317">
        <v>2857.25</v>
      </c>
      <c r="F317" s="4">
        <f t="shared" si="29"/>
        <v>2857.25</v>
      </c>
      <c r="G317" s="4">
        <f t="shared" si="30"/>
        <v>3077.5</v>
      </c>
      <c r="H317" s="4" t="str">
        <f t="shared" si="31"/>
        <v>SELL</v>
      </c>
      <c r="I317" s="4">
        <f t="shared" si="28"/>
        <v>-1</v>
      </c>
      <c r="J317" s="11">
        <f t="shared" si="32"/>
        <v>0</v>
      </c>
      <c r="K317" s="6">
        <f t="shared" si="33"/>
        <v>2916.8500979999999</v>
      </c>
      <c r="L317" s="4">
        <f t="shared" si="34"/>
        <v>0</v>
      </c>
    </row>
    <row r="318" spans="1:12" x14ac:dyDescent="0.25">
      <c r="A318" s="1">
        <v>41611</v>
      </c>
      <c r="B318">
        <v>2857.1499020000001</v>
      </c>
      <c r="C318">
        <v>2931.8000489999999</v>
      </c>
      <c r="D318">
        <v>2812.8999020000001</v>
      </c>
      <c r="E318">
        <v>2922.1999510000001</v>
      </c>
      <c r="F318" s="4">
        <f t="shared" si="29"/>
        <v>2857.25</v>
      </c>
      <c r="G318" s="4">
        <f t="shared" si="30"/>
        <v>3039.3000489999999</v>
      </c>
      <c r="H318" s="4">
        <f t="shared" si="31"/>
        <v>0</v>
      </c>
      <c r="I318" s="4">
        <f t="shared" si="28"/>
        <v>-1</v>
      </c>
      <c r="J318" s="11">
        <f t="shared" si="32"/>
        <v>0</v>
      </c>
      <c r="K318" s="6">
        <f t="shared" si="33"/>
        <v>2916.8500979999999</v>
      </c>
      <c r="L318" s="4">
        <f t="shared" si="34"/>
        <v>0</v>
      </c>
    </row>
    <row r="319" spans="1:12" x14ac:dyDescent="0.25">
      <c r="A319" s="1">
        <v>41612</v>
      </c>
      <c r="B319">
        <v>2922.5500489999999</v>
      </c>
      <c r="C319">
        <v>2999.1499020000001</v>
      </c>
      <c r="D319">
        <v>2899.75</v>
      </c>
      <c r="E319">
        <v>2979.5</v>
      </c>
      <c r="F319" s="4">
        <f t="shared" si="29"/>
        <v>2857.25</v>
      </c>
      <c r="G319" s="4">
        <f t="shared" si="30"/>
        <v>2979.5</v>
      </c>
      <c r="H319" s="4">
        <f t="shared" si="31"/>
        <v>0</v>
      </c>
      <c r="I319" s="4">
        <f t="shared" si="28"/>
        <v>-1</v>
      </c>
      <c r="J319" s="11">
        <f t="shared" si="32"/>
        <v>0</v>
      </c>
      <c r="K319" s="6">
        <f t="shared" si="33"/>
        <v>2916.8500979999999</v>
      </c>
      <c r="L319" s="4">
        <f t="shared" si="34"/>
        <v>0</v>
      </c>
    </row>
    <row r="320" spans="1:12" x14ac:dyDescent="0.25">
      <c r="A320" s="1">
        <v>41613</v>
      </c>
      <c r="B320">
        <v>2979.8000489999999</v>
      </c>
      <c r="C320">
        <v>3002.6499020000001</v>
      </c>
      <c r="D320">
        <v>2937.3500979999999</v>
      </c>
      <c r="E320">
        <v>2959.1499020000001</v>
      </c>
      <c r="F320" s="4">
        <f t="shared" si="29"/>
        <v>2857.25</v>
      </c>
      <c r="G320" s="4">
        <f t="shared" si="30"/>
        <v>2979.5</v>
      </c>
      <c r="H320" s="4">
        <f t="shared" si="31"/>
        <v>0</v>
      </c>
      <c r="I320" s="4">
        <f t="shared" si="28"/>
        <v>-1</v>
      </c>
      <c r="J320" s="11">
        <f t="shared" si="32"/>
        <v>0</v>
      </c>
      <c r="K320" s="6">
        <f t="shared" si="33"/>
        <v>2916.8500979999999</v>
      </c>
      <c r="L320" s="4">
        <f t="shared" si="34"/>
        <v>0</v>
      </c>
    </row>
    <row r="321" spans="1:12" x14ac:dyDescent="0.25">
      <c r="A321" s="1">
        <v>41614</v>
      </c>
      <c r="B321">
        <v>2963.3000489999999</v>
      </c>
      <c r="C321">
        <v>3039.25</v>
      </c>
      <c r="D321">
        <v>2963.3000489999999</v>
      </c>
      <c r="E321">
        <v>3033.4499510000001</v>
      </c>
      <c r="F321" s="4">
        <f t="shared" si="29"/>
        <v>2857.25</v>
      </c>
      <c r="G321" s="4">
        <f t="shared" si="30"/>
        <v>3033.4499510000001</v>
      </c>
      <c r="H321" s="4" t="str">
        <f t="shared" si="31"/>
        <v>BUY</v>
      </c>
      <c r="I321" s="4">
        <f t="shared" si="28"/>
        <v>1</v>
      </c>
      <c r="J321" s="11" t="str">
        <f t="shared" si="32"/>
        <v>BUY</v>
      </c>
      <c r="K321" s="6">
        <f t="shared" si="33"/>
        <v>3033.4499510000001</v>
      </c>
      <c r="L321" s="4">
        <f t="shared" si="34"/>
        <v>-3.9974578426210293E-2</v>
      </c>
    </row>
    <row r="322" spans="1:12" x14ac:dyDescent="0.25">
      <c r="A322" s="1">
        <v>41617</v>
      </c>
      <c r="B322">
        <v>3034.6000979999999</v>
      </c>
      <c r="C322">
        <v>3079.8500979999999</v>
      </c>
      <c r="D322">
        <v>3021.8000489999999</v>
      </c>
      <c r="E322">
        <v>3046.75</v>
      </c>
      <c r="F322" s="4">
        <f t="shared" si="29"/>
        <v>2922.1999510000001</v>
      </c>
      <c r="G322" s="4">
        <f t="shared" si="30"/>
        <v>3046.75</v>
      </c>
      <c r="H322" s="4" t="str">
        <f t="shared" si="31"/>
        <v>BUY</v>
      </c>
      <c r="I322" s="4">
        <f t="shared" si="28"/>
        <v>1</v>
      </c>
      <c r="J322" s="11">
        <f t="shared" si="32"/>
        <v>0</v>
      </c>
      <c r="K322" s="6">
        <f t="shared" si="33"/>
        <v>3033.4499510000001</v>
      </c>
      <c r="L322" s="4">
        <f t="shared" si="34"/>
        <v>0</v>
      </c>
    </row>
    <row r="323" spans="1:12" x14ac:dyDescent="0.25">
      <c r="A323" s="1">
        <v>41618</v>
      </c>
      <c r="B323">
        <v>3058.75</v>
      </c>
      <c r="C323">
        <v>3131.9499510000001</v>
      </c>
      <c r="D323">
        <v>3056.4499510000001</v>
      </c>
      <c r="E323">
        <v>3121.4499510000001</v>
      </c>
      <c r="F323" s="4">
        <f t="shared" si="29"/>
        <v>2959.1499020000001</v>
      </c>
      <c r="G323" s="4">
        <f t="shared" si="30"/>
        <v>3121.4499510000001</v>
      </c>
      <c r="H323" s="4" t="str">
        <f t="shared" si="31"/>
        <v>BUY</v>
      </c>
      <c r="I323" s="4">
        <f t="shared" si="28"/>
        <v>1</v>
      </c>
      <c r="J323" s="11">
        <f t="shared" si="32"/>
        <v>0</v>
      </c>
      <c r="K323" s="6">
        <f t="shared" si="33"/>
        <v>3033.4499510000001</v>
      </c>
      <c r="L323" s="4">
        <f t="shared" si="34"/>
        <v>0</v>
      </c>
    </row>
    <row r="324" spans="1:12" x14ac:dyDescent="0.25">
      <c r="A324" s="1">
        <v>41619</v>
      </c>
      <c r="B324">
        <v>3121.5</v>
      </c>
      <c r="C324">
        <v>3141.8000489999999</v>
      </c>
      <c r="D324">
        <v>3056.1000979999999</v>
      </c>
      <c r="E324">
        <v>3112.8000489999999</v>
      </c>
      <c r="F324" s="4">
        <f t="shared" si="29"/>
        <v>2959.1499020000001</v>
      </c>
      <c r="G324" s="4">
        <f t="shared" si="30"/>
        <v>3121.4499510000001</v>
      </c>
      <c r="H324" s="4">
        <f t="shared" si="31"/>
        <v>0</v>
      </c>
      <c r="I324" s="4">
        <f t="shared" si="28"/>
        <v>1</v>
      </c>
      <c r="J324" s="11">
        <f t="shared" si="32"/>
        <v>0</v>
      </c>
      <c r="K324" s="6">
        <f t="shared" si="33"/>
        <v>3033.4499510000001</v>
      </c>
      <c r="L324" s="4">
        <f t="shared" si="34"/>
        <v>0</v>
      </c>
    </row>
    <row r="325" spans="1:12" x14ac:dyDescent="0.25">
      <c r="A325" s="1">
        <v>41620</v>
      </c>
      <c r="B325">
        <v>3112.8000489999999</v>
      </c>
      <c r="C325">
        <v>3147.1999510000001</v>
      </c>
      <c r="D325">
        <v>2888.1999510000001</v>
      </c>
      <c r="E325">
        <v>2920.3999020000001</v>
      </c>
      <c r="F325" s="4">
        <f t="shared" si="29"/>
        <v>2920.3999020000001</v>
      </c>
      <c r="G325" s="4">
        <f t="shared" si="30"/>
        <v>3121.4499510000001</v>
      </c>
      <c r="H325" s="4" t="str">
        <f t="shared" si="31"/>
        <v>SELL</v>
      </c>
      <c r="I325" s="4">
        <f t="shared" si="28"/>
        <v>-1</v>
      </c>
      <c r="J325" s="11" t="str">
        <f t="shared" si="32"/>
        <v>SELL</v>
      </c>
      <c r="K325" s="6">
        <f t="shared" si="33"/>
        <v>2920.3999020000001</v>
      </c>
      <c r="L325" s="4">
        <f t="shared" si="34"/>
        <v>-3.7267814147628225E-2</v>
      </c>
    </row>
    <row r="326" spans="1:12" x14ac:dyDescent="0.25">
      <c r="A326" s="1">
        <v>41621</v>
      </c>
      <c r="B326">
        <v>2919.9499510000001</v>
      </c>
      <c r="C326">
        <v>2929.8500979999999</v>
      </c>
      <c r="D326">
        <v>2810.25</v>
      </c>
      <c r="E326">
        <v>2873</v>
      </c>
      <c r="F326" s="4">
        <f t="shared" si="29"/>
        <v>2873</v>
      </c>
      <c r="G326" s="4">
        <f t="shared" si="30"/>
        <v>3121.4499510000001</v>
      </c>
      <c r="H326" s="4" t="str">
        <f t="shared" si="31"/>
        <v>SELL</v>
      </c>
      <c r="I326" s="4">
        <f t="shared" ref="I326:I389" si="35">IF(AND(H326="BUY",I325&lt;&gt;1),1,IF(AND(H326="SELL",I325&lt;&gt;-1),-1,I325))</f>
        <v>-1</v>
      </c>
      <c r="J326" s="11">
        <f t="shared" si="32"/>
        <v>0</v>
      </c>
      <c r="K326" s="6">
        <f t="shared" si="33"/>
        <v>2920.3999020000001</v>
      </c>
      <c r="L326" s="4">
        <f t="shared" si="34"/>
        <v>0</v>
      </c>
    </row>
    <row r="327" spans="1:12" x14ac:dyDescent="0.25">
      <c r="A327" s="1">
        <v>41624</v>
      </c>
      <c r="B327">
        <v>2868.8500979999999</v>
      </c>
      <c r="C327">
        <v>2869.1999510000001</v>
      </c>
      <c r="D327">
        <v>2748.5500489999999</v>
      </c>
      <c r="E327">
        <v>2773.1000979999999</v>
      </c>
      <c r="F327" s="4">
        <f t="shared" ref="F327:F390" si="36">MIN(E323:E327)</f>
        <v>2773.1000979999999</v>
      </c>
      <c r="G327" s="4">
        <f t="shared" ref="G327:G390" si="37">MAX(E323:E327)</f>
        <v>3121.4499510000001</v>
      </c>
      <c r="H327" s="4" t="str">
        <f t="shared" ref="H327:H390" si="38">IF(E327&gt;G326,"BUY",IF(E327&lt;F326,"SELL",0))</f>
        <v>SELL</v>
      </c>
      <c r="I327" s="4">
        <f t="shared" si="35"/>
        <v>-1</v>
      </c>
      <c r="J327" s="11">
        <f t="shared" ref="J327:J390" si="39">IF(I327&lt;&gt;I326,H327,0)</f>
        <v>0</v>
      </c>
      <c r="K327" s="6">
        <f t="shared" ref="K327:K390" si="40">IF(J327&lt;&gt;0,E327,K326)</f>
        <v>2920.3999020000001</v>
      </c>
      <c r="L327" s="4">
        <f t="shared" si="34"/>
        <v>0</v>
      </c>
    </row>
    <row r="328" spans="1:12" x14ac:dyDescent="0.25">
      <c r="A328" s="1">
        <v>41625</v>
      </c>
      <c r="B328">
        <v>2775</v>
      </c>
      <c r="C328">
        <v>2802.6000979999999</v>
      </c>
      <c r="D328">
        <v>2720.8000489999999</v>
      </c>
      <c r="E328">
        <v>2744.9499510000001</v>
      </c>
      <c r="F328" s="4">
        <f t="shared" si="36"/>
        <v>2744.9499510000001</v>
      </c>
      <c r="G328" s="4">
        <f t="shared" si="37"/>
        <v>3112.8000489999999</v>
      </c>
      <c r="H328" s="4" t="str">
        <f t="shared" si="38"/>
        <v>SELL</v>
      </c>
      <c r="I328" s="4">
        <f t="shared" si="35"/>
        <v>-1</v>
      </c>
      <c r="J328" s="11">
        <f t="shared" si="39"/>
        <v>0</v>
      </c>
      <c r="K328" s="6">
        <f t="shared" si="40"/>
        <v>2920.3999020000001</v>
      </c>
      <c r="L328" s="4">
        <f t="shared" ref="L328:L391" si="41">IF(J328="BUY",(K327-K328)/K327,IF(J328="SELL",(K329-K327)/K327,0))</f>
        <v>0</v>
      </c>
    </row>
    <row r="329" spans="1:12" x14ac:dyDescent="0.25">
      <c r="A329" s="1">
        <v>41626</v>
      </c>
      <c r="B329">
        <v>2748.3999020000001</v>
      </c>
      <c r="C329">
        <v>2853.25</v>
      </c>
      <c r="D329">
        <v>2748.3999020000001</v>
      </c>
      <c r="E329">
        <v>2835.3000489999999</v>
      </c>
      <c r="F329" s="4">
        <f t="shared" si="36"/>
        <v>2744.9499510000001</v>
      </c>
      <c r="G329" s="4">
        <f t="shared" si="37"/>
        <v>2920.3999020000001</v>
      </c>
      <c r="H329" s="4">
        <f t="shared" si="38"/>
        <v>0</v>
      </c>
      <c r="I329" s="4">
        <f t="shared" si="35"/>
        <v>-1</v>
      </c>
      <c r="J329" s="11">
        <f t="shared" si="39"/>
        <v>0</v>
      </c>
      <c r="K329" s="6">
        <f t="shared" si="40"/>
        <v>2920.3999020000001</v>
      </c>
      <c r="L329" s="4">
        <f t="shared" si="41"/>
        <v>0</v>
      </c>
    </row>
    <row r="330" spans="1:12" x14ac:dyDescent="0.25">
      <c r="A330" s="1">
        <v>41627</v>
      </c>
      <c r="B330">
        <v>2832.3000489999999</v>
      </c>
      <c r="C330">
        <v>2832.3000489999999</v>
      </c>
      <c r="D330">
        <v>2701.75</v>
      </c>
      <c r="E330">
        <v>2736.6999510000001</v>
      </c>
      <c r="F330" s="4">
        <f t="shared" si="36"/>
        <v>2736.6999510000001</v>
      </c>
      <c r="G330" s="4">
        <f t="shared" si="37"/>
        <v>2873</v>
      </c>
      <c r="H330" s="4" t="str">
        <f t="shared" si="38"/>
        <v>SELL</v>
      </c>
      <c r="I330" s="4">
        <f t="shared" si="35"/>
        <v>-1</v>
      </c>
      <c r="J330" s="11">
        <f t="shared" si="39"/>
        <v>0</v>
      </c>
      <c r="K330" s="6">
        <f t="shared" si="40"/>
        <v>2920.3999020000001</v>
      </c>
      <c r="L330" s="4">
        <f t="shared" si="41"/>
        <v>0</v>
      </c>
    </row>
    <row r="331" spans="1:12" x14ac:dyDescent="0.25">
      <c r="A331" s="1">
        <v>41628</v>
      </c>
      <c r="B331">
        <v>2737</v>
      </c>
      <c r="C331">
        <v>2835.6499020000001</v>
      </c>
      <c r="D331">
        <v>2724.1999510000001</v>
      </c>
      <c r="E331">
        <v>2828.4499510000001</v>
      </c>
      <c r="F331" s="4">
        <f t="shared" si="36"/>
        <v>2736.6999510000001</v>
      </c>
      <c r="G331" s="4">
        <f t="shared" si="37"/>
        <v>2835.3000489999999</v>
      </c>
      <c r="H331" s="4">
        <f t="shared" si="38"/>
        <v>0</v>
      </c>
      <c r="I331" s="4">
        <f t="shared" si="35"/>
        <v>-1</v>
      </c>
      <c r="J331" s="11">
        <f t="shared" si="39"/>
        <v>0</v>
      </c>
      <c r="K331" s="6">
        <f t="shared" si="40"/>
        <v>2920.3999020000001</v>
      </c>
      <c r="L331" s="4">
        <f t="shared" si="41"/>
        <v>0</v>
      </c>
    </row>
    <row r="332" spans="1:12" x14ac:dyDescent="0.25">
      <c r="A332" s="1">
        <v>41631</v>
      </c>
      <c r="B332">
        <v>2828.6999510000001</v>
      </c>
      <c r="C332">
        <v>2868.1999510000001</v>
      </c>
      <c r="D332">
        <v>2819.8999020000001</v>
      </c>
      <c r="E332">
        <v>2846.1999510000001</v>
      </c>
      <c r="F332" s="4">
        <f t="shared" si="36"/>
        <v>2736.6999510000001</v>
      </c>
      <c r="G332" s="4">
        <f t="shared" si="37"/>
        <v>2846.1999510000001</v>
      </c>
      <c r="H332" s="4" t="str">
        <f t="shared" si="38"/>
        <v>BUY</v>
      </c>
      <c r="I332" s="4">
        <f t="shared" si="35"/>
        <v>1</v>
      </c>
      <c r="J332" s="11" t="str">
        <f t="shared" si="39"/>
        <v>BUY</v>
      </c>
      <c r="K332" s="6">
        <f t="shared" si="40"/>
        <v>2846.1999510000001</v>
      </c>
      <c r="L332" s="4">
        <f t="shared" si="41"/>
        <v>2.5407462501688596E-2</v>
      </c>
    </row>
    <row r="333" spans="1:12" x14ac:dyDescent="0.25">
      <c r="A333" s="1">
        <v>41632</v>
      </c>
      <c r="B333">
        <v>2842.8999020000001</v>
      </c>
      <c r="C333">
        <v>2842.8999020000001</v>
      </c>
      <c r="D333">
        <v>2758</v>
      </c>
      <c r="E333">
        <v>2796.6000979999999</v>
      </c>
      <c r="F333" s="4">
        <f t="shared" si="36"/>
        <v>2736.6999510000001</v>
      </c>
      <c r="G333" s="4">
        <f t="shared" si="37"/>
        <v>2846.1999510000001</v>
      </c>
      <c r="H333" s="4">
        <f t="shared" si="38"/>
        <v>0</v>
      </c>
      <c r="I333" s="4">
        <f t="shared" si="35"/>
        <v>1</v>
      </c>
      <c r="J333" s="11">
        <f t="shared" si="39"/>
        <v>0</v>
      </c>
      <c r="K333" s="6">
        <f t="shared" si="40"/>
        <v>2846.1999510000001</v>
      </c>
      <c r="L333" s="4">
        <f t="shared" si="41"/>
        <v>0</v>
      </c>
    </row>
    <row r="334" spans="1:12" x14ac:dyDescent="0.25">
      <c r="A334" s="1">
        <v>41633</v>
      </c>
      <c r="B334">
        <v>2777.3999020000001</v>
      </c>
      <c r="C334">
        <v>2787.3000489999999</v>
      </c>
      <c r="D334">
        <v>2690.1999510000001</v>
      </c>
      <c r="E334">
        <v>2706.1499020000001</v>
      </c>
      <c r="F334" s="4">
        <f t="shared" si="36"/>
        <v>2706.1499020000001</v>
      </c>
      <c r="G334" s="4">
        <f t="shared" si="37"/>
        <v>2846.1999510000001</v>
      </c>
      <c r="H334" s="4" t="str">
        <f t="shared" si="38"/>
        <v>SELL</v>
      </c>
      <c r="I334" s="4">
        <f t="shared" si="35"/>
        <v>-1</v>
      </c>
      <c r="J334" s="11" t="str">
        <f t="shared" si="39"/>
        <v>SELL</v>
      </c>
      <c r="K334" s="6">
        <f t="shared" si="40"/>
        <v>2706.1499020000001</v>
      </c>
      <c r="L334" s="4">
        <f t="shared" si="41"/>
        <v>-4.9205976885353386E-2</v>
      </c>
    </row>
    <row r="335" spans="1:12" x14ac:dyDescent="0.25">
      <c r="A335" s="1">
        <v>41634</v>
      </c>
      <c r="B335">
        <v>2714.6999510000001</v>
      </c>
      <c r="C335">
        <v>2744.8500979999999</v>
      </c>
      <c r="D335">
        <v>2681.3999020000001</v>
      </c>
      <c r="E335">
        <v>2713.8000489999999</v>
      </c>
      <c r="F335" s="4">
        <f t="shared" si="36"/>
        <v>2706.1499020000001</v>
      </c>
      <c r="G335" s="4">
        <f t="shared" si="37"/>
        <v>2846.1999510000001</v>
      </c>
      <c r="H335" s="4">
        <f t="shared" si="38"/>
        <v>0</v>
      </c>
      <c r="I335" s="4">
        <f t="shared" si="35"/>
        <v>-1</v>
      </c>
      <c r="J335" s="11">
        <f t="shared" si="39"/>
        <v>0</v>
      </c>
      <c r="K335" s="6">
        <f t="shared" si="40"/>
        <v>2706.1499020000001</v>
      </c>
      <c r="L335" s="4">
        <f t="shared" si="41"/>
        <v>0</v>
      </c>
    </row>
    <row r="336" spans="1:12" x14ac:dyDescent="0.25">
      <c r="A336" s="1">
        <v>41635</v>
      </c>
      <c r="B336">
        <v>2705.4499510000001</v>
      </c>
      <c r="C336">
        <v>2765.5500489999999</v>
      </c>
      <c r="D336">
        <v>2661.6499020000001</v>
      </c>
      <c r="E336">
        <v>2678.5500489999999</v>
      </c>
      <c r="F336" s="4">
        <f t="shared" si="36"/>
        <v>2678.5500489999999</v>
      </c>
      <c r="G336" s="4">
        <f t="shared" si="37"/>
        <v>2846.1999510000001</v>
      </c>
      <c r="H336" s="4" t="str">
        <f t="shared" si="38"/>
        <v>SELL</v>
      </c>
      <c r="I336" s="4">
        <f t="shared" si="35"/>
        <v>-1</v>
      </c>
      <c r="J336" s="11">
        <f t="shared" si="39"/>
        <v>0</v>
      </c>
      <c r="K336" s="6">
        <f t="shared" si="40"/>
        <v>2706.1499020000001</v>
      </c>
      <c r="L336" s="4">
        <f t="shared" si="41"/>
        <v>0</v>
      </c>
    </row>
    <row r="337" spans="1:12" x14ac:dyDescent="0.25">
      <c r="A337" s="1">
        <v>41638</v>
      </c>
      <c r="B337">
        <v>2686.0500489999999</v>
      </c>
      <c r="C337">
        <v>2777.3000489999999</v>
      </c>
      <c r="D337">
        <v>2685.25</v>
      </c>
      <c r="E337">
        <v>2771.3500979999999</v>
      </c>
      <c r="F337" s="4">
        <f t="shared" si="36"/>
        <v>2678.5500489999999</v>
      </c>
      <c r="G337" s="4">
        <f t="shared" si="37"/>
        <v>2796.6000979999999</v>
      </c>
      <c r="H337" s="4">
        <f t="shared" si="38"/>
        <v>0</v>
      </c>
      <c r="I337" s="4">
        <f t="shared" si="35"/>
        <v>-1</v>
      </c>
      <c r="J337" s="11">
        <f t="shared" si="39"/>
        <v>0</v>
      </c>
      <c r="K337" s="6">
        <f t="shared" si="40"/>
        <v>2706.1499020000001</v>
      </c>
      <c r="L337" s="4">
        <f t="shared" si="41"/>
        <v>0</v>
      </c>
    </row>
    <row r="338" spans="1:12" x14ac:dyDescent="0.25">
      <c r="A338" s="1">
        <v>41639</v>
      </c>
      <c r="B338">
        <v>2771.1000979999999</v>
      </c>
      <c r="C338">
        <v>2855.3999020000001</v>
      </c>
      <c r="D338">
        <v>2765.6000979999999</v>
      </c>
      <c r="E338">
        <v>2849.5</v>
      </c>
      <c r="F338" s="4">
        <f t="shared" si="36"/>
        <v>2678.5500489999999</v>
      </c>
      <c r="G338" s="4">
        <f t="shared" si="37"/>
        <v>2849.5</v>
      </c>
      <c r="H338" s="4" t="str">
        <f t="shared" si="38"/>
        <v>BUY</v>
      </c>
      <c r="I338" s="4">
        <f t="shared" si="35"/>
        <v>1</v>
      </c>
      <c r="J338" s="11" t="str">
        <f t="shared" si="39"/>
        <v>BUY</v>
      </c>
      <c r="K338" s="6">
        <f t="shared" si="40"/>
        <v>2849.5</v>
      </c>
      <c r="L338" s="4">
        <f t="shared" si="41"/>
        <v>-5.29719724299293E-2</v>
      </c>
    </row>
    <row r="339" spans="1:12" x14ac:dyDescent="0.25">
      <c r="A339" s="1">
        <v>41640</v>
      </c>
      <c r="B339">
        <v>2849.3500979999999</v>
      </c>
      <c r="C339">
        <v>2873.8500979999999</v>
      </c>
      <c r="D339">
        <v>2795.3500979999999</v>
      </c>
      <c r="E339">
        <v>2823.9499510000001</v>
      </c>
      <c r="F339" s="4">
        <f t="shared" si="36"/>
        <v>2678.5500489999999</v>
      </c>
      <c r="G339" s="4">
        <f t="shared" si="37"/>
        <v>2849.5</v>
      </c>
      <c r="H339" s="4">
        <f t="shared" si="38"/>
        <v>0</v>
      </c>
      <c r="I339" s="4">
        <f t="shared" si="35"/>
        <v>1</v>
      </c>
      <c r="J339" s="11">
        <f t="shared" si="39"/>
        <v>0</v>
      </c>
      <c r="K339" s="6">
        <f t="shared" si="40"/>
        <v>2849.5</v>
      </c>
      <c r="L339" s="4">
        <f t="shared" si="41"/>
        <v>0</v>
      </c>
    </row>
    <row r="340" spans="1:12" x14ac:dyDescent="0.25">
      <c r="A340" s="1">
        <v>41641</v>
      </c>
      <c r="B340">
        <v>2824.0500489999999</v>
      </c>
      <c r="C340">
        <v>2881</v>
      </c>
      <c r="D340">
        <v>2774.1000979999999</v>
      </c>
      <c r="E340">
        <v>2874.8000489999999</v>
      </c>
      <c r="F340" s="4">
        <f t="shared" si="36"/>
        <v>2678.5500489999999</v>
      </c>
      <c r="G340" s="4">
        <f t="shared" si="37"/>
        <v>2874.8000489999999</v>
      </c>
      <c r="H340" s="4" t="str">
        <f t="shared" si="38"/>
        <v>BUY</v>
      </c>
      <c r="I340" s="4">
        <f t="shared" si="35"/>
        <v>1</v>
      </c>
      <c r="J340" s="11">
        <f t="shared" si="39"/>
        <v>0</v>
      </c>
      <c r="K340" s="6">
        <f t="shared" si="40"/>
        <v>2849.5</v>
      </c>
      <c r="L340" s="4">
        <f t="shared" si="41"/>
        <v>0</v>
      </c>
    </row>
    <row r="341" spans="1:12" x14ac:dyDescent="0.25">
      <c r="A341" s="1">
        <v>41642</v>
      </c>
      <c r="B341">
        <v>2872.3500979999999</v>
      </c>
      <c r="C341">
        <v>2873.4499510000001</v>
      </c>
      <c r="D341">
        <v>2760.6999510000001</v>
      </c>
      <c r="E341">
        <v>2766.6499020000001</v>
      </c>
      <c r="F341" s="4">
        <f t="shared" si="36"/>
        <v>2766.6499020000001</v>
      </c>
      <c r="G341" s="4">
        <f t="shared" si="37"/>
        <v>2874.8000489999999</v>
      </c>
      <c r="H341" s="4">
        <f t="shared" si="38"/>
        <v>0</v>
      </c>
      <c r="I341" s="4">
        <f t="shared" si="35"/>
        <v>1</v>
      </c>
      <c r="J341" s="11">
        <f t="shared" si="39"/>
        <v>0</v>
      </c>
      <c r="K341" s="6">
        <f t="shared" si="40"/>
        <v>2849.5</v>
      </c>
      <c r="L341" s="4">
        <f t="shared" si="41"/>
        <v>0</v>
      </c>
    </row>
    <row r="342" spans="1:12" x14ac:dyDescent="0.25">
      <c r="A342" s="1">
        <v>41645</v>
      </c>
      <c r="B342">
        <v>2773.5</v>
      </c>
      <c r="C342">
        <v>2831.6999510000001</v>
      </c>
      <c r="D342">
        <v>2752.8999020000001</v>
      </c>
      <c r="E342">
        <v>2783.8999020000001</v>
      </c>
      <c r="F342" s="4">
        <f t="shared" si="36"/>
        <v>2766.6499020000001</v>
      </c>
      <c r="G342" s="4">
        <f t="shared" si="37"/>
        <v>2874.8000489999999</v>
      </c>
      <c r="H342" s="4">
        <f t="shared" si="38"/>
        <v>0</v>
      </c>
      <c r="I342" s="4">
        <f t="shared" si="35"/>
        <v>1</v>
      </c>
      <c r="J342" s="11">
        <f t="shared" si="39"/>
        <v>0</v>
      </c>
      <c r="K342" s="6">
        <f t="shared" si="40"/>
        <v>2849.5</v>
      </c>
      <c r="L342" s="4">
        <f t="shared" si="41"/>
        <v>0</v>
      </c>
    </row>
    <row r="343" spans="1:12" x14ac:dyDescent="0.25">
      <c r="A343" s="1">
        <v>41646</v>
      </c>
      <c r="B343">
        <v>2780.6999510000001</v>
      </c>
      <c r="C343">
        <v>2842.1999510000001</v>
      </c>
      <c r="D343">
        <v>2780.6999510000001</v>
      </c>
      <c r="E343">
        <v>2803.0500489999999</v>
      </c>
      <c r="F343" s="4">
        <f t="shared" si="36"/>
        <v>2766.6499020000001</v>
      </c>
      <c r="G343" s="4">
        <f t="shared" si="37"/>
        <v>2874.8000489999999</v>
      </c>
      <c r="H343" s="4">
        <f t="shared" si="38"/>
        <v>0</v>
      </c>
      <c r="I343" s="4">
        <f t="shared" si="35"/>
        <v>1</v>
      </c>
      <c r="J343" s="11">
        <f t="shared" si="39"/>
        <v>0</v>
      </c>
      <c r="K343" s="6">
        <f t="shared" si="40"/>
        <v>2849.5</v>
      </c>
      <c r="L343" s="4">
        <f t="shared" si="41"/>
        <v>0</v>
      </c>
    </row>
    <row r="344" spans="1:12" x14ac:dyDescent="0.25">
      <c r="A344" s="1">
        <v>41647</v>
      </c>
      <c r="B344">
        <v>2802.75</v>
      </c>
      <c r="C344">
        <v>2816.8000489999999</v>
      </c>
      <c r="D344">
        <v>2754.8500979999999</v>
      </c>
      <c r="E344">
        <v>2780.0500489999999</v>
      </c>
      <c r="F344" s="4">
        <f t="shared" si="36"/>
        <v>2766.6499020000001</v>
      </c>
      <c r="G344" s="4">
        <f t="shared" si="37"/>
        <v>2874.8000489999999</v>
      </c>
      <c r="H344" s="4">
        <f t="shared" si="38"/>
        <v>0</v>
      </c>
      <c r="I344" s="4">
        <f t="shared" si="35"/>
        <v>1</v>
      </c>
      <c r="J344" s="11">
        <f t="shared" si="39"/>
        <v>0</v>
      </c>
      <c r="K344" s="6">
        <f t="shared" si="40"/>
        <v>2849.5</v>
      </c>
      <c r="L344" s="4">
        <f t="shared" si="41"/>
        <v>0</v>
      </c>
    </row>
    <row r="345" spans="1:12" x14ac:dyDescent="0.25">
      <c r="A345" s="1">
        <v>41648</v>
      </c>
      <c r="B345">
        <v>2779.3500979999999</v>
      </c>
      <c r="C345">
        <v>2852.5</v>
      </c>
      <c r="D345">
        <v>2778.6499020000001</v>
      </c>
      <c r="E345">
        <v>2843.1000979999999</v>
      </c>
      <c r="F345" s="4">
        <f t="shared" si="36"/>
        <v>2766.6499020000001</v>
      </c>
      <c r="G345" s="4">
        <f t="shared" si="37"/>
        <v>2843.1000979999999</v>
      </c>
      <c r="H345" s="4">
        <f t="shared" si="38"/>
        <v>0</v>
      </c>
      <c r="I345" s="4">
        <f t="shared" si="35"/>
        <v>1</v>
      </c>
      <c r="J345" s="11">
        <f t="shared" si="39"/>
        <v>0</v>
      </c>
      <c r="K345" s="6">
        <f t="shared" si="40"/>
        <v>2849.5</v>
      </c>
      <c r="L345" s="4">
        <f t="shared" si="41"/>
        <v>0</v>
      </c>
    </row>
    <row r="346" spans="1:12" x14ac:dyDescent="0.25">
      <c r="A346" s="1">
        <v>41649</v>
      </c>
      <c r="B346">
        <v>2843.0500489999999</v>
      </c>
      <c r="C346">
        <v>2926.75</v>
      </c>
      <c r="D346">
        <v>2840.1499020000001</v>
      </c>
      <c r="E346">
        <v>2919.8999020000001</v>
      </c>
      <c r="F346" s="4">
        <f t="shared" si="36"/>
        <v>2780.0500489999999</v>
      </c>
      <c r="G346" s="4">
        <f t="shared" si="37"/>
        <v>2919.8999020000001</v>
      </c>
      <c r="H346" s="4" t="str">
        <f t="shared" si="38"/>
        <v>BUY</v>
      </c>
      <c r="I346" s="4">
        <f t="shared" si="35"/>
        <v>1</v>
      </c>
      <c r="J346" s="11">
        <f t="shared" si="39"/>
        <v>0</v>
      </c>
      <c r="K346" s="6">
        <f t="shared" si="40"/>
        <v>2849.5</v>
      </c>
      <c r="L346" s="4">
        <f t="shared" si="41"/>
        <v>0</v>
      </c>
    </row>
    <row r="347" spans="1:12" x14ac:dyDescent="0.25">
      <c r="A347" s="1">
        <v>41652</v>
      </c>
      <c r="B347">
        <v>2919.6999510000001</v>
      </c>
      <c r="C347">
        <v>2957.3999020000001</v>
      </c>
      <c r="D347">
        <v>2891.75</v>
      </c>
      <c r="E347">
        <v>2934.5</v>
      </c>
      <c r="F347" s="4">
        <f t="shared" si="36"/>
        <v>2780.0500489999999</v>
      </c>
      <c r="G347" s="4">
        <f t="shared" si="37"/>
        <v>2934.5</v>
      </c>
      <c r="H347" s="4" t="str">
        <f t="shared" si="38"/>
        <v>BUY</v>
      </c>
      <c r="I347" s="4">
        <f t="shared" si="35"/>
        <v>1</v>
      </c>
      <c r="J347" s="11">
        <f t="shared" si="39"/>
        <v>0</v>
      </c>
      <c r="K347" s="6">
        <f t="shared" si="40"/>
        <v>2849.5</v>
      </c>
      <c r="L347" s="4">
        <f t="shared" si="41"/>
        <v>0</v>
      </c>
    </row>
    <row r="348" spans="1:12" x14ac:dyDescent="0.25">
      <c r="A348" s="1">
        <v>41653</v>
      </c>
      <c r="B348">
        <v>2933</v>
      </c>
      <c r="C348">
        <v>2937.5</v>
      </c>
      <c r="D348">
        <v>2877.6000979999999</v>
      </c>
      <c r="E348">
        <v>2925.6999510000001</v>
      </c>
      <c r="F348" s="4">
        <f t="shared" si="36"/>
        <v>2780.0500489999999</v>
      </c>
      <c r="G348" s="4">
        <f t="shared" si="37"/>
        <v>2934.5</v>
      </c>
      <c r="H348" s="4">
        <f t="shared" si="38"/>
        <v>0</v>
      </c>
      <c r="I348" s="4">
        <f t="shared" si="35"/>
        <v>1</v>
      </c>
      <c r="J348" s="11">
        <f t="shared" si="39"/>
        <v>0</v>
      </c>
      <c r="K348" s="6">
        <f t="shared" si="40"/>
        <v>2849.5</v>
      </c>
      <c r="L348" s="4">
        <f t="shared" si="41"/>
        <v>0</v>
      </c>
    </row>
    <row r="349" spans="1:12" x14ac:dyDescent="0.25">
      <c r="A349" s="1">
        <v>41654</v>
      </c>
      <c r="B349">
        <v>2927.3999020000001</v>
      </c>
      <c r="C349">
        <v>2939</v>
      </c>
      <c r="D349">
        <v>2886.5500489999999</v>
      </c>
      <c r="E349">
        <v>2893.0500489999999</v>
      </c>
      <c r="F349" s="4">
        <f t="shared" si="36"/>
        <v>2843.1000979999999</v>
      </c>
      <c r="G349" s="4">
        <f t="shared" si="37"/>
        <v>2934.5</v>
      </c>
      <c r="H349" s="4">
        <f t="shared" si="38"/>
        <v>0</v>
      </c>
      <c r="I349" s="4">
        <f t="shared" si="35"/>
        <v>1</v>
      </c>
      <c r="J349" s="11">
        <f t="shared" si="39"/>
        <v>0</v>
      </c>
      <c r="K349" s="6">
        <f t="shared" si="40"/>
        <v>2849.5</v>
      </c>
      <c r="L349" s="4">
        <f t="shared" si="41"/>
        <v>0</v>
      </c>
    </row>
    <row r="350" spans="1:12" x14ac:dyDescent="0.25">
      <c r="A350" s="1">
        <v>41655</v>
      </c>
      <c r="B350">
        <v>2896.9499510000001</v>
      </c>
      <c r="C350">
        <v>2969.75</v>
      </c>
      <c r="D350">
        <v>2896.8500979999999</v>
      </c>
      <c r="E350">
        <v>2948.3500979999999</v>
      </c>
      <c r="F350" s="4">
        <f t="shared" si="36"/>
        <v>2893.0500489999999</v>
      </c>
      <c r="G350" s="4">
        <f t="shared" si="37"/>
        <v>2948.3500979999999</v>
      </c>
      <c r="H350" s="4" t="str">
        <f t="shared" si="38"/>
        <v>BUY</v>
      </c>
      <c r="I350" s="4">
        <f t="shared" si="35"/>
        <v>1</v>
      </c>
      <c r="J350" s="11">
        <f t="shared" si="39"/>
        <v>0</v>
      </c>
      <c r="K350" s="6">
        <f t="shared" si="40"/>
        <v>2849.5</v>
      </c>
      <c r="L350" s="4">
        <f t="shared" si="41"/>
        <v>0</v>
      </c>
    </row>
    <row r="351" spans="1:12" x14ac:dyDescent="0.25">
      <c r="A351" s="1">
        <v>41656</v>
      </c>
      <c r="B351">
        <v>2948.25</v>
      </c>
      <c r="C351">
        <v>2953.1999510000001</v>
      </c>
      <c r="D351">
        <v>2839.1000979999999</v>
      </c>
      <c r="E351">
        <v>2848.5</v>
      </c>
      <c r="F351" s="4">
        <f t="shared" si="36"/>
        <v>2848.5</v>
      </c>
      <c r="G351" s="4">
        <f t="shared" si="37"/>
        <v>2948.3500979999999</v>
      </c>
      <c r="H351" s="4" t="str">
        <f t="shared" si="38"/>
        <v>SELL</v>
      </c>
      <c r="I351" s="4">
        <f t="shared" si="35"/>
        <v>-1</v>
      </c>
      <c r="J351" s="11" t="str">
        <f t="shared" si="39"/>
        <v>SELL</v>
      </c>
      <c r="K351" s="6">
        <f t="shared" si="40"/>
        <v>2848.5</v>
      </c>
      <c r="L351" s="4">
        <f t="shared" si="41"/>
        <v>-3.5093876118617303E-4</v>
      </c>
    </row>
    <row r="352" spans="1:12" x14ac:dyDescent="0.25">
      <c r="A352" s="1">
        <v>41659</v>
      </c>
      <c r="B352">
        <v>2853.8500979999999</v>
      </c>
      <c r="C352">
        <v>2854.6499020000001</v>
      </c>
      <c r="D352">
        <v>2757.3000489999999</v>
      </c>
      <c r="E352">
        <v>2770.5</v>
      </c>
      <c r="F352" s="4">
        <f t="shared" si="36"/>
        <v>2770.5</v>
      </c>
      <c r="G352" s="4">
        <f t="shared" si="37"/>
        <v>2948.3500979999999</v>
      </c>
      <c r="H352" s="4" t="str">
        <f t="shared" si="38"/>
        <v>SELL</v>
      </c>
      <c r="I352" s="4">
        <f t="shared" si="35"/>
        <v>-1</v>
      </c>
      <c r="J352" s="11">
        <f t="shared" si="39"/>
        <v>0</v>
      </c>
      <c r="K352" s="6">
        <f t="shared" si="40"/>
        <v>2848.5</v>
      </c>
      <c r="L352" s="4">
        <f t="shared" si="41"/>
        <v>0</v>
      </c>
    </row>
    <row r="353" spans="1:12" x14ac:dyDescent="0.25">
      <c r="A353" s="1">
        <v>41660</v>
      </c>
      <c r="B353">
        <v>2755.1499020000001</v>
      </c>
      <c r="C353">
        <v>2806.5</v>
      </c>
      <c r="D353">
        <v>2736.6499020000001</v>
      </c>
      <c r="E353">
        <v>2776.1499020000001</v>
      </c>
      <c r="F353" s="4">
        <f t="shared" si="36"/>
        <v>2770.5</v>
      </c>
      <c r="G353" s="4">
        <f t="shared" si="37"/>
        <v>2948.3500979999999</v>
      </c>
      <c r="H353" s="4">
        <f t="shared" si="38"/>
        <v>0</v>
      </c>
      <c r="I353" s="4">
        <f t="shared" si="35"/>
        <v>-1</v>
      </c>
      <c r="J353" s="11">
        <f t="shared" si="39"/>
        <v>0</v>
      </c>
      <c r="K353" s="6">
        <f t="shared" si="40"/>
        <v>2848.5</v>
      </c>
      <c r="L353" s="4">
        <f t="shared" si="41"/>
        <v>0</v>
      </c>
    </row>
    <row r="354" spans="1:12" x14ac:dyDescent="0.25">
      <c r="A354" s="1">
        <v>41661</v>
      </c>
      <c r="B354">
        <v>2776.6999510000001</v>
      </c>
      <c r="C354">
        <v>2802.1499020000001</v>
      </c>
      <c r="D354">
        <v>2767.6000979999999</v>
      </c>
      <c r="E354">
        <v>2789.3500979999999</v>
      </c>
      <c r="F354" s="4">
        <f t="shared" si="36"/>
        <v>2770.5</v>
      </c>
      <c r="G354" s="4">
        <f t="shared" si="37"/>
        <v>2948.3500979999999</v>
      </c>
      <c r="H354" s="4">
        <f t="shared" si="38"/>
        <v>0</v>
      </c>
      <c r="I354" s="4">
        <f t="shared" si="35"/>
        <v>-1</v>
      </c>
      <c r="J354" s="11">
        <f t="shared" si="39"/>
        <v>0</v>
      </c>
      <c r="K354" s="6">
        <f t="shared" si="40"/>
        <v>2848.5</v>
      </c>
      <c r="L354" s="4">
        <f t="shared" si="41"/>
        <v>0</v>
      </c>
    </row>
    <row r="355" spans="1:12" x14ac:dyDescent="0.25">
      <c r="A355" s="1">
        <v>41662</v>
      </c>
      <c r="B355">
        <v>2789.3000489999999</v>
      </c>
      <c r="C355">
        <v>2789.3000489999999</v>
      </c>
      <c r="D355">
        <v>2709.3000489999999</v>
      </c>
      <c r="E355">
        <v>2736.4499510000001</v>
      </c>
      <c r="F355" s="4">
        <f t="shared" si="36"/>
        <v>2736.4499510000001</v>
      </c>
      <c r="G355" s="4">
        <f t="shared" si="37"/>
        <v>2848.5</v>
      </c>
      <c r="H355" s="4" t="str">
        <f t="shared" si="38"/>
        <v>SELL</v>
      </c>
      <c r="I355" s="4">
        <f t="shared" si="35"/>
        <v>-1</v>
      </c>
      <c r="J355" s="11">
        <f t="shared" si="39"/>
        <v>0</v>
      </c>
      <c r="K355" s="6">
        <f t="shared" si="40"/>
        <v>2848.5</v>
      </c>
      <c r="L355" s="4">
        <f t="shared" si="41"/>
        <v>0</v>
      </c>
    </row>
    <row r="356" spans="1:12" x14ac:dyDescent="0.25">
      <c r="A356" s="1">
        <v>41663</v>
      </c>
      <c r="B356">
        <v>2737.25</v>
      </c>
      <c r="C356">
        <v>2746.1999510000001</v>
      </c>
      <c r="D356">
        <v>2677.5500489999999</v>
      </c>
      <c r="E356">
        <v>2733.8999020000001</v>
      </c>
      <c r="F356" s="4">
        <f t="shared" si="36"/>
        <v>2733.8999020000001</v>
      </c>
      <c r="G356" s="4">
        <f t="shared" si="37"/>
        <v>2789.3500979999999</v>
      </c>
      <c r="H356" s="4" t="str">
        <f t="shared" si="38"/>
        <v>SELL</v>
      </c>
      <c r="I356" s="4">
        <f t="shared" si="35"/>
        <v>-1</v>
      </c>
      <c r="J356" s="11">
        <f t="shared" si="39"/>
        <v>0</v>
      </c>
      <c r="K356" s="6">
        <f t="shared" si="40"/>
        <v>2848.5</v>
      </c>
      <c r="L356" s="4">
        <f t="shared" si="41"/>
        <v>0</v>
      </c>
    </row>
    <row r="357" spans="1:12" x14ac:dyDescent="0.25">
      <c r="A357" s="1">
        <v>41666</v>
      </c>
      <c r="B357">
        <v>2733.4499510000001</v>
      </c>
      <c r="C357">
        <v>2789.3500979999999</v>
      </c>
      <c r="D357">
        <v>2733.4499510000001</v>
      </c>
      <c r="E357">
        <v>2762.5</v>
      </c>
      <c r="F357" s="4">
        <f t="shared" si="36"/>
        <v>2733.8999020000001</v>
      </c>
      <c r="G357" s="4">
        <f t="shared" si="37"/>
        <v>2789.3500979999999</v>
      </c>
      <c r="H357" s="4">
        <f t="shared" si="38"/>
        <v>0</v>
      </c>
      <c r="I357" s="4">
        <f t="shared" si="35"/>
        <v>-1</v>
      </c>
      <c r="J357" s="11">
        <f t="shared" si="39"/>
        <v>0</v>
      </c>
      <c r="K357" s="6">
        <f t="shared" si="40"/>
        <v>2848.5</v>
      </c>
      <c r="L357" s="4">
        <f t="shared" si="41"/>
        <v>0</v>
      </c>
    </row>
    <row r="358" spans="1:12" x14ac:dyDescent="0.25">
      <c r="A358" s="1">
        <v>41667</v>
      </c>
      <c r="B358">
        <v>2762.1999510000001</v>
      </c>
      <c r="C358">
        <v>2797.8000489999999</v>
      </c>
      <c r="D358">
        <v>2731.8999020000001</v>
      </c>
      <c r="E358">
        <v>2785.6499020000001</v>
      </c>
      <c r="F358" s="4">
        <f t="shared" si="36"/>
        <v>2733.8999020000001</v>
      </c>
      <c r="G358" s="4">
        <f t="shared" si="37"/>
        <v>2789.3500979999999</v>
      </c>
      <c r="H358" s="4">
        <f t="shared" si="38"/>
        <v>0</v>
      </c>
      <c r="I358" s="4">
        <f t="shared" si="35"/>
        <v>-1</v>
      </c>
      <c r="J358" s="11">
        <f t="shared" si="39"/>
        <v>0</v>
      </c>
      <c r="K358" s="6">
        <f t="shared" si="40"/>
        <v>2848.5</v>
      </c>
      <c r="L358" s="4">
        <f t="shared" si="41"/>
        <v>0</v>
      </c>
    </row>
    <row r="359" spans="1:12" x14ac:dyDescent="0.25">
      <c r="A359" s="1">
        <v>41668</v>
      </c>
      <c r="B359">
        <v>2785.6999510000001</v>
      </c>
      <c r="C359">
        <v>2787.1999510000001</v>
      </c>
      <c r="D359">
        <v>2708.4499510000001</v>
      </c>
      <c r="E359">
        <v>2763.6499020000001</v>
      </c>
      <c r="F359" s="4">
        <f t="shared" si="36"/>
        <v>2733.8999020000001</v>
      </c>
      <c r="G359" s="4">
        <f t="shared" si="37"/>
        <v>2785.6499020000001</v>
      </c>
      <c r="H359" s="4">
        <f t="shared" si="38"/>
        <v>0</v>
      </c>
      <c r="I359" s="4">
        <f t="shared" si="35"/>
        <v>-1</v>
      </c>
      <c r="J359" s="11">
        <f t="shared" si="39"/>
        <v>0</v>
      </c>
      <c r="K359" s="6">
        <f t="shared" si="40"/>
        <v>2848.5</v>
      </c>
      <c r="L359" s="4">
        <f t="shared" si="41"/>
        <v>0</v>
      </c>
    </row>
    <row r="360" spans="1:12" x14ac:dyDescent="0.25">
      <c r="A360" s="1">
        <v>41669</v>
      </c>
      <c r="B360">
        <v>2764.6000979999999</v>
      </c>
      <c r="C360">
        <v>2764.6000979999999</v>
      </c>
      <c r="D360">
        <v>2659.5500489999999</v>
      </c>
      <c r="E360">
        <v>2674.6000979999999</v>
      </c>
      <c r="F360" s="4">
        <f t="shared" si="36"/>
        <v>2674.6000979999999</v>
      </c>
      <c r="G360" s="4">
        <f t="shared" si="37"/>
        <v>2785.6499020000001</v>
      </c>
      <c r="H360" s="4" t="str">
        <f t="shared" si="38"/>
        <v>SELL</v>
      </c>
      <c r="I360" s="4">
        <f t="shared" si="35"/>
        <v>-1</v>
      </c>
      <c r="J360" s="11">
        <f t="shared" si="39"/>
        <v>0</v>
      </c>
      <c r="K360" s="6">
        <f t="shared" si="40"/>
        <v>2848.5</v>
      </c>
      <c r="L360" s="4">
        <f t="shared" si="41"/>
        <v>0</v>
      </c>
    </row>
    <row r="361" spans="1:12" x14ac:dyDescent="0.25">
      <c r="A361" s="1">
        <v>41670</v>
      </c>
      <c r="B361">
        <v>2672.1499020000001</v>
      </c>
      <c r="C361">
        <v>2688.5</v>
      </c>
      <c r="D361">
        <v>2611.5500489999999</v>
      </c>
      <c r="E361">
        <v>2622.3999020000001</v>
      </c>
      <c r="F361" s="4">
        <f t="shared" si="36"/>
        <v>2622.3999020000001</v>
      </c>
      <c r="G361" s="4">
        <f t="shared" si="37"/>
        <v>2785.6499020000001</v>
      </c>
      <c r="H361" s="4" t="str">
        <f t="shared" si="38"/>
        <v>SELL</v>
      </c>
      <c r="I361" s="4">
        <f t="shared" si="35"/>
        <v>-1</v>
      </c>
      <c r="J361" s="11">
        <f t="shared" si="39"/>
        <v>0</v>
      </c>
      <c r="K361" s="6">
        <f t="shared" si="40"/>
        <v>2848.5</v>
      </c>
      <c r="L361" s="4">
        <f t="shared" si="41"/>
        <v>0</v>
      </c>
    </row>
    <row r="362" spans="1:12" x14ac:dyDescent="0.25">
      <c r="A362" s="1">
        <v>41673</v>
      </c>
      <c r="B362">
        <v>2611.9499510000001</v>
      </c>
      <c r="C362">
        <v>2655.6999510000001</v>
      </c>
      <c r="D362">
        <v>2611.9499510000001</v>
      </c>
      <c r="E362">
        <v>2645.1999510000001</v>
      </c>
      <c r="F362" s="4">
        <f t="shared" si="36"/>
        <v>2622.3999020000001</v>
      </c>
      <c r="G362" s="4">
        <f t="shared" si="37"/>
        <v>2785.6499020000001</v>
      </c>
      <c r="H362" s="4">
        <f t="shared" si="38"/>
        <v>0</v>
      </c>
      <c r="I362" s="4">
        <f t="shared" si="35"/>
        <v>-1</v>
      </c>
      <c r="J362" s="11">
        <f t="shared" si="39"/>
        <v>0</v>
      </c>
      <c r="K362" s="6">
        <f t="shared" si="40"/>
        <v>2848.5</v>
      </c>
      <c r="L362" s="4">
        <f t="shared" si="41"/>
        <v>0</v>
      </c>
    </row>
    <row r="363" spans="1:12" x14ac:dyDescent="0.25">
      <c r="A363" s="1">
        <v>41674</v>
      </c>
      <c r="B363">
        <v>2645.8999020000001</v>
      </c>
      <c r="C363">
        <v>2663.8999020000001</v>
      </c>
      <c r="D363">
        <v>2564.1000979999999</v>
      </c>
      <c r="E363">
        <v>2576.6999510000001</v>
      </c>
      <c r="F363" s="4">
        <f t="shared" si="36"/>
        <v>2576.6999510000001</v>
      </c>
      <c r="G363" s="4">
        <f t="shared" si="37"/>
        <v>2763.6499020000001</v>
      </c>
      <c r="H363" s="4" t="str">
        <f t="shared" si="38"/>
        <v>SELL</v>
      </c>
      <c r="I363" s="4">
        <f t="shared" si="35"/>
        <v>-1</v>
      </c>
      <c r="J363" s="11">
        <f t="shared" si="39"/>
        <v>0</v>
      </c>
      <c r="K363" s="6">
        <f t="shared" si="40"/>
        <v>2848.5</v>
      </c>
      <c r="L363" s="4">
        <f t="shared" si="41"/>
        <v>0</v>
      </c>
    </row>
    <row r="364" spans="1:12" x14ac:dyDescent="0.25">
      <c r="A364" s="1">
        <v>41675</v>
      </c>
      <c r="B364">
        <v>2576.75</v>
      </c>
      <c r="C364">
        <v>2628.1000979999999</v>
      </c>
      <c r="D364">
        <v>2539.4499510000001</v>
      </c>
      <c r="E364">
        <v>2620.1499020000001</v>
      </c>
      <c r="F364" s="4">
        <f t="shared" si="36"/>
        <v>2576.6999510000001</v>
      </c>
      <c r="G364" s="4">
        <f t="shared" si="37"/>
        <v>2674.6000979999999</v>
      </c>
      <c r="H364" s="4">
        <f t="shared" si="38"/>
        <v>0</v>
      </c>
      <c r="I364" s="4">
        <f t="shared" si="35"/>
        <v>-1</v>
      </c>
      <c r="J364" s="11">
        <f t="shared" si="39"/>
        <v>0</v>
      </c>
      <c r="K364" s="6">
        <f t="shared" si="40"/>
        <v>2848.5</v>
      </c>
      <c r="L364" s="4">
        <f t="shared" si="41"/>
        <v>0</v>
      </c>
    </row>
    <row r="365" spans="1:12" x14ac:dyDescent="0.25">
      <c r="A365" s="1">
        <v>41676</v>
      </c>
      <c r="B365">
        <v>2620.1000979999999</v>
      </c>
      <c r="C365">
        <v>2621.25</v>
      </c>
      <c r="D365">
        <v>2555.6000979999999</v>
      </c>
      <c r="E365">
        <v>2573.1499020000001</v>
      </c>
      <c r="F365" s="4">
        <f t="shared" si="36"/>
        <v>2573.1499020000001</v>
      </c>
      <c r="G365" s="4">
        <f t="shared" si="37"/>
        <v>2645.1999510000001</v>
      </c>
      <c r="H365" s="4" t="str">
        <f t="shared" si="38"/>
        <v>SELL</v>
      </c>
      <c r="I365" s="4">
        <f t="shared" si="35"/>
        <v>-1</v>
      </c>
      <c r="J365" s="11">
        <f t="shared" si="39"/>
        <v>0</v>
      </c>
      <c r="K365" s="6">
        <f t="shared" si="40"/>
        <v>2848.5</v>
      </c>
      <c r="L365" s="4">
        <f t="shared" si="41"/>
        <v>0</v>
      </c>
    </row>
    <row r="366" spans="1:12" x14ac:dyDescent="0.25">
      <c r="A366" s="1">
        <v>41677</v>
      </c>
      <c r="B366">
        <v>2574.5</v>
      </c>
      <c r="C366">
        <v>2646.1000979999999</v>
      </c>
      <c r="D366">
        <v>2574.5</v>
      </c>
      <c r="E366">
        <v>2617.4499510000001</v>
      </c>
      <c r="F366" s="4">
        <f t="shared" si="36"/>
        <v>2573.1499020000001</v>
      </c>
      <c r="G366" s="4">
        <f t="shared" si="37"/>
        <v>2645.1999510000001</v>
      </c>
      <c r="H366" s="4">
        <f t="shared" si="38"/>
        <v>0</v>
      </c>
      <c r="I366" s="4">
        <f t="shared" si="35"/>
        <v>-1</v>
      </c>
      <c r="J366" s="11">
        <f t="shared" si="39"/>
        <v>0</v>
      </c>
      <c r="K366" s="6">
        <f t="shared" si="40"/>
        <v>2848.5</v>
      </c>
      <c r="L366" s="4">
        <f t="shared" si="41"/>
        <v>0</v>
      </c>
    </row>
    <row r="367" spans="1:12" x14ac:dyDescent="0.25">
      <c r="A367" s="1">
        <v>41680</v>
      </c>
      <c r="B367">
        <v>2616.6000979999999</v>
      </c>
      <c r="C367">
        <v>2726.1499020000001</v>
      </c>
      <c r="D367">
        <v>2616.6000979999999</v>
      </c>
      <c r="E367">
        <v>2719.25</v>
      </c>
      <c r="F367" s="4">
        <f t="shared" si="36"/>
        <v>2573.1499020000001</v>
      </c>
      <c r="G367" s="4">
        <f t="shared" si="37"/>
        <v>2719.25</v>
      </c>
      <c r="H367" s="4" t="str">
        <f t="shared" si="38"/>
        <v>BUY</v>
      </c>
      <c r="I367" s="4">
        <f t="shared" si="35"/>
        <v>1</v>
      </c>
      <c r="J367" s="11" t="str">
        <f t="shared" si="39"/>
        <v>BUY</v>
      </c>
      <c r="K367" s="6">
        <f t="shared" si="40"/>
        <v>2719.25</v>
      </c>
      <c r="L367" s="4">
        <f t="shared" si="41"/>
        <v>4.5374758644900828E-2</v>
      </c>
    </row>
    <row r="368" spans="1:12" x14ac:dyDescent="0.25">
      <c r="A368" s="1">
        <v>41681</v>
      </c>
      <c r="B368">
        <v>2716.0500489999999</v>
      </c>
      <c r="C368">
        <v>2781.9499510000001</v>
      </c>
      <c r="D368">
        <v>2701.9499510000001</v>
      </c>
      <c r="E368">
        <v>2777.25</v>
      </c>
      <c r="F368" s="4">
        <f t="shared" si="36"/>
        <v>2573.1499020000001</v>
      </c>
      <c r="G368" s="4">
        <f t="shared" si="37"/>
        <v>2777.25</v>
      </c>
      <c r="H368" s="4" t="str">
        <f t="shared" si="38"/>
        <v>BUY</v>
      </c>
      <c r="I368" s="4">
        <f t="shared" si="35"/>
        <v>1</v>
      </c>
      <c r="J368" s="11">
        <f t="shared" si="39"/>
        <v>0</v>
      </c>
      <c r="K368" s="6">
        <f t="shared" si="40"/>
        <v>2719.25</v>
      </c>
      <c r="L368" s="4">
        <f t="shared" si="41"/>
        <v>0</v>
      </c>
    </row>
    <row r="369" spans="1:12" x14ac:dyDescent="0.25">
      <c r="A369" s="1">
        <v>41682</v>
      </c>
      <c r="B369">
        <v>2776.3500979999999</v>
      </c>
      <c r="C369">
        <v>2805.6000979999999</v>
      </c>
      <c r="D369">
        <v>2738.6999510000001</v>
      </c>
      <c r="E369">
        <v>2757.4499510000001</v>
      </c>
      <c r="F369" s="4">
        <f t="shared" si="36"/>
        <v>2573.1499020000001</v>
      </c>
      <c r="G369" s="4">
        <f t="shared" si="37"/>
        <v>2777.25</v>
      </c>
      <c r="H369" s="4">
        <f t="shared" si="38"/>
        <v>0</v>
      </c>
      <c r="I369" s="4">
        <f t="shared" si="35"/>
        <v>1</v>
      </c>
      <c r="J369" s="11">
        <f t="shared" si="39"/>
        <v>0</v>
      </c>
      <c r="K369" s="6">
        <f t="shared" si="40"/>
        <v>2719.25</v>
      </c>
      <c r="L369" s="4">
        <f t="shared" si="41"/>
        <v>0</v>
      </c>
    </row>
    <row r="370" spans="1:12" x14ac:dyDescent="0.25">
      <c r="A370" s="1">
        <v>41683</v>
      </c>
      <c r="B370">
        <v>2757.6499020000001</v>
      </c>
      <c r="C370">
        <v>2836.0500489999999</v>
      </c>
      <c r="D370">
        <v>2752.25</v>
      </c>
      <c r="E370">
        <v>2794.6999510000001</v>
      </c>
      <c r="F370" s="4">
        <f t="shared" si="36"/>
        <v>2617.4499510000001</v>
      </c>
      <c r="G370" s="4">
        <f t="shared" si="37"/>
        <v>2794.6999510000001</v>
      </c>
      <c r="H370" s="4" t="str">
        <f t="shared" si="38"/>
        <v>BUY</v>
      </c>
      <c r="I370" s="4">
        <f t="shared" si="35"/>
        <v>1</v>
      </c>
      <c r="J370" s="11">
        <f t="shared" si="39"/>
        <v>0</v>
      </c>
      <c r="K370" s="6">
        <f t="shared" si="40"/>
        <v>2719.25</v>
      </c>
      <c r="L370" s="4">
        <f t="shared" si="41"/>
        <v>0</v>
      </c>
    </row>
    <row r="371" spans="1:12" x14ac:dyDescent="0.25">
      <c r="A371" s="1">
        <v>41684</v>
      </c>
      <c r="B371">
        <v>2797.0500489999999</v>
      </c>
      <c r="C371">
        <v>2822.25</v>
      </c>
      <c r="D371">
        <v>2771.3500979999999</v>
      </c>
      <c r="E371">
        <v>2807.1499020000001</v>
      </c>
      <c r="F371" s="4">
        <f t="shared" si="36"/>
        <v>2719.25</v>
      </c>
      <c r="G371" s="4">
        <f t="shared" si="37"/>
        <v>2807.1499020000001</v>
      </c>
      <c r="H371" s="4" t="str">
        <f t="shared" si="38"/>
        <v>BUY</v>
      </c>
      <c r="I371" s="4">
        <f t="shared" si="35"/>
        <v>1</v>
      </c>
      <c r="J371" s="11">
        <f t="shared" si="39"/>
        <v>0</v>
      </c>
      <c r="K371" s="6">
        <f t="shared" si="40"/>
        <v>2719.25</v>
      </c>
      <c r="L371" s="4">
        <f t="shared" si="41"/>
        <v>0</v>
      </c>
    </row>
    <row r="372" spans="1:12" x14ac:dyDescent="0.25">
      <c r="A372" s="1">
        <v>41687</v>
      </c>
      <c r="B372">
        <v>2807.3500979999999</v>
      </c>
      <c r="C372">
        <v>2816.1000979999999</v>
      </c>
      <c r="D372">
        <v>2773.6499020000001</v>
      </c>
      <c r="E372">
        <v>2807.0500489999999</v>
      </c>
      <c r="F372" s="4">
        <f t="shared" si="36"/>
        <v>2757.4499510000001</v>
      </c>
      <c r="G372" s="4">
        <f t="shared" si="37"/>
        <v>2807.1499020000001</v>
      </c>
      <c r="H372" s="4">
        <f t="shared" si="38"/>
        <v>0</v>
      </c>
      <c r="I372" s="4">
        <f t="shared" si="35"/>
        <v>1</v>
      </c>
      <c r="J372" s="11">
        <f t="shared" si="39"/>
        <v>0</v>
      </c>
      <c r="K372" s="6">
        <f t="shared" si="40"/>
        <v>2719.25</v>
      </c>
      <c r="L372" s="4">
        <f t="shared" si="41"/>
        <v>0</v>
      </c>
    </row>
    <row r="373" spans="1:12" x14ac:dyDescent="0.25">
      <c r="A373" s="1">
        <v>41688</v>
      </c>
      <c r="B373">
        <v>2807.25</v>
      </c>
      <c r="C373">
        <v>2949.75</v>
      </c>
      <c r="D373">
        <v>2807.25</v>
      </c>
      <c r="E373">
        <v>2939.8999020000001</v>
      </c>
      <c r="F373" s="4">
        <f t="shared" si="36"/>
        <v>2757.4499510000001</v>
      </c>
      <c r="G373" s="4">
        <f t="shared" si="37"/>
        <v>2939.8999020000001</v>
      </c>
      <c r="H373" s="4" t="str">
        <f t="shared" si="38"/>
        <v>BUY</v>
      </c>
      <c r="I373" s="4">
        <f t="shared" si="35"/>
        <v>1</v>
      </c>
      <c r="J373" s="11">
        <f t="shared" si="39"/>
        <v>0</v>
      </c>
      <c r="K373" s="6">
        <f t="shared" si="40"/>
        <v>2719.25</v>
      </c>
      <c r="L373" s="4">
        <f t="shared" si="41"/>
        <v>0</v>
      </c>
    </row>
    <row r="374" spans="1:12" x14ac:dyDescent="0.25">
      <c r="A374" s="1">
        <v>41689</v>
      </c>
      <c r="B374">
        <v>2923.8000489999999</v>
      </c>
      <c r="C374">
        <v>3017.3999020000001</v>
      </c>
      <c r="D374">
        <v>2914.5</v>
      </c>
      <c r="E374">
        <v>2938.6999510000001</v>
      </c>
      <c r="F374" s="4">
        <f t="shared" si="36"/>
        <v>2794.6999510000001</v>
      </c>
      <c r="G374" s="4">
        <f t="shared" si="37"/>
        <v>2939.8999020000001</v>
      </c>
      <c r="H374" s="4">
        <f t="shared" si="38"/>
        <v>0</v>
      </c>
      <c r="I374" s="4">
        <f t="shared" si="35"/>
        <v>1</v>
      </c>
      <c r="J374" s="11">
        <f t="shared" si="39"/>
        <v>0</v>
      </c>
      <c r="K374" s="6">
        <f t="shared" si="40"/>
        <v>2719.25</v>
      </c>
      <c r="L374" s="4">
        <f t="shared" si="41"/>
        <v>0</v>
      </c>
    </row>
    <row r="375" spans="1:12" x14ac:dyDescent="0.25">
      <c r="A375" s="1">
        <v>41690</v>
      </c>
      <c r="B375">
        <v>2938.8000489999999</v>
      </c>
      <c r="C375">
        <v>2996.5</v>
      </c>
      <c r="D375">
        <v>2923.3000489999999</v>
      </c>
      <c r="E375">
        <v>2984.3500979999999</v>
      </c>
      <c r="F375" s="4">
        <f t="shared" si="36"/>
        <v>2807.0500489999999</v>
      </c>
      <c r="G375" s="4">
        <f t="shared" si="37"/>
        <v>2984.3500979999999</v>
      </c>
      <c r="H375" s="4" t="str">
        <f t="shared" si="38"/>
        <v>BUY</v>
      </c>
      <c r="I375" s="4">
        <f t="shared" si="35"/>
        <v>1</v>
      </c>
      <c r="J375" s="11">
        <f t="shared" si="39"/>
        <v>0</v>
      </c>
      <c r="K375" s="6">
        <f t="shared" si="40"/>
        <v>2719.25</v>
      </c>
      <c r="L375" s="4">
        <f t="shared" si="41"/>
        <v>0</v>
      </c>
    </row>
    <row r="376" spans="1:12" x14ac:dyDescent="0.25">
      <c r="A376" s="1">
        <v>41691</v>
      </c>
      <c r="B376">
        <v>2982.25</v>
      </c>
      <c r="C376">
        <v>3103.3500979999999</v>
      </c>
      <c r="D376">
        <v>2982.25</v>
      </c>
      <c r="E376">
        <v>3082.25</v>
      </c>
      <c r="F376" s="4">
        <f t="shared" si="36"/>
        <v>2807.0500489999999</v>
      </c>
      <c r="G376" s="4">
        <f t="shared" si="37"/>
        <v>3082.25</v>
      </c>
      <c r="H376" s="4" t="str">
        <f t="shared" si="38"/>
        <v>BUY</v>
      </c>
      <c r="I376" s="4">
        <f t="shared" si="35"/>
        <v>1</v>
      </c>
      <c r="J376" s="11">
        <f t="shared" si="39"/>
        <v>0</v>
      </c>
      <c r="K376" s="6">
        <f t="shared" si="40"/>
        <v>2719.25</v>
      </c>
      <c r="L376" s="4">
        <f t="shared" si="41"/>
        <v>0</v>
      </c>
    </row>
    <row r="377" spans="1:12" x14ac:dyDescent="0.25">
      <c r="A377" s="1">
        <v>41694</v>
      </c>
      <c r="B377">
        <v>3079.3999020000001</v>
      </c>
      <c r="C377">
        <v>3123.3500979999999</v>
      </c>
      <c r="D377">
        <v>3055.8999020000001</v>
      </c>
      <c r="E377">
        <v>3108.6499020000001</v>
      </c>
      <c r="F377" s="4">
        <f t="shared" si="36"/>
        <v>2938.6999510000001</v>
      </c>
      <c r="G377" s="4">
        <f t="shared" si="37"/>
        <v>3108.6499020000001</v>
      </c>
      <c r="H377" s="4" t="str">
        <f t="shared" si="38"/>
        <v>BUY</v>
      </c>
      <c r="I377" s="4">
        <f t="shared" si="35"/>
        <v>1</v>
      </c>
      <c r="J377" s="11">
        <f t="shared" si="39"/>
        <v>0</v>
      </c>
      <c r="K377" s="6">
        <f t="shared" si="40"/>
        <v>2719.25</v>
      </c>
      <c r="L377" s="4">
        <f t="shared" si="41"/>
        <v>0</v>
      </c>
    </row>
    <row r="378" spans="1:12" x14ac:dyDescent="0.25">
      <c r="A378" s="1">
        <v>41695</v>
      </c>
      <c r="B378">
        <v>3108.75</v>
      </c>
      <c r="C378">
        <v>3110.1999510000001</v>
      </c>
      <c r="D378">
        <v>2962.3999020000001</v>
      </c>
      <c r="E378">
        <v>2978.1499020000001</v>
      </c>
      <c r="F378" s="4">
        <f t="shared" si="36"/>
        <v>2938.6999510000001</v>
      </c>
      <c r="G378" s="4">
        <f t="shared" si="37"/>
        <v>3108.6499020000001</v>
      </c>
      <c r="H378" s="4">
        <f t="shared" si="38"/>
        <v>0</v>
      </c>
      <c r="I378" s="4">
        <f t="shared" si="35"/>
        <v>1</v>
      </c>
      <c r="J378" s="11">
        <f t="shared" si="39"/>
        <v>0</v>
      </c>
      <c r="K378" s="6">
        <f t="shared" si="40"/>
        <v>2719.25</v>
      </c>
      <c r="L378" s="4">
        <f t="shared" si="41"/>
        <v>0</v>
      </c>
    </row>
    <row r="379" spans="1:12" x14ac:dyDescent="0.25">
      <c r="A379" s="1">
        <v>41696</v>
      </c>
      <c r="B379">
        <v>2981.6999510000001</v>
      </c>
      <c r="C379">
        <v>3054.3000489999999</v>
      </c>
      <c r="D379">
        <v>2966.3999020000001</v>
      </c>
      <c r="E379">
        <v>3020.9499510000001</v>
      </c>
      <c r="F379" s="4">
        <f t="shared" si="36"/>
        <v>2978.1499020000001</v>
      </c>
      <c r="G379" s="4">
        <f t="shared" si="37"/>
        <v>3108.6499020000001</v>
      </c>
      <c r="H379" s="4">
        <f t="shared" si="38"/>
        <v>0</v>
      </c>
      <c r="I379" s="4">
        <f t="shared" si="35"/>
        <v>1</v>
      </c>
      <c r="J379" s="11">
        <f t="shared" si="39"/>
        <v>0</v>
      </c>
      <c r="K379" s="6">
        <f t="shared" si="40"/>
        <v>2719.25</v>
      </c>
      <c r="L379" s="4">
        <f t="shared" si="41"/>
        <v>0</v>
      </c>
    </row>
    <row r="380" spans="1:12" x14ac:dyDescent="0.25">
      <c r="A380" s="1">
        <v>41697</v>
      </c>
      <c r="B380">
        <v>3023.8500979999999</v>
      </c>
      <c r="C380">
        <v>3069.3000489999999</v>
      </c>
      <c r="D380">
        <v>2965.6999510000001</v>
      </c>
      <c r="E380">
        <v>3060.3500979999999</v>
      </c>
      <c r="F380" s="4">
        <f t="shared" si="36"/>
        <v>2978.1499020000001</v>
      </c>
      <c r="G380" s="4">
        <f t="shared" si="37"/>
        <v>3108.6499020000001</v>
      </c>
      <c r="H380" s="4">
        <f t="shared" si="38"/>
        <v>0</v>
      </c>
      <c r="I380" s="4">
        <f t="shared" si="35"/>
        <v>1</v>
      </c>
      <c r="J380" s="11">
        <f t="shared" si="39"/>
        <v>0</v>
      </c>
      <c r="K380" s="6">
        <f t="shared" si="40"/>
        <v>2719.25</v>
      </c>
      <c r="L380" s="4">
        <f t="shared" si="41"/>
        <v>0</v>
      </c>
    </row>
    <row r="381" spans="1:12" x14ac:dyDescent="0.25">
      <c r="A381" s="1">
        <v>41698</v>
      </c>
      <c r="B381">
        <v>3061.0500489999999</v>
      </c>
      <c r="C381">
        <v>3228.75</v>
      </c>
      <c r="D381">
        <v>3061.0500489999999</v>
      </c>
      <c r="E381">
        <v>3211.0500489999999</v>
      </c>
      <c r="F381" s="4">
        <f t="shared" si="36"/>
        <v>2978.1499020000001</v>
      </c>
      <c r="G381" s="4">
        <f t="shared" si="37"/>
        <v>3211.0500489999999</v>
      </c>
      <c r="H381" s="4" t="str">
        <f t="shared" si="38"/>
        <v>BUY</v>
      </c>
      <c r="I381" s="4">
        <f t="shared" si="35"/>
        <v>1</v>
      </c>
      <c r="J381" s="11">
        <f t="shared" si="39"/>
        <v>0</v>
      </c>
      <c r="K381" s="6">
        <f t="shared" si="40"/>
        <v>2719.25</v>
      </c>
      <c r="L381" s="4">
        <f t="shared" si="41"/>
        <v>0</v>
      </c>
    </row>
    <row r="382" spans="1:12" x14ac:dyDescent="0.25">
      <c r="A382" s="1">
        <v>41701</v>
      </c>
      <c r="B382">
        <v>3211.3500979999999</v>
      </c>
      <c r="C382">
        <v>3303.8999020000001</v>
      </c>
      <c r="D382">
        <v>3211.3500979999999</v>
      </c>
      <c r="E382">
        <v>3256.6000979999999</v>
      </c>
      <c r="F382" s="4">
        <f t="shared" si="36"/>
        <v>2978.1499020000001</v>
      </c>
      <c r="G382" s="4">
        <f t="shared" si="37"/>
        <v>3256.6000979999999</v>
      </c>
      <c r="H382" s="4" t="str">
        <f t="shared" si="38"/>
        <v>BUY</v>
      </c>
      <c r="I382" s="4">
        <f t="shared" si="35"/>
        <v>1</v>
      </c>
      <c r="J382" s="11">
        <f t="shared" si="39"/>
        <v>0</v>
      </c>
      <c r="K382" s="6">
        <f t="shared" si="40"/>
        <v>2719.25</v>
      </c>
      <c r="L382" s="4">
        <f t="shared" si="41"/>
        <v>0</v>
      </c>
    </row>
    <row r="383" spans="1:12" x14ac:dyDescent="0.25">
      <c r="A383" s="1">
        <v>41702</v>
      </c>
      <c r="B383">
        <v>3255.3500979999999</v>
      </c>
      <c r="C383">
        <v>3357.0500489999999</v>
      </c>
      <c r="D383">
        <v>3149.25</v>
      </c>
      <c r="E383">
        <v>3342.9499510000001</v>
      </c>
      <c r="F383" s="4">
        <f t="shared" si="36"/>
        <v>3020.9499510000001</v>
      </c>
      <c r="G383" s="4">
        <f t="shared" si="37"/>
        <v>3342.9499510000001</v>
      </c>
      <c r="H383" s="4" t="str">
        <f t="shared" si="38"/>
        <v>BUY</v>
      </c>
      <c r="I383" s="4">
        <f t="shared" si="35"/>
        <v>1</v>
      </c>
      <c r="J383" s="11">
        <f t="shared" si="39"/>
        <v>0</v>
      </c>
      <c r="K383" s="6">
        <f t="shared" si="40"/>
        <v>2719.25</v>
      </c>
      <c r="L383" s="4">
        <f t="shared" si="41"/>
        <v>0</v>
      </c>
    </row>
    <row r="384" spans="1:12" x14ac:dyDescent="0.25">
      <c r="A384" s="1">
        <v>41703</v>
      </c>
      <c r="B384">
        <v>3346</v>
      </c>
      <c r="C384">
        <v>3401.1499020000001</v>
      </c>
      <c r="D384">
        <v>3307.0500489999999</v>
      </c>
      <c r="E384">
        <v>3342.0500489999999</v>
      </c>
      <c r="F384" s="4">
        <f t="shared" si="36"/>
        <v>3060.3500979999999</v>
      </c>
      <c r="G384" s="4">
        <f t="shared" si="37"/>
        <v>3342.9499510000001</v>
      </c>
      <c r="H384" s="4">
        <f t="shared" si="38"/>
        <v>0</v>
      </c>
      <c r="I384" s="4">
        <f t="shared" si="35"/>
        <v>1</v>
      </c>
      <c r="J384" s="11">
        <f t="shared" si="39"/>
        <v>0</v>
      </c>
      <c r="K384" s="6">
        <f t="shared" si="40"/>
        <v>2719.25</v>
      </c>
      <c r="L384" s="4">
        <f t="shared" si="41"/>
        <v>0</v>
      </c>
    </row>
    <row r="385" spans="1:12" x14ac:dyDescent="0.25">
      <c r="A385" s="1">
        <v>41704</v>
      </c>
      <c r="B385">
        <v>3342.1999510000001</v>
      </c>
      <c r="C385">
        <v>3417.8000489999999</v>
      </c>
      <c r="D385">
        <v>3334.1499020000001</v>
      </c>
      <c r="E385">
        <v>3382.6000979999999</v>
      </c>
      <c r="F385" s="4">
        <f t="shared" si="36"/>
        <v>3211.0500489999999</v>
      </c>
      <c r="G385" s="4">
        <f t="shared" si="37"/>
        <v>3382.6000979999999</v>
      </c>
      <c r="H385" s="4" t="str">
        <f t="shared" si="38"/>
        <v>BUY</v>
      </c>
      <c r="I385" s="4">
        <f t="shared" si="35"/>
        <v>1</v>
      </c>
      <c r="J385" s="11">
        <f t="shared" si="39"/>
        <v>0</v>
      </c>
      <c r="K385" s="6">
        <f t="shared" si="40"/>
        <v>2719.25</v>
      </c>
      <c r="L385" s="4">
        <f t="shared" si="41"/>
        <v>0</v>
      </c>
    </row>
    <row r="386" spans="1:12" x14ac:dyDescent="0.25">
      <c r="A386" s="1">
        <v>41705</v>
      </c>
      <c r="B386">
        <v>3381.4499510000001</v>
      </c>
      <c r="C386">
        <v>3497.5500489999999</v>
      </c>
      <c r="D386">
        <v>3311.8000489999999</v>
      </c>
      <c r="E386">
        <v>3484.1499020000001</v>
      </c>
      <c r="F386" s="4">
        <f t="shared" si="36"/>
        <v>3256.6000979999999</v>
      </c>
      <c r="G386" s="4">
        <f t="shared" si="37"/>
        <v>3484.1499020000001</v>
      </c>
      <c r="H386" s="4" t="str">
        <f t="shared" si="38"/>
        <v>BUY</v>
      </c>
      <c r="I386" s="4">
        <f t="shared" si="35"/>
        <v>1</v>
      </c>
      <c r="J386" s="11">
        <f t="shared" si="39"/>
        <v>0</v>
      </c>
      <c r="K386" s="6">
        <f t="shared" si="40"/>
        <v>2719.25</v>
      </c>
      <c r="L386" s="4">
        <f t="shared" si="41"/>
        <v>0</v>
      </c>
    </row>
    <row r="387" spans="1:12" x14ac:dyDescent="0.25">
      <c r="A387" s="1">
        <v>41708</v>
      </c>
      <c r="B387">
        <v>3484.3500979999999</v>
      </c>
      <c r="C387">
        <v>3511.25</v>
      </c>
      <c r="D387">
        <v>3354.1999510000001</v>
      </c>
      <c r="E387">
        <v>3369.5</v>
      </c>
      <c r="F387" s="4">
        <f t="shared" si="36"/>
        <v>3342.0500489999999</v>
      </c>
      <c r="G387" s="4">
        <f t="shared" si="37"/>
        <v>3484.1499020000001</v>
      </c>
      <c r="H387" s="4">
        <f t="shared" si="38"/>
        <v>0</v>
      </c>
      <c r="I387" s="4">
        <f t="shared" si="35"/>
        <v>1</v>
      </c>
      <c r="J387" s="11">
        <f t="shared" si="39"/>
        <v>0</v>
      </c>
      <c r="K387" s="6">
        <f t="shared" si="40"/>
        <v>2719.25</v>
      </c>
      <c r="L387" s="4">
        <f t="shared" si="41"/>
        <v>0</v>
      </c>
    </row>
    <row r="388" spans="1:12" x14ac:dyDescent="0.25">
      <c r="A388" s="1">
        <v>41709</v>
      </c>
      <c r="B388">
        <v>3369.5</v>
      </c>
      <c r="C388">
        <v>3489.8500979999999</v>
      </c>
      <c r="D388">
        <v>3359.25</v>
      </c>
      <c r="E388">
        <v>3384.3999020000001</v>
      </c>
      <c r="F388" s="4">
        <f t="shared" si="36"/>
        <v>3342.0500489999999</v>
      </c>
      <c r="G388" s="4">
        <f t="shared" si="37"/>
        <v>3484.1499020000001</v>
      </c>
      <c r="H388" s="4">
        <f t="shared" si="38"/>
        <v>0</v>
      </c>
      <c r="I388" s="4">
        <f t="shared" si="35"/>
        <v>1</v>
      </c>
      <c r="J388" s="11">
        <f t="shared" si="39"/>
        <v>0</v>
      </c>
      <c r="K388" s="6">
        <f t="shared" si="40"/>
        <v>2719.25</v>
      </c>
      <c r="L388" s="4">
        <f t="shared" si="41"/>
        <v>0</v>
      </c>
    </row>
    <row r="389" spans="1:12" x14ac:dyDescent="0.25">
      <c r="A389" s="1">
        <v>41710</v>
      </c>
      <c r="B389">
        <v>3384.75</v>
      </c>
      <c r="C389">
        <v>3441.1000979999999</v>
      </c>
      <c r="D389">
        <v>3339.4499510000001</v>
      </c>
      <c r="E389">
        <v>3377.1000979999999</v>
      </c>
      <c r="F389" s="4">
        <f t="shared" si="36"/>
        <v>3369.5</v>
      </c>
      <c r="G389" s="4">
        <f t="shared" si="37"/>
        <v>3484.1499020000001</v>
      </c>
      <c r="H389" s="4">
        <f t="shared" si="38"/>
        <v>0</v>
      </c>
      <c r="I389" s="4">
        <f t="shared" si="35"/>
        <v>1</v>
      </c>
      <c r="J389" s="11">
        <f t="shared" si="39"/>
        <v>0</v>
      </c>
      <c r="K389" s="6">
        <f t="shared" si="40"/>
        <v>2719.25</v>
      </c>
      <c r="L389" s="4">
        <f t="shared" si="41"/>
        <v>0</v>
      </c>
    </row>
    <row r="390" spans="1:12" x14ac:dyDescent="0.25">
      <c r="A390" s="1">
        <v>41711</v>
      </c>
      <c r="B390">
        <v>3376.8500979999999</v>
      </c>
      <c r="C390">
        <v>3414.6999510000001</v>
      </c>
      <c r="D390">
        <v>3309.3500979999999</v>
      </c>
      <c r="E390">
        <v>3365.3000489999999</v>
      </c>
      <c r="F390" s="4">
        <f t="shared" si="36"/>
        <v>3365.3000489999999</v>
      </c>
      <c r="G390" s="4">
        <f t="shared" si="37"/>
        <v>3484.1499020000001</v>
      </c>
      <c r="H390" s="4" t="str">
        <f t="shared" si="38"/>
        <v>SELL</v>
      </c>
      <c r="I390" s="4">
        <f t="shared" ref="I390:I453" si="42">IF(AND(H390="BUY",I389&lt;&gt;1),1,IF(AND(H390="SELL",I389&lt;&gt;-1),-1,I389))</f>
        <v>-1</v>
      </c>
      <c r="J390" s="11" t="str">
        <f t="shared" si="39"/>
        <v>SELL</v>
      </c>
      <c r="K390" s="6">
        <f t="shared" si="40"/>
        <v>3365.3000489999999</v>
      </c>
      <c r="L390" s="4">
        <f t="shared" si="41"/>
        <v>0.2375839106371242</v>
      </c>
    </row>
    <row r="391" spans="1:12" x14ac:dyDescent="0.25">
      <c r="A391" s="1">
        <v>41712</v>
      </c>
      <c r="B391">
        <v>3364.6000979999999</v>
      </c>
      <c r="C391">
        <v>3401.1000979999999</v>
      </c>
      <c r="D391">
        <v>3296.8999020000001</v>
      </c>
      <c r="E391">
        <v>3330.3000489999999</v>
      </c>
      <c r="F391" s="4">
        <f t="shared" ref="F391:F454" si="43">MIN(E387:E391)</f>
        <v>3330.3000489999999</v>
      </c>
      <c r="G391" s="4">
        <f t="shared" ref="G391:G454" si="44">MAX(E387:E391)</f>
        <v>3384.3999020000001</v>
      </c>
      <c r="H391" s="4" t="str">
        <f t="shared" ref="H391:H454" si="45">IF(E391&gt;G390,"BUY",IF(E391&lt;F390,"SELL",0))</f>
        <v>SELL</v>
      </c>
      <c r="I391" s="4">
        <f t="shared" si="42"/>
        <v>-1</v>
      </c>
      <c r="J391" s="11">
        <f t="shared" ref="J391:J454" si="46">IF(I391&lt;&gt;I390,H391,0)</f>
        <v>0</v>
      </c>
      <c r="K391" s="6">
        <f t="shared" ref="K391:K454" si="47">IF(J391&lt;&gt;0,E391,K390)</f>
        <v>3365.3000489999999</v>
      </c>
      <c r="L391" s="4">
        <f t="shared" si="41"/>
        <v>0</v>
      </c>
    </row>
    <row r="392" spans="1:12" x14ac:dyDescent="0.25">
      <c r="A392" s="1">
        <v>41715</v>
      </c>
      <c r="B392">
        <v>3330.5</v>
      </c>
      <c r="C392">
        <v>3439.8999020000001</v>
      </c>
      <c r="D392">
        <v>3310.5</v>
      </c>
      <c r="E392">
        <v>3423.6999510000001</v>
      </c>
      <c r="F392" s="4">
        <f t="shared" si="43"/>
        <v>3330.3000489999999</v>
      </c>
      <c r="G392" s="4">
        <f t="shared" si="44"/>
        <v>3423.6999510000001</v>
      </c>
      <c r="H392" s="4" t="str">
        <f t="shared" si="45"/>
        <v>BUY</v>
      </c>
      <c r="I392" s="4">
        <f t="shared" si="42"/>
        <v>1</v>
      </c>
      <c r="J392" s="11" t="str">
        <f t="shared" si="46"/>
        <v>BUY</v>
      </c>
      <c r="K392" s="6">
        <f t="shared" si="47"/>
        <v>3423.6999510000001</v>
      </c>
      <c r="L392" s="4">
        <f t="shared" ref="L392:L455" si="48">IF(J392="BUY",(K391-K392)/K391,IF(J392="SELL",(K393-K391)/K391,0))</f>
        <v>-1.7353549802298807E-2</v>
      </c>
    </row>
    <row r="393" spans="1:12" x14ac:dyDescent="0.25">
      <c r="A393" s="1">
        <v>41716</v>
      </c>
      <c r="B393">
        <v>3423.6000979999999</v>
      </c>
      <c r="C393">
        <v>3491.3500979999999</v>
      </c>
      <c r="D393">
        <v>3402.8999020000001</v>
      </c>
      <c r="E393">
        <v>3480.75</v>
      </c>
      <c r="F393" s="4">
        <f t="shared" si="43"/>
        <v>3330.3000489999999</v>
      </c>
      <c r="G393" s="4">
        <f t="shared" si="44"/>
        <v>3480.75</v>
      </c>
      <c r="H393" s="4" t="str">
        <f t="shared" si="45"/>
        <v>BUY</v>
      </c>
      <c r="I393" s="4">
        <f t="shared" si="42"/>
        <v>1</v>
      </c>
      <c r="J393" s="11">
        <f t="shared" si="46"/>
        <v>0</v>
      </c>
      <c r="K393" s="6">
        <f t="shared" si="47"/>
        <v>3423.6999510000001</v>
      </c>
      <c r="L393" s="4">
        <f t="shared" si="48"/>
        <v>0</v>
      </c>
    </row>
    <row r="394" spans="1:12" x14ac:dyDescent="0.25">
      <c r="A394" s="1">
        <v>41717</v>
      </c>
      <c r="B394">
        <v>3481.3000489999999</v>
      </c>
      <c r="C394">
        <v>3517.25</v>
      </c>
      <c r="D394">
        <v>3435.3000489999999</v>
      </c>
      <c r="E394">
        <v>3470</v>
      </c>
      <c r="F394" s="4">
        <f t="shared" si="43"/>
        <v>3330.3000489999999</v>
      </c>
      <c r="G394" s="4">
        <f t="shared" si="44"/>
        <v>3480.75</v>
      </c>
      <c r="H394" s="4">
        <f t="shared" si="45"/>
        <v>0</v>
      </c>
      <c r="I394" s="4">
        <f t="shared" si="42"/>
        <v>1</v>
      </c>
      <c r="J394" s="11">
        <f t="shared" si="46"/>
        <v>0</v>
      </c>
      <c r="K394" s="6">
        <f t="shared" si="47"/>
        <v>3423.6999510000001</v>
      </c>
      <c r="L394" s="4">
        <f t="shared" si="48"/>
        <v>0</v>
      </c>
    </row>
    <row r="395" spans="1:12" x14ac:dyDescent="0.25">
      <c r="A395" s="1">
        <v>41718</v>
      </c>
      <c r="B395">
        <v>3469.5</v>
      </c>
      <c r="C395">
        <v>3471.9499510000001</v>
      </c>
      <c r="D395">
        <v>3351.5</v>
      </c>
      <c r="E395">
        <v>3362.3500979999999</v>
      </c>
      <c r="F395" s="4">
        <f t="shared" si="43"/>
        <v>3330.3000489999999</v>
      </c>
      <c r="G395" s="4">
        <f t="shared" si="44"/>
        <v>3480.75</v>
      </c>
      <c r="H395" s="4">
        <f t="shared" si="45"/>
        <v>0</v>
      </c>
      <c r="I395" s="4">
        <f t="shared" si="42"/>
        <v>1</v>
      </c>
      <c r="J395" s="11">
        <f t="shared" si="46"/>
        <v>0</v>
      </c>
      <c r="K395" s="6">
        <f t="shared" si="47"/>
        <v>3423.6999510000001</v>
      </c>
      <c r="L395" s="4">
        <f t="shared" si="48"/>
        <v>0</v>
      </c>
    </row>
    <row r="396" spans="1:12" x14ac:dyDescent="0.25">
      <c r="A396" s="1">
        <v>41719</v>
      </c>
      <c r="B396">
        <v>3371.6499020000001</v>
      </c>
      <c r="C396">
        <v>3486.3999020000001</v>
      </c>
      <c r="D396">
        <v>3366.6999510000001</v>
      </c>
      <c r="E396">
        <v>3473.9499510000001</v>
      </c>
      <c r="F396" s="4">
        <f t="shared" si="43"/>
        <v>3362.3500979999999</v>
      </c>
      <c r="G396" s="4">
        <f t="shared" si="44"/>
        <v>3480.75</v>
      </c>
      <c r="H396" s="4">
        <f t="shared" si="45"/>
        <v>0</v>
      </c>
      <c r="I396" s="4">
        <f t="shared" si="42"/>
        <v>1</v>
      </c>
      <c r="J396" s="11">
        <f t="shared" si="46"/>
        <v>0</v>
      </c>
      <c r="K396" s="6">
        <f t="shared" si="47"/>
        <v>3423.6999510000001</v>
      </c>
      <c r="L396" s="4">
        <f t="shared" si="48"/>
        <v>0</v>
      </c>
    </row>
    <row r="397" spans="1:12" x14ac:dyDescent="0.25">
      <c r="A397" s="1">
        <v>41722</v>
      </c>
      <c r="B397">
        <v>3478.6999510000001</v>
      </c>
      <c r="C397">
        <v>3664.5</v>
      </c>
      <c r="D397">
        <v>3478.6999510000001</v>
      </c>
      <c r="E397">
        <v>3654</v>
      </c>
      <c r="F397" s="4">
        <f t="shared" si="43"/>
        <v>3362.3500979999999</v>
      </c>
      <c r="G397" s="4">
        <f t="shared" si="44"/>
        <v>3654</v>
      </c>
      <c r="H397" s="4" t="str">
        <f t="shared" si="45"/>
        <v>BUY</v>
      </c>
      <c r="I397" s="4">
        <f t="shared" si="42"/>
        <v>1</v>
      </c>
      <c r="J397" s="11">
        <f t="shared" si="46"/>
        <v>0</v>
      </c>
      <c r="K397" s="6">
        <f t="shared" si="47"/>
        <v>3423.6999510000001</v>
      </c>
      <c r="L397" s="4">
        <f t="shared" si="48"/>
        <v>0</v>
      </c>
    </row>
    <row r="398" spans="1:12" x14ac:dyDescent="0.25">
      <c r="A398" s="1">
        <v>41723</v>
      </c>
      <c r="B398">
        <v>3664.5</v>
      </c>
      <c r="C398">
        <v>3682.1999510000001</v>
      </c>
      <c r="D398">
        <v>3618.75</v>
      </c>
      <c r="E398">
        <v>3661.8999020000001</v>
      </c>
      <c r="F398" s="4">
        <f t="shared" si="43"/>
        <v>3362.3500979999999</v>
      </c>
      <c r="G398" s="4">
        <f t="shared" si="44"/>
        <v>3661.8999020000001</v>
      </c>
      <c r="H398" s="4" t="str">
        <f t="shared" si="45"/>
        <v>BUY</v>
      </c>
      <c r="I398" s="4">
        <f t="shared" si="42"/>
        <v>1</v>
      </c>
      <c r="J398" s="11">
        <f t="shared" si="46"/>
        <v>0</v>
      </c>
      <c r="K398" s="6">
        <f t="shared" si="47"/>
        <v>3423.6999510000001</v>
      </c>
      <c r="L398" s="4">
        <f t="shared" si="48"/>
        <v>0</v>
      </c>
    </row>
    <row r="399" spans="1:12" x14ac:dyDescent="0.25">
      <c r="A399" s="1">
        <v>41724</v>
      </c>
      <c r="B399">
        <v>3662</v>
      </c>
      <c r="C399">
        <v>3717.0500489999999</v>
      </c>
      <c r="D399">
        <v>3608.6499020000001</v>
      </c>
      <c r="E399">
        <v>3625.0500489999999</v>
      </c>
      <c r="F399" s="4">
        <f t="shared" si="43"/>
        <v>3362.3500979999999</v>
      </c>
      <c r="G399" s="4">
        <f t="shared" si="44"/>
        <v>3661.8999020000001</v>
      </c>
      <c r="H399" s="4">
        <f t="shared" si="45"/>
        <v>0</v>
      </c>
      <c r="I399" s="4">
        <f t="shared" si="42"/>
        <v>1</v>
      </c>
      <c r="J399" s="11">
        <f t="shared" si="46"/>
        <v>0</v>
      </c>
      <c r="K399" s="6">
        <f t="shared" si="47"/>
        <v>3423.6999510000001</v>
      </c>
      <c r="L399" s="4">
        <f t="shared" si="48"/>
        <v>0</v>
      </c>
    </row>
    <row r="400" spans="1:12" x14ac:dyDescent="0.25">
      <c r="A400" s="1">
        <v>41725</v>
      </c>
      <c r="B400">
        <v>3617.1499020000001</v>
      </c>
      <c r="C400">
        <v>3692.0500489999999</v>
      </c>
      <c r="D400">
        <v>3617.1499020000001</v>
      </c>
      <c r="E400">
        <v>3683.8999020000001</v>
      </c>
      <c r="F400" s="4">
        <f t="shared" si="43"/>
        <v>3473.9499510000001</v>
      </c>
      <c r="G400" s="4">
        <f t="shared" si="44"/>
        <v>3683.8999020000001</v>
      </c>
      <c r="H400" s="4" t="str">
        <f t="shared" si="45"/>
        <v>BUY</v>
      </c>
      <c r="I400" s="4">
        <f t="shared" si="42"/>
        <v>1</v>
      </c>
      <c r="J400" s="11">
        <f t="shared" si="46"/>
        <v>0</v>
      </c>
      <c r="K400" s="6">
        <f t="shared" si="47"/>
        <v>3423.6999510000001</v>
      </c>
      <c r="L400" s="4">
        <f t="shared" si="48"/>
        <v>0</v>
      </c>
    </row>
    <row r="401" spans="1:12" x14ac:dyDescent="0.25">
      <c r="A401" s="1">
        <v>41726</v>
      </c>
      <c r="B401">
        <v>3681.8000489999999</v>
      </c>
      <c r="C401">
        <v>3711.25</v>
      </c>
      <c r="D401">
        <v>3582.8500979999999</v>
      </c>
      <c r="E401">
        <v>3620.6999510000001</v>
      </c>
      <c r="F401" s="4">
        <f t="shared" si="43"/>
        <v>3620.6999510000001</v>
      </c>
      <c r="G401" s="4">
        <f t="shared" si="44"/>
        <v>3683.8999020000001</v>
      </c>
      <c r="H401" s="4">
        <f t="shared" si="45"/>
        <v>0</v>
      </c>
      <c r="I401" s="4">
        <f t="shared" si="42"/>
        <v>1</v>
      </c>
      <c r="J401" s="11">
        <f t="shared" si="46"/>
        <v>0</v>
      </c>
      <c r="K401" s="6">
        <f t="shared" si="47"/>
        <v>3423.6999510000001</v>
      </c>
      <c r="L401" s="4">
        <f t="shared" si="48"/>
        <v>0</v>
      </c>
    </row>
    <row r="402" spans="1:12" x14ac:dyDescent="0.25">
      <c r="A402" s="1">
        <v>41729</v>
      </c>
      <c r="B402">
        <v>3615.75</v>
      </c>
      <c r="C402">
        <v>3660.1999510000001</v>
      </c>
      <c r="D402">
        <v>3534.5500489999999</v>
      </c>
      <c r="E402">
        <v>3554.6000979999999</v>
      </c>
      <c r="F402" s="4">
        <f t="shared" si="43"/>
        <v>3554.6000979999999</v>
      </c>
      <c r="G402" s="4">
        <f t="shared" si="44"/>
        <v>3683.8999020000001</v>
      </c>
      <c r="H402" s="4" t="str">
        <f t="shared" si="45"/>
        <v>SELL</v>
      </c>
      <c r="I402" s="4">
        <f t="shared" si="42"/>
        <v>-1</v>
      </c>
      <c r="J402" s="11" t="str">
        <f t="shared" si="46"/>
        <v>SELL</v>
      </c>
      <c r="K402" s="6">
        <f t="shared" si="47"/>
        <v>3554.6000979999999</v>
      </c>
      <c r="L402" s="4">
        <f t="shared" si="48"/>
        <v>3.8233533567030693E-2</v>
      </c>
    </row>
    <row r="403" spans="1:12" x14ac:dyDescent="0.25">
      <c r="A403" s="1">
        <v>41730</v>
      </c>
      <c r="B403">
        <v>3554.6499020000001</v>
      </c>
      <c r="C403">
        <v>3691.6499020000001</v>
      </c>
      <c r="D403">
        <v>3534.1999510000001</v>
      </c>
      <c r="E403">
        <v>3681.1000979999999</v>
      </c>
      <c r="F403" s="4">
        <f t="shared" si="43"/>
        <v>3554.6000979999999</v>
      </c>
      <c r="G403" s="4">
        <f t="shared" si="44"/>
        <v>3683.8999020000001</v>
      </c>
      <c r="H403" s="4">
        <f t="shared" si="45"/>
        <v>0</v>
      </c>
      <c r="I403" s="4">
        <f t="shared" si="42"/>
        <v>-1</v>
      </c>
      <c r="J403" s="11">
        <f t="shared" si="46"/>
        <v>0</v>
      </c>
      <c r="K403" s="6">
        <f t="shared" si="47"/>
        <v>3554.6000979999999</v>
      </c>
      <c r="L403" s="4">
        <f t="shared" si="48"/>
        <v>0</v>
      </c>
    </row>
    <row r="404" spans="1:12" x14ac:dyDescent="0.25">
      <c r="A404" s="1">
        <v>41731</v>
      </c>
      <c r="B404">
        <v>3668.75</v>
      </c>
      <c r="C404">
        <v>3709.6000979999999</v>
      </c>
      <c r="D404">
        <v>3610.1999510000001</v>
      </c>
      <c r="E404">
        <v>3635.25</v>
      </c>
      <c r="F404" s="4">
        <f t="shared" si="43"/>
        <v>3554.6000979999999</v>
      </c>
      <c r="G404" s="4">
        <f t="shared" si="44"/>
        <v>3683.8999020000001</v>
      </c>
      <c r="H404" s="4">
        <f t="shared" si="45"/>
        <v>0</v>
      </c>
      <c r="I404" s="4">
        <f t="shared" si="42"/>
        <v>-1</v>
      </c>
      <c r="J404" s="11">
        <f t="shared" si="46"/>
        <v>0</v>
      </c>
      <c r="K404" s="6">
        <f t="shared" si="47"/>
        <v>3554.6000979999999</v>
      </c>
      <c r="L404" s="4">
        <f t="shared" si="48"/>
        <v>0</v>
      </c>
    </row>
    <row r="405" spans="1:12" x14ac:dyDescent="0.25">
      <c r="A405" s="1">
        <v>41732</v>
      </c>
      <c r="B405">
        <v>3631.8999020000001</v>
      </c>
      <c r="C405">
        <v>3631.8999020000001</v>
      </c>
      <c r="D405">
        <v>3537.6000979999999</v>
      </c>
      <c r="E405">
        <v>3593.4499510000001</v>
      </c>
      <c r="F405" s="4">
        <f t="shared" si="43"/>
        <v>3554.6000979999999</v>
      </c>
      <c r="G405" s="4">
        <f t="shared" si="44"/>
        <v>3681.1000979999999</v>
      </c>
      <c r="H405" s="4">
        <f t="shared" si="45"/>
        <v>0</v>
      </c>
      <c r="I405" s="4">
        <f t="shared" si="42"/>
        <v>-1</v>
      </c>
      <c r="J405" s="11">
        <f t="shared" si="46"/>
        <v>0</v>
      </c>
      <c r="K405" s="6">
        <f t="shared" si="47"/>
        <v>3554.6000979999999</v>
      </c>
      <c r="L405" s="4">
        <f t="shared" si="48"/>
        <v>0</v>
      </c>
    </row>
    <row r="406" spans="1:12" x14ac:dyDescent="0.25">
      <c r="A406" s="1">
        <v>41733</v>
      </c>
      <c r="B406">
        <v>3597.8500979999999</v>
      </c>
      <c r="C406">
        <v>3686.25</v>
      </c>
      <c r="D406">
        <v>3597.8500979999999</v>
      </c>
      <c r="E406">
        <v>3671.6499020000001</v>
      </c>
      <c r="F406" s="4">
        <f t="shared" si="43"/>
        <v>3554.6000979999999</v>
      </c>
      <c r="G406" s="4">
        <f t="shared" si="44"/>
        <v>3681.1000979999999</v>
      </c>
      <c r="H406" s="4">
        <f t="shared" si="45"/>
        <v>0</v>
      </c>
      <c r="I406" s="4">
        <f t="shared" si="42"/>
        <v>-1</v>
      </c>
      <c r="J406" s="11">
        <f t="shared" si="46"/>
        <v>0</v>
      </c>
      <c r="K406" s="6">
        <f t="shared" si="47"/>
        <v>3554.6000979999999</v>
      </c>
      <c r="L406" s="4">
        <f t="shared" si="48"/>
        <v>0</v>
      </c>
    </row>
    <row r="407" spans="1:12" x14ac:dyDescent="0.25">
      <c r="A407" s="1">
        <v>41736</v>
      </c>
      <c r="B407">
        <v>3673.1499020000001</v>
      </c>
      <c r="C407">
        <v>4384.2998049999997</v>
      </c>
      <c r="D407">
        <v>3673.1499020000001</v>
      </c>
      <c r="E407">
        <v>4323.1499020000001</v>
      </c>
      <c r="F407" s="4">
        <f t="shared" si="43"/>
        <v>3593.4499510000001</v>
      </c>
      <c r="G407" s="4">
        <f t="shared" si="44"/>
        <v>4323.1499020000001</v>
      </c>
      <c r="H407" s="4" t="str">
        <f t="shared" si="45"/>
        <v>BUY</v>
      </c>
      <c r="I407" s="4">
        <f t="shared" si="42"/>
        <v>1</v>
      </c>
      <c r="J407" s="11" t="str">
        <f t="shared" si="46"/>
        <v>BUY</v>
      </c>
      <c r="K407" s="6">
        <f t="shared" si="47"/>
        <v>4323.1499020000001</v>
      </c>
      <c r="L407" s="4">
        <f t="shared" si="48"/>
        <v>-0.21621273358778831</v>
      </c>
    </row>
    <row r="408" spans="1:12" x14ac:dyDescent="0.25">
      <c r="A408" s="1">
        <v>41737</v>
      </c>
      <c r="B408">
        <v>4324.9501950000003</v>
      </c>
      <c r="C408">
        <v>4509.3999020000001</v>
      </c>
      <c r="D408">
        <v>4167.6499020000001</v>
      </c>
      <c r="E408">
        <v>4318.4501950000003</v>
      </c>
      <c r="F408" s="4">
        <f t="shared" si="43"/>
        <v>3593.4499510000001</v>
      </c>
      <c r="G408" s="4">
        <f t="shared" si="44"/>
        <v>4323.1499020000001</v>
      </c>
      <c r="H408" s="4">
        <f t="shared" si="45"/>
        <v>0</v>
      </c>
      <c r="I408" s="4">
        <f t="shared" si="42"/>
        <v>1</v>
      </c>
      <c r="J408" s="11">
        <f t="shared" si="46"/>
        <v>0</v>
      </c>
      <c r="K408" s="6">
        <f t="shared" si="47"/>
        <v>4323.1499020000001</v>
      </c>
      <c r="L408" s="4">
        <f t="shared" si="48"/>
        <v>0</v>
      </c>
    </row>
    <row r="409" spans="1:12" x14ac:dyDescent="0.25">
      <c r="A409" s="1">
        <v>41738</v>
      </c>
      <c r="B409">
        <v>4318.75</v>
      </c>
      <c r="C409">
        <v>4362.8500979999999</v>
      </c>
      <c r="D409">
        <v>4244.7001950000003</v>
      </c>
      <c r="E409">
        <v>4270.2998049999997</v>
      </c>
      <c r="F409" s="4">
        <f t="shared" si="43"/>
        <v>3593.4499510000001</v>
      </c>
      <c r="G409" s="4">
        <f t="shared" si="44"/>
        <v>4323.1499020000001</v>
      </c>
      <c r="H409" s="4">
        <f t="shared" si="45"/>
        <v>0</v>
      </c>
      <c r="I409" s="4">
        <f t="shared" si="42"/>
        <v>1</v>
      </c>
      <c r="J409" s="11">
        <f t="shared" si="46"/>
        <v>0</v>
      </c>
      <c r="K409" s="6">
        <f t="shared" si="47"/>
        <v>4323.1499020000001</v>
      </c>
      <c r="L409" s="4">
        <f t="shared" si="48"/>
        <v>0</v>
      </c>
    </row>
    <row r="410" spans="1:12" x14ac:dyDescent="0.25">
      <c r="A410" s="1">
        <v>41739</v>
      </c>
      <c r="B410">
        <v>4270.3500979999999</v>
      </c>
      <c r="C410">
        <v>4319</v>
      </c>
      <c r="D410">
        <v>4199.2001950000003</v>
      </c>
      <c r="E410">
        <v>4210.8999020000001</v>
      </c>
      <c r="F410" s="4">
        <f t="shared" si="43"/>
        <v>3671.6499020000001</v>
      </c>
      <c r="G410" s="4">
        <f t="shared" si="44"/>
        <v>4323.1499020000001</v>
      </c>
      <c r="H410" s="4">
        <f t="shared" si="45"/>
        <v>0</v>
      </c>
      <c r="I410" s="4">
        <f t="shared" si="42"/>
        <v>1</v>
      </c>
      <c r="J410" s="11">
        <f t="shared" si="46"/>
        <v>0</v>
      </c>
      <c r="K410" s="6">
        <f t="shared" si="47"/>
        <v>4323.1499020000001</v>
      </c>
      <c r="L410" s="4">
        <f t="shared" si="48"/>
        <v>0</v>
      </c>
    </row>
    <row r="411" spans="1:12" x14ac:dyDescent="0.25">
      <c r="A411" s="1">
        <v>41740</v>
      </c>
      <c r="B411">
        <v>4211.8500979999999</v>
      </c>
      <c r="C411">
        <v>4249.5</v>
      </c>
      <c r="D411">
        <v>4155.8500979999999</v>
      </c>
      <c r="E411">
        <v>4238.5</v>
      </c>
      <c r="F411" s="4">
        <f t="shared" si="43"/>
        <v>4210.8999020000001</v>
      </c>
      <c r="G411" s="4">
        <f t="shared" si="44"/>
        <v>4323.1499020000001</v>
      </c>
      <c r="H411" s="4">
        <f t="shared" si="45"/>
        <v>0</v>
      </c>
      <c r="I411" s="4">
        <f t="shared" si="42"/>
        <v>1</v>
      </c>
      <c r="J411" s="11">
        <f t="shared" si="46"/>
        <v>0</v>
      </c>
      <c r="K411" s="6">
        <f t="shared" si="47"/>
        <v>4323.1499020000001</v>
      </c>
      <c r="L411" s="4">
        <f t="shared" si="48"/>
        <v>0</v>
      </c>
    </row>
    <row r="412" spans="1:12" x14ac:dyDescent="0.25">
      <c r="A412" s="1">
        <v>41743</v>
      </c>
      <c r="B412">
        <v>4238.1000979999999</v>
      </c>
      <c r="C412">
        <v>4270.0498049999997</v>
      </c>
      <c r="D412">
        <v>4205.1000979999999</v>
      </c>
      <c r="E412">
        <v>4237.5498049999997</v>
      </c>
      <c r="F412" s="4">
        <f t="shared" si="43"/>
        <v>4210.8999020000001</v>
      </c>
      <c r="G412" s="4">
        <f t="shared" si="44"/>
        <v>4318.4501950000003</v>
      </c>
      <c r="H412" s="4">
        <f t="shared" si="45"/>
        <v>0</v>
      </c>
      <c r="I412" s="4">
        <f t="shared" si="42"/>
        <v>1</v>
      </c>
      <c r="J412" s="11">
        <f t="shared" si="46"/>
        <v>0</v>
      </c>
      <c r="K412" s="6">
        <f t="shared" si="47"/>
        <v>4323.1499020000001</v>
      </c>
      <c r="L412" s="4">
        <f t="shared" si="48"/>
        <v>0</v>
      </c>
    </row>
    <row r="413" spans="1:12" x14ac:dyDescent="0.25">
      <c r="A413" s="1">
        <v>41744</v>
      </c>
      <c r="B413">
        <v>4239.5498049999997</v>
      </c>
      <c r="C413">
        <v>4256.0498049999997</v>
      </c>
      <c r="D413">
        <v>4092.25</v>
      </c>
      <c r="E413">
        <v>4116.7001950000003</v>
      </c>
      <c r="F413" s="4">
        <f t="shared" si="43"/>
        <v>4116.7001950000003</v>
      </c>
      <c r="G413" s="4">
        <f t="shared" si="44"/>
        <v>4270.2998049999997</v>
      </c>
      <c r="H413" s="4" t="str">
        <f t="shared" si="45"/>
        <v>SELL</v>
      </c>
      <c r="I413" s="4">
        <f t="shared" si="42"/>
        <v>-1</v>
      </c>
      <c r="J413" s="11" t="str">
        <f t="shared" si="46"/>
        <v>SELL</v>
      </c>
      <c r="K413" s="6">
        <f t="shared" si="47"/>
        <v>4116.7001950000003</v>
      </c>
      <c r="L413" s="4">
        <f t="shared" si="48"/>
        <v>-1.0894856312572171E-2</v>
      </c>
    </row>
    <row r="414" spans="1:12" x14ac:dyDescent="0.25">
      <c r="A414" s="1">
        <v>41745</v>
      </c>
      <c r="B414">
        <v>4117.2998049999997</v>
      </c>
      <c r="C414">
        <v>4286.4501950000003</v>
      </c>
      <c r="D414">
        <v>4115.25</v>
      </c>
      <c r="E414">
        <v>4276.0498049999997</v>
      </c>
      <c r="F414" s="4">
        <f t="shared" si="43"/>
        <v>4116.7001950000003</v>
      </c>
      <c r="G414" s="4">
        <f t="shared" si="44"/>
        <v>4276.0498049999997</v>
      </c>
      <c r="H414" s="4" t="str">
        <f t="shared" si="45"/>
        <v>BUY</v>
      </c>
      <c r="I414" s="4">
        <f t="shared" si="42"/>
        <v>1</v>
      </c>
      <c r="J414" s="11" t="str">
        <f t="shared" si="46"/>
        <v>BUY</v>
      </c>
      <c r="K414" s="6">
        <f t="shared" si="47"/>
        <v>4276.0498049999997</v>
      </c>
      <c r="L414" s="4">
        <f t="shared" si="48"/>
        <v>-3.8708092028061636E-2</v>
      </c>
    </row>
    <row r="415" spans="1:12" x14ac:dyDescent="0.25">
      <c r="A415" s="1">
        <v>41746</v>
      </c>
      <c r="B415">
        <v>4276.1499020000001</v>
      </c>
      <c r="C415">
        <v>4354.8500979999999</v>
      </c>
      <c r="D415">
        <v>4254.8500979999999</v>
      </c>
      <c r="E415">
        <v>4337.1000979999999</v>
      </c>
      <c r="F415" s="4">
        <f t="shared" si="43"/>
        <v>4116.7001950000003</v>
      </c>
      <c r="G415" s="4">
        <f t="shared" si="44"/>
        <v>4337.1000979999999</v>
      </c>
      <c r="H415" s="4" t="str">
        <f t="shared" si="45"/>
        <v>BUY</v>
      </c>
      <c r="I415" s="4">
        <f t="shared" si="42"/>
        <v>1</v>
      </c>
      <c r="J415" s="11">
        <f t="shared" si="46"/>
        <v>0</v>
      </c>
      <c r="K415" s="6">
        <f t="shared" si="47"/>
        <v>4276.0498049999997</v>
      </c>
      <c r="L415" s="4">
        <f t="shared" si="48"/>
        <v>0</v>
      </c>
    </row>
    <row r="416" spans="1:12" x14ac:dyDescent="0.25">
      <c r="A416" s="1">
        <v>41747</v>
      </c>
      <c r="B416">
        <v>4340.75</v>
      </c>
      <c r="C416">
        <v>4488.0498049999997</v>
      </c>
      <c r="D416">
        <v>4340.75</v>
      </c>
      <c r="E416">
        <v>4448.9501950000003</v>
      </c>
      <c r="F416" s="4">
        <f t="shared" si="43"/>
        <v>4116.7001950000003</v>
      </c>
      <c r="G416" s="4">
        <f t="shared" si="44"/>
        <v>4448.9501950000003</v>
      </c>
      <c r="H416" s="4" t="str">
        <f t="shared" si="45"/>
        <v>BUY</v>
      </c>
      <c r="I416" s="4">
        <f t="shared" si="42"/>
        <v>1</v>
      </c>
      <c r="J416" s="11">
        <f t="shared" si="46"/>
        <v>0</v>
      </c>
      <c r="K416" s="6">
        <f t="shared" si="47"/>
        <v>4276.0498049999997</v>
      </c>
      <c r="L416" s="4">
        <f t="shared" si="48"/>
        <v>0</v>
      </c>
    </row>
    <row r="417" spans="1:12" x14ac:dyDescent="0.25">
      <c r="A417" s="1">
        <v>41750</v>
      </c>
      <c r="B417">
        <v>4450.3999020000001</v>
      </c>
      <c r="C417">
        <v>4545.3999020000001</v>
      </c>
      <c r="D417">
        <v>4450.3999020000001</v>
      </c>
      <c r="E417">
        <v>4529.8999020000001</v>
      </c>
      <c r="F417" s="4">
        <f t="shared" si="43"/>
        <v>4116.7001950000003</v>
      </c>
      <c r="G417" s="4">
        <f t="shared" si="44"/>
        <v>4529.8999020000001</v>
      </c>
      <c r="H417" s="4" t="str">
        <f t="shared" si="45"/>
        <v>BUY</v>
      </c>
      <c r="I417" s="4">
        <f t="shared" si="42"/>
        <v>1</v>
      </c>
      <c r="J417" s="11">
        <f t="shared" si="46"/>
        <v>0</v>
      </c>
      <c r="K417" s="6">
        <f t="shared" si="47"/>
        <v>4276.0498049999997</v>
      </c>
      <c r="L417" s="4">
        <f t="shared" si="48"/>
        <v>0</v>
      </c>
    </row>
    <row r="418" spans="1:12" x14ac:dyDescent="0.25">
      <c r="A418" s="1">
        <v>41751</v>
      </c>
      <c r="B418">
        <v>4530.4501950000003</v>
      </c>
      <c r="C418">
        <v>4586.3999020000001</v>
      </c>
      <c r="D418">
        <v>4451.2998049999997</v>
      </c>
      <c r="E418">
        <v>4525.25</v>
      </c>
      <c r="F418" s="4">
        <f t="shared" si="43"/>
        <v>4276.0498049999997</v>
      </c>
      <c r="G418" s="4">
        <f t="shared" si="44"/>
        <v>4529.8999020000001</v>
      </c>
      <c r="H418" s="4">
        <f t="shared" si="45"/>
        <v>0</v>
      </c>
      <c r="I418" s="4">
        <f t="shared" si="42"/>
        <v>1</v>
      </c>
      <c r="J418" s="11">
        <f t="shared" si="46"/>
        <v>0</v>
      </c>
      <c r="K418" s="6">
        <f t="shared" si="47"/>
        <v>4276.0498049999997</v>
      </c>
      <c r="L418" s="4">
        <f t="shared" si="48"/>
        <v>0</v>
      </c>
    </row>
    <row r="419" spans="1:12" x14ac:dyDescent="0.25">
      <c r="A419" s="1">
        <v>41752</v>
      </c>
      <c r="B419">
        <v>4525.5</v>
      </c>
      <c r="C419">
        <v>4574.8999020000001</v>
      </c>
      <c r="D419">
        <v>4478.6000979999999</v>
      </c>
      <c r="E419">
        <v>4530.7001950000003</v>
      </c>
      <c r="F419" s="4">
        <f t="shared" si="43"/>
        <v>4337.1000979999999</v>
      </c>
      <c r="G419" s="4">
        <f t="shared" si="44"/>
        <v>4530.7001950000003</v>
      </c>
      <c r="H419" s="4" t="str">
        <f t="shared" si="45"/>
        <v>BUY</v>
      </c>
      <c r="I419" s="4">
        <f t="shared" si="42"/>
        <v>1</v>
      </c>
      <c r="J419" s="11">
        <f t="shared" si="46"/>
        <v>0</v>
      </c>
      <c r="K419" s="6">
        <f t="shared" si="47"/>
        <v>4276.0498049999997</v>
      </c>
      <c r="L419" s="4">
        <f t="shared" si="48"/>
        <v>0</v>
      </c>
    </row>
    <row r="420" spans="1:12" x14ac:dyDescent="0.25">
      <c r="A420" s="1">
        <v>41753</v>
      </c>
      <c r="B420">
        <v>4530.2998049999997</v>
      </c>
      <c r="C420">
        <v>4582.2001950000003</v>
      </c>
      <c r="D420">
        <v>4453.4501950000003</v>
      </c>
      <c r="E420">
        <v>4572.6499020000001</v>
      </c>
      <c r="F420" s="4">
        <f t="shared" si="43"/>
        <v>4448.9501950000003</v>
      </c>
      <c r="G420" s="4">
        <f t="shared" si="44"/>
        <v>4572.6499020000001</v>
      </c>
      <c r="H420" s="4" t="str">
        <f t="shared" si="45"/>
        <v>BUY</v>
      </c>
      <c r="I420" s="4">
        <f t="shared" si="42"/>
        <v>1</v>
      </c>
      <c r="J420" s="11">
        <f t="shared" si="46"/>
        <v>0</v>
      </c>
      <c r="K420" s="6">
        <f t="shared" si="47"/>
        <v>4276.0498049999997</v>
      </c>
      <c r="L420" s="4">
        <f t="shared" si="48"/>
        <v>0</v>
      </c>
    </row>
    <row r="421" spans="1:12" x14ac:dyDescent="0.25">
      <c r="A421" s="1">
        <v>41754</v>
      </c>
      <c r="B421">
        <v>4573.2998049999997</v>
      </c>
      <c r="C421">
        <v>4636.8500979999999</v>
      </c>
      <c r="D421">
        <v>4561.9501950000003</v>
      </c>
      <c r="E421">
        <v>4586.8999020000001</v>
      </c>
      <c r="F421" s="4">
        <f t="shared" si="43"/>
        <v>4525.25</v>
      </c>
      <c r="G421" s="4">
        <f t="shared" si="44"/>
        <v>4586.8999020000001</v>
      </c>
      <c r="H421" s="4" t="str">
        <f t="shared" si="45"/>
        <v>BUY</v>
      </c>
      <c r="I421" s="4">
        <f t="shared" si="42"/>
        <v>1</v>
      </c>
      <c r="J421" s="11">
        <f t="shared" si="46"/>
        <v>0</v>
      </c>
      <c r="K421" s="6">
        <f t="shared" si="47"/>
        <v>4276.0498049999997</v>
      </c>
      <c r="L421" s="4">
        <f t="shared" si="48"/>
        <v>0</v>
      </c>
    </row>
    <row r="422" spans="1:12" x14ac:dyDescent="0.25">
      <c r="A422" s="1">
        <v>41757</v>
      </c>
      <c r="B422">
        <v>4582.3500979999999</v>
      </c>
      <c r="C422">
        <v>4611.3999020000001</v>
      </c>
      <c r="D422">
        <v>4404.6499020000001</v>
      </c>
      <c r="E422">
        <v>4429.8999020000001</v>
      </c>
      <c r="F422" s="4">
        <f t="shared" si="43"/>
        <v>4429.8999020000001</v>
      </c>
      <c r="G422" s="4">
        <f t="shared" si="44"/>
        <v>4586.8999020000001</v>
      </c>
      <c r="H422" s="4" t="str">
        <f t="shared" si="45"/>
        <v>SELL</v>
      </c>
      <c r="I422" s="4">
        <f t="shared" si="42"/>
        <v>-1</v>
      </c>
      <c r="J422" s="11" t="str">
        <f t="shared" si="46"/>
        <v>SELL</v>
      </c>
      <c r="K422" s="6">
        <f t="shared" si="47"/>
        <v>4429.8999020000001</v>
      </c>
      <c r="L422" s="4">
        <f t="shared" si="48"/>
        <v>3.5979491356743089E-2</v>
      </c>
    </row>
    <row r="423" spans="1:12" x14ac:dyDescent="0.25">
      <c r="A423" s="1">
        <v>41758</v>
      </c>
      <c r="B423">
        <v>4427.75</v>
      </c>
      <c r="C423">
        <v>4562.4501950000003</v>
      </c>
      <c r="D423">
        <v>4365.1000979999999</v>
      </c>
      <c r="E423">
        <v>4550.9501950000003</v>
      </c>
      <c r="F423" s="4">
        <f t="shared" si="43"/>
        <v>4429.8999020000001</v>
      </c>
      <c r="G423" s="4">
        <f t="shared" si="44"/>
        <v>4586.8999020000001</v>
      </c>
      <c r="H423" s="4">
        <f t="shared" si="45"/>
        <v>0</v>
      </c>
      <c r="I423" s="4">
        <f t="shared" si="42"/>
        <v>-1</v>
      </c>
      <c r="J423" s="11">
        <f t="shared" si="46"/>
        <v>0</v>
      </c>
      <c r="K423" s="6">
        <f t="shared" si="47"/>
        <v>4429.8999020000001</v>
      </c>
      <c r="L423" s="4">
        <f t="shared" si="48"/>
        <v>0</v>
      </c>
    </row>
    <row r="424" spans="1:12" x14ac:dyDescent="0.25">
      <c r="A424" s="1">
        <v>41759</v>
      </c>
      <c r="B424">
        <v>4551.7001950000003</v>
      </c>
      <c r="C424">
        <v>4688.9501950000003</v>
      </c>
      <c r="D424">
        <v>4551.7001950000003</v>
      </c>
      <c r="E424">
        <v>4655.25</v>
      </c>
      <c r="F424" s="4">
        <f t="shared" si="43"/>
        <v>4429.8999020000001</v>
      </c>
      <c r="G424" s="4">
        <f t="shared" si="44"/>
        <v>4655.25</v>
      </c>
      <c r="H424" s="4" t="str">
        <f t="shared" si="45"/>
        <v>BUY</v>
      </c>
      <c r="I424" s="4">
        <f t="shared" si="42"/>
        <v>1</v>
      </c>
      <c r="J424" s="11" t="str">
        <f t="shared" si="46"/>
        <v>BUY</v>
      </c>
      <c r="K424" s="6">
        <f t="shared" si="47"/>
        <v>4655.25</v>
      </c>
      <c r="L424" s="4">
        <f t="shared" si="48"/>
        <v>-5.0870246051893719E-2</v>
      </c>
    </row>
    <row r="425" spans="1:12" x14ac:dyDescent="0.25">
      <c r="A425" s="1">
        <v>41760</v>
      </c>
      <c r="B425">
        <v>4657.3999020000001</v>
      </c>
      <c r="C425">
        <v>4679.5498049999997</v>
      </c>
      <c r="D425">
        <v>4586.1499020000001</v>
      </c>
      <c r="E425">
        <v>4637.7001950000003</v>
      </c>
      <c r="F425" s="4">
        <f t="shared" si="43"/>
        <v>4429.8999020000001</v>
      </c>
      <c r="G425" s="4">
        <f t="shared" si="44"/>
        <v>4655.25</v>
      </c>
      <c r="H425" s="4">
        <f t="shared" si="45"/>
        <v>0</v>
      </c>
      <c r="I425" s="4">
        <f t="shared" si="42"/>
        <v>1</v>
      </c>
      <c r="J425" s="11">
        <f t="shared" si="46"/>
        <v>0</v>
      </c>
      <c r="K425" s="6">
        <f t="shared" si="47"/>
        <v>4655.25</v>
      </c>
      <c r="L425" s="4">
        <f t="shared" si="48"/>
        <v>0</v>
      </c>
    </row>
    <row r="426" spans="1:12" x14ac:dyDescent="0.25">
      <c r="A426" s="1">
        <v>41761</v>
      </c>
      <c r="B426">
        <v>4637.5498049999997</v>
      </c>
      <c r="C426">
        <v>4693.2001950000003</v>
      </c>
      <c r="D426">
        <v>4566.1499020000001</v>
      </c>
      <c r="E426">
        <v>4583.3999020000001</v>
      </c>
      <c r="F426" s="4">
        <f t="shared" si="43"/>
        <v>4429.8999020000001</v>
      </c>
      <c r="G426" s="4">
        <f t="shared" si="44"/>
        <v>4655.25</v>
      </c>
      <c r="H426" s="4">
        <f t="shared" si="45"/>
        <v>0</v>
      </c>
      <c r="I426" s="4">
        <f t="shared" si="42"/>
        <v>1</v>
      </c>
      <c r="J426" s="11">
        <f t="shared" si="46"/>
        <v>0</v>
      </c>
      <c r="K426" s="6">
        <f t="shared" si="47"/>
        <v>4655.25</v>
      </c>
      <c r="L426" s="4">
        <f t="shared" si="48"/>
        <v>0</v>
      </c>
    </row>
    <row r="427" spans="1:12" x14ac:dyDescent="0.25">
      <c r="A427" s="1">
        <v>41764</v>
      </c>
      <c r="B427">
        <v>4584.6499020000001</v>
      </c>
      <c r="C427">
        <v>4601.0498049999997</v>
      </c>
      <c r="D427">
        <v>4469.6000979999999</v>
      </c>
      <c r="E427">
        <v>4484</v>
      </c>
      <c r="F427" s="4">
        <f t="shared" si="43"/>
        <v>4484</v>
      </c>
      <c r="G427" s="4">
        <f t="shared" si="44"/>
        <v>4655.25</v>
      </c>
      <c r="H427" s="4">
        <f t="shared" si="45"/>
        <v>0</v>
      </c>
      <c r="I427" s="4">
        <f t="shared" si="42"/>
        <v>1</v>
      </c>
      <c r="J427" s="11">
        <f t="shared" si="46"/>
        <v>0</v>
      </c>
      <c r="K427" s="6">
        <f t="shared" si="47"/>
        <v>4655.25</v>
      </c>
      <c r="L427" s="4">
        <f t="shared" si="48"/>
        <v>0</v>
      </c>
    </row>
    <row r="428" spans="1:12" x14ac:dyDescent="0.25">
      <c r="A428" s="1">
        <v>41765</v>
      </c>
      <c r="B428">
        <v>4478.1000979999999</v>
      </c>
      <c r="C428">
        <v>4537.9501950000003</v>
      </c>
      <c r="D428">
        <v>4405.9501950000003</v>
      </c>
      <c r="E428">
        <v>4517.7998049999997</v>
      </c>
      <c r="F428" s="4">
        <f t="shared" si="43"/>
        <v>4484</v>
      </c>
      <c r="G428" s="4">
        <f t="shared" si="44"/>
        <v>4655.25</v>
      </c>
      <c r="H428" s="4">
        <f t="shared" si="45"/>
        <v>0</v>
      </c>
      <c r="I428" s="4">
        <f t="shared" si="42"/>
        <v>1</v>
      </c>
      <c r="J428" s="11">
        <f t="shared" si="46"/>
        <v>0</v>
      </c>
      <c r="K428" s="6">
        <f t="shared" si="47"/>
        <v>4655.25</v>
      </c>
      <c r="L428" s="4">
        <f t="shared" si="48"/>
        <v>0</v>
      </c>
    </row>
    <row r="429" spans="1:12" x14ac:dyDescent="0.25">
      <c r="A429" s="1">
        <v>41766</v>
      </c>
      <c r="B429">
        <v>4515.3500979999999</v>
      </c>
      <c r="C429">
        <v>4517.7998049999997</v>
      </c>
      <c r="D429">
        <v>4332.7998049999997</v>
      </c>
      <c r="E429">
        <v>4356.1499020000001</v>
      </c>
      <c r="F429" s="4">
        <f t="shared" si="43"/>
        <v>4356.1499020000001</v>
      </c>
      <c r="G429" s="4">
        <f t="shared" si="44"/>
        <v>4637.7001950000003</v>
      </c>
      <c r="H429" s="4" t="str">
        <f t="shared" si="45"/>
        <v>SELL</v>
      </c>
      <c r="I429" s="4">
        <f t="shared" si="42"/>
        <v>-1</v>
      </c>
      <c r="J429" s="11" t="str">
        <f t="shared" si="46"/>
        <v>SELL</v>
      </c>
      <c r="K429" s="6">
        <f t="shared" si="47"/>
        <v>4356.1499020000001</v>
      </c>
      <c r="L429" s="4">
        <f t="shared" si="48"/>
        <v>-6.4250061328607458E-2</v>
      </c>
    </row>
    <row r="430" spans="1:12" x14ac:dyDescent="0.25">
      <c r="A430" s="1">
        <v>41767</v>
      </c>
      <c r="B430">
        <v>4352.9501950000003</v>
      </c>
      <c r="C430">
        <v>4375.2998049999997</v>
      </c>
      <c r="D430">
        <v>4222.1499020000001</v>
      </c>
      <c r="E430">
        <v>4251.3999020000001</v>
      </c>
      <c r="F430" s="4">
        <f t="shared" si="43"/>
        <v>4251.3999020000001</v>
      </c>
      <c r="G430" s="4">
        <f t="shared" si="44"/>
        <v>4583.3999020000001</v>
      </c>
      <c r="H430" s="4" t="str">
        <f t="shared" si="45"/>
        <v>SELL</v>
      </c>
      <c r="I430" s="4">
        <f t="shared" si="42"/>
        <v>-1</v>
      </c>
      <c r="J430" s="11">
        <f t="shared" si="46"/>
        <v>0</v>
      </c>
      <c r="K430" s="6">
        <f t="shared" si="47"/>
        <v>4356.1499020000001</v>
      </c>
      <c r="L430" s="4">
        <f t="shared" si="48"/>
        <v>0</v>
      </c>
    </row>
    <row r="431" spans="1:12" x14ac:dyDescent="0.25">
      <c r="A431" s="1">
        <v>41768</v>
      </c>
      <c r="B431">
        <v>4251.1000979999999</v>
      </c>
      <c r="C431">
        <v>4326.2001950000003</v>
      </c>
      <c r="D431">
        <v>4206.7001950000003</v>
      </c>
      <c r="E431">
        <v>4313.6000979999999</v>
      </c>
      <c r="F431" s="4">
        <f t="shared" si="43"/>
        <v>4251.3999020000001</v>
      </c>
      <c r="G431" s="4">
        <f t="shared" si="44"/>
        <v>4517.7998049999997</v>
      </c>
      <c r="H431" s="4">
        <f t="shared" si="45"/>
        <v>0</v>
      </c>
      <c r="I431" s="4">
        <f t="shared" si="42"/>
        <v>-1</v>
      </c>
      <c r="J431" s="11">
        <f t="shared" si="46"/>
        <v>0</v>
      </c>
      <c r="K431" s="6">
        <f t="shared" si="47"/>
        <v>4356.1499020000001</v>
      </c>
      <c r="L431" s="4">
        <f t="shared" si="48"/>
        <v>0</v>
      </c>
    </row>
    <row r="432" spans="1:12" x14ac:dyDescent="0.25">
      <c r="A432" s="1">
        <v>41771</v>
      </c>
      <c r="B432">
        <v>4314.2001950000003</v>
      </c>
      <c r="C432">
        <v>4352.25</v>
      </c>
      <c r="D432">
        <v>4221.8999020000001</v>
      </c>
      <c r="E432">
        <v>4235.25</v>
      </c>
      <c r="F432" s="4">
        <f t="shared" si="43"/>
        <v>4235.25</v>
      </c>
      <c r="G432" s="4">
        <f t="shared" si="44"/>
        <v>4517.7998049999997</v>
      </c>
      <c r="H432" s="4" t="str">
        <f t="shared" si="45"/>
        <v>SELL</v>
      </c>
      <c r="I432" s="4">
        <f t="shared" si="42"/>
        <v>-1</v>
      </c>
      <c r="J432" s="11">
        <f t="shared" si="46"/>
        <v>0</v>
      </c>
      <c r="K432" s="6">
        <f t="shared" si="47"/>
        <v>4356.1499020000001</v>
      </c>
      <c r="L432" s="4">
        <f t="shared" si="48"/>
        <v>0</v>
      </c>
    </row>
    <row r="433" spans="1:12" x14ac:dyDescent="0.25">
      <c r="A433" s="1">
        <v>41772</v>
      </c>
      <c r="B433">
        <v>4223.2998049999997</v>
      </c>
      <c r="C433">
        <v>4267.4501950000003</v>
      </c>
      <c r="D433">
        <v>4143.25</v>
      </c>
      <c r="E433">
        <v>4247</v>
      </c>
      <c r="F433" s="4">
        <f t="shared" si="43"/>
        <v>4235.25</v>
      </c>
      <c r="G433" s="4">
        <f t="shared" si="44"/>
        <v>4356.1499020000001</v>
      </c>
      <c r="H433" s="4">
        <f t="shared" si="45"/>
        <v>0</v>
      </c>
      <c r="I433" s="4">
        <f t="shared" si="42"/>
        <v>-1</v>
      </c>
      <c r="J433" s="11">
        <f t="shared" si="46"/>
        <v>0</v>
      </c>
      <c r="K433" s="6">
        <f t="shared" si="47"/>
        <v>4356.1499020000001</v>
      </c>
      <c r="L433" s="4">
        <f t="shared" si="48"/>
        <v>0</v>
      </c>
    </row>
    <row r="434" spans="1:12" x14ac:dyDescent="0.25">
      <c r="A434" s="1">
        <v>41773</v>
      </c>
      <c r="B434">
        <v>4247.2998049999997</v>
      </c>
      <c r="C434">
        <v>4307</v>
      </c>
      <c r="D434">
        <v>4218.25</v>
      </c>
      <c r="E434">
        <v>4292.9501950000003</v>
      </c>
      <c r="F434" s="4">
        <f t="shared" si="43"/>
        <v>4235.25</v>
      </c>
      <c r="G434" s="4">
        <f t="shared" si="44"/>
        <v>4313.6000979999999</v>
      </c>
      <c r="H434" s="4">
        <f t="shared" si="45"/>
        <v>0</v>
      </c>
      <c r="I434" s="4">
        <f t="shared" si="42"/>
        <v>-1</v>
      </c>
      <c r="J434" s="11">
        <f t="shared" si="46"/>
        <v>0</v>
      </c>
      <c r="K434" s="6">
        <f t="shared" si="47"/>
        <v>4356.1499020000001</v>
      </c>
      <c r="L434" s="4">
        <f t="shared" si="48"/>
        <v>0</v>
      </c>
    </row>
    <row r="435" spans="1:12" x14ac:dyDescent="0.25">
      <c r="A435" s="1">
        <v>41774</v>
      </c>
      <c r="B435">
        <v>4293.8500979999999</v>
      </c>
      <c r="C435">
        <v>4337.9501950000003</v>
      </c>
      <c r="D435">
        <v>4221.1499020000001</v>
      </c>
      <c r="E435">
        <v>4241.8500979999999</v>
      </c>
      <c r="F435" s="4">
        <f t="shared" si="43"/>
        <v>4235.25</v>
      </c>
      <c r="G435" s="4">
        <f t="shared" si="44"/>
        <v>4313.6000979999999</v>
      </c>
      <c r="H435" s="4">
        <f t="shared" si="45"/>
        <v>0</v>
      </c>
      <c r="I435" s="4">
        <f t="shared" si="42"/>
        <v>-1</v>
      </c>
      <c r="J435" s="11">
        <f t="shared" si="46"/>
        <v>0</v>
      </c>
      <c r="K435" s="6">
        <f t="shared" si="47"/>
        <v>4356.1499020000001</v>
      </c>
      <c r="L435" s="4">
        <f t="shared" si="48"/>
        <v>0</v>
      </c>
    </row>
    <row r="436" spans="1:12" x14ac:dyDescent="0.25">
      <c r="A436" s="1">
        <v>41775</v>
      </c>
      <c r="B436">
        <v>4243.9501950000003</v>
      </c>
      <c r="C436">
        <v>4383.75</v>
      </c>
      <c r="D436">
        <v>4243.9501950000003</v>
      </c>
      <c r="E436">
        <v>4375.5</v>
      </c>
      <c r="F436" s="4">
        <f t="shared" si="43"/>
        <v>4235.25</v>
      </c>
      <c r="G436" s="4">
        <f t="shared" si="44"/>
        <v>4375.5</v>
      </c>
      <c r="H436" s="4" t="str">
        <f t="shared" si="45"/>
        <v>BUY</v>
      </c>
      <c r="I436" s="4">
        <f t="shared" si="42"/>
        <v>1</v>
      </c>
      <c r="J436" s="11" t="str">
        <f t="shared" si="46"/>
        <v>BUY</v>
      </c>
      <c r="K436" s="6">
        <f t="shared" si="47"/>
        <v>4375.5</v>
      </c>
      <c r="L436" s="4">
        <f t="shared" si="48"/>
        <v>-4.4420183959041105E-3</v>
      </c>
    </row>
    <row r="437" spans="1:12" x14ac:dyDescent="0.25">
      <c r="A437" s="1">
        <v>41778</v>
      </c>
      <c r="B437">
        <v>4375.3999020000001</v>
      </c>
      <c r="C437">
        <v>4439.9501950000003</v>
      </c>
      <c r="D437">
        <v>4350.8999020000001</v>
      </c>
      <c r="E437">
        <v>4390.9501950000003</v>
      </c>
      <c r="F437" s="4">
        <f t="shared" si="43"/>
        <v>4241.8500979999999</v>
      </c>
      <c r="G437" s="4">
        <f t="shared" si="44"/>
        <v>4390.9501950000003</v>
      </c>
      <c r="H437" s="4" t="str">
        <f t="shared" si="45"/>
        <v>BUY</v>
      </c>
      <c r="I437" s="4">
        <f t="shared" si="42"/>
        <v>1</v>
      </c>
      <c r="J437" s="11">
        <f t="shared" si="46"/>
        <v>0</v>
      </c>
      <c r="K437" s="6">
        <f t="shared" si="47"/>
        <v>4375.5</v>
      </c>
      <c r="L437" s="4">
        <f t="shared" si="48"/>
        <v>0</v>
      </c>
    </row>
    <row r="438" spans="1:12" x14ac:dyDescent="0.25">
      <c r="A438" s="1">
        <v>41779</v>
      </c>
      <c r="B438">
        <v>4391.5</v>
      </c>
      <c r="C438">
        <v>4426.75</v>
      </c>
      <c r="D438">
        <v>4267.3500979999999</v>
      </c>
      <c r="E438">
        <v>4291.1000979999999</v>
      </c>
      <c r="F438" s="4">
        <f t="shared" si="43"/>
        <v>4241.8500979999999</v>
      </c>
      <c r="G438" s="4">
        <f t="shared" si="44"/>
        <v>4390.9501950000003</v>
      </c>
      <c r="H438" s="4">
        <f t="shared" si="45"/>
        <v>0</v>
      </c>
      <c r="I438" s="4">
        <f t="shared" si="42"/>
        <v>1</v>
      </c>
      <c r="J438" s="11">
        <f t="shared" si="46"/>
        <v>0</v>
      </c>
      <c r="K438" s="6">
        <f t="shared" si="47"/>
        <v>4375.5</v>
      </c>
      <c r="L438" s="4">
        <f t="shared" si="48"/>
        <v>0</v>
      </c>
    </row>
    <row r="439" spans="1:12" x14ac:dyDescent="0.25">
      <c r="A439" s="1">
        <v>41780</v>
      </c>
      <c r="B439">
        <v>4292.2998049999997</v>
      </c>
      <c r="C439">
        <v>4362.2998049999997</v>
      </c>
      <c r="D439">
        <v>4249.7001950000003</v>
      </c>
      <c r="E439">
        <v>4340.8999020000001</v>
      </c>
      <c r="F439" s="4">
        <f t="shared" si="43"/>
        <v>4241.8500979999999</v>
      </c>
      <c r="G439" s="4">
        <f t="shared" si="44"/>
        <v>4390.9501950000003</v>
      </c>
      <c r="H439" s="4">
        <f t="shared" si="45"/>
        <v>0</v>
      </c>
      <c r="I439" s="4">
        <f t="shared" si="42"/>
        <v>1</v>
      </c>
      <c r="J439" s="11">
        <f t="shared" si="46"/>
        <v>0</v>
      </c>
      <c r="K439" s="6">
        <f t="shared" si="47"/>
        <v>4375.5</v>
      </c>
      <c r="L439" s="4">
        <f t="shared" si="48"/>
        <v>0</v>
      </c>
    </row>
    <row r="440" spans="1:12" x14ac:dyDescent="0.25">
      <c r="A440" s="1">
        <v>41781</v>
      </c>
      <c r="B440">
        <v>4373.5</v>
      </c>
      <c r="C440">
        <v>4383.6499020000001</v>
      </c>
      <c r="D440">
        <v>4288.75</v>
      </c>
      <c r="E440">
        <v>4348.8500979999999</v>
      </c>
      <c r="F440" s="4">
        <f t="shared" si="43"/>
        <v>4291.1000979999999</v>
      </c>
      <c r="G440" s="4">
        <f t="shared" si="44"/>
        <v>4390.9501950000003</v>
      </c>
      <c r="H440" s="4">
        <f t="shared" si="45"/>
        <v>0</v>
      </c>
      <c r="I440" s="4">
        <f t="shared" si="42"/>
        <v>1</v>
      </c>
      <c r="J440" s="11">
        <f t="shared" si="46"/>
        <v>0</v>
      </c>
      <c r="K440" s="6">
        <f t="shared" si="47"/>
        <v>4375.5</v>
      </c>
      <c r="L440" s="4">
        <f t="shared" si="48"/>
        <v>0</v>
      </c>
    </row>
    <row r="441" spans="1:12" x14ac:dyDescent="0.25">
      <c r="A441" s="1">
        <v>41782</v>
      </c>
      <c r="B441">
        <v>4347.2998049999997</v>
      </c>
      <c r="C441">
        <v>4434.4501950000003</v>
      </c>
      <c r="D441">
        <v>4298.9501950000003</v>
      </c>
      <c r="E441">
        <v>4424.25</v>
      </c>
      <c r="F441" s="4">
        <f t="shared" si="43"/>
        <v>4291.1000979999999</v>
      </c>
      <c r="G441" s="4">
        <f t="shared" si="44"/>
        <v>4424.25</v>
      </c>
      <c r="H441" s="4" t="str">
        <f t="shared" si="45"/>
        <v>BUY</v>
      </c>
      <c r="I441" s="4">
        <f t="shared" si="42"/>
        <v>1</v>
      </c>
      <c r="J441" s="11">
        <f t="shared" si="46"/>
        <v>0</v>
      </c>
      <c r="K441" s="6">
        <f t="shared" si="47"/>
        <v>4375.5</v>
      </c>
      <c r="L441" s="4">
        <f t="shared" si="48"/>
        <v>0</v>
      </c>
    </row>
    <row r="442" spans="1:12" x14ac:dyDescent="0.25">
      <c r="A442" s="1">
        <v>41785</v>
      </c>
      <c r="B442">
        <v>4429.6000979999999</v>
      </c>
      <c r="C442">
        <v>4479.7998049999997</v>
      </c>
      <c r="D442">
        <v>4133.7001950000003</v>
      </c>
      <c r="E442">
        <v>4165.7001950000003</v>
      </c>
      <c r="F442" s="4">
        <f t="shared" si="43"/>
        <v>4165.7001950000003</v>
      </c>
      <c r="G442" s="4">
        <f t="shared" si="44"/>
        <v>4424.25</v>
      </c>
      <c r="H442" s="4" t="str">
        <f t="shared" si="45"/>
        <v>SELL</v>
      </c>
      <c r="I442" s="4">
        <f t="shared" si="42"/>
        <v>-1</v>
      </c>
      <c r="J442" s="11" t="str">
        <f t="shared" si="46"/>
        <v>SELL</v>
      </c>
      <c r="K442" s="6">
        <f t="shared" si="47"/>
        <v>4165.7001950000003</v>
      </c>
      <c r="L442" s="4">
        <f t="shared" si="48"/>
        <v>-4.794876128442456E-2</v>
      </c>
    </row>
    <row r="443" spans="1:12" x14ac:dyDescent="0.25">
      <c r="A443" s="1">
        <v>41786</v>
      </c>
      <c r="B443">
        <v>4166</v>
      </c>
      <c r="C443">
        <v>4231.7998049999997</v>
      </c>
      <c r="D443">
        <v>4155.5</v>
      </c>
      <c r="E443">
        <v>4202.1499020000001</v>
      </c>
      <c r="F443" s="4">
        <f t="shared" si="43"/>
        <v>4165.7001950000003</v>
      </c>
      <c r="G443" s="4">
        <f t="shared" si="44"/>
        <v>4424.25</v>
      </c>
      <c r="H443" s="4">
        <f t="shared" si="45"/>
        <v>0</v>
      </c>
      <c r="I443" s="4">
        <f t="shared" si="42"/>
        <v>-1</v>
      </c>
      <c r="J443" s="11">
        <f t="shared" si="46"/>
        <v>0</v>
      </c>
      <c r="K443" s="6">
        <f t="shared" si="47"/>
        <v>4165.7001950000003</v>
      </c>
      <c r="L443" s="4">
        <f t="shared" si="48"/>
        <v>0</v>
      </c>
    </row>
    <row r="444" spans="1:12" x14ac:dyDescent="0.25">
      <c r="A444" s="1">
        <v>41787</v>
      </c>
      <c r="B444">
        <v>4201.8500979999999</v>
      </c>
      <c r="C444">
        <v>4201.8500979999999</v>
      </c>
      <c r="D444">
        <v>4061.1000979999999</v>
      </c>
      <c r="E444">
        <v>4078.8999020000001</v>
      </c>
      <c r="F444" s="4">
        <f t="shared" si="43"/>
        <v>4078.8999020000001</v>
      </c>
      <c r="G444" s="4">
        <f t="shared" si="44"/>
        <v>4424.25</v>
      </c>
      <c r="H444" s="4" t="str">
        <f t="shared" si="45"/>
        <v>SELL</v>
      </c>
      <c r="I444" s="4">
        <f t="shared" si="42"/>
        <v>-1</v>
      </c>
      <c r="J444" s="11">
        <f t="shared" si="46"/>
        <v>0</v>
      </c>
      <c r="K444" s="6">
        <f t="shared" si="47"/>
        <v>4165.7001950000003</v>
      </c>
      <c r="L444" s="4">
        <f t="shared" si="48"/>
        <v>0</v>
      </c>
    </row>
    <row r="445" spans="1:12" x14ac:dyDescent="0.25">
      <c r="A445" s="1">
        <v>41788</v>
      </c>
      <c r="B445">
        <v>4078.75</v>
      </c>
      <c r="C445">
        <v>4114.8999020000001</v>
      </c>
      <c r="D445">
        <v>4039.8500979999999</v>
      </c>
      <c r="E445">
        <v>4080.9499510000001</v>
      </c>
      <c r="F445" s="4">
        <f t="shared" si="43"/>
        <v>4078.8999020000001</v>
      </c>
      <c r="G445" s="4">
        <f t="shared" si="44"/>
        <v>4424.25</v>
      </c>
      <c r="H445" s="4">
        <f t="shared" si="45"/>
        <v>0</v>
      </c>
      <c r="I445" s="4">
        <f t="shared" si="42"/>
        <v>-1</v>
      </c>
      <c r="J445" s="11">
        <f t="shared" si="46"/>
        <v>0</v>
      </c>
      <c r="K445" s="6">
        <f t="shared" si="47"/>
        <v>4165.7001950000003</v>
      </c>
      <c r="L445" s="4">
        <f t="shared" si="48"/>
        <v>0</v>
      </c>
    </row>
    <row r="446" spans="1:12" x14ac:dyDescent="0.25">
      <c r="A446" s="1">
        <v>41789</v>
      </c>
      <c r="B446">
        <v>4081.3999020000001</v>
      </c>
      <c r="C446">
        <v>4129.9501950000003</v>
      </c>
      <c r="D446">
        <v>3976.8000489999999</v>
      </c>
      <c r="E446">
        <v>4003.8999020000001</v>
      </c>
      <c r="F446" s="4">
        <f t="shared" si="43"/>
        <v>4003.8999020000001</v>
      </c>
      <c r="G446" s="4">
        <f t="shared" si="44"/>
        <v>4202.1499020000001</v>
      </c>
      <c r="H446" s="4" t="str">
        <f t="shared" si="45"/>
        <v>SELL</v>
      </c>
      <c r="I446" s="4">
        <f t="shared" si="42"/>
        <v>-1</v>
      </c>
      <c r="J446" s="11">
        <f t="shared" si="46"/>
        <v>0</v>
      </c>
      <c r="K446" s="6">
        <f t="shared" si="47"/>
        <v>4165.7001950000003</v>
      </c>
      <c r="L446" s="4">
        <f t="shared" si="48"/>
        <v>0</v>
      </c>
    </row>
    <row r="447" spans="1:12" x14ac:dyDescent="0.25">
      <c r="A447" s="1">
        <v>41792</v>
      </c>
      <c r="B447">
        <v>4003.3999020000001</v>
      </c>
      <c r="C447">
        <v>4003.3999020000001</v>
      </c>
      <c r="D447">
        <v>3918.75</v>
      </c>
      <c r="E447">
        <v>3974.0500489999999</v>
      </c>
      <c r="F447" s="4">
        <f t="shared" si="43"/>
        <v>3974.0500489999999</v>
      </c>
      <c r="G447" s="4">
        <f t="shared" si="44"/>
        <v>4202.1499020000001</v>
      </c>
      <c r="H447" s="4" t="str">
        <f t="shared" si="45"/>
        <v>SELL</v>
      </c>
      <c r="I447" s="4">
        <f t="shared" si="42"/>
        <v>-1</v>
      </c>
      <c r="J447" s="11">
        <f t="shared" si="46"/>
        <v>0</v>
      </c>
      <c r="K447" s="6">
        <f t="shared" si="47"/>
        <v>4165.7001950000003</v>
      </c>
      <c r="L447" s="4">
        <f t="shared" si="48"/>
        <v>0</v>
      </c>
    </row>
    <row r="448" spans="1:12" x14ac:dyDescent="0.25">
      <c r="A448" s="1">
        <v>41793</v>
      </c>
      <c r="B448">
        <v>3974.1000979999999</v>
      </c>
      <c r="C448">
        <v>4128.8999020000001</v>
      </c>
      <c r="D448">
        <v>3974.1000979999999</v>
      </c>
      <c r="E448">
        <v>4111.3999020000001</v>
      </c>
      <c r="F448" s="4">
        <f t="shared" si="43"/>
        <v>3974.0500489999999</v>
      </c>
      <c r="G448" s="4">
        <f t="shared" si="44"/>
        <v>4111.3999020000001</v>
      </c>
      <c r="H448" s="4">
        <f t="shared" si="45"/>
        <v>0</v>
      </c>
      <c r="I448" s="4">
        <f t="shared" si="42"/>
        <v>-1</v>
      </c>
      <c r="J448" s="11">
        <f t="shared" si="46"/>
        <v>0</v>
      </c>
      <c r="K448" s="6">
        <f t="shared" si="47"/>
        <v>4165.7001950000003</v>
      </c>
      <c r="L448" s="4">
        <f t="shared" si="48"/>
        <v>0</v>
      </c>
    </row>
    <row r="449" spans="1:12" x14ac:dyDescent="0.25">
      <c r="A449" s="1">
        <v>41794</v>
      </c>
      <c r="B449">
        <v>4120.7998049999997</v>
      </c>
      <c r="C449">
        <v>4249.5498049999997</v>
      </c>
      <c r="D449">
        <v>4118.75</v>
      </c>
      <c r="E449">
        <v>4233.5</v>
      </c>
      <c r="F449" s="4">
        <f t="shared" si="43"/>
        <v>3974.0500489999999</v>
      </c>
      <c r="G449" s="4">
        <f t="shared" si="44"/>
        <v>4233.5</v>
      </c>
      <c r="H449" s="4" t="str">
        <f t="shared" si="45"/>
        <v>BUY</v>
      </c>
      <c r="I449" s="4">
        <f t="shared" si="42"/>
        <v>1</v>
      </c>
      <c r="J449" s="11" t="str">
        <f t="shared" si="46"/>
        <v>BUY</v>
      </c>
      <c r="K449" s="6">
        <f t="shared" si="47"/>
        <v>4233.5</v>
      </c>
      <c r="L449" s="4">
        <f t="shared" si="48"/>
        <v>-1.6275728407286316E-2</v>
      </c>
    </row>
    <row r="450" spans="1:12" x14ac:dyDescent="0.25">
      <c r="A450" s="1">
        <v>41795</v>
      </c>
      <c r="B450">
        <v>4223.5</v>
      </c>
      <c r="C450">
        <v>4305</v>
      </c>
      <c r="D450">
        <v>4205.5</v>
      </c>
      <c r="E450">
        <v>4231.3999020000001</v>
      </c>
      <c r="F450" s="4">
        <f t="shared" si="43"/>
        <v>3974.0500489999999</v>
      </c>
      <c r="G450" s="4">
        <f t="shared" si="44"/>
        <v>4233.5</v>
      </c>
      <c r="H450" s="4">
        <f t="shared" si="45"/>
        <v>0</v>
      </c>
      <c r="I450" s="4">
        <f t="shared" si="42"/>
        <v>1</v>
      </c>
      <c r="J450" s="11">
        <f t="shared" si="46"/>
        <v>0</v>
      </c>
      <c r="K450" s="6">
        <f t="shared" si="47"/>
        <v>4233.5</v>
      </c>
      <c r="L450" s="4">
        <f t="shared" si="48"/>
        <v>0</v>
      </c>
    </row>
    <row r="451" spans="1:12" x14ac:dyDescent="0.25">
      <c r="A451" s="1">
        <v>41796</v>
      </c>
      <c r="B451">
        <v>4231.4501950000003</v>
      </c>
      <c r="C451">
        <v>4390.3999020000001</v>
      </c>
      <c r="D451">
        <v>4230.1499020000001</v>
      </c>
      <c r="E451">
        <v>4374.9501950000003</v>
      </c>
      <c r="F451" s="4">
        <f t="shared" si="43"/>
        <v>3974.0500489999999</v>
      </c>
      <c r="G451" s="4">
        <f t="shared" si="44"/>
        <v>4374.9501950000003</v>
      </c>
      <c r="H451" s="4" t="str">
        <f t="shared" si="45"/>
        <v>BUY</v>
      </c>
      <c r="I451" s="4">
        <f t="shared" si="42"/>
        <v>1</v>
      </c>
      <c r="J451" s="11">
        <f t="shared" si="46"/>
        <v>0</v>
      </c>
      <c r="K451" s="6">
        <f t="shared" si="47"/>
        <v>4233.5</v>
      </c>
      <c r="L451" s="4">
        <f t="shared" si="48"/>
        <v>0</v>
      </c>
    </row>
    <row r="452" spans="1:12" x14ac:dyDescent="0.25">
      <c r="A452" s="1">
        <v>41799</v>
      </c>
      <c r="B452">
        <v>4377.8999020000001</v>
      </c>
      <c r="C452">
        <v>4510.2998049999997</v>
      </c>
      <c r="D452">
        <v>4377.8999020000001</v>
      </c>
      <c r="E452">
        <v>4502.25</v>
      </c>
      <c r="F452" s="4">
        <f t="shared" si="43"/>
        <v>4111.3999020000001</v>
      </c>
      <c r="G452" s="4">
        <f t="shared" si="44"/>
        <v>4502.25</v>
      </c>
      <c r="H452" s="4" t="str">
        <f t="shared" si="45"/>
        <v>BUY</v>
      </c>
      <c r="I452" s="4">
        <f t="shared" si="42"/>
        <v>1</v>
      </c>
      <c r="J452" s="11">
        <f t="shared" si="46"/>
        <v>0</v>
      </c>
      <c r="K452" s="6">
        <f t="shared" si="47"/>
        <v>4233.5</v>
      </c>
      <c r="L452" s="4">
        <f t="shared" si="48"/>
        <v>0</v>
      </c>
    </row>
    <row r="453" spans="1:12" x14ac:dyDescent="0.25">
      <c r="A453" s="1">
        <v>41800</v>
      </c>
      <c r="B453">
        <v>4501.5</v>
      </c>
      <c r="C453">
        <v>4524</v>
      </c>
      <c r="D453">
        <v>4436.6000979999999</v>
      </c>
      <c r="E453">
        <v>4469.1000979999999</v>
      </c>
      <c r="F453" s="4">
        <f t="shared" si="43"/>
        <v>4231.3999020000001</v>
      </c>
      <c r="G453" s="4">
        <f t="shared" si="44"/>
        <v>4502.25</v>
      </c>
      <c r="H453" s="4">
        <f t="shared" si="45"/>
        <v>0</v>
      </c>
      <c r="I453" s="4">
        <f t="shared" si="42"/>
        <v>1</v>
      </c>
      <c r="J453" s="11">
        <f t="shared" si="46"/>
        <v>0</v>
      </c>
      <c r="K453" s="6">
        <f t="shared" si="47"/>
        <v>4233.5</v>
      </c>
      <c r="L453" s="4">
        <f t="shared" si="48"/>
        <v>0</v>
      </c>
    </row>
    <row r="454" spans="1:12" x14ac:dyDescent="0.25">
      <c r="A454" s="1">
        <v>41801</v>
      </c>
      <c r="B454">
        <v>4469.2998049999997</v>
      </c>
      <c r="C454">
        <v>4557.9501950000003</v>
      </c>
      <c r="D454">
        <v>4380.4501950000003</v>
      </c>
      <c r="E454">
        <v>4398.8999020000001</v>
      </c>
      <c r="F454" s="4">
        <f t="shared" si="43"/>
        <v>4231.3999020000001</v>
      </c>
      <c r="G454" s="4">
        <f t="shared" si="44"/>
        <v>4502.25</v>
      </c>
      <c r="H454" s="4">
        <f t="shared" si="45"/>
        <v>0</v>
      </c>
      <c r="I454" s="4">
        <f t="shared" ref="I454:I517" si="49">IF(AND(H454="BUY",I453&lt;&gt;1),1,IF(AND(H454="SELL",I453&lt;&gt;-1),-1,I453))</f>
        <v>1</v>
      </c>
      <c r="J454" s="11">
        <f t="shared" si="46"/>
        <v>0</v>
      </c>
      <c r="K454" s="6">
        <f t="shared" si="47"/>
        <v>4233.5</v>
      </c>
      <c r="L454" s="4">
        <f t="shared" si="48"/>
        <v>0</v>
      </c>
    </row>
    <row r="455" spans="1:12" x14ac:dyDescent="0.25">
      <c r="A455" s="1">
        <v>41802</v>
      </c>
      <c r="B455">
        <v>4409.7001950000003</v>
      </c>
      <c r="C455">
        <v>4532.3999020000001</v>
      </c>
      <c r="D455">
        <v>4405.9501950000003</v>
      </c>
      <c r="E455">
        <v>4523.75</v>
      </c>
      <c r="F455" s="4">
        <f t="shared" ref="F455:F518" si="50">MIN(E451:E455)</f>
        <v>4374.9501950000003</v>
      </c>
      <c r="G455" s="4">
        <f t="shared" ref="G455:G518" si="51">MAX(E451:E455)</f>
        <v>4523.75</v>
      </c>
      <c r="H455" s="4" t="str">
        <f t="shared" ref="H455:H518" si="52">IF(E455&gt;G454,"BUY",IF(E455&lt;F454,"SELL",0))</f>
        <v>BUY</v>
      </c>
      <c r="I455" s="4">
        <f t="shared" si="49"/>
        <v>1</v>
      </c>
      <c r="J455" s="11">
        <f t="shared" ref="J455:J518" si="53">IF(I455&lt;&gt;I454,H455,0)</f>
        <v>0</v>
      </c>
      <c r="K455" s="6">
        <f t="shared" ref="K455:K518" si="54">IF(J455&lt;&gt;0,E455,K454)</f>
        <v>4233.5</v>
      </c>
      <c r="L455" s="4">
        <f t="shared" si="48"/>
        <v>0</v>
      </c>
    </row>
    <row r="456" spans="1:12" x14ac:dyDescent="0.25">
      <c r="A456" s="1">
        <v>41803</v>
      </c>
      <c r="B456">
        <v>4524.7998049999997</v>
      </c>
      <c r="C456">
        <v>4578.75</v>
      </c>
      <c r="D456">
        <v>4504.8500979999999</v>
      </c>
      <c r="E456">
        <v>4568.5498049999997</v>
      </c>
      <c r="F456" s="4">
        <f t="shared" si="50"/>
        <v>4398.8999020000001</v>
      </c>
      <c r="G456" s="4">
        <f t="shared" si="51"/>
        <v>4568.5498049999997</v>
      </c>
      <c r="H456" s="4" t="str">
        <f t="shared" si="52"/>
        <v>BUY</v>
      </c>
      <c r="I456" s="4">
        <f t="shared" si="49"/>
        <v>1</v>
      </c>
      <c r="J456" s="11">
        <f t="shared" si="53"/>
        <v>0</v>
      </c>
      <c r="K456" s="6">
        <f t="shared" si="54"/>
        <v>4233.5</v>
      </c>
      <c r="L456" s="4">
        <f t="shared" ref="L456:L519" si="55">IF(J456="BUY",(K455-K456)/K455,IF(J456="SELL",(K457-K455)/K455,0))</f>
        <v>0</v>
      </c>
    </row>
    <row r="457" spans="1:12" x14ac:dyDescent="0.25">
      <c r="A457" s="1">
        <v>41806</v>
      </c>
      <c r="B457">
        <v>4568.6499020000001</v>
      </c>
      <c r="C457">
        <v>4596.75</v>
      </c>
      <c r="D457">
        <v>4528.5</v>
      </c>
      <c r="E457">
        <v>4572.2998049999997</v>
      </c>
      <c r="F457" s="4">
        <f t="shared" si="50"/>
        <v>4398.8999020000001</v>
      </c>
      <c r="G457" s="4">
        <f t="shared" si="51"/>
        <v>4572.2998049999997</v>
      </c>
      <c r="H457" s="4" t="str">
        <f t="shared" si="52"/>
        <v>BUY</v>
      </c>
      <c r="I457" s="4">
        <f t="shared" si="49"/>
        <v>1</v>
      </c>
      <c r="J457" s="11">
        <f t="shared" si="53"/>
        <v>0</v>
      </c>
      <c r="K457" s="6">
        <f t="shared" si="54"/>
        <v>4233.5</v>
      </c>
      <c r="L457" s="4">
        <f t="shared" si="55"/>
        <v>0</v>
      </c>
    </row>
    <row r="458" spans="1:12" x14ac:dyDescent="0.25">
      <c r="A458" s="1">
        <v>41807</v>
      </c>
      <c r="B458">
        <v>4572.7998049999997</v>
      </c>
      <c r="C458">
        <v>4599.8999020000001</v>
      </c>
      <c r="D458">
        <v>4529.1499020000001</v>
      </c>
      <c r="E458">
        <v>4564.1000979999999</v>
      </c>
      <c r="F458" s="4">
        <f t="shared" si="50"/>
        <v>4398.8999020000001</v>
      </c>
      <c r="G458" s="4">
        <f t="shared" si="51"/>
        <v>4572.2998049999997</v>
      </c>
      <c r="H458" s="4">
        <f t="shared" si="52"/>
        <v>0</v>
      </c>
      <c r="I458" s="4">
        <f t="shared" si="49"/>
        <v>1</v>
      </c>
      <c r="J458" s="11">
        <f t="shared" si="53"/>
        <v>0</v>
      </c>
      <c r="K458" s="6">
        <f t="shared" si="54"/>
        <v>4233.5</v>
      </c>
      <c r="L458" s="4">
        <f t="shared" si="55"/>
        <v>0</v>
      </c>
    </row>
    <row r="459" spans="1:12" x14ac:dyDescent="0.25">
      <c r="A459" s="1">
        <v>41808</v>
      </c>
      <c r="B459">
        <v>4565.7998049999997</v>
      </c>
      <c r="C459">
        <v>4573.8500979999999</v>
      </c>
      <c r="D459">
        <v>4420.7998049999997</v>
      </c>
      <c r="E459">
        <v>4513.5</v>
      </c>
      <c r="F459" s="4">
        <f t="shared" si="50"/>
        <v>4513.5</v>
      </c>
      <c r="G459" s="4">
        <f t="shared" si="51"/>
        <v>4572.2998049999997</v>
      </c>
      <c r="H459" s="4">
        <f t="shared" si="52"/>
        <v>0</v>
      </c>
      <c r="I459" s="4">
        <f t="shared" si="49"/>
        <v>1</v>
      </c>
      <c r="J459" s="11">
        <f t="shared" si="53"/>
        <v>0</v>
      </c>
      <c r="K459" s="6">
        <f t="shared" si="54"/>
        <v>4233.5</v>
      </c>
      <c r="L459" s="4">
        <f t="shared" si="55"/>
        <v>0</v>
      </c>
    </row>
    <row r="460" spans="1:12" x14ac:dyDescent="0.25">
      <c r="A460" s="1">
        <v>41809</v>
      </c>
      <c r="B460">
        <v>4513.1000979999999</v>
      </c>
      <c r="C460">
        <v>4582.3500979999999</v>
      </c>
      <c r="D460">
        <v>4474.5</v>
      </c>
      <c r="E460">
        <v>4571.4501950000003</v>
      </c>
      <c r="F460" s="4">
        <f t="shared" si="50"/>
        <v>4513.5</v>
      </c>
      <c r="G460" s="4">
        <f t="shared" si="51"/>
        <v>4572.2998049999997</v>
      </c>
      <c r="H460" s="4">
        <f t="shared" si="52"/>
        <v>0</v>
      </c>
      <c r="I460" s="4">
        <f t="shared" si="49"/>
        <v>1</v>
      </c>
      <c r="J460" s="11">
        <f t="shared" si="53"/>
        <v>0</v>
      </c>
      <c r="K460" s="6">
        <f t="shared" si="54"/>
        <v>4233.5</v>
      </c>
      <c r="L460" s="4">
        <f t="shared" si="55"/>
        <v>0</v>
      </c>
    </row>
    <row r="461" spans="1:12" x14ac:dyDescent="0.25">
      <c r="A461" s="1">
        <v>41810</v>
      </c>
      <c r="B461">
        <v>4571.6000979999999</v>
      </c>
      <c r="C461">
        <v>4669.75</v>
      </c>
      <c r="D461">
        <v>4571.6000979999999</v>
      </c>
      <c r="E461">
        <v>4636.4501950000003</v>
      </c>
      <c r="F461" s="4">
        <f t="shared" si="50"/>
        <v>4513.5</v>
      </c>
      <c r="G461" s="4">
        <f t="shared" si="51"/>
        <v>4636.4501950000003</v>
      </c>
      <c r="H461" s="4" t="str">
        <f t="shared" si="52"/>
        <v>BUY</v>
      </c>
      <c r="I461" s="4">
        <f t="shared" si="49"/>
        <v>1</v>
      </c>
      <c r="J461" s="11">
        <f t="shared" si="53"/>
        <v>0</v>
      </c>
      <c r="K461" s="6">
        <f t="shared" si="54"/>
        <v>4233.5</v>
      </c>
      <c r="L461" s="4">
        <f t="shared" si="55"/>
        <v>0</v>
      </c>
    </row>
    <row r="462" spans="1:12" x14ac:dyDescent="0.25">
      <c r="A462" s="1">
        <v>41813</v>
      </c>
      <c r="B462">
        <v>4633.7998049999997</v>
      </c>
      <c r="C462">
        <v>4723.75</v>
      </c>
      <c r="D462">
        <v>4617.75</v>
      </c>
      <c r="E462">
        <v>4711.3999020000001</v>
      </c>
      <c r="F462" s="4">
        <f t="shared" si="50"/>
        <v>4513.5</v>
      </c>
      <c r="G462" s="4">
        <f t="shared" si="51"/>
        <v>4711.3999020000001</v>
      </c>
      <c r="H462" s="4" t="str">
        <f t="shared" si="52"/>
        <v>BUY</v>
      </c>
      <c r="I462" s="4">
        <f t="shared" si="49"/>
        <v>1</v>
      </c>
      <c r="J462" s="11">
        <f t="shared" si="53"/>
        <v>0</v>
      </c>
      <c r="K462" s="6">
        <f t="shared" si="54"/>
        <v>4233.5</v>
      </c>
      <c r="L462" s="4">
        <f t="shared" si="55"/>
        <v>0</v>
      </c>
    </row>
    <row r="463" spans="1:12" x14ac:dyDescent="0.25">
      <c r="A463" s="1">
        <v>41814</v>
      </c>
      <c r="B463">
        <v>4706.25</v>
      </c>
      <c r="C463">
        <v>4731.4501950000003</v>
      </c>
      <c r="D463">
        <v>4642.6000979999999</v>
      </c>
      <c r="E463">
        <v>4680.5</v>
      </c>
      <c r="F463" s="4">
        <f t="shared" si="50"/>
        <v>4513.5</v>
      </c>
      <c r="G463" s="4">
        <f t="shared" si="51"/>
        <v>4711.3999020000001</v>
      </c>
      <c r="H463" s="4">
        <f t="shared" si="52"/>
        <v>0</v>
      </c>
      <c r="I463" s="4">
        <f t="shared" si="49"/>
        <v>1</v>
      </c>
      <c r="J463" s="11">
        <f t="shared" si="53"/>
        <v>0</v>
      </c>
      <c r="K463" s="6">
        <f t="shared" si="54"/>
        <v>4233.5</v>
      </c>
      <c r="L463" s="4">
        <f t="shared" si="55"/>
        <v>0</v>
      </c>
    </row>
    <row r="464" spans="1:12" x14ac:dyDescent="0.25">
      <c r="A464" s="1">
        <v>41815</v>
      </c>
      <c r="B464">
        <v>4680.9501950000003</v>
      </c>
      <c r="C464">
        <v>4717.2001950000003</v>
      </c>
      <c r="D464">
        <v>4629.8500979999999</v>
      </c>
      <c r="E464">
        <v>4694.1499020000001</v>
      </c>
      <c r="F464" s="4">
        <f t="shared" si="50"/>
        <v>4571.4501950000003</v>
      </c>
      <c r="G464" s="4">
        <f t="shared" si="51"/>
        <v>4711.3999020000001</v>
      </c>
      <c r="H464" s="4">
        <f t="shared" si="52"/>
        <v>0</v>
      </c>
      <c r="I464" s="4">
        <f t="shared" si="49"/>
        <v>1</v>
      </c>
      <c r="J464" s="11">
        <f t="shared" si="53"/>
        <v>0</v>
      </c>
      <c r="K464" s="6">
        <f t="shared" si="54"/>
        <v>4233.5</v>
      </c>
      <c r="L464" s="4">
        <f t="shared" si="55"/>
        <v>0</v>
      </c>
    </row>
    <row r="465" spans="1:12" x14ac:dyDescent="0.25">
      <c r="A465" s="1">
        <v>41816</v>
      </c>
      <c r="B465">
        <v>4694.3500979999999</v>
      </c>
      <c r="C465">
        <v>4718.1499020000001</v>
      </c>
      <c r="D465">
        <v>4559.2001950000003</v>
      </c>
      <c r="E465">
        <v>4585.5</v>
      </c>
      <c r="F465" s="4">
        <f t="shared" si="50"/>
        <v>4585.5</v>
      </c>
      <c r="G465" s="4">
        <f t="shared" si="51"/>
        <v>4711.3999020000001</v>
      </c>
      <c r="H465" s="4">
        <f t="shared" si="52"/>
        <v>0</v>
      </c>
      <c r="I465" s="4">
        <f t="shared" si="49"/>
        <v>1</v>
      </c>
      <c r="J465" s="11">
        <f t="shared" si="53"/>
        <v>0</v>
      </c>
      <c r="K465" s="6">
        <f t="shared" si="54"/>
        <v>4233.5</v>
      </c>
      <c r="L465" s="4">
        <f t="shared" si="55"/>
        <v>0</v>
      </c>
    </row>
    <row r="466" spans="1:12" x14ac:dyDescent="0.25">
      <c r="A466" s="1">
        <v>41817</v>
      </c>
      <c r="B466">
        <v>4591.8999020000001</v>
      </c>
      <c r="C466">
        <v>4591.8999020000001</v>
      </c>
      <c r="D466">
        <v>4463.9501950000003</v>
      </c>
      <c r="E466">
        <v>4481.3999020000001</v>
      </c>
      <c r="F466" s="4">
        <f t="shared" si="50"/>
        <v>4481.3999020000001</v>
      </c>
      <c r="G466" s="4">
        <f t="shared" si="51"/>
        <v>4711.3999020000001</v>
      </c>
      <c r="H466" s="4" t="str">
        <f t="shared" si="52"/>
        <v>SELL</v>
      </c>
      <c r="I466" s="4">
        <f t="shared" si="49"/>
        <v>-1</v>
      </c>
      <c r="J466" s="11" t="str">
        <f t="shared" si="53"/>
        <v>SELL</v>
      </c>
      <c r="K466" s="6">
        <f t="shared" si="54"/>
        <v>4481.3999020000001</v>
      </c>
      <c r="L466" s="4">
        <f t="shared" si="55"/>
        <v>5.8556726585567521E-2</v>
      </c>
    </row>
    <row r="467" spans="1:12" x14ac:dyDescent="0.25">
      <c r="A467" s="1">
        <v>41820</v>
      </c>
      <c r="B467">
        <v>4486.5</v>
      </c>
      <c r="C467">
        <v>4562.5</v>
      </c>
      <c r="D467">
        <v>4399.8500979999999</v>
      </c>
      <c r="E467">
        <v>4437.6499020000001</v>
      </c>
      <c r="F467" s="4">
        <f t="shared" si="50"/>
        <v>4437.6499020000001</v>
      </c>
      <c r="G467" s="4">
        <f t="shared" si="51"/>
        <v>4694.1499020000001</v>
      </c>
      <c r="H467" s="4" t="str">
        <f t="shared" si="52"/>
        <v>SELL</v>
      </c>
      <c r="I467" s="4">
        <f t="shared" si="49"/>
        <v>-1</v>
      </c>
      <c r="J467" s="11">
        <f t="shared" si="53"/>
        <v>0</v>
      </c>
      <c r="K467" s="6">
        <f t="shared" si="54"/>
        <v>4481.3999020000001</v>
      </c>
      <c r="L467" s="4">
        <f t="shared" si="55"/>
        <v>0</v>
      </c>
    </row>
    <row r="468" spans="1:12" x14ac:dyDescent="0.25">
      <c r="A468" s="1">
        <v>41821</v>
      </c>
      <c r="B468">
        <v>4435</v>
      </c>
      <c r="C468">
        <v>4510.7998049999997</v>
      </c>
      <c r="D468">
        <v>4398.8999020000001</v>
      </c>
      <c r="E468">
        <v>4471.3500979999999</v>
      </c>
      <c r="F468" s="4">
        <f t="shared" si="50"/>
        <v>4437.6499020000001</v>
      </c>
      <c r="G468" s="4">
        <f t="shared" si="51"/>
        <v>4694.1499020000001</v>
      </c>
      <c r="H468" s="4">
        <f t="shared" si="52"/>
        <v>0</v>
      </c>
      <c r="I468" s="4">
        <f t="shared" si="49"/>
        <v>-1</v>
      </c>
      <c r="J468" s="11">
        <f t="shared" si="53"/>
        <v>0</v>
      </c>
      <c r="K468" s="6">
        <f t="shared" si="54"/>
        <v>4481.3999020000001</v>
      </c>
      <c r="L468" s="4">
        <f t="shared" si="55"/>
        <v>0</v>
      </c>
    </row>
    <row r="469" spans="1:12" x14ac:dyDescent="0.25">
      <c r="A469" s="1">
        <v>41822</v>
      </c>
      <c r="B469">
        <v>4473.7998049999997</v>
      </c>
      <c r="C469">
        <v>4473.7998049999997</v>
      </c>
      <c r="D469">
        <v>4359.3999020000001</v>
      </c>
      <c r="E469">
        <v>4457.5</v>
      </c>
      <c r="F469" s="4">
        <f t="shared" si="50"/>
        <v>4437.6499020000001</v>
      </c>
      <c r="G469" s="4">
        <f t="shared" si="51"/>
        <v>4585.5</v>
      </c>
      <c r="H469" s="4">
        <f t="shared" si="52"/>
        <v>0</v>
      </c>
      <c r="I469" s="4">
        <f t="shared" si="49"/>
        <v>-1</v>
      </c>
      <c r="J469" s="11">
        <f t="shared" si="53"/>
        <v>0</v>
      </c>
      <c r="K469" s="6">
        <f t="shared" si="54"/>
        <v>4481.3999020000001</v>
      </c>
      <c r="L469" s="4">
        <f t="shared" si="55"/>
        <v>0</v>
      </c>
    </row>
    <row r="470" spans="1:12" x14ac:dyDescent="0.25">
      <c r="A470" s="1">
        <v>41823</v>
      </c>
      <c r="B470">
        <v>4458.5498049999997</v>
      </c>
      <c r="C470">
        <v>4614.1499020000001</v>
      </c>
      <c r="D470">
        <v>4458.5498049999997</v>
      </c>
      <c r="E470">
        <v>4605</v>
      </c>
      <c r="F470" s="4">
        <f t="shared" si="50"/>
        <v>4437.6499020000001</v>
      </c>
      <c r="G470" s="4">
        <f t="shared" si="51"/>
        <v>4605</v>
      </c>
      <c r="H470" s="4" t="str">
        <f t="shared" si="52"/>
        <v>BUY</v>
      </c>
      <c r="I470" s="4">
        <f t="shared" si="49"/>
        <v>1</v>
      </c>
      <c r="J470" s="11" t="str">
        <f t="shared" si="53"/>
        <v>BUY</v>
      </c>
      <c r="K470" s="6">
        <f t="shared" si="54"/>
        <v>4605</v>
      </c>
      <c r="L470" s="4">
        <f t="shared" si="55"/>
        <v>-2.7580689227229758E-2</v>
      </c>
    </row>
    <row r="471" spans="1:12" x14ac:dyDescent="0.25">
      <c r="A471" s="1">
        <v>41824</v>
      </c>
      <c r="B471">
        <v>4605.1499020000001</v>
      </c>
      <c r="C471">
        <v>4619</v>
      </c>
      <c r="D471">
        <v>4559.3500979999999</v>
      </c>
      <c r="E471">
        <v>4580.0498049999997</v>
      </c>
      <c r="F471" s="4">
        <f t="shared" si="50"/>
        <v>4437.6499020000001</v>
      </c>
      <c r="G471" s="4">
        <f t="shared" si="51"/>
        <v>4605</v>
      </c>
      <c r="H471" s="4">
        <f t="shared" si="52"/>
        <v>0</v>
      </c>
      <c r="I471" s="4">
        <f t="shared" si="49"/>
        <v>1</v>
      </c>
      <c r="J471" s="11">
        <f t="shared" si="53"/>
        <v>0</v>
      </c>
      <c r="K471" s="6">
        <f t="shared" si="54"/>
        <v>4605</v>
      </c>
      <c r="L471" s="4">
        <f t="shared" si="55"/>
        <v>0</v>
      </c>
    </row>
    <row r="472" spans="1:12" x14ac:dyDescent="0.25">
      <c r="A472" s="1">
        <v>41827</v>
      </c>
      <c r="B472">
        <v>4578.7998049999997</v>
      </c>
      <c r="C472">
        <v>4578.7998049999997</v>
      </c>
      <c r="D472">
        <v>4374.6000979999999</v>
      </c>
      <c r="E472">
        <v>4387.8999020000001</v>
      </c>
      <c r="F472" s="4">
        <f t="shared" si="50"/>
        <v>4387.8999020000001</v>
      </c>
      <c r="G472" s="4">
        <f t="shared" si="51"/>
        <v>4605</v>
      </c>
      <c r="H472" s="4" t="str">
        <f t="shared" si="52"/>
        <v>SELL</v>
      </c>
      <c r="I472" s="4">
        <f t="shared" si="49"/>
        <v>-1</v>
      </c>
      <c r="J472" s="11" t="str">
        <f t="shared" si="53"/>
        <v>SELL</v>
      </c>
      <c r="K472" s="6">
        <f t="shared" si="54"/>
        <v>4387.8999020000001</v>
      </c>
      <c r="L472" s="4">
        <f t="shared" si="55"/>
        <v>-4.7144429533116157E-2</v>
      </c>
    </row>
    <row r="473" spans="1:12" x14ac:dyDescent="0.25">
      <c r="A473" s="1">
        <v>41828</v>
      </c>
      <c r="B473">
        <v>4389.5</v>
      </c>
      <c r="C473">
        <v>4491.4501950000003</v>
      </c>
      <c r="D473">
        <v>4372.6499020000001</v>
      </c>
      <c r="E473">
        <v>4458.8999020000001</v>
      </c>
      <c r="F473" s="4">
        <f t="shared" si="50"/>
        <v>4387.8999020000001</v>
      </c>
      <c r="G473" s="4">
        <f t="shared" si="51"/>
        <v>4605</v>
      </c>
      <c r="H473" s="4">
        <f t="shared" si="52"/>
        <v>0</v>
      </c>
      <c r="I473" s="4">
        <f t="shared" si="49"/>
        <v>-1</v>
      </c>
      <c r="J473" s="11">
        <f t="shared" si="53"/>
        <v>0</v>
      </c>
      <c r="K473" s="6">
        <f t="shared" si="54"/>
        <v>4387.8999020000001</v>
      </c>
      <c r="L473" s="4">
        <f t="shared" si="55"/>
        <v>0</v>
      </c>
    </row>
    <row r="474" spans="1:12" x14ac:dyDescent="0.25">
      <c r="A474" s="1">
        <v>41829</v>
      </c>
      <c r="B474">
        <v>4457.75</v>
      </c>
      <c r="C474">
        <v>4477.5498049999997</v>
      </c>
      <c r="D474">
        <v>4353.4501950000003</v>
      </c>
      <c r="E474">
        <v>4394.1000979999999</v>
      </c>
      <c r="F474" s="4">
        <f t="shared" si="50"/>
        <v>4387.8999020000001</v>
      </c>
      <c r="G474" s="4">
        <f t="shared" si="51"/>
        <v>4605</v>
      </c>
      <c r="H474" s="4">
        <f t="shared" si="52"/>
        <v>0</v>
      </c>
      <c r="I474" s="4">
        <f t="shared" si="49"/>
        <v>-1</v>
      </c>
      <c r="J474" s="11">
        <f t="shared" si="53"/>
        <v>0</v>
      </c>
      <c r="K474" s="6">
        <f t="shared" si="54"/>
        <v>4387.8999020000001</v>
      </c>
      <c r="L474" s="4">
        <f t="shared" si="55"/>
        <v>0</v>
      </c>
    </row>
    <row r="475" spans="1:12" x14ac:dyDescent="0.25">
      <c r="A475" s="1">
        <v>41830</v>
      </c>
      <c r="B475">
        <v>4394.3500979999999</v>
      </c>
      <c r="C475">
        <v>4492.7998049999997</v>
      </c>
      <c r="D475">
        <v>4394.3500979999999</v>
      </c>
      <c r="E475">
        <v>4453.4501950000003</v>
      </c>
      <c r="F475" s="4">
        <f t="shared" si="50"/>
        <v>4387.8999020000001</v>
      </c>
      <c r="G475" s="4">
        <f t="shared" si="51"/>
        <v>4580.0498049999997</v>
      </c>
      <c r="H475" s="4">
        <f t="shared" si="52"/>
        <v>0</v>
      </c>
      <c r="I475" s="4">
        <f t="shared" si="49"/>
        <v>-1</v>
      </c>
      <c r="J475" s="11">
        <f t="shared" si="53"/>
        <v>0</v>
      </c>
      <c r="K475" s="6">
        <f t="shared" si="54"/>
        <v>4387.8999020000001</v>
      </c>
      <c r="L475" s="4">
        <f t="shared" si="55"/>
        <v>0</v>
      </c>
    </row>
    <row r="476" spans="1:12" x14ac:dyDescent="0.25">
      <c r="A476" s="1">
        <v>41831</v>
      </c>
      <c r="B476">
        <v>4453.4501950000003</v>
      </c>
      <c r="C476">
        <v>4538.7001950000003</v>
      </c>
      <c r="D476">
        <v>4400.8999020000001</v>
      </c>
      <c r="E476">
        <v>4528.7998049999997</v>
      </c>
      <c r="F476" s="4">
        <f t="shared" si="50"/>
        <v>4387.8999020000001</v>
      </c>
      <c r="G476" s="4">
        <f t="shared" si="51"/>
        <v>4528.7998049999997</v>
      </c>
      <c r="H476" s="4">
        <f t="shared" si="52"/>
        <v>0</v>
      </c>
      <c r="I476" s="4">
        <f t="shared" si="49"/>
        <v>-1</v>
      </c>
      <c r="J476" s="11">
        <f t="shared" si="53"/>
        <v>0</v>
      </c>
      <c r="K476" s="6">
        <f t="shared" si="54"/>
        <v>4387.8999020000001</v>
      </c>
      <c r="L476" s="4">
        <f t="shared" si="55"/>
        <v>0</v>
      </c>
    </row>
    <row r="477" spans="1:12" x14ac:dyDescent="0.25">
      <c r="A477" s="1">
        <v>41834</v>
      </c>
      <c r="B477">
        <v>4536.9501950000003</v>
      </c>
      <c r="C477">
        <v>4656.2998049999997</v>
      </c>
      <c r="D477">
        <v>4536.9501950000003</v>
      </c>
      <c r="E477">
        <v>4642.7998049999997</v>
      </c>
      <c r="F477" s="4">
        <f t="shared" si="50"/>
        <v>4394.1000979999999</v>
      </c>
      <c r="G477" s="4">
        <f t="shared" si="51"/>
        <v>4642.7998049999997</v>
      </c>
      <c r="H477" s="4" t="str">
        <f t="shared" si="52"/>
        <v>BUY</v>
      </c>
      <c r="I477" s="4">
        <f t="shared" si="49"/>
        <v>1</v>
      </c>
      <c r="J477" s="11" t="str">
        <f t="shared" si="53"/>
        <v>BUY</v>
      </c>
      <c r="K477" s="6">
        <f t="shared" si="54"/>
        <v>4642.7998049999997</v>
      </c>
      <c r="L477" s="4">
        <f t="shared" si="55"/>
        <v>-5.8091549190494619E-2</v>
      </c>
    </row>
    <row r="478" spans="1:12" x14ac:dyDescent="0.25">
      <c r="A478" s="1">
        <v>41835</v>
      </c>
      <c r="B478">
        <v>4641.6499020000001</v>
      </c>
      <c r="C478">
        <v>4672.8999020000001</v>
      </c>
      <c r="D478">
        <v>4582.5</v>
      </c>
      <c r="E478">
        <v>4659.3500979999999</v>
      </c>
      <c r="F478" s="4">
        <f t="shared" si="50"/>
        <v>4394.1000979999999</v>
      </c>
      <c r="G478" s="4">
        <f t="shared" si="51"/>
        <v>4659.3500979999999</v>
      </c>
      <c r="H478" s="4" t="str">
        <f t="shared" si="52"/>
        <v>BUY</v>
      </c>
      <c r="I478" s="4">
        <f t="shared" si="49"/>
        <v>1</v>
      </c>
      <c r="J478" s="11">
        <f t="shared" si="53"/>
        <v>0</v>
      </c>
      <c r="K478" s="6">
        <f t="shared" si="54"/>
        <v>4642.7998049999997</v>
      </c>
      <c r="L478" s="4">
        <f t="shared" si="55"/>
        <v>0</v>
      </c>
    </row>
    <row r="479" spans="1:12" x14ac:dyDescent="0.25">
      <c r="A479" s="1">
        <v>41836</v>
      </c>
      <c r="B479">
        <v>4659.4501950000003</v>
      </c>
      <c r="C479">
        <v>4697.7998049999997</v>
      </c>
      <c r="D479">
        <v>4659.1000979999999</v>
      </c>
      <c r="E479">
        <v>4680.8500979999999</v>
      </c>
      <c r="F479" s="4">
        <f t="shared" si="50"/>
        <v>4453.4501950000003</v>
      </c>
      <c r="G479" s="4">
        <f t="shared" si="51"/>
        <v>4680.8500979999999</v>
      </c>
      <c r="H479" s="4" t="str">
        <f t="shared" si="52"/>
        <v>BUY</v>
      </c>
      <c r="I479" s="4">
        <f t="shared" si="49"/>
        <v>1</v>
      </c>
      <c r="J479" s="11">
        <f t="shared" si="53"/>
        <v>0</v>
      </c>
      <c r="K479" s="6">
        <f t="shared" si="54"/>
        <v>4642.7998049999997</v>
      </c>
      <c r="L479" s="4">
        <f t="shared" si="55"/>
        <v>0</v>
      </c>
    </row>
    <row r="480" spans="1:12" x14ac:dyDescent="0.25">
      <c r="A480" s="1">
        <v>41837</v>
      </c>
      <c r="B480">
        <v>4679</v>
      </c>
      <c r="C480">
        <v>4707.8999020000001</v>
      </c>
      <c r="D480">
        <v>4645.1499020000001</v>
      </c>
      <c r="E480">
        <v>4688.2001950000003</v>
      </c>
      <c r="F480" s="4">
        <f t="shared" si="50"/>
        <v>4528.7998049999997</v>
      </c>
      <c r="G480" s="4">
        <f t="shared" si="51"/>
        <v>4688.2001950000003</v>
      </c>
      <c r="H480" s="4" t="str">
        <f t="shared" si="52"/>
        <v>BUY</v>
      </c>
      <c r="I480" s="4">
        <f t="shared" si="49"/>
        <v>1</v>
      </c>
      <c r="J480" s="11">
        <f t="shared" si="53"/>
        <v>0</v>
      </c>
      <c r="K480" s="6">
        <f t="shared" si="54"/>
        <v>4642.7998049999997</v>
      </c>
      <c r="L480" s="4">
        <f t="shared" si="55"/>
        <v>0</v>
      </c>
    </row>
    <row r="481" spans="1:12" x14ac:dyDescent="0.25">
      <c r="A481" s="1">
        <v>41838</v>
      </c>
      <c r="B481">
        <v>4688.3999020000001</v>
      </c>
      <c r="C481">
        <v>4743.75</v>
      </c>
      <c r="D481">
        <v>4651.3999020000001</v>
      </c>
      <c r="E481">
        <v>4732.3500979999999</v>
      </c>
      <c r="F481" s="4">
        <f t="shared" si="50"/>
        <v>4642.7998049999997</v>
      </c>
      <c r="G481" s="4">
        <f t="shared" si="51"/>
        <v>4732.3500979999999</v>
      </c>
      <c r="H481" s="4" t="str">
        <f t="shared" si="52"/>
        <v>BUY</v>
      </c>
      <c r="I481" s="4">
        <f t="shared" si="49"/>
        <v>1</v>
      </c>
      <c r="J481" s="11">
        <f t="shared" si="53"/>
        <v>0</v>
      </c>
      <c r="K481" s="6">
        <f t="shared" si="54"/>
        <v>4642.7998049999997</v>
      </c>
      <c r="L481" s="4">
        <f t="shared" si="55"/>
        <v>0</v>
      </c>
    </row>
    <row r="482" spans="1:12" x14ac:dyDescent="0.25">
      <c r="A482" s="1">
        <v>41841</v>
      </c>
      <c r="B482">
        <v>4730.8500979999999</v>
      </c>
      <c r="C482">
        <v>4730.8500979999999</v>
      </c>
      <c r="D482">
        <v>4635</v>
      </c>
      <c r="E482">
        <v>4662.1000979999999</v>
      </c>
      <c r="F482" s="4">
        <f t="shared" si="50"/>
        <v>4659.3500979999999</v>
      </c>
      <c r="G482" s="4">
        <f t="shared" si="51"/>
        <v>4732.3500979999999</v>
      </c>
      <c r="H482" s="4">
        <f t="shared" si="52"/>
        <v>0</v>
      </c>
      <c r="I482" s="4">
        <f t="shared" si="49"/>
        <v>1</v>
      </c>
      <c r="J482" s="11">
        <f t="shared" si="53"/>
        <v>0</v>
      </c>
      <c r="K482" s="6">
        <f t="shared" si="54"/>
        <v>4642.7998049999997</v>
      </c>
      <c r="L482" s="4">
        <f t="shared" si="55"/>
        <v>0</v>
      </c>
    </row>
    <row r="483" spans="1:12" x14ac:dyDescent="0.25">
      <c r="A483" s="1">
        <v>41842</v>
      </c>
      <c r="B483">
        <v>4662.2001950000003</v>
      </c>
      <c r="C483">
        <v>4735.8999020000001</v>
      </c>
      <c r="D483">
        <v>4600.6499020000001</v>
      </c>
      <c r="E483">
        <v>4625.3500979999999</v>
      </c>
      <c r="F483" s="4">
        <f t="shared" si="50"/>
        <v>4625.3500979999999</v>
      </c>
      <c r="G483" s="4">
        <f t="shared" si="51"/>
        <v>4732.3500979999999</v>
      </c>
      <c r="H483" s="4" t="str">
        <f t="shared" si="52"/>
        <v>SELL</v>
      </c>
      <c r="I483" s="4">
        <f t="shared" si="49"/>
        <v>-1</v>
      </c>
      <c r="J483" s="11" t="str">
        <f t="shared" si="53"/>
        <v>SELL</v>
      </c>
      <c r="K483" s="6">
        <f t="shared" si="54"/>
        <v>4625.3500979999999</v>
      </c>
      <c r="L483" s="4">
        <f t="shared" si="55"/>
        <v>-3.7584448464065882E-3</v>
      </c>
    </row>
    <row r="484" spans="1:12" x14ac:dyDescent="0.25">
      <c r="A484" s="1">
        <v>41843</v>
      </c>
      <c r="B484">
        <v>4624</v>
      </c>
      <c r="C484">
        <v>4650.4501950000003</v>
      </c>
      <c r="D484">
        <v>4576.6000979999999</v>
      </c>
      <c r="E484">
        <v>4608.3500979999999</v>
      </c>
      <c r="F484" s="4">
        <f t="shared" si="50"/>
        <v>4608.3500979999999</v>
      </c>
      <c r="G484" s="4">
        <f t="shared" si="51"/>
        <v>4732.3500979999999</v>
      </c>
      <c r="H484" s="4" t="str">
        <f t="shared" si="52"/>
        <v>SELL</v>
      </c>
      <c r="I484" s="4">
        <f t="shared" si="49"/>
        <v>-1</v>
      </c>
      <c r="J484" s="11">
        <f t="shared" si="53"/>
        <v>0</v>
      </c>
      <c r="K484" s="6">
        <f t="shared" si="54"/>
        <v>4625.3500979999999</v>
      </c>
      <c r="L484" s="4">
        <f t="shared" si="55"/>
        <v>0</v>
      </c>
    </row>
    <row r="485" spans="1:12" x14ac:dyDescent="0.25">
      <c r="A485" s="1">
        <v>41844</v>
      </c>
      <c r="B485">
        <v>4608.75</v>
      </c>
      <c r="C485">
        <v>4647.3500979999999</v>
      </c>
      <c r="D485">
        <v>4581.0498049999997</v>
      </c>
      <c r="E485">
        <v>4593.5498049999997</v>
      </c>
      <c r="F485" s="4">
        <f t="shared" si="50"/>
        <v>4593.5498049999997</v>
      </c>
      <c r="G485" s="4">
        <f t="shared" si="51"/>
        <v>4732.3500979999999</v>
      </c>
      <c r="H485" s="4" t="str">
        <f t="shared" si="52"/>
        <v>SELL</v>
      </c>
      <c r="I485" s="4">
        <f t="shared" si="49"/>
        <v>-1</v>
      </c>
      <c r="J485" s="11">
        <f t="shared" si="53"/>
        <v>0</v>
      </c>
      <c r="K485" s="6">
        <f t="shared" si="54"/>
        <v>4625.3500979999999</v>
      </c>
      <c r="L485" s="4">
        <f t="shared" si="55"/>
        <v>0</v>
      </c>
    </row>
    <row r="486" spans="1:12" x14ac:dyDescent="0.25">
      <c r="A486" s="1">
        <v>41845</v>
      </c>
      <c r="B486">
        <v>4608.7001950000003</v>
      </c>
      <c r="C486">
        <v>4697.2001950000003</v>
      </c>
      <c r="D486">
        <v>4580.3500979999999</v>
      </c>
      <c r="E486">
        <v>4680.3999020000001</v>
      </c>
      <c r="F486" s="4">
        <f t="shared" si="50"/>
        <v>4593.5498049999997</v>
      </c>
      <c r="G486" s="4">
        <f t="shared" si="51"/>
        <v>4680.3999020000001</v>
      </c>
      <c r="H486" s="4">
        <f t="shared" si="52"/>
        <v>0</v>
      </c>
      <c r="I486" s="4">
        <f t="shared" si="49"/>
        <v>-1</v>
      </c>
      <c r="J486" s="11">
        <f t="shared" si="53"/>
        <v>0</v>
      </c>
      <c r="K486" s="6">
        <f t="shared" si="54"/>
        <v>4625.3500979999999</v>
      </c>
      <c r="L486" s="4">
        <f t="shared" si="55"/>
        <v>0</v>
      </c>
    </row>
    <row r="487" spans="1:12" x14ac:dyDescent="0.25">
      <c r="A487" s="1">
        <v>41848</v>
      </c>
      <c r="B487">
        <v>4682.3999020000001</v>
      </c>
      <c r="C487">
        <v>4790</v>
      </c>
      <c r="D487">
        <v>4679.2998049999997</v>
      </c>
      <c r="E487">
        <v>4782.8999020000001</v>
      </c>
      <c r="F487" s="4">
        <f t="shared" si="50"/>
        <v>4593.5498049999997</v>
      </c>
      <c r="G487" s="4">
        <f t="shared" si="51"/>
        <v>4782.8999020000001</v>
      </c>
      <c r="H487" s="4" t="str">
        <f t="shared" si="52"/>
        <v>BUY</v>
      </c>
      <c r="I487" s="4">
        <f t="shared" si="49"/>
        <v>1</v>
      </c>
      <c r="J487" s="11" t="str">
        <f t="shared" si="53"/>
        <v>BUY</v>
      </c>
      <c r="K487" s="6">
        <f t="shared" si="54"/>
        <v>4782.8999020000001</v>
      </c>
      <c r="L487" s="4">
        <f t="shared" si="55"/>
        <v>-3.4062244081399309E-2</v>
      </c>
    </row>
    <row r="488" spans="1:12" x14ac:dyDescent="0.25">
      <c r="A488" s="1">
        <v>41849</v>
      </c>
      <c r="B488">
        <v>4782.8500979999999</v>
      </c>
      <c r="C488">
        <v>4842.2001950000003</v>
      </c>
      <c r="D488">
        <v>4782.6499020000001</v>
      </c>
      <c r="E488">
        <v>4805.25</v>
      </c>
      <c r="F488" s="4">
        <f t="shared" si="50"/>
        <v>4593.5498049999997</v>
      </c>
      <c r="G488" s="4">
        <f t="shared" si="51"/>
        <v>4805.25</v>
      </c>
      <c r="H488" s="4" t="str">
        <f t="shared" si="52"/>
        <v>BUY</v>
      </c>
      <c r="I488" s="4">
        <f t="shared" si="49"/>
        <v>1</v>
      </c>
      <c r="J488" s="11">
        <f t="shared" si="53"/>
        <v>0</v>
      </c>
      <c r="K488" s="6">
        <f t="shared" si="54"/>
        <v>4782.8999020000001</v>
      </c>
      <c r="L488" s="4">
        <f t="shared" si="55"/>
        <v>0</v>
      </c>
    </row>
    <row r="489" spans="1:12" x14ac:dyDescent="0.25">
      <c r="A489" s="1">
        <v>41850</v>
      </c>
      <c r="B489">
        <v>4804.8999020000001</v>
      </c>
      <c r="C489">
        <v>4825.0498049999997</v>
      </c>
      <c r="D489">
        <v>4783.5</v>
      </c>
      <c r="E489">
        <v>4814.25</v>
      </c>
      <c r="F489" s="4">
        <f t="shared" si="50"/>
        <v>4593.5498049999997</v>
      </c>
      <c r="G489" s="4">
        <f t="shared" si="51"/>
        <v>4814.25</v>
      </c>
      <c r="H489" s="4" t="str">
        <f t="shared" si="52"/>
        <v>BUY</v>
      </c>
      <c r="I489" s="4">
        <f t="shared" si="49"/>
        <v>1</v>
      </c>
      <c r="J489" s="11">
        <f t="shared" si="53"/>
        <v>0</v>
      </c>
      <c r="K489" s="6">
        <f t="shared" si="54"/>
        <v>4782.8999020000001</v>
      </c>
      <c r="L489" s="4">
        <f t="shared" si="55"/>
        <v>0</v>
      </c>
    </row>
    <row r="490" spans="1:12" x14ac:dyDescent="0.25">
      <c r="A490" s="1">
        <v>41851</v>
      </c>
      <c r="B490">
        <v>4814.3500979999999</v>
      </c>
      <c r="C490">
        <v>4889.0498049999997</v>
      </c>
      <c r="D490">
        <v>4807.8999020000001</v>
      </c>
      <c r="E490">
        <v>4819.3999020000001</v>
      </c>
      <c r="F490" s="4">
        <f t="shared" si="50"/>
        <v>4680.3999020000001</v>
      </c>
      <c r="G490" s="4">
        <f t="shared" si="51"/>
        <v>4819.3999020000001</v>
      </c>
      <c r="H490" s="4" t="str">
        <f t="shared" si="52"/>
        <v>BUY</v>
      </c>
      <c r="I490" s="4">
        <f t="shared" si="49"/>
        <v>1</v>
      </c>
      <c r="J490" s="11">
        <f t="shared" si="53"/>
        <v>0</v>
      </c>
      <c r="K490" s="6">
        <f t="shared" si="54"/>
        <v>4782.8999020000001</v>
      </c>
      <c r="L490" s="4">
        <f t="shared" si="55"/>
        <v>0</v>
      </c>
    </row>
    <row r="491" spans="1:12" x14ac:dyDescent="0.25">
      <c r="A491" s="1">
        <v>41852</v>
      </c>
      <c r="B491">
        <v>4819.3999020000001</v>
      </c>
      <c r="C491">
        <v>4856.1499020000001</v>
      </c>
      <c r="D491">
        <v>4791.5498049999997</v>
      </c>
      <c r="E491">
        <v>4829.5498049999997</v>
      </c>
      <c r="F491" s="4">
        <f t="shared" si="50"/>
        <v>4782.8999020000001</v>
      </c>
      <c r="G491" s="4">
        <f t="shared" si="51"/>
        <v>4829.5498049999997</v>
      </c>
      <c r="H491" s="4" t="str">
        <f t="shared" si="52"/>
        <v>BUY</v>
      </c>
      <c r="I491" s="4">
        <f t="shared" si="49"/>
        <v>1</v>
      </c>
      <c r="J491" s="11">
        <f t="shared" si="53"/>
        <v>0</v>
      </c>
      <c r="K491" s="6">
        <f t="shared" si="54"/>
        <v>4782.8999020000001</v>
      </c>
      <c r="L491" s="4">
        <f t="shared" si="55"/>
        <v>0</v>
      </c>
    </row>
    <row r="492" spans="1:12" x14ac:dyDescent="0.25">
      <c r="A492" s="1">
        <v>41855</v>
      </c>
      <c r="B492">
        <v>4830.3500979999999</v>
      </c>
      <c r="C492">
        <v>4832.25</v>
      </c>
      <c r="D492">
        <v>4786.25</v>
      </c>
      <c r="E492">
        <v>4808.6000979999999</v>
      </c>
      <c r="F492" s="4">
        <f t="shared" si="50"/>
        <v>4805.25</v>
      </c>
      <c r="G492" s="4">
        <f t="shared" si="51"/>
        <v>4829.5498049999997</v>
      </c>
      <c r="H492" s="4">
        <f t="shared" si="52"/>
        <v>0</v>
      </c>
      <c r="I492" s="4">
        <f t="shared" si="49"/>
        <v>1</v>
      </c>
      <c r="J492" s="11">
        <f t="shared" si="53"/>
        <v>0</v>
      </c>
      <c r="K492" s="6">
        <f t="shared" si="54"/>
        <v>4782.8999020000001</v>
      </c>
      <c r="L492" s="4">
        <f t="shared" si="55"/>
        <v>0</v>
      </c>
    </row>
    <row r="493" spans="1:12" x14ac:dyDescent="0.25">
      <c r="A493" s="1">
        <v>41856</v>
      </c>
      <c r="B493">
        <v>4808.3500979999999</v>
      </c>
      <c r="C493">
        <v>4899.4501950000003</v>
      </c>
      <c r="D493">
        <v>4808.3500979999999</v>
      </c>
      <c r="E493">
        <v>4892.1000979999999</v>
      </c>
      <c r="F493" s="4">
        <f t="shared" si="50"/>
        <v>4808.6000979999999</v>
      </c>
      <c r="G493" s="4">
        <f t="shared" si="51"/>
        <v>4892.1000979999999</v>
      </c>
      <c r="H493" s="4" t="str">
        <f t="shared" si="52"/>
        <v>BUY</v>
      </c>
      <c r="I493" s="4">
        <f t="shared" si="49"/>
        <v>1</v>
      </c>
      <c r="J493" s="11">
        <f t="shared" si="53"/>
        <v>0</v>
      </c>
      <c r="K493" s="6">
        <f t="shared" si="54"/>
        <v>4782.8999020000001</v>
      </c>
      <c r="L493" s="4">
        <f t="shared" si="55"/>
        <v>0</v>
      </c>
    </row>
    <row r="494" spans="1:12" x14ac:dyDescent="0.25">
      <c r="A494" s="1">
        <v>41857</v>
      </c>
      <c r="B494">
        <v>4894.6499020000001</v>
      </c>
      <c r="C494">
        <v>4966.2998049999997</v>
      </c>
      <c r="D494">
        <v>4894.6499020000001</v>
      </c>
      <c r="E494">
        <v>4958.3999020000001</v>
      </c>
      <c r="F494" s="4">
        <f t="shared" si="50"/>
        <v>4808.6000979999999</v>
      </c>
      <c r="G494" s="4">
        <f t="shared" si="51"/>
        <v>4958.3999020000001</v>
      </c>
      <c r="H494" s="4" t="str">
        <f t="shared" si="52"/>
        <v>BUY</v>
      </c>
      <c r="I494" s="4">
        <f t="shared" si="49"/>
        <v>1</v>
      </c>
      <c r="J494" s="11">
        <f t="shared" si="53"/>
        <v>0</v>
      </c>
      <c r="K494" s="6">
        <f t="shared" si="54"/>
        <v>4782.8999020000001</v>
      </c>
      <c r="L494" s="4">
        <f t="shared" si="55"/>
        <v>0</v>
      </c>
    </row>
    <row r="495" spans="1:12" x14ac:dyDescent="0.25">
      <c r="A495" s="1">
        <v>41858</v>
      </c>
      <c r="B495">
        <v>4958.5498049999997</v>
      </c>
      <c r="C495">
        <v>5003.0498049999997</v>
      </c>
      <c r="D495">
        <v>4944.1499020000001</v>
      </c>
      <c r="E495">
        <v>4965.5498049999997</v>
      </c>
      <c r="F495" s="4">
        <f t="shared" si="50"/>
        <v>4808.6000979999999</v>
      </c>
      <c r="G495" s="4">
        <f t="shared" si="51"/>
        <v>4965.5498049999997</v>
      </c>
      <c r="H495" s="4" t="str">
        <f t="shared" si="52"/>
        <v>BUY</v>
      </c>
      <c r="I495" s="4">
        <f t="shared" si="49"/>
        <v>1</v>
      </c>
      <c r="J495" s="11">
        <f t="shared" si="53"/>
        <v>0</v>
      </c>
      <c r="K495" s="6">
        <f t="shared" si="54"/>
        <v>4782.8999020000001</v>
      </c>
      <c r="L495" s="4">
        <f t="shared" si="55"/>
        <v>0</v>
      </c>
    </row>
    <row r="496" spans="1:12" x14ac:dyDescent="0.25">
      <c r="A496" s="1">
        <v>41859</v>
      </c>
      <c r="B496">
        <v>4963.9501950000003</v>
      </c>
      <c r="C496">
        <v>4980.8500979999999</v>
      </c>
      <c r="D496">
        <v>4931.8999020000001</v>
      </c>
      <c r="E496">
        <v>4976.0498049999997</v>
      </c>
      <c r="F496" s="4">
        <f t="shared" si="50"/>
        <v>4808.6000979999999</v>
      </c>
      <c r="G496" s="4">
        <f t="shared" si="51"/>
        <v>4976.0498049999997</v>
      </c>
      <c r="H496" s="4" t="str">
        <f t="shared" si="52"/>
        <v>BUY</v>
      </c>
      <c r="I496" s="4">
        <f t="shared" si="49"/>
        <v>1</v>
      </c>
      <c r="J496" s="11">
        <f t="shared" si="53"/>
        <v>0</v>
      </c>
      <c r="K496" s="6">
        <f t="shared" si="54"/>
        <v>4782.8999020000001</v>
      </c>
      <c r="L496" s="4">
        <f t="shared" si="55"/>
        <v>0</v>
      </c>
    </row>
    <row r="497" spans="1:12" x14ac:dyDescent="0.25">
      <c r="A497" s="1">
        <v>41862</v>
      </c>
      <c r="B497">
        <v>4977.1000979999999</v>
      </c>
      <c r="C497">
        <v>5036.2998049999997</v>
      </c>
      <c r="D497">
        <v>4977.1000979999999</v>
      </c>
      <c r="E497">
        <v>5020.2001950000003</v>
      </c>
      <c r="F497" s="4">
        <f t="shared" si="50"/>
        <v>4892.1000979999999</v>
      </c>
      <c r="G497" s="4">
        <f t="shared" si="51"/>
        <v>5020.2001950000003</v>
      </c>
      <c r="H497" s="4" t="str">
        <f t="shared" si="52"/>
        <v>BUY</v>
      </c>
      <c r="I497" s="4">
        <f t="shared" si="49"/>
        <v>1</v>
      </c>
      <c r="J497" s="11">
        <f t="shared" si="53"/>
        <v>0</v>
      </c>
      <c r="K497" s="6">
        <f t="shared" si="54"/>
        <v>4782.8999020000001</v>
      </c>
      <c r="L497" s="4">
        <f t="shared" si="55"/>
        <v>0</v>
      </c>
    </row>
    <row r="498" spans="1:12" x14ac:dyDescent="0.25">
      <c r="A498" s="1">
        <v>41863</v>
      </c>
      <c r="B498">
        <v>5019.9501950000003</v>
      </c>
      <c r="C498">
        <v>5030.75</v>
      </c>
      <c r="D498">
        <v>4957.0498049999997</v>
      </c>
      <c r="E498">
        <v>4969.9501950000003</v>
      </c>
      <c r="F498" s="4">
        <f t="shared" si="50"/>
        <v>4958.3999020000001</v>
      </c>
      <c r="G498" s="4">
        <f t="shared" si="51"/>
        <v>5020.2001950000003</v>
      </c>
      <c r="H498" s="4">
        <f t="shared" si="52"/>
        <v>0</v>
      </c>
      <c r="I498" s="4">
        <f t="shared" si="49"/>
        <v>1</v>
      </c>
      <c r="J498" s="11">
        <f t="shared" si="53"/>
        <v>0</v>
      </c>
      <c r="K498" s="6">
        <f t="shared" si="54"/>
        <v>4782.8999020000001</v>
      </c>
      <c r="L498" s="4">
        <f t="shared" si="55"/>
        <v>0</v>
      </c>
    </row>
    <row r="499" spans="1:12" x14ac:dyDescent="0.25">
      <c r="A499" s="1">
        <v>41864</v>
      </c>
      <c r="B499">
        <v>4977.1499020000001</v>
      </c>
      <c r="C499">
        <v>5016.7001950000003</v>
      </c>
      <c r="D499">
        <v>4904.0498049999997</v>
      </c>
      <c r="E499">
        <v>4986.5498049999997</v>
      </c>
      <c r="F499" s="4">
        <f t="shared" si="50"/>
        <v>4965.5498049999997</v>
      </c>
      <c r="G499" s="4">
        <f t="shared" si="51"/>
        <v>5020.2001950000003</v>
      </c>
      <c r="H499" s="4">
        <f t="shared" si="52"/>
        <v>0</v>
      </c>
      <c r="I499" s="4">
        <f t="shared" si="49"/>
        <v>1</v>
      </c>
      <c r="J499" s="11">
        <f t="shared" si="53"/>
        <v>0</v>
      </c>
      <c r="K499" s="6">
        <f t="shared" si="54"/>
        <v>4782.8999020000001</v>
      </c>
      <c r="L499" s="4">
        <f t="shared" si="55"/>
        <v>0</v>
      </c>
    </row>
    <row r="500" spans="1:12" x14ac:dyDescent="0.25">
      <c r="A500" s="1">
        <v>41865</v>
      </c>
      <c r="B500">
        <v>4985.1000979999999</v>
      </c>
      <c r="C500">
        <v>4994.3500979999999</v>
      </c>
      <c r="D500">
        <v>4931.25</v>
      </c>
      <c r="E500">
        <v>4958.9501950000003</v>
      </c>
      <c r="F500" s="4">
        <f t="shared" si="50"/>
        <v>4958.9501950000003</v>
      </c>
      <c r="G500" s="4">
        <f t="shared" si="51"/>
        <v>5020.2001950000003</v>
      </c>
      <c r="H500" s="4" t="str">
        <f t="shared" si="52"/>
        <v>SELL</v>
      </c>
      <c r="I500" s="4">
        <f t="shared" si="49"/>
        <v>-1</v>
      </c>
      <c r="J500" s="11" t="str">
        <f t="shared" si="53"/>
        <v>SELL</v>
      </c>
      <c r="K500" s="6">
        <f t="shared" si="54"/>
        <v>4958.9501950000003</v>
      </c>
      <c r="L500" s="4">
        <f t="shared" si="55"/>
        <v>3.6808274604781858E-2</v>
      </c>
    </row>
    <row r="501" spans="1:12" x14ac:dyDescent="0.25">
      <c r="A501" s="1">
        <v>41866</v>
      </c>
      <c r="B501">
        <v>4959.1499020000001</v>
      </c>
      <c r="C501">
        <v>5020.25</v>
      </c>
      <c r="D501">
        <v>4959.1000979999999</v>
      </c>
      <c r="E501">
        <v>5006.8500979999999</v>
      </c>
      <c r="F501" s="4">
        <f t="shared" si="50"/>
        <v>4958.9501950000003</v>
      </c>
      <c r="G501" s="4">
        <f t="shared" si="51"/>
        <v>5020.2001950000003</v>
      </c>
      <c r="H501" s="4">
        <f t="shared" si="52"/>
        <v>0</v>
      </c>
      <c r="I501" s="4">
        <f t="shared" si="49"/>
        <v>-1</v>
      </c>
      <c r="J501" s="11">
        <f t="shared" si="53"/>
        <v>0</v>
      </c>
      <c r="K501" s="6">
        <f t="shared" si="54"/>
        <v>4958.9501950000003</v>
      </c>
      <c r="L501" s="4">
        <f t="shared" si="55"/>
        <v>0</v>
      </c>
    </row>
    <row r="502" spans="1:12" x14ac:dyDescent="0.25">
      <c r="A502" s="1">
        <v>41869</v>
      </c>
      <c r="B502">
        <v>5007.6499020000001</v>
      </c>
      <c r="C502">
        <v>5087.6000979999999</v>
      </c>
      <c r="D502">
        <v>5004.3500979999999</v>
      </c>
      <c r="E502">
        <v>5083.9501950000003</v>
      </c>
      <c r="F502" s="4">
        <f t="shared" si="50"/>
        <v>4958.9501950000003</v>
      </c>
      <c r="G502" s="4">
        <f t="shared" si="51"/>
        <v>5083.9501950000003</v>
      </c>
      <c r="H502" s="4" t="str">
        <f t="shared" si="52"/>
        <v>BUY</v>
      </c>
      <c r="I502" s="4">
        <f t="shared" si="49"/>
        <v>1</v>
      </c>
      <c r="J502" s="11" t="str">
        <f t="shared" si="53"/>
        <v>BUY</v>
      </c>
      <c r="K502" s="6">
        <f t="shared" si="54"/>
        <v>5083.9501950000003</v>
      </c>
      <c r="L502" s="4">
        <f t="shared" si="55"/>
        <v>-2.5206948060505777E-2</v>
      </c>
    </row>
    <row r="503" spans="1:12" x14ac:dyDescent="0.25">
      <c r="A503" s="1">
        <v>41870</v>
      </c>
      <c r="B503">
        <v>5087.2001950000003</v>
      </c>
      <c r="C503">
        <v>5110.5</v>
      </c>
      <c r="D503">
        <v>5057.0498049999997</v>
      </c>
      <c r="E503">
        <v>5083.3999020000001</v>
      </c>
      <c r="F503" s="4">
        <f t="shared" si="50"/>
        <v>4958.9501950000003</v>
      </c>
      <c r="G503" s="4">
        <f t="shared" si="51"/>
        <v>5083.9501950000003</v>
      </c>
      <c r="H503" s="4">
        <f t="shared" si="52"/>
        <v>0</v>
      </c>
      <c r="I503" s="4">
        <f t="shared" si="49"/>
        <v>1</v>
      </c>
      <c r="J503" s="11">
        <f t="shared" si="53"/>
        <v>0</v>
      </c>
      <c r="K503" s="6">
        <f t="shared" si="54"/>
        <v>5083.9501950000003</v>
      </c>
      <c r="L503" s="4">
        <f t="shared" si="55"/>
        <v>0</v>
      </c>
    </row>
    <row r="504" spans="1:12" x14ac:dyDescent="0.25">
      <c r="A504" s="1">
        <v>41871</v>
      </c>
      <c r="B504">
        <v>5076.0498049999997</v>
      </c>
      <c r="C504">
        <v>5076.0498049999997</v>
      </c>
      <c r="D504">
        <v>4991.9501950000003</v>
      </c>
      <c r="E504">
        <v>5003.2001950000003</v>
      </c>
      <c r="F504" s="4">
        <f t="shared" si="50"/>
        <v>4958.9501950000003</v>
      </c>
      <c r="G504" s="4">
        <f t="shared" si="51"/>
        <v>5083.9501950000003</v>
      </c>
      <c r="H504" s="4">
        <f t="shared" si="52"/>
        <v>0</v>
      </c>
      <c r="I504" s="4">
        <f t="shared" si="49"/>
        <v>1</v>
      </c>
      <c r="J504" s="11">
        <f t="shared" si="53"/>
        <v>0</v>
      </c>
      <c r="K504" s="6">
        <f t="shared" si="54"/>
        <v>5083.9501950000003</v>
      </c>
      <c r="L504" s="4">
        <f t="shared" si="55"/>
        <v>0</v>
      </c>
    </row>
    <row r="505" spans="1:12" x14ac:dyDescent="0.25">
      <c r="A505" s="1">
        <v>41872</v>
      </c>
      <c r="B505">
        <v>5003.6499020000001</v>
      </c>
      <c r="C505">
        <v>5034.7001950000003</v>
      </c>
      <c r="D505">
        <v>4921.0498049999997</v>
      </c>
      <c r="E505">
        <v>5027.3999020000001</v>
      </c>
      <c r="F505" s="4">
        <f t="shared" si="50"/>
        <v>5003.2001950000003</v>
      </c>
      <c r="G505" s="4">
        <f t="shared" si="51"/>
        <v>5083.9501950000003</v>
      </c>
      <c r="H505" s="4">
        <f t="shared" si="52"/>
        <v>0</v>
      </c>
      <c r="I505" s="4">
        <f t="shared" si="49"/>
        <v>1</v>
      </c>
      <c r="J505" s="11">
        <f t="shared" si="53"/>
        <v>0</v>
      </c>
      <c r="K505" s="6">
        <f t="shared" si="54"/>
        <v>5083.9501950000003</v>
      </c>
      <c r="L505" s="4">
        <f t="shared" si="55"/>
        <v>0</v>
      </c>
    </row>
    <row r="506" spans="1:12" x14ac:dyDescent="0.25">
      <c r="A506" s="1">
        <v>41873</v>
      </c>
      <c r="B506">
        <v>5031.7001950000003</v>
      </c>
      <c r="C506">
        <v>5077</v>
      </c>
      <c r="D506">
        <v>4972.9501950000003</v>
      </c>
      <c r="E506">
        <v>4985.75</v>
      </c>
      <c r="F506" s="4">
        <f t="shared" si="50"/>
        <v>4985.75</v>
      </c>
      <c r="G506" s="4">
        <f t="shared" si="51"/>
        <v>5083.9501950000003</v>
      </c>
      <c r="H506" s="4" t="str">
        <f t="shared" si="52"/>
        <v>SELL</v>
      </c>
      <c r="I506" s="4">
        <f t="shared" si="49"/>
        <v>-1</v>
      </c>
      <c r="J506" s="11" t="str">
        <f t="shared" si="53"/>
        <v>SELL</v>
      </c>
      <c r="K506" s="6">
        <f t="shared" si="54"/>
        <v>4985.75</v>
      </c>
      <c r="L506" s="4">
        <f t="shared" si="55"/>
        <v>-1.9315727187213395E-2</v>
      </c>
    </row>
    <row r="507" spans="1:12" x14ac:dyDescent="0.25">
      <c r="A507" s="1">
        <v>41876</v>
      </c>
      <c r="B507">
        <v>5011.25</v>
      </c>
      <c r="C507">
        <v>5035.1000979999999</v>
      </c>
      <c r="D507">
        <v>4980.7001950000003</v>
      </c>
      <c r="E507">
        <v>5002.25</v>
      </c>
      <c r="F507" s="4">
        <f t="shared" si="50"/>
        <v>4985.75</v>
      </c>
      <c r="G507" s="4">
        <f t="shared" si="51"/>
        <v>5083.3999020000001</v>
      </c>
      <c r="H507" s="4">
        <f t="shared" si="52"/>
        <v>0</v>
      </c>
      <c r="I507" s="4">
        <f t="shared" si="49"/>
        <v>-1</v>
      </c>
      <c r="J507" s="11">
        <f t="shared" si="53"/>
        <v>0</v>
      </c>
      <c r="K507" s="6">
        <f t="shared" si="54"/>
        <v>4985.75</v>
      </c>
      <c r="L507" s="4">
        <f t="shared" si="55"/>
        <v>0</v>
      </c>
    </row>
    <row r="508" spans="1:12" x14ac:dyDescent="0.25">
      <c r="A508" s="1">
        <v>41877</v>
      </c>
      <c r="B508">
        <v>4993</v>
      </c>
      <c r="C508">
        <v>5032.6000979999999</v>
      </c>
      <c r="D508">
        <v>4934.5498049999997</v>
      </c>
      <c r="E508">
        <v>4945.2001950000003</v>
      </c>
      <c r="F508" s="4">
        <f t="shared" si="50"/>
        <v>4945.2001950000003</v>
      </c>
      <c r="G508" s="4">
        <f t="shared" si="51"/>
        <v>5027.3999020000001</v>
      </c>
      <c r="H508" s="4" t="str">
        <f t="shared" si="52"/>
        <v>SELL</v>
      </c>
      <c r="I508" s="4">
        <f t="shared" si="49"/>
        <v>-1</v>
      </c>
      <c r="J508" s="11">
        <f t="shared" si="53"/>
        <v>0</v>
      </c>
      <c r="K508" s="6">
        <f t="shared" si="54"/>
        <v>4985.75</v>
      </c>
      <c r="L508" s="4">
        <f t="shared" si="55"/>
        <v>0</v>
      </c>
    </row>
    <row r="509" spans="1:12" x14ac:dyDescent="0.25">
      <c r="A509" s="1">
        <v>41878</v>
      </c>
      <c r="B509">
        <v>4945.4501950000003</v>
      </c>
      <c r="C509">
        <v>5068.0498049999997</v>
      </c>
      <c r="D509">
        <v>4945.4501950000003</v>
      </c>
      <c r="E509">
        <v>5054.25</v>
      </c>
      <c r="F509" s="4">
        <f t="shared" si="50"/>
        <v>4945.2001950000003</v>
      </c>
      <c r="G509" s="4">
        <f t="shared" si="51"/>
        <v>5054.25</v>
      </c>
      <c r="H509" s="4" t="str">
        <f t="shared" si="52"/>
        <v>BUY</v>
      </c>
      <c r="I509" s="4">
        <f t="shared" si="49"/>
        <v>1</v>
      </c>
      <c r="J509" s="11" t="str">
        <f t="shared" si="53"/>
        <v>BUY</v>
      </c>
      <c r="K509" s="6">
        <f t="shared" si="54"/>
        <v>5054.25</v>
      </c>
      <c r="L509" s="4">
        <f t="shared" si="55"/>
        <v>-1.3739156596299453E-2</v>
      </c>
    </row>
    <row r="510" spans="1:12" x14ac:dyDescent="0.25">
      <c r="A510" s="1">
        <v>41879</v>
      </c>
      <c r="B510">
        <v>5054.3500979999999</v>
      </c>
      <c r="C510">
        <v>5127.3999020000001</v>
      </c>
      <c r="D510">
        <v>5054.3500979999999</v>
      </c>
      <c r="E510">
        <v>5118.2001950000003</v>
      </c>
      <c r="F510" s="4">
        <f t="shared" si="50"/>
        <v>4945.2001950000003</v>
      </c>
      <c r="G510" s="4">
        <f t="shared" si="51"/>
        <v>5118.2001950000003</v>
      </c>
      <c r="H510" s="4" t="str">
        <f t="shared" si="52"/>
        <v>BUY</v>
      </c>
      <c r="I510" s="4">
        <f t="shared" si="49"/>
        <v>1</v>
      </c>
      <c r="J510" s="11">
        <f t="shared" si="53"/>
        <v>0</v>
      </c>
      <c r="K510" s="6">
        <f t="shared" si="54"/>
        <v>5054.25</v>
      </c>
      <c r="L510" s="4">
        <f t="shared" si="55"/>
        <v>0</v>
      </c>
    </row>
    <row r="511" spans="1:12" x14ac:dyDescent="0.25">
      <c r="A511" s="1">
        <v>41880</v>
      </c>
      <c r="B511">
        <v>5118.5498049999997</v>
      </c>
      <c r="C511">
        <v>5152.25</v>
      </c>
      <c r="D511">
        <v>5077.1000979999999</v>
      </c>
      <c r="E511">
        <v>5108.8500979999999</v>
      </c>
      <c r="F511" s="4">
        <f t="shared" si="50"/>
        <v>4945.2001950000003</v>
      </c>
      <c r="G511" s="4">
        <f t="shared" si="51"/>
        <v>5118.2001950000003</v>
      </c>
      <c r="H511" s="4">
        <f t="shared" si="52"/>
        <v>0</v>
      </c>
      <c r="I511" s="4">
        <f t="shared" si="49"/>
        <v>1</v>
      </c>
      <c r="J511" s="11">
        <f t="shared" si="53"/>
        <v>0</v>
      </c>
      <c r="K511" s="6">
        <f t="shared" si="54"/>
        <v>5054.25</v>
      </c>
      <c r="L511" s="4">
        <f t="shared" si="55"/>
        <v>0</v>
      </c>
    </row>
    <row r="512" spans="1:12" x14ac:dyDescent="0.25">
      <c r="A512" s="1">
        <v>41883</v>
      </c>
      <c r="B512">
        <v>5108.6499020000001</v>
      </c>
      <c r="C512">
        <v>5149.6499020000001</v>
      </c>
      <c r="D512">
        <v>5093.2001950000003</v>
      </c>
      <c r="E512">
        <v>5142.1499020000001</v>
      </c>
      <c r="F512" s="4">
        <f t="shared" si="50"/>
        <v>4945.2001950000003</v>
      </c>
      <c r="G512" s="4">
        <f t="shared" si="51"/>
        <v>5142.1499020000001</v>
      </c>
      <c r="H512" s="4" t="str">
        <f t="shared" si="52"/>
        <v>BUY</v>
      </c>
      <c r="I512" s="4">
        <f t="shared" si="49"/>
        <v>1</v>
      </c>
      <c r="J512" s="11">
        <f t="shared" si="53"/>
        <v>0</v>
      </c>
      <c r="K512" s="6">
        <f t="shared" si="54"/>
        <v>5054.25</v>
      </c>
      <c r="L512" s="4">
        <f t="shared" si="55"/>
        <v>0</v>
      </c>
    </row>
    <row r="513" spans="1:12" x14ac:dyDescent="0.25">
      <c r="A513" s="1">
        <v>41884</v>
      </c>
      <c r="B513">
        <v>5145.6000979999999</v>
      </c>
      <c r="C513">
        <v>5181.9501950000003</v>
      </c>
      <c r="D513">
        <v>5102.6499020000001</v>
      </c>
      <c r="E513">
        <v>5114.4501950000003</v>
      </c>
      <c r="F513" s="4">
        <f t="shared" si="50"/>
        <v>5054.25</v>
      </c>
      <c r="G513" s="4">
        <f t="shared" si="51"/>
        <v>5142.1499020000001</v>
      </c>
      <c r="H513" s="4">
        <f t="shared" si="52"/>
        <v>0</v>
      </c>
      <c r="I513" s="4">
        <f t="shared" si="49"/>
        <v>1</v>
      </c>
      <c r="J513" s="11">
        <f t="shared" si="53"/>
        <v>0</v>
      </c>
      <c r="K513" s="6">
        <f t="shared" si="54"/>
        <v>5054.25</v>
      </c>
      <c r="L513" s="4">
        <f t="shared" si="55"/>
        <v>0</v>
      </c>
    </row>
    <row r="514" spans="1:12" x14ac:dyDescent="0.25">
      <c r="A514" s="1">
        <v>41885</v>
      </c>
      <c r="B514">
        <v>5114.8500979999999</v>
      </c>
      <c r="C514">
        <v>5117.4501950000003</v>
      </c>
      <c r="D514">
        <v>5051.6499020000001</v>
      </c>
      <c r="E514">
        <v>5063.6000979999999</v>
      </c>
      <c r="F514" s="4">
        <f t="shared" si="50"/>
        <v>5063.6000979999999</v>
      </c>
      <c r="G514" s="4">
        <f t="shared" si="51"/>
        <v>5142.1499020000001</v>
      </c>
      <c r="H514" s="4">
        <f t="shared" si="52"/>
        <v>0</v>
      </c>
      <c r="I514" s="4">
        <f t="shared" si="49"/>
        <v>1</v>
      </c>
      <c r="J514" s="11">
        <f t="shared" si="53"/>
        <v>0</v>
      </c>
      <c r="K514" s="6">
        <f t="shared" si="54"/>
        <v>5054.25</v>
      </c>
      <c r="L514" s="4">
        <f t="shared" si="55"/>
        <v>0</v>
      </c>
    </row>
    <row r="515" spans="1:12" x14ac:dyDescent="0.25">
      <c r="A515" s="1">
        <v>41886</v>
      </c>
      <c r="B515">
        <v>5063.3500979999999</v>
      </c>
      <c r="C515">
        <v>5064.25</v>
      </c>
      <c r="D515">
        <v>4968.4501950000003</v>
      </c>
      <c r="E515">
        <v>4988.6000979999999</v>
      </c>
      <c r="F515" s="4">
        <f t="shared" si="50"/>
        <v>4988.6000979999999</v>
      </c>
      <c r="G515" s="4">
        <f t="shared" si="51"/>
        <v>5142.1499020000001</v>
      </c>
      <c r="H515" s="4" t="str">
        <f t="shared" si="52"/>
        <v>SELL</v>
      </c>
      <c r="I515" s="4">
        <f t="shared" si="49"/>
        <v>-1</v>
      </c>
      <c r="J515" s="11" t="str">
        <f t="shared" si="53"/>
        <v>SELL</v>
      </c>
      <c r="K515" s="6">
        <f t="shared" si="54"/>
        <v>4988.6000979999999</v>
      </c>
      <c r="L515" s="4">
        <f t="shared" si="55"/>
        <v>-1.2989049216006352E-2</v>
      </c>
    </row>
    <row r="516" spans="1:12" x14ac:dyDescent="0.25">
      <c r="A516" s="1">
        <v>41887</v>
      </c>
      <c r="B516">
        <v>4986.5498049999997</v>
      </c>
      <c r="C516">
        <v>5054.9501950000003</v>
      </c>
      <c r="D516">
        <v>4983.25</v>
      </c>
      <c r="E516">
        <v>4997.0498049999997</v>
      </c>
      <c r="F516" s="4">
        <f t="shared" si="50"/>
        <v>4988.6000979999999</v>
      </c>
      <c r="G516" s="4">
        <f t="shared" si="51"/>
        <v>5142.1499020000001</v>
      </c>
      <c r="H516" s="4">
        <f t="shared" si="52"/>
        <v>0</v>
      </c>
      <c r="I516" s="4">
        <f t="shared" si="49"/>
        <v>-1</v>
      </c>
      <c r="J516" s="11">
        <f t="shared" si="53"/>
        <v>0</v>
      </c>
      <c r="K516" s="6">
        <f t="shared" si="54"/>
        <v>4988.6000979999999</v>
      </c>
      <c r="L516" s="4">
        <f t="shared" si="55"/>
        <v>0</v>
      </c>
    </row>
    <row r="517" spans="1:12" x14ac:dyDescent="0.25">
      <c r="A517" s="1">
        <v>41890</v>
      </c>
      <c r="B517">
        <v>4997.1499020000001</v>
      </c>
      <c r="C517">
        <v>5033.75</v>
      </c>
      <c r="D517">
        <v>4961.3500979999999</v>
      </c>
      <c r="E517">
        <v>4970.8999020000001</v>
      </c>
      <c r="F517" s="4">
        <f t="shared" si="50"/>
        <v>4970.8999020000001</v>
      </c>
      <c r="G517" s="4">
        <f t="shared" si="51"/>
        <v>5114.4501950000003</v>
      </c>
      <c r="H517" s="4" t="str">
        <f t="shared" si="52"/>
        <v>SELL</v>
      </c>
      <c r="I517" s="4">
        <f t="shared" si="49"/>
        <v>-1</v>
      </c>
      <c r="J517" s="11">
        <f t="shared" si="53"/>
        <v>0</v>
      </c>
      <c r="K517" s="6">
        <f t="shared" si="54"/>
        <v>4988.6000979999999</v>
      </c>
      <c r="L517" s="4">
        <f t="shared" si="55"/>
        <v>0</v>
      </c>
    </row>
    <row r="518" spans="1:12" x14ac:dyDescent="0.25">
      <c r="A518" s="1">
        <v>41891</v>
      </c>
      <c r="B518">
        <v>4970.5498049999997</v>
      </c>
      <c r="C518">
        <v>4970.5498049999997</v>
      </c>
      <c r="D518">
        <v>4829.5</v>
      </c>
      <c r="E518">
        <v>4846.7001950000003</v>
      </c>
      <c r="F518" s="4">
        <f t="shared" si="50"/>
        <v>4846.7001950000003</v>
      </c>
      <c r="G518" s="4">
        <f t="shared" si="51"/>
        <v>5063.6000979999999</v>
      </c>
      <c r="H518" s="4" t="str">
        <f t="shared" si="52"/>
        <v>SELL</v>
      </c>
      <c r="I518" s="4">
        <f t="shared" ref="I518:I581" si="56">IF(AND(H518="BUY",I517&lt;&gt;1),1,IF(AND(H518="SELL",I517&lt;&gt;-1),-1,I517))</f>
        <v>-1</v>
      </c>
      <c r="J518" s="11">
        <f t="shared" si="53"/>
        <v>0</v>
      </c>
      <c r="K518" s="6">
        <f t="shared" si="54"/>
        <v>4988.6000979999999</v>
      </c>
      <c r="L518" s="4">
        <f t="shared" si="55"/>
        <v>0</v>
      </c>
    </row>
    <row r="519" spans="1:12" x14ac:dyDescent="0.25">
      <c r="A519" s="1">
        <v>41892</v>
      </c>
      <c r="B519">
        <v>4846.5498049999997</v>
      </c>
      <c r="C519">
        <v>4867</v>
      </c>
      <c r="D519">
        <v>4784.1000979999999</v>
      </c>
      <c r="E519">
        <v>4826.1499020000001</v>
      </c>
      <c r="F519" s="4">
        <f t="shared" ref="F519:F582" si="57">MIN(E515:E519)</f>
        <v>4826.1499020000001</v>
      </c>
      <c r="G519" s="4">
        <f t="shared" ref="G519:G582" si="58">MAX(E515:E519)</f>
        <v>4997.0498049999997</v>
      </c>
      <c r="H519" s="4" t="str">
        <f t="shared" ref="H519:H582" si="59">IF(E519&gt;G518,"BUY",IF(E519&lt;F518,"SELL",0))</f>
        <v>SELL</v>
      </c>
      <c r="I519" s="4">
        <f t="shared" si="56"/>
        <v>-1</v>
      </c>
      <c r="J519" s="11">
        <f t="shared" ref="J519:J582" si="60">IF(I519&lt;&gt;I518,H519,0)</f>
        <v>0</v>
      </c>
      <c r="K519" s="6">
        <f t="shared" ref="K519:K582" si="61">IF(J519&lt;&gt;0,E519,K518)</f>
        <v>4988.6000979999999</v>
      </c>
      <c r="L519" s="4">
        <f t="shared" si="55"/>
        <v>0</v>
      </c>
    </row>
    <row r="520" spans="1:12" x14ac:dyDescent="0.25">
      <c r="A520" s="1">
        <v>41893</v>
      </c>
      <c r="B520">
        <v>4826.1000979999999</v>
      </c>
      <c r="C520">
        <v>4826.1000979999999</v>
      </c>
      <c r="D520">
        <v>4738.3999020000001</v>
      </c>
      <c r="E520">
        <v>4750.5498049999997</v>
      </c>
      <c r="F520" s="4">
        <f t="shared" si="57"/>
        <v>4750.5498049999997</v>
      </c>
      <c r="G520" s="4">
        <f t="shared" si="58"/>
        <v>4997.0498049999997</v>
      </c>
      <c r="H520" s="4" t="str">
        <f t="shared" si="59"/>
        <v>SELL</v>
      </c>
      <c r="I520" s="4">
        <f t="shared" si="56"/>
        <v>-1</v>
      </c>
      <c r="J520" s="11">
        <f t="shared" si="60"/>
        <v>0</v>
      </c>
      <c r="K520" s="6">
        <f t="shared" si="61"/>
        <v>4988.6000979999999</v>
      </c>
      <c r="L520" s="4">
        <f t="shared" ref="L520:L583" si="62">IF(J520="BUY",(K519-K520)/K519,IF(J520="SELL",(K521-K519)/K519,0))</f>
        <v>0</v>
      </c>
    </row>
    <row r="521" spans="1:12" x14ac:dyDescent="0.25">
      <c r="A521" s="1">
        <v>41894</v>
      </c>
      <c r="B521">
        <v>4751.1000979999999</v>
      </c>
      <c r="C521">
        <v>4853.6499020000001</v>
      </c>
      <c r="D521">
        <v>4687.5</v>
      </c>
      <c r="E521">
        <v>4711.7001950000003</v>
      </c>
      <c r="F521" s="4">
        <f t="shared" si="57"/>
        <v>4711.7001950000003</v>
      </c>
      <c r="G521" s="4">
        <f t="shared" si="58"/>
        <v>4970.8999020000001</v>
      </c>
      <c r="H521" s="4" t="str">
        <f t="shared" si="59"/>
        <v>SELL</v>
      </c>
      <c r="I521" s="4">
        <f t="shared" si="56"/>
        <v>-1</v>
      </c>
      <c r="J521" s="11">
        <f t="shared" si="60"/>
        <v>0</v>
      </c>
      <c r="K521" s="6">
        <f t="shared" si="61"/>
        <v>4988.6000979999999</v>
      </c>
      <c r="L521" s="4">
        <f t="shared" si="62"/>
        <v>0</v>
      </c>
    </row>
    <row r="522" spans="1:12" x14ac:dyDescent="0.25">
      <c r="A522" s="1">
        <v>41897</v>
      </c>
      <c r="B522">
        <v>4712.25</v>
      </c>
      <c r="C522">
        <v>4729.8500979999999</v>
      </c>
      <c r="D522">
        <v>4538.5</v>
      </c>
      <c r="E522">
        <v>4563.8999020000001</v>
      </c>
      <c r="F522" s="4">
        <f t="shared" si="57"/>
        <v>4563.8999020000001</v>
      </c>
      <c r="G522" s="4">
        <f t="shared" si="58"/>
        <v>4846.7001950000003</v>
      </c>
      <c r="H522" s="4" t="str">
        <f t="shared" si="59"/>
        <v>SELL</v>
      </c>
      <c r="I522" s="4">
        <f t="shared" si="56"/>
        <v>-1</v>
      </c>
      <c r="J522" s="11">
        <f t="shared" si="60"/>
        <v>0</v>
      </c>
      <c r="K522" s="6">
        <f t="shared" si="61"/>
        <v>4988.6000979999999</v>
      </c>
      <c r="L522" s="4">
        <f t="shared" si="62"/>
        <v>0</v>
      </c>
    </row>
    <row r="523" spans="1:12" x14ac:dyDescent="0.25">
      <c r="A523" s="1">
        <v>41898</v>
      </c>
      <c r="B523">
        <v>4567.2998049999997</v>
      </c>
      <c r="C523">
        <v>4717.7998049999997</v>
      </c>
      <c r="D523">
        <v>4565</v>
      </c>
      <c r="E523">
        <v>4710.7998049999997</v>
      </c>
      <c r="F523" s="4">
        <f t="shared" si="57"/>
        <v>4563.8999020000001</v>
      </c>
      <c r="G523" s="4">
        <f t="shared" si="58"/>
        <v>4826.1499020000001</v>
      </c>
      <c r="H523" s="4">
        <f t="shared" si="59"/>
        <v>0</v>
      </c>
      <c r="I523" s="4">
        <f t="shared" si="56"/>
        <v>-1</v>
      </c>
      <c r="J523" s="11">
        <f t="shared" si="60"/>
        <v>0</v>
      </c>
      <c r="K523" s="6">
        <f t="shared" si="61"/>
        <v>4988.6000979999999</v>
      </c>
      <c r="L523" s="4">
        <f t="shared" si="62"/>
        <v>0</v>
      </c>
    </row>
    <row r="524" spans="1:12" x14ac:dyDescent="0.25">
      <c r="A524" s="1">
        <v>41899</v>
      </c>
      <c r="B524">
        <v>4711.6499020000001</v>
      </c>
      <c r="C524">
        <v>4776.3500979999999</v>
      </c>
      <c r="D524">
        <v>4610.6000979999999</v>
      </c>
      <c r="E524">
        <v>4765.5498049999997</v>
      </c>
      <c r="F524" s="4">
        <f t="shared" si="57"/>
        <v>4563.8999020000001</v>
      </c>
      <c r="G524" s="4">
        <f t="shared" si="58"/>
        <v>4765.5498049999997</v>
      </c>
      <c r="H524" s="4">
        <f t="shared" si="59"/>
        <v>0</v>
      </c>
      <c r="I524" s="4">
        <f t="shared" si="56"/>
        <v>-1</v>
      </c>
      <c r="J524" s="11">
        <f t="shared" si="60"/>
        <v>0</v>
      </c>
      <c r="K524" s="6">
        <f t="shared" si="61"/>
        <v>4988.6000979999999</v>
      </c>
      <c r="L524" s="4">
        <f t="shared" si="62"/>
        <v>0</v>
      </c>
    </row>
    <row r="525" spans="1:12" x14ac:dyDescent="0.25">
      <c r="A525" s="1">
        <v>41900</v>
      </c>
      <c r="B525">
        <v>4767.5</v>
      </c>
      <c r="C525">
        <v>4836.2001950000003</v>
      </c>
      <c r="D525">
        <v>4764.8500979999999</v>
      </c>
      <c r="E525">
        <v>4796.1499020000001</v>
      </c>
      <c r="F525" s="4">
        <f t="shared" si="57"/>
        <v>4563.8999020000001</v>
      </c>
      <c r="G525" s="4">
        <f t="shared" si="58"/>
        <v>4796.1499020000001</v>
      </c>
      <c r="H525" s="4" t="str">
        <f t="shared" si="59"/>
        <v>BUY</v>
      </c>
      <c r="I525" s="4">
        <f t="shared" si="56"/>
        <v>1</v>
      </c>
      <c r="J525" s="11" t="str">
        <f t="shared" si="60"/>
        <v>BUY</v>
      </c>
      <c r="K525" s="6">
        <f t="shared" si="61"/>
        <v>4796.1499020000001</v>
      </c>
      <c r="L525" s="4">
        <f t="shared" si="62"/>
        <v>3.8577996275379091E-2</v>
      </c>
    </row>
    <row r="526" spans="1:12" x14ac:dyDescent="0.25">
      <c r="A526" s="1">
        <v>41901</v>
      </c>
      <c r="B526">
        <v>4796.1499020000001</v>
      </c>
      <c r="C526">
        <v>4905.25</v>
      </c>
      <c r="D526">
        <v>4789.8999020000001</v>
      </c>
      <c r="E526">
        <v>4898.3999020000001</v>
      </c>
      <c r="F526" s="4">
        <f t="shared" si="57"/>
        <v>4563.8999020000001</v>
      </c>
      <c r="G526" s="4">
        <f t="shared" si="58"/>
        <v>4898.3999020000001</v>
      </c>
      <c r="H526" s="4" t="str">
        <f t="shared" si="59"/>
        <v>BUY</v>
      </c>
      <c r="I526" s="4">
        <f t="shared" si="56"/>
        <v>1</v>
      </c>
      <c r="J526" s="11">
        <f t="shared" si="60"/>
        <v>0</v>
      </c>
      <c r="K526" s="6">
        <f t="shared" si="61"/>
        <v>4796.1499020000001</v>
      </c>
      <c r="L526" s="4">
        <f t="shared" si="62"/>
        <v>0</v>
      </c>
    </row>
    <row r="527" spans="1:12" x14ac:dyDescent="0.25">
      <c r="A527" s="1">
        <v>41904</v>
      </c>
      <c r="B527">
        <v>4898.8999020000001</v>
      </c>
      <c r="C527">
        <v>4947.7001950000003</v>
      </c>
      <c r="D527">
        <v>4860.1000979999999</v>
      </c>
      <c r="E527">
        <v>4881.7001950000003</v>
      </c>
      <c r="F527" s="4">
        <f t="shared" si="57"/>
        <v>4710.7998049999997</v>
      </c>
      <c r="G527" s="4">
        <f t="shared" si="58"/>
        <v>4898.3999020000001</v>
      </c>
      <c r="H527" s="4">
        <f t="shared" si="59"/>
        <v>0</v>
      </c>
      <c r="I527" s="4">
        <f t="shared" si="56"/>
        <v>1</v>
      </c>
      <c r="J527" s="11">
        <f t="shared" si="60"/>
        <v>0</v>
      </c>
      <c r="K527" s="6">
        <f t="shared" si="61"/>
        <v>4796.1499020000001</v>
      </c>
      <c r="L527" s="4">
        <f t="shared" si="62"/>
        <v>0</v>
      </c>
    </row>
    <row r="528" spans="1:12" x14ac:dyDescent="0.25">
      <c r="A528" s="1">
        <v>41905</v>
      </c>
      <c r="B528">
        <v>4882.2998049999997</v>
      </c>
      <c r="C528">
        <v>5016.7001950000003</v>
      </c>
      <c r="D528">
        <v>4870.0498049999997</v>
      </c>
      <c r="E528">
        <v>5003.9501950000003</v>
      </c>
      <c r="F528" s="4">
        <f t="shared" si="57"/>
        <v>4765.5498049999997</v>
      </c>
      <c r="G528" s="4">
        <f t="shared" si="58"/>
        <v>5003.9501950000003</v>
      </c>
      <c r="H528" s="4" t="str">
        <f t="shared" si="59"/>
        <v>BUY</v>
      </c>
      <c r="I528" s="4">
        <f t="shared" si="56"/>
        <v>1</v>
      </c>
      <c r="J528" s="11">
        <f t="shared" si="60"/>
        <v>0</v>
      </c>
      <c r="K528" s="6">
        <f t="shared" si="61"/>
        <v>4796.1499020000001</v>
      </c>
      <c r="L528" s="4">
        <f t="shared" si="62"/>
        <v>0</v>
      </c>
    </row>
    <row r="529" spans="1:12" x14ac:dyDescent="0.25">
      <c r="A529" s="1">
        <v>41906</v>
      </c>
      <c r="B529">
        <v>5004.3999020000001</v>
      </c>
      <c r="C529">
        <v>5014.3999020000001</v>
      </c>
      <c r="D529">
        <v>4924.75</v>
      </c>
      <c r="E529">
        <v>4952.6499020000001</v>
      </c>
      <c r="F529" s="4">
        <f t="shared" si="57"/>
        <v>4796.1499020000001</v>
      </c>
      <c r="G529" s="4">
        <f t="shared" si="58"/>
        <v>5003.9501950000003</v>
      </c>
      <c r="H529" s="4">
        <f t="shared" si="59"/>
        <v>0</v>
      </c>
      <c r="I529" s="4">
        <f t="shared" si="56"/>
        <v>1</v>
      </c>
      <c r="J529" s="11">
        <f t="shared" si="60"/>
        <v>0</v>
      </c>
      <c r="K529" s="6">
        <f t="shared" si="61"/>
        <v>4796.1499020000001</v>
      </c>
      <c r="L529" s="4">
        <f t="shared" si="62"/>
        <v>0</v>
      </c>
    </row>
    <row r="530" spans="1:12" x14ac:dyDescent="0.25">
      <c r="A530" s="1">
        <v>41907</v>
      </c>
      <c r="B530">
        <v>4952.3500979999999</v>
      </c>
      <c r="C530">
        <v>5017.8999020000001</v>
      </c>
      <c r="D530">
        <v>4942.6499020000001</v>
      </c>
      <c r="E530">
        <v>4998.9501950000003</v>
      </c>
      <c r="F530" s="4">
        <f t="shared" si="57"/>
        <v>4881.7001950000003</v>
      </c>
      <c r="G530" s="4">
        <f t="shared" si="58"/>
        <v>5003.9501950000003</v>
      </c>
      <c r="H530" s="4">
        <f t="shared" si="59"/>
        <v>0</v>
      </c>
      <c r="I530" s="4">
        <f t="shared" si="56"/>
        <v>1</v>
      </c>
      <c r="J530" s="11">
        <f t="shared" si="60"/>
        <v>0</v>
      </c>
      <c r="K530" s="6">
        <f t="shared" si="61"/>
        <v>4796.1499020000001</v>
      </c>
      <c r="L530" s="4">
        <f t="shared" si="62"/>
        <v>0</v>
      </c>
    </row>
    <row r="531" spans="1:12" x14ac:dyDescent="0.25">
      <c r="A531" s="1">
        <v>41908</v>
      </c>
      <c r="B531">
        <v>4996.5</v>
      </c>
      <c r="C531">
        <v>5073.2001950000003</v>
      </c>
      <c r="D531">
        <v>4994</v>
      </c>
      <c r="E531">
        <v>5058.0498049999997</v>
      </c>
      <c r="F531" s="4">
        <f t="shared" si="57"/>
        <v>4881.7001950000003</v>
      </c>
      <c r="G531" s="4">
        <f t="shared" si="58"/>
        <v>5058.0498049999997</v>
      </c>
      <c r="H531" s="4" t="str">
        <f t="shared" si="59"/>
        <v>BUY</v>
      </c>
      <c r="I531" s="4">
        <f t="shared" si="56"/>
        <v>1</v>
      </c>
      <c r="J531" s="11">
        <f t="shared" si="60"/>
        <v>0</v>
      </c>
      <c r="K531" s="6">
        <f t="shared" si="61"/>
        <v>4796.1499020000001</v>
      </c>
      <c r="L531" s="4">
        <f t="shared" si="62"/>
        <v>0</v>
      </c>
    </row>
    <row r="532" spans="1:12" x14ac:dyDescent="0.25">
      <c r="A532" s="1">
        <v>41911</v>
      </c>
      <c r="B532">
        <v>5058.9501950000003</v>
      </c>
      <c r="C532">
        <v>5074</v>
      </c>
      <c r="D532">
        <v>5010.1499020000001</v>
      </c>
      <c r="E532">
        <v>5062.25</v>
      </c>
      <c r="F532" s="4">
        <f t="shared" si="57"/>
        <v>4952.6499020000001</v>
      </c>
      <c r="G532" s="4">
        <f t="shared" si="58"/>
        <v>5062.25</v>
      </c>
      <c r="H532" s="4" t="str">
        <f t="shared" si="59"/>
        <v>BUY</v>
      </c>
      <c r="I532" s="4">
        <f t="shared" si="56"/>
        <v>1</v>
      </c>
      <c r="J532" s="11">
        <f t="shared" si="60"/>
        <v>0</v>
      </c>
      <c r="K532" s="6">
        <f t="shared" si="61"/>
        <v>4796.1499020000001</v>
      </c>
      <c r="L532" s="4">
        <f t="shared" si="62"/>
        <v>0</v>
      </c>
    </row>
    <row r="533" spans="1:12" x14ac:dyDescent="0.25">
      <c r="A533" s="1">
        <v>41912</v>
      </c>
      <c r="B533">
        <v>5061.5</v>
      </c>
      <c r="C533">
        <v>5079.2998049999997</v>
      </c>
      <c r="D533">
        <v>5041.6499020000001</v>
      </c>
      <c r="E533">
        <v>5054.7001950000003</v>
      </c>
      <c r="F533" s="4">
        <f t="shared" si="57"/>
        <v>4952.6499020000001</v>
      </c>
      <c r="G533" s="4">
        <f t="shared" si="58"/>
        <v>5062.25</v>
      </c>
      <c r="H533" s="4">
        <f t="shared" si="59"/>
        <v>0</v>
      </c>
      <c r="I533" s="4">
        <f t="shared" si="56"/>
        <v>1</v>
      </c>
      <c r="J533" s="11">
        <f t="shared" si="60"/>
        <v>0</v>
      </c>
      <c r="K533" s="6">
        <f t="shared" si="61"/>
        <v>4796.1499020000001</v>
      </c>
      <c r="L533" s="4">
        <f t="shared" si="62"/>
        <v>0</v>
      </c>
    </row>
    <row r="534" spans="1:12" x14ac:dyDescent="0.25">
      <c r="A534" s="1">
        <v>41913</v>
      </c>
      <c r="B534">
        <v>5043.9501950000003</v>
      </c>
      <c r="C534">
        <v>5053.4501950000003</v>
      </c>
      <c r="D534">
        <v>4963.7001950000003</v>
      </c>
      <c r="E534">
        <v>4989</v>
      </c>
      <c r="F534" s="4">
        <f t="shared" si="57"/>
        <v>4989</v>
      </c>
      <c r="G534" s="4">
        <f t="shared" si="58"/>
        <v>5062.25</v>
      </c>
      <c r="H534" s="4">
        <f t="shared" si="59"/>
        <v>0</v>
      </c>
      <c r="I534" s="4">
        <f t="shared" si="56"/>
        <v>1</v>
      </c>
      <c r="J534" s="11">
        <f t="shared" si="60"/>
        <v>0</v>
      </c>
      <c r="K534" s="6">
        <f t="shared" si="61"/>
        <v>4796.1499020000001</v>
      </c>
      <c r="L534" s="4">
        <f t="shared" si="62"/>
        <v>0</v>
      </c>
    </row>
    <row r="535" spans="1:12" x14ac:dyDescent="0.25">
      <c r="A535" s="1">
        <v>41914</v>
      </c>
      <c r="B535">
        <v>4988.75</v>
      </c>
      <c r="C535">
        <v>5063.2998049999997</v>
      </c>
      <c r="D535">
        <v>4932.7998049999997</v>
      </c>
      <c r="E535">
        <v>5052.4501950000003</v>
      </c>
      <c r="F535" s="4">
        <f t="shared" si="57"/>
        <v>4989</v>
      </c>
      <c r="G535" s="4">
        <f t="shared" si="58"/>
        <v>5062.25</v>
      </c>
      <c r="H535" s="4">
        <f t="shared" si="59"/>
        <v>0</v>
      </c>
      <c r="I535" s="4">
        <f t="shared" si="56"/>
        <v>1</v>
      </c>
      <c r="J535" s="11">
        <f t="shared" si="60"/>
        <v>0</v>
      </c>
      <c r="K535" s="6">
        <f t="shared" si="61"/>
        <v>4796.1499020000001</v>
      </c>
      <c r="L535" s="4">
        <f t="shared" si="62"/>
        <v>0</v>
      </c>
    </row>
    <row r="536" spans="1:12" x14ac:dyDescent="0.25">
      <c r="A536" s="1">
        <v>41915</v>
      </c>
      <c r="B536">
        <v>5052.9501950000003</v>
      </c>
      <c r="C536">
        <v>5113.1000979999999</v>
      </c>
      <c r="D536">
        <v>5052.1000979999999</v>
      </c>
      <c r="E536">
        <v>5103.5498049999997</v>
      </c>
      <c r="F536" s="4">
        <f t="shared" si="57"/>
        <v>4989</v>
      </c>
      <c r="G536" s="4">
        <f t="shared" si="58"/>
        <v>5103.5498049999997</v>
      </c>
      <c r="H536" s="4" t="str">
        <f t="shared" si="59"/>
        <v>BUY</v>
      </c>
      <c r="I536" s="4">
        <f t="shared" si="56"/>
        <v>1</v>
      </c>
      <c r="J536" s="11">
        <f t="shared" si="60"/>
        <v>0</v>
      </c>
      <c r="K536" s="6">
        <f t="shared" si="61"/>
        <v>4796.1499020000001</v>
      </c>
      <c r="L536" s="4">
        <f t="shared" si="62"/>
        <v>0</v>
      </c>
    </row>
    <row r="537" spans="1:12" x14ac:dyDescent="0.25">
      <c r="A537" s="1">
        <v>41918</v>
      </c>
      <c r="B537">
        <v>5105</v>
      </c>
      <c r="C537">
        <v>5112.8500979999999</v>
      </c>
      <c r="D537">
        <v>5053.5</v>
      </c>
      <c r="E537">
        <v>5090.5498049999997</v>
      </c>
      <c r="F537" s="4">
        <f t="shared" si="57"/>
        <v>4989</v>
      </c>
      <c r="G537" s="4">
        <f t="shared" si="58"/>
        <v>5103.5498049999997</v>
      </c>
      <c r="H537" s="4">
        <f t="shared" si="59"/>
        <v>0</v>
      </c>
      <c r="I537" s="4">
        <f t="shared" si="56"/>
        <v>1</v>
      </c>
      <c r="J537" s="11">
        <f t="shared" si="60"/>
        <v>0</v>
      </c>
      <c r="K537" s="6">
        <f t="shared" si="61"/>
        <v>4796.1499020000001</v>
      </c>
      <c r="L537" s="4">
        <f t="shared" si="62"/>
        <v>0</v>
      </c>
    </row>
    <row r="538" spans="1:12" x14ac:dyDescent="0.25">
      <c r="A538" s="1">
        <v>41919</v>
      </c>
      <c r="B538">
        <v>5091.5498049999997</v>
      </c>
      <c r="C538">
        <v>5138</v>
      </c>
      <c r="D538">
        <v>5078.3500979999999</v>
      </c>
      <c r="E538">
        <v>5108.1499020000001</v>
      </c>
      <c r="F538" s="4">
        <f t="shared" si="57"/>
        <v>4989</v>
      </c>
      <c r="G538" s="4">
        <f t="shared" si="58"/>
        <v>5108.1499020000001</v>
      </c>
      <c r="H538" s="4" t="str">
        <f t="shared" si="59"/>
        <v>BUY</v>
      </c>
      <c r="I538" s="4">
        <f t="shared" si="56"/>
        <v>1</v>
      </c>
      <c r="J538" s="11">
        <f t="shared" si="60"/>
        <v>0</v>
      </c>
      <c r="K538" s="6">
        <f t="shared" si="61"/>
        <v>4796.1499020000001</v>
      </c>
      <c r="L538" s="4">
        <f t="shared" si="62"/>
        <v>0</v>
      </c>
    </row>
    <row r="539" spans="1:12" x14ac:dyDescent="0.25">
      <c r="A539" s="1">
        <v>41920</v>
      </c>
      <c r="B539">
        <v>5116.4501950000003</v>
      </c>
      <c r="C539">
        <v>5116.4501950000003</v>
      </c>
      <c r="D539">
        <v>4986.0498049999997</v>
      </c>
      <c r="E539">
        <v>5005.5498049999997</v>
      </c>
      <c r="F539" s="4">
        <f t="shared" si="57"/>
        <v>5005.5498049999997</v>
      </c>
      <c r="G539" s="4">
        <f t="shared" si="58"/>
        <v>5108.1499020000001</v>
      </c>
      <c r="H539" s="4">
        <f t="shared" si="59"/>
        <v>0</v>
      </c>
      <c r="I539" s="4">
        <f t="shared" si="56"/>
        <v>1</v>
      </c>
      <c r="J539" s="11">
        <f t="shared" si="60"/>
        <v>0</v>
      </c>
      <c r="K539" s="6">
        <f t="shared" si="61"/>
        <v>4796.1499020000001</v>
      </c>
      <c r="L539" s="4">
        <f t="shared" si="62"/>
        <v>0</v>
      </c>
    </row>
    <row r="540" spans="1:12" x14ac:dyDescent="0.25">
      <c r="A540" s="1">
        <v>41921</v>
      </c>
      <c r="B540">
        <v>5005.0498049999997</v>
      </c>
      <c r="C540">
        <v>5005.0498049999997</v>
      </c>
      <c r="D540">
        <v>4806.7001950000003</v>
      </c>
      <c r="E540">
        <v>4941.75</v>
      </c>
      <c r="F540" s="4">
        <f t="shared" si="57"/>
        <v>4941.75</v>
      </c>
      <c r="G540" s="4">
        <f t="shared" si="58"/>
        <v>5108.1499020000001</v>
      </c>
      <c r="H540" s="4" t="str">
        <f t="shared" si="59"/>
        <v>SELL</v>
      </c>
      <c r="I540" s="4">
        <f t="shared" si="56"/>
        <v>-1</v>
      </c>
      <c r="J540" s="11" t="str">
        <f t="shared" si="60"/>
        <v>SELL</v>
      </c>
      <c r="K540" s="6">
        <f t="shared" si="61"/>
        <v>4941.75</v>
      </c>
      <c r="L540" s="4">
        <f t="shared" si="62"/>
        <v>3.0357703778041732E-2</v>
      </c>
    </row>
    <row r="541" spans="1:12" x14ac:dyDescent="0.25">
      <c r="A541" s="1">
        <v>41922</v>
      </c>
      <c r="B541">
        <v>4942.25</v>
      </c>
      <c r="C541">
        <v>5066.3500979999999</v>
      </c>
      <c r="D541">
        <v>4942.25</v>
      </c>
      <c r="E541">
        <v>5032.7001950000003</v>
      </c>
      <c r="F541" s="4">
        <f t="shared" si="57"/>
        <v>4941.75</v>
      </c>
      <c r="G541" s="4">
        <f t="shared" si="58"/>
        <v>5108.1499020000001</v>
      </c>
      <c r="H541" s="4">
        <f t="shared" si="59"/>
        <v>0</v>
      </c>
      <c r="I541" s="4">
        <f t="shared" si="56"/>
        <v>-1</v>
      </c>
      <c r="J541" s="11">
        <f t="shared" si="60"/>
        <v>0</v>
      </c>
      <c r="K541" s="6">
        <f t="shared" si="61"/>
        <v>4941.75</v>
      </c>
      <c r="L541" s="4">
        <f t="shared" si="62"/>
        <v>0</v>
      </c>
    </row>
    <row r="542" spans="1:12" x14ac:dyDescent="0.25">
      <c r="A542" s="1">
        <v>41925</v>
      </c>
      <c r="B542">
        <v>5039.7001950000003</v>
      </c>
      <c r="C542">
        <v>5130.3500979999999</v>
      </c>
      <c r="D542">
        <v>5038.8500979999999</v>
      </c>
      <c r="E542">
        <v>5122</v>
      </c>
      <c r="F542" s="4">
        <f t="shared" si="57"/>
        <v>4941.75</v>
      </c>
      <c r="G542" s="4">
        <f t="shared" si="58"/>
        <v>5122</v>
      </c>
      <c r="H542" s="4" t="str">
        <f t="shared" si="59"/>
        <v>BUY</v>
      </c>
      <c r="I542" s="4">
        <f t="shared" si="56"/>
        <v>1</v>
      </c>
      <c r="J542" s="11" t="str">
        <f t="shared" si="60"/>
        <v>BUY</v>
      </c>
      <c r="K542" s="6">
        <f t="shared" si="61"/>
        <v>5122</v>
      </c>
      <c r="L542" s="4">
        <f t="shared" si="62"/>
        <v>-3.64749329690899E-2</v>
      </c>
    </row>
    <row r="543" spans="1:12" x14ac:dyDescent="0.25">
      <c r="A543" s="1">
        <v>41926</v>
      </c>
      <c r="B543">
        <v>5122.75</v>
      </c>
      <c r="C543">
        <v>5161.75</v>
      </c>
      <c r="D543">
        <v>5111.75</v>
      </c>
      <c r="E543">
        <v>5123.25</v>
      </c>
      <c r="F543" s="4">
        <f t="shared" si="57"/>
        <v>4941.75</v>
      </c>
      <c r="G543" s="4">
        <f t="shared" si="58"/>
        <v>5123.25</v>
      </c>
      <c r="H543" s="4" t="str">
        <f t="shared" si="59"/>
        <v>BUY</v>
      </c>
      <c r="I543" s="4">
        <f t="shared" si="56"/>
        <v>1</v>
      </c>
      <c r="J543" s="11">
        <f t="shared" si="60"/>
        <v>0</v>
      </c>
      <c r="K543" s="6">
        <f t="shared" si="61"/>
        <v>5122</v>
      </c>
      <c r="L543" s="4">
        <f t="shared" si="62"/>
        <v>0</v>
      </c>
    </row>
    <row r="544" spans="1:12" x14ac:dyDescent="0.25">
      <c r="A544" s="1">
        <v>41927</v>
      </c>
      <c r="B544">
        <v>5124.5498049999997</v>
      </c>
      <c r="C544">
        <v>5181</v>
      </c>
      <c r="D544">
        <v>5106.6000979999999</v>
      </c>
      <c r="E544">
        <v>5131.7001950000003</v>
      </c>
      <c r="F544" s="4">
        <f t="shared" si="57"/>
        <v>4941.75</v>
      </c>
      <c r="G544" s="4">
        <f t="shared" si="58"/>
        <v>5131.7001950000003</v>
      </c>
      <c r="H544" s="4" t="str">
        <f t="shared" si="59"/>
        <v>BUY</v>
      </c>
      <c r="I544" s="4">
        <f t="shared" si="56"/>
        <v>1</v>
      </c>
      <c r="J544" s="11">
        <f t="shared" si="60"/>
        <v>0</v>
      </c>
      <c r="K544" s="6">
        <f t="shared" si="61"/>
        <v>5122</v>
      </c>
      <c r="L544" s="4">
        <f t="shared" si="62"/>
        <v>0</v>
      </c>
    </row>
    <row r="545" spans="1:12" x14ac:dyDescent="0.25">
      <c r="A545" s="1">
        <v>41928</v>
      </c>
      <c r="B545">
        <v>5131.7001950000003</v>
      </c>
      <c r="C545">
        <v>5161.7998049999997</v>
      </c>
      <c r="D545">
        <v>5081.8500979999999</v>
      </c>
      <c r="E545">
        <v>5108.8999020000001</v>
      </c>
      <c r="F545" s="4">
        <f t="shared" si="57"/>
        <v>5032.7001950000003</v>
      </c>
      <c r="G545" s="4">
        <f t="shared" si="58"/>
        <v>5131.7001950000003</v>
      </c>
      <c r="H545" s="4">
        <f t="shared" si="59"/>
        <v>0</v>
      </c>
      <c r="I545" s="4">
        <f t="shared" si="56"/>
        <v>1</v>
      </c>
      <c r="J545" s="11">
        <f t="shared" si="60"/>
        <v>0</v>
      </c>
      <c r="K545" s="6">
        <f t="shared" si="61"/>
        <v>5122</v>
      </c>
      <c r="L545" s="4">
        <f t="shared" si="62"/>
        <v>0</v>
      </c>
    </row>
    <row r="546" spans="1:12" x14ac:dyDescent="0.25">
      <c r="A546" s="1">
        <v>41929</v>
      </c>
      <c r="B546">
        <v>5108.8500979999999</v>
      </c>
      <c r="C546">
        <v>5131.2998049999997</v>
      </c>
      <c r="D546">
        <v>5051.5498049999997</v>
      </c>
      <c r="E546">
        <v>5066.7001950000003</v>
      </c>
      <c r="F546" s="4">
        <f t="shared" si="57"/>
        <v>5066.7001950000003</v>
      </c>
      <c r="G546" s="4">
        <f t="shared" si="58"/>
        <v>5131.7001950000003</v>
      </c>
      <c r="H546" s="4">
        <f t="shared" si="59"/>
        <v>0</v>
      </c>
      <c r="I546" s="4">
        <f t="shared" si="56"/>
        <v>1</v>
      </c>
      <c r="J546" s="11">
        <f t="shared" si="60"/>
        <v>0</v>
      </c>
      <c r="K546" s="6">
        <f t="shared" si="61"/>
        <v>5122</v>
      </c>
      <c r="L546" s="4">
        <f t="shared" si="62"/>
        <v>0</v>
      </c>
    </row>
    <row r="547" spans="1:12" x14ac:dyDescent="0.25">
      <c r="A547" s="1">
        <v>41932</v>
      </c>
      <c r="B547">
        <v>5068.5498049999997</v>
      </c>
      <c r="C547">
        <v>5152.5498049999997</v>
      </c>
      <c r="D547">
        <v>5058.8999020000001</v>
      </c>
      <c r="E547">
        <v>5147.9501950000003</v>
      </c>
      <c r="F547" s="4">
        <f t="shared" si="57"/>
        <v>5066.7001950000003</v>
      </c>
      <c r="G547" s="4">
        <f t="shared" si="58"/>
        <v>5147.9501950000003</v>
      </c>
      <c r="H547" s="4" t="str">
        <f t="shared" si="59"/>
        <v>BUY</v>
      </c>
      <c r="I547" s="4">
        <f t="shared" si="56"/>
        <v>1</v>
      </c>
      <c r="J547" s="11">
        <f t="shared" si="60"/>
        <v>0</v>
      </c>
      <c r="K547" s="6">
        <f t="shared" si="61"/>
        <v>5122</v>
      </c>
      <c r="L547" s="4">
        <f t="shared" si="62"/>
        <v>0</v>
      </c>
    </row>
    <row r="548" spans="1:12" x14ac:dyDescent="0.25">
      <c r="A548" s="1">
        <v>41933</v>
      </c>
      <c r="B548">
        <v>5147.6499020000001</v>
      </c>
      <c r="C548">
        <v>5147.6499020000001</v>
      </c>
      <c r="D548">
        <v>5090.6000979999999</v>
      </c>
      <c r="E548">
        <v>5112</v>
      </c>
      <c r="F548" s="4">
        <f t="shared" si="57"/>
        <v>5066.7001950000003</v>
      </c>
      <c r="G548" s="4">
        <f t="shared" si="58"/>
        <v>5147.9501950000003</v>
      </c>
      <c r="H548" s="4">
        <f t="shared" si="59"/>
        <v>0</v>
      </c>
      <c r="I548" s="4">
        <f t="shared" si="56"/>
        <v>1</v>
      </c>
      <c r="J548" s="11">
        <f t="shared" si="60"/>
        <v>0</v>
      </c>
      <c r="K548" s="6">
        <f t="shared" si="61"/>
        <v>5122</v>
      </c>
      <c r="L548" s="4">
        <f t="shared" si="62"/>
        <v>0</v>
      </c>
    </row>
    <row r="549" spans="1:12" x14ac:dyDescent="0.25">
      <c r="A549" s="1">
        <v>41934</v>
      </c>
      <c r="B549">
        <v>5112.3999020000001</v>
      </c>
      <c r="C549">
        <v>5146.4501950000003</v>
      </c>
      <c r="D549">
        <v>5084.6499020000001</v>
      </c>
      <c r="E549">
        <v>5134.6499020000001</v>
      </c>
      <c r="F549" s="4">
        <f t="shared" si="57"/>
        <v>5066.7001950000003</v>
      </c>
      <c r="G549" s="4">
        <f t="shared" si="58"/>
        <v>5147.9501950000003</v>
      </c>
      <c r="H549" s="4">
        <f t="shared" si="59"/>
        <v>0</v>
      </c>
      <c r="I549" s="4">
        <f t="shared" si="56"/>
        <v>1</v>
      </c>
      <c r="J549" s="11">
        <f t="shared" si="60"/>
        <v>0</v>
      </c>
      <c r="K549" s="6">
        <f t="shared" si="61"/>
        <v>5122</v>
      </c>
      <c r="L549" s="4">
        <f t="shared" si="62"/>
        <v>0</v>
      </c>
    </row>
    <row r="550" spans="1:12" x14ac:dyDescent="0.25">
      <c r="A550" s="1">
        <v>41935</v>
      </c>
      <c r="B550">
        <v>5136.0498049999997</v>
      </c>
      <c r="C550">
        <v>5182.5498049999997</v>
      </c>
      <c r="D550">
        <v>5088.3999020000001</v>
      </c>
      <c r="E550">
        <v>5117.2998049999997</v>
      </c>
      <c r="F550" s="4">
        <f t="shared" si="57"/>
        <v>5066.7001950000003</v>
      </c>
      <c r="G550" s="4">
        <f t="shared" si="58"/>
        <v>5147.9501950000003</v>
      </c>
      <c r="H550" s="4">
        <f t="shared" si="59"/>
        <v>0</v>
      </c>
      <c r="I550" s="4">
        <f t="shared" si="56"/>
        <v>1</v>
      </c>
      <c r="J550" s="11">
        <f t="shared" si="60"/>
        <v>0</v>
      </c>
      <c r="K550" s="6">
        <f t="shared" si="61"/>
        <v>5122</v>
      </c>
      <c r="L550" s="4">
        <f t="shared" si="62"/>
        <v>0</v>
      </c>
    </row>
    <row r="551" spans="1:12" x14ac:dyDescent="0.25">
      <c r="A551" s="1">
        <v>41936</v>
      </c>
      <c r="B551">
        <v>5117.4501950000003</v>
      </c>
      <c r="C551">
        <v>5156.7001950000003</v>
      </c>
      <c r="D551">
        <v>5090.1499020000001</v>
      </c>
      <c r="E551">
        <v>5105.7001950000003</v>
      </c>
      <c r="F551" s="4">
        <f t="shared" si="57"/>
        <v>5105.7001950000003</v>
      </c>
      <c r="G551" s="4">
        <f t="shared" si="58"/>
        <v>5147.9501950000003</v>
      </c>
      <c r="H551" s="4">
        <f t="shared" si="59"/>
        <v>0</v>
      </c>
      <c r="I551" s="4">
        <f t="shared" si="56"/>
        <v>1</v>
      </c>
      <c r="J551" s="11">
        <f t="shared" si="60"/>
        <v>0</v>
      </c>
      <c r="K551" s="6">
        <f t="shared" si="61"/>
        <v>5122</v>
      </c>
      <c r="L551" s="4">
        <f t="shared" si="62"/>
        <v>0</v>
      </c>
    </row>
    <row r="552" spans="1:12" x14ac:dyDescent="0.25">
      <c r="A552" s="1">
        <v>41939</v>
      </c>
      <c r="B552">
        <v>5105.75</v>
      </c>
      <c r="C552">
        <v>5129.4501950000003</v>
      </c>
      <c r="D552">
        <v>5018.25</v>
      </c>
      <c r="E552">
        <v>5033.0498049999997</v>
      </c>
      <c r="F552" s="4">
        <f t="shared" si="57"/>
        <v>5033.0498049999997</v>
      </c>
      <c r="G552" s="4">
        <f t="shared" si="58"/>
        <v>5134.6499020000001</v>
      </c>
      <c r="H552" s="4" t="str">
        <f t="shared" si="59"/>
        <v>SELL</v>
      </c>
      <c r="I552" s="4">
        <f t="shared" si="56"/>
        <v>-1</v>
      </c>
      <c r="J552" s="11" t="str">
        <f t="shared" si="60"/>
        <v>SELL</v>
      </c>
      <c r="K552" s="6">
        <f t="shared" si="61"/>
        <v>5033.0498049999997</v>
      </c>
      <c r="L552" s="4">
        <f t="shared" si="62"/>
        <v>-1.7366301249511978E-2</v>
      </c>
    </row>
    <row r="553" spans="1:12" x14ac:dyDescent="0.25">
      <c r="A553" s="1">
        <v>41940</v>
      </c>
      <c r="B553">
        <v>5032.9501950000003</v>
      </c>
      <c r="C553">
        <v>5067.25</v>
      </c>
      <c r="D553">
        <v>5001.7998049999997</v>
      </c>
      <c r="E553">
        <v>5042.0498049999997</v>
      </c>
      <c r="F553" s="4">
        <f t="shared" si="57"/>
        <v>5033.0498049999997</v>
      </c>
      <c r="G553" s="4">
        <f t="shared" si="58"/>
        <v>5134.6499020000001</v>
      </c>
      <c r="H553" s="4">
        <f t="shared" si="59"/>
        <v>0</v>
      </c>
      <c r="I553" s="4">
        <f t="shared" si="56"/>
        <v>-1</v>
      </c>
      <c r="J553" s="11">
        <f t="shared" si="60"/>
        <v>0</v>
      </c>
      <c r="K553" s="6">
        <f t="shared" si="61"/>
        <v>5033.0498049999997</v>
      </c>
      <c r="L553" s="4">
        <f t="shared" si="62"/>
        <v>0</v>
      </c>
    </row>
    <row r="554" spans="1:12" x14ac:dyDescent="0.25">
      <c r="A554" s="1">
        <v>41941</v>
      </c>
      <c r="B554">
        <v>5046.6499020000001</v>
      </c>
      <c r="C554">
        <v>5064.2001950000003</v>
      </c>
      <c r="D554">
        <v>5013.1499020000001</v>
      </c>
      <c r="E554">
        <v>5041.75</v>
      </c>
      <c r="F554" s="4">
        <f t="shared" si="57"/>
        <v>5033.0498049999997</v>
      </c>
      <c r="G554" s="4">
        <f t="shared" si="58"/>
        <v>5117.2998049999997</v>
      </c>
      <c r="H554" s="4">
        <f t="shared" si="59"/>
        <v>0</v>
      </c>
      <c r="I554" s="4">
        <f t="shared" si="56"/>
        <v>-1</v>
      </c>
      <c r="J554" s="11">
        <f t="shared" si="60"/>
        <v>0</v>
      </c>
      <c r="K554" s="6">
        <f t="shared" si="61"/>
        <v>5033.0498049999997</v>
      </c>
      <c r="L554" s="4">
        <f t="shared" si="62"/>
        <v>0</v>
      </c>
    </row>
    <row r="555" spans="1:12" x14ac:dyDescent="0.25">
      <c r="A555" s="1">
        <v>41942</v>
      </c>
      <c r="B555">
        <v>5042</v>
      </c>
      <c r="C555">
        <v>5043.3999020000001</v>
      </c>
      <c r="D555">
        <v>4979.0498049999997</v>
      </c>
      <c r="E555">
        <v>4987.7001950000003</v>
      </c>
      <c r="F555" s="4">
        <f t="shared" si="57"/>
        <v>4987.7001950000003</v>
      </c>
      <c r="G555" s="4">
        <f t="shared" si="58"/>
        <v>5105.7001950000003</v>
      </c>
      <c r="H555" s="4" t="str">
        <f t="shared" si="59"/>
        <v>SELL</v>
      </c>
      <c r="I555" s="4">
        <f t="shared" si="56"/>
        <v>-1</v>
      </c>
      <c r="J555" s="11">
        <f t="shared" si="60"/>
        <v>0</v>
      </c>
      <c r="K555" s="6">
        <f t="shared" si="61"/>
        <v>5033.0498049999997</v>
      </c>
      <c r="L555" s="4">
        <f t="shared" si="62"/>
        <v>0</v>
      </c>
    </row>
    <row r="556" spans="1:12" x14ac:dyDescent="0.25">
      <c r="A556" s="1">
        <v>41943</v>
      </c>
      <c r="B556">
        <v>4983.6499020000001</v>
      </c>
      <c r="C556">
        <v>4997.8500979999999</v>
      </c>
      <c r="D556">
        <v>4943.9501950000003</v>
      </c>
      <c r="E556">
        <v>4952.6000979999999</v>
      </c>
      <c r="F556" s="4">
        <f t="shared" si="57"/>
        <v>4952.6000979999999</v>
      </c>
      <c r="G556" s="4">
        <f t="shared" si="58"/>
        <v>5042.0498049999997</v>
      </c>
      <c r="H556" s="4" t="str">
        <f t="shared" si="59"/>
        <v>SELL</v>
      </c>
      <c r="I556" s="4">
        <f t="shared" si="56"/>
        <v>-1</v>
      </c>
      <c r="J556" s="11">
        <f t="shared" si="60"/>
        <v>0</v>
      </c>
      <c r="K556" s="6">
        <f t="shared" si="61"/>
        <v>5033.0498049999997</v>
      </c>
      <c r="L556" s="4">
        <f t="shared" si="62"/>
        <v>0</v>
      </c>
    </row>
    <row r="557" spans="1:12" x14ac:dyDescent="0.25">
      <c r="A557" s="1">
        <v>41946</v>
      </c>
      <c r="B557">
        <v>4953.3500979999999</v>
      </c>
      <c r="C557">
        <v>4997.2998049999997</v>
      </c>
      <c r="D557">
        <v>4953.3500979999999</v>
      </c>
      <c r="E557">
        <v>4985.8500979999999</v>
      </c>
      <c r="F557" s="4">
        <f t="shared" si="57"/>
        <v>4952.6000979999999</v>
      </c>
      <c r="G557" s="4">
        <f t="shared" si="58"/>
        <v>5042.0498049999997</v>
      </c>
      <c r="H557" s="4">
        <f t="shared" si="59"/>
        <v>0</v>
      </c>
      <c r="I557" s="4">
        <f t="shared" si="56"/>
        <v>-1</v>
      </c>
      <c r="J557" s="11">
        <f t="shared" si="60"/>
        <v>0</v>
      </c>
      <c r="K557" s="6">
        <f t="shared" si="61"/>
        <v>5033.0498049999997</v>
      </c>
      <c r="L557" s="4">
        <f t="shared" si="62"/>
        <v>0</v>
      </c>
    </row>
    <row r="558" spans="1:12" x14ac:dyDescent="0.25">
      <c r="A558" s="1">
        <v>41947</v>
      </c>
      <c r="B558">
        <v>4990.0498049999997</v>
      </c>
      <c r="C558">
        <v>5150.6000979999999</v>
      </c>
      <c r="D558">
        <v>4990.0498049999997</v>
      </c>
      <c r="E558">
        <v>5144.6000979999999</v>
      </c>
      <c r="F558" s="4">
        <f t="shared" si="57"/>
        <v>4952.6000979999999</v>
      </c>
      <c r="G558" s="4">
        <f t="shared" si="58"/>
        <v>5144.6000979999999</v>
      </c>
      <c r="H558" s="4" t="str">
        <f t="shared" si="59"/>
        <v>BUY</v>
      </c>
      <c r="I558" s="4">
        <f t="shared" si="56"/>
        <v>1</v>
      </c>
      <c r="J558" s="11" t="str">
        <f t="shared" si="60"/>
        <v>BUY</v>
      </c>
      <c r="K558" s="6">
        <f t="shared" si="61"/>
        <v>5144.6000979999999</v>
      </c>
      <c r="L558" s="4">
        <f t="shared" si="62"/>
        <v>-2.216355834372679E-2</v>
      </c>
    </row>
    <row r="559" spans="1:12" x14ac:dyDescent="0.25">
      <c r="A559" s="1">
        <v>41948</v>
      </c>
      <c r="B559">
        <v>5144.7998049999997</v>
      </c>
      <c r="C559">
        <v>5197.8999020000001</v>
      </c>
      <c r="D559">
        <v>5129.0498049999997</v>
      </c>
      <c r="E559">
        <v>5178.3999020000001</v>
      </c>
      <c r="F559" s="4">
        <f t="shared" si="57"/>
        <v>4952.6000979999999</v>
      </c>
      <c r="G559" s="4">
        <f t="shared" si="58"/>
        <v>5178.3999020000001</v>
      </c>
      <c r="H559" s="4" t="str">
        <f t="shared" si="59"/>
        <v>BUY</v>
      </c>
      <c r="I559" s="4">
        <f t="shared" si="56"/>
        <v>1</v>
      </c>
      <c r="J559" s="11">
        <f t="shared" si="60"/>
        <v>0</v>
      </c>
      <c r="K559" s="6">
        <f t="shared" si="61"/>
        <v>5144.6000979999999</v>
      </c>
      <c r="L559" s="4">
        <f t="shared" si="62"/>
        <v>0</v>
      </c>
    </row>
    <row r="560" spans="1:12" x14ac:dyDescent="0.25">
      <c r="A560" s="1">
        <v>41949</v>
      </c>
      <c r="B560">
        <v>5180.75</v>
      </c>
      <c r="C560">
        <v>5214.6000979999999</v>
      </c>
      <c r="D560">
        <v>5175.8500979999999</v>
      </c>
      <c r="E560">
        <v>5187.9501950000003</v>
      </c>
      <c r="F560" s="4">
        <f t="shared" si="57"/>
        <v>4952.6000979999999</v>
      </c>
      <c r="G560" s="4">
        <f t="shared" si="58"/>
        <v>5187.9501950000003</v>
      </c>
      <c r="H560" s="4" t="str">
        <f t="shared" si="59"/>
        <v>BUY</v>
      </c>
      <c r="I560" s="4">
        <f t="shared" si="56"/>
        <v>1</v>
      </c>
      <c r="J560" s="11">
        <f t="shared" si="60"/>
        <v>0</v>
      </c>
      <c r="K560" s="6">
        <f t="shared" si="61"/>
        <v>5144.6000979999999</v>
      </c>
      <c r="L560" s="4">
        <f t="shared" si="62"/>
        <v>0</v>
      </c>
    </row>
    <row r="561" spans="1:12" x14ac:dyDescent="0.25">
      <c r="A561" s="1">
        <v>41950</v>
      </c>
      <c r="B561">
        <v>5188.75</v>
      </c>
      <c r="C561">
        <v>5197.0498049999997</v>
      </c>
      <c r="D561">
        <v>5160.1000979999999</v>
      </c>
      <c r="E561">
        <v>5169.4501950000003</v>
      </c>
      <c r="F561" s="4">
        <f t="shared" si="57"/>
        <v>4985.8500979999999</v>
      </c>
      <c r="G561" s="4">
        <f t="shared" si="58"/>
        <v>5187.9501950000003</v>
      </c>
      <c r="H561" s="4">
        <f t="shared" si="59"/>
        <v>0</v>
      </c>
      <c r="I561" s="4">
        <f t="shared" si="56"/>
        <v>1</v>
      </c>
      <c r="J561" s="11">
        <f t="shared" si="60"/>
        <v>0</v>
      </c>
      <c r="K561" s="6">
        <f t="shared" si="61"/>
        <v>5144.6000979999999</v>
      </c>
      <c r="L561" s="4">
        <f t="shared" si="62"/>
        <v>0</v>
      </c>
    </row>
    <row r="562" spans="1:12" x14ac:dyDescent="0.25">
      <c r="A562" s="1">
        <v>41953</v>
      </c>
      <c r="B562">
        <v>5171.2001950000003</v>
      </c>
      <c r="C562">
        <v>5221.8500979999999</v>
      </c>
      <c r="D562">
        <v>5168.75</v>
      </c>
      <c r="E562">
        <v>5201.0498049999997</v>
      </c>
      <c r="F562" s="4">
        <f t="shared" si="57"/>
        <v>5144.6000979999999</v>
      </c>
      <c r="G562" s="4">
        <f t="shared" si="58"/>
        <v>5201.0498049999997</v>
      </c>
      <c r="H562" s="4" t="str">
        <f t="shared" si="59"/>
        <v>BUY</v>
      </c>
      <c r="I562" s="4">
        <f t="shared" si="56"/>
        <v>1</v>
      </c>
      <c r="J562" s="11">
        <f t="shared" si="60"/>
        <v>0</v>
      </c>
      <c r="K562" s="6">
        <f t="shared" si="61"/>
        <v>5144.6000979999999</v>
      </c>
      <c r="L562" s="4">
        <f t="shared" si="62"/>
        <v>0</v>
      </c>
    </row>
    <row r="563" spans="1:12" x14ac:dyDescent="0.25">
      <c r="A563" s="1">
        <v>41954</v>
      </c>
      <c r="B563">
        <v>5200.8999020000001</v>
      </c>
      <c r="C563">
        <v>5238.4501950000003</v>
      </c>
      <c r="D563">
        <v>5167.1000979999999</v>
      </c>
      <c r="E563">
        <v>5232.2001950000003</v>
      </c>
      <c r="F563" s="4">
        <f t="shared" si="57"/>
        <v>5169.4501950000003</v>
      </c>
      <c r="G563" s="4">
        <f t="shared" si="58"/>
        <v>5232.2001950000003</v>
      </c>
      <c r="H563" s="4" t="str">
        <f t="shared" si="59"/>
        <v>BUY</v>
      </c>
      <c r="I563" s="4">
        <f t="shared" si="56"/>
        <v>1</v>
      </c>
      <c r="J563" s="11">
        <f t="shared" si="60"/>
        <v>0</v>
      </c>
      <c r="K563" s="6">
        <f t="shared" si="61"/>
        <v>5144.6000979999999</v>
      </c>
      <c r="L563" s="4">
        <f t="shared" si="62"/>
        <v>0</v>
      </c>
    </row>
    <row r="564" spans="1:12" x14ac:dyDescent="0.25">
      <c r="A564" s="1">
        <v>41955</v>
      </c>
      <c r="B564">
        <v>5277.1499020000001</v>
      </c>
      <c r="C564">
        <v>5288.3500979999999</v>
      </c>
      <c r="D564">
        <v>5242.3999020000001</v>
      </c>
      <c r="E564">
        <v>5277.8999020000001</v>
      </c>
      <c r="F564" s="4">
        <f t="shared" si="57"/>
        <v>5169.4501950000003</v>
      </c>
      <c r="G564" s="4">
        <f t="shared" si="58"/>
        <v>5277.8999020000001</v>
      </c>
      <c r="H564" s="4" t="str">
        <f t="shared" si="59"/>
        <v>BUY</v>
      </c>
      <c r="I564" s="4">
        <f t="shared" si="56"/>
        <v>1</v>
      </c>
      <c r="J564" s="11">
        <f t="shared" si="60"/>
        <v>0</v>
      </c>
      <c r="K564" s="6">
        <f t="shared" si="61"/>
        <v>5144.6000979999999</v>
      </c>
      <c r="L564" s="4">
        <f t="shared" si="62"/>
        <v>0</v>
      </c>
    </row>
    <row r="565" spans="1:12" x14ac:dyDescent="0.25">
      <c r="A565" s="1">
        <v>41956</v>
      </c>
      <c r="B565">
        <v>5278.1499020000001</v>
      </c>
      <c r="C565">
        <v>5310.8500979999999</v>
      </c>
      <c r="D565">
        <v>5260.0498049999997</v>
      </c>
      <c r="E565">
        <v>5281.7998049999997</v>
      </c>
      <c r="F565" s="4">
        <f t="shared" si="57"/>
        <v>5169.4501950000003</v>
      </c>
      <c r="G565" s="4">
        <f t="shared" si="58"/>
        <v>5281.7998049999997</v>
      </c>
      <c r="H565" s="4" t="str">
        <f t="shared" si="59"/>
        <v>BUY</v>
      </c>
      <c r="I565" s="4">
        <f t="shared" si="56"/>
        <v>1</v>
      </c>
      <c r="J565" s="11">
        <f t="shared" si="60"/>
        <v>0</v>
      </c>
      <c r="K565" s="6">
        <f t="shared" si="61"/>
        <v>5144.6000979999999</v>
      </c>
      <c r="L565" s="4">
        <f t="shared" si="62"/>
        <v>0</v>
      </c>
    </row>
    <row r="566" spans="1:12" x14ac:dyDescent="0.25">
      <c r="A566" s="1">
        <v>41957</v>
      </c>
      <c r="B566">
        <v>5281.7998049999997</v>
      </c>
      <c r="C566">
        <v>5302.5498049999997</v>
      </c>
      <c r="D566">
        <v>5244.75</v>
      </c>
      <c r="E566">
        <v>5263.1000979999999</v>
      </c>
      <c r="F566" s="4">
        <f t="shared" si="57"/>
        <v>5201.0498049999997</v>
      </c>
      <c r="G566" s="4">
        <f t="shared" si="58"/>
        <v>5281.7998049999997</v>
      </c>
      <c r="H566" s="4">
        <f t="shared" si="59"/>
        <v>0</v>
      </c>
      <c r="I566" s="4">
        <f t="shared" si="56"/>
        <v>1</v>
      </c>
      <c r="J566" s="11">
        <f t="shared" si="60"/>
        <v>0</v>
      </c>
      <c r="K566" s="6">
        <f t="shared" si="61"/>
        <v>5144.6000979999999</v>
      </c>
      <c r="L566" s="4">
        <f t="shared" si="62"/>
        <v>0</v>
      </c>
    </row>
    <row r="567" spans="1:12" x14ac:dyDescent="0.25">
      <c r="A567" s="1">
        <v>41960</v>
      </c>
      <c r="B567">
        <v>5264.25</v>
      </c>
      <c r="C567">
        <v>5276.75</v>
      </c>
      <c r="D567">
        <v>5234.7001950000003</v>
      </c>
      <c r="E567">
        <v>5244.75</v>
      </c>
      <c r="F567" s="4">
        <f t="shared" si="57"/>
        <v>5232.2001950000003</v>
      </c>
      <c r="G567" s="4">
        <f t="shared" si="58"/>
        <v>5281.7998049999997</v>
      </c>
      <c r="H567" s="4">
        <f t="shared" si="59"/>
        <v>0</v>
      </c>
      <c r="I567" s="4">
        <f t="shared" si="56"/>
        <v>1</v>
      </c>
      <c r="J567" s="11">
        <f t="shared" si="60"/>
        <v>0</v>
      </c>
      <c r="K567" s="6">
        <f t="shared" si="61"/>
        <v>5144.6000979999999</v>
      </c>
      <c r="L567" s="4">
        <f t="shared" si="62"/>
        <v>0</v>
      </c>
    </row>
    <row r="568" spans="1:12" x14ac:dyDescent="0.25">
      <c r="A568" s="1">
        <v>41961</v>
      </c>
      <c r="B568">
        <v>5263.7998049999997</v>
      </c>
      <c r="C568">
        <v>5287.2001950000003</v>
      </c>
      <c r="D568">
        <v>5227.7998049999997</v>
      </c>
      <c r="E568">
        <v>5249.3999020000001</v>
      </c>
      <c r="F568" s="4">
        <f t="shared" si="57"/>
        <v>5244.75</v>
      </c>
      <c r="G568" s="4">
        <f t="shared" si="58"/>
        <v>5281.7998049999997</v>
      </c>
      <c r="H568" s="4">
        <f t="shared" si="59"/>
        <v>0</v>
      </c>
      <c r="I568" s="4">
        <f t="shared" si="56"/>
        <v>1</v>
      </c>
      <c r="J568" s="11">
        <f t="shared" si="60"/>
        <v>0</v>
      </c>
      <c r="K568" s="6">
        <f t="shared" si="61"/>
        <v>5144.6000979999999</v>
      </c>
      <c r="L568" s="4">
        <f t="shared" si="62"/>
        <v>0</v>
      </c>
    </row>
    <row r="569" spans="1:12" x14ac:dyDescent="0.25">
      <c r="A569" s="1">
        <v>41962</v>
      </c>
      <c r="B569">
        <v>5251.1000979999999</v>
      </c>
      <c r="C569">
        <v>5300.5</v>
      </c>
      <c r="D569">
        <v>5200.9501950000003</v>
      </c>
      <c r="E569">
        <v>5210.3999020000001</v>
      </c>
      <c r="F569" s="4">
        <f t="shared" si="57"/>
        <v>5210.3999020000001</v>
      </c>
      <c r="G569" s="4">
        <f t="shared" si="58"/>
        <v>5281.7998049999997</v>
      </c>
      <c r="H569" s="4" t="str">
        <f t="shared" si="59"/>
        <v>SELL</v>
      </c>
      <c r="I569" s="4">
        <f t="shared" si="56"/>
        <v>-1</v>
      </c>
      <c r="J569" s="11" t="str">
        <f t="shared" si="60"/>
        <v>SELL</v>
      </c>
      <c r="K569" s="6">
        <f t="shared" si="61"/>
        <v>5210.3999020000001</v>
      </c>
      <c r="L569" s="4">
        <f t="shared" si="62"/>
        <v>1.2790071676432219E-2</v>
      </c>
    </row>
    <row r="570" spans="1:12" x14ac:dyDescent="0.25">
      <c r="A570" s="1">
        <v>41963</v>
      </c>
      <c r="B570">
        <v>5212.6000979999999</v>
      </c>
      <c r="C570">
        <v>5239.2001950000003</v>
      </c>
      <c r="D570">
        <v>5169.5498049999997</v>
      </c>
      <c r="E570">
        <v>5233.9501950000003</v>
      </c>
      <c r="F570" s="4">
        <f t="shared" si="57"/>
        <v>5210.3999020000001</v>
      </c>
      <c r="G570" s="4">
        <f t="shared" si="58"/>
        <v>5263.1000979999999</v>
      </c>
      <c r="H570" s="4">
        <f t="shared" si="59"/>
        <v>0</v>
      </c>
      <c r="I570" s="4">
        <f t="shared" si="56"/>
        <v>-1</v>
      </c>
      <c r="J570" s="11">
        <f t="shared" si="60"/>
        <v>0</v>
      </c>
      <c r="K570" s="6">
        <f t="shared" si="61"/>
        <v>5210.3999020000001</v>
      </c>
      <c r="L570" s="4">
        <f t="shared" si="62"/>
        <v>0</v>
      </c>
    </row>
    <row r="571" spans="1:12" x14ac:dyDescent="0.25">
      <c r="A571" s="1">
        <v>41964</v>
      </c>
      <c r="B571">
        <v>5234.5</v>
      </c>
      <c r="C571">
        <v>5272.8500979999999</v>
      </c>
      <c r="D571">
        <v>5232.5</v>
      </c>
      <c r="E571">
        <v>5259.8999020000001</v>
      </c>
      <c r="F571" s="4">
        <f t="shared" si="57"/>
        <v>5210.3999020000001</v>
      </c>
      <c r="G571" s="4">
        <f t="shared" si="58"/>
        <v>5259.8999020000001</v>
      </c>
      <c r="H571" s="4">
        <f t="shared" si="59"/>
        <v>0</v>
      </c>
      <c r="I571" s="4">
        <f t="shared" si="56"/>
        <v>-1</v>
      </c>
      <c r="J571" s="11">
        <f t="shared" si="60"/>
        <v>0</v>
      </c>
      <c r="K571" s="6">
        <f t="shared" si="61"/>
        <v>5210.3999020000001</v>
      </c>
      <c r="L571" s="4">
        <f t="shared" si="62"/>
        <v>0</v>
      </c>
    </row>
    <row r="572" spans="1:12" x14ac:dyDescent="0.25">
      <c r="A572" s="1">
        <v>41967</v>
      </c>
      <c r="B572">
        <v>5259.8999020000001</v>
      </c>
      <c r="C572">
        <v>5279.8500979999999</v>
      </c>
      <c r="D572">
        <v>5242.4501950000003</v>
      </c>
      <c r="E572">
        <v>5252.2001950000003</v>
      </c>
      <c r="F572" s="4">
        <f t="shared" si="57"/>
        <v>5210.3999020000001</v>
      </c>
      <c r="G572" s="4">
        <f t="shared" si="58"/>
        <v>5259.8999020000001</v>
      </c>
      <c r="H572" s="4">
        <f t="shared" si="59"/>
        <v>0</v>
      </c>
      <c r="I572" s="4">
        <f t="shared" si="56"/>
        <v>-1</v>
      </c>
      <c r="J572" s="11">
        <f t="shared" si="60"/>
        <v>0</v>
      </c>
      <c r="K572" s="6">
        <f t="shared" si="61"/>
        <v>5210.3999020000001</v>
      </c>
      <c r="L572" s="4">
        <f t="shared" si="62"/>
        <v>0</v>
      </c>
    </row>
    <row r="573" spans="1:12" x14ac:dyDescent="0.25">
      <c r="A573" s="1">
        <v>41968</v>
      </c>
      <c r="B573">
        <v>5253.6499020000001</v>
      </c>
      <c r="C573">
        <v>5292.5</v>
      </c>
      <c r="D573">
        <v>5228.9501950000003</v>
      </c>
      <c r="E573">
        <v>5274.8500979999999</v>
      </c>
      <c r="F573" s="4">
        <f t="shared" si="57"/>
        <v>5210.3999020000001</v>
      </c>
      <c r="G573" s="4">
        <f t="shared" si="58"/>
        <v>5274.8500979999999</v>
      </c>
      <c r="H573" s="4" t="str">
        <f t="shared" si="59"/>
        <v>BUY</v>
      </c>
      <c r="I573" s="4">
        <f t="shared" si="56"/>
        <v>1</v>
      </c>
      <c r="J573" s="11" t="str">
        <f t="shared" si="60"/>
        <v>BUY</v>
      </c>
      <c r="K573" s="6">
        <f t="shared" si="61"/>
        <v>5274.8500979999999</v>
      </c>
      <c r="L573" s="4">
        <f t="shared" si="62"/>
        <v>-1.2369529635385706E-2</v>
      </c>
    </row>
    <row r="574" spans="1:12" x14ac:dyDescent="0.25">
      <c r="A574" s="1">
        <v>41969</v>
      </c>
      <c r="B574">
        <v>5274.2001950000003</v>
      </c>
      <c r="C574">
        <v>5287.7998049999997</v>
      </c>
      <c r="D574">
        <v>5218.6499020000001</v>
      </c>
      <c r="E574">
        <v>5225.6499020000001</v>
      </c>
      <c r="F574" s="4">
        <f t="shared" si="57"/>
        <v>5225.6499020000001</v>
      </c>
      <c r="G574" s="4">
        <f t="shared" si="58"/>
        <v>5274.8500979999999</v>
      </c>
      <c r="H574" s="4">
        <f t="shared" si="59"/>
        <v>0</v>
      </c>
      <c r="I574" s="4">
        <f t="shared" si="56"/>
        <v>1</v>
      </c>
      <c r="J574" s="11">
        <f t="shared" si="60"/>
        <v>0</v>
      </c>
      <c r="K574" s="6">
        <f t="shared" si="61"/>
        <v>5274.8500979999999</v>
      </c>
      <c r="L574" s="4">
        <f t="shared" si="62"/>
        <v>0</v>
      </c>
    </row>
    <row r="575" spans="1:12" x14ac:dyDescent="0.25">
      <c r="A575" s="1">
        <v>41970</v>
      </c>
      <c r="B575">
        <v>5226.1000979999999</v>
      </c>
      <c r="C575">
        <v>5256.7001950000003</v>
      </c>
      <c r="D575">
        <v>5201.3999020000001</v>
      </c>
      <c r="E575">
        <v>5221.7001950000003</v>
      </c>
      <c r="F575" s="4">
        <f t="shared" si="57"/>
        <v>5221.7001950000003</v>
      </c>
      <c r="G575" s="4">
        <f t="shared" si="58"/>
        <v>5274.8500979999999</v>
      </c>
      <c r="H575" s="4" t="str">
        <f t="shared" si="59"/>
        <v>SELL</v>
      </c>
      <c r="I575" s="4">
        <f t="shared" si="56"/>
        <v>-1</v>
      </c>
      <c r="J575" s="11" t="str">
        <f t="shared" si="60"/>
        <v>SELL</v>
      </c>
      <c r="K575" s="6">
        <f t="shared" si="61"/>
        <v>5221.7001950000003</v>
      </c>
      <c r="L575" s="4">
        <f t="shared" si="62"/>
        <v>-1.0076097332159587E-2</v>
      </c>
    </row>
    <row r="576" spans="1:12" x14ac:dyDescent="0.25">
      <c r="A576" s="1">
        <v>41971</v>
      </c>
      <c r="B576">
        <v>5220.2001950000003</v>
      </c>
      <c r="C576">
        <v>5220.3500979999999</v>
      </c>
      <c r="D576">
        <v>5085.4501950000003</v>
      </c>
      <c r="E576">
        <v>5094.1499020000001</v>
      </c>
      <c r="F576" s="4">
        <f t="shared" si="57"/>
        <v>5094.1499020000001</v>
      </c>
      <c r="G576" s="4">
        <f t="shared" si="58"/>
        <v>5274.8500979999999</v>
      </c>
      <c r="H576" s="4" t="str">
        <f t="shared" si="59"/>
        <v>SELL</v>
      </c>
      <c r="I576" s="4">
        <f t="shared" si="56"/>
        <v>-1</v>
      </c>
      <c r="J576" s="11">
        <f t="shared" si="60"/>
        <v>0</v>
      </c>
      <c r="K576" s="6">
        <f t="shared" si="61"/>
        <v>5221.7001950000003</v>
      </c>
      <c r="L576" s="4">
        <f t="shared" si="62"/>
        <v>0</v>
      </c>
    </row>
    <row r="577" spans="1:12" x14ac:dyDescent="0.25">
      <c r="A577" s="1">
        <v>41974</v>
      </c>
      <c r="B577">
        <v>5094.1499020000001</v>
      </c>
      <c r="C577">
        <v>5094.1499020000001</v>
      </c>
      <c r="D577">
        <v>4954.8500979999999</v>
      </c>
      <c r="E577">
        <v>5036</v>
      </c>
      <c r="F577" s="4">
        <f t="shared" si="57"/>
        <v>5036</v>
      </c>
      <c r="G577" s="4">
        <f t="shared" si="58"/>
        <v>5274.8500979999999</v>
      </c>
      <c r="H577" s="4" t="str">
        <f t="shared" si="59"/>
        <v>SELL</v>
      </c>
      <c r="I577" s="4">
        <f t="shared" si="56"/>
        <v>-1</v>
      </c>
      <c r="J577" s="11">
        <f t="shared" si="60"/>
        <v>0</v>
      </c>
      <c r="K577" s="6">
        <f t="shared" si="61"/>
        <v>5221.7001950000003</v>
      </c>
      <c r="L577" s="4">
        <f t="shared" si="62"/>
        <v>0</v>
      </c>
    </row>
    <row r="578" spans="1:12" x14ac:dyDescent="0.25">
      <c r="A578" s="1">
        <v>41975</v>
      </c>
      <c r="B578">
        <v>5034.5498049999997</v>
      </c>
      <c r="C578">
        <v>5035.7001950000003</v>
      </c>
      <c r="D578">
        <v>4983.0498049999997</v>
      </c>
      <c r="E578">
        <v>5007.8999020000001</v>
      </c>
      <c r="F578" s="4">
        <f t="shared" si="57"/>
        <v>5007.8999020000001</v>
      </c>
      <c r="G578" s="4">
        <f t="shared" si="58"/>
        <v>5225.6499020000001</v>
      </c>
      <c r="H578" s="4" t="str">
        <f t="shared" si="59"/>
        <v>SELL</v>
      </c>
      <c r="I578" s="4">
        <f t="shared" si="56"/>
        <v>-1</v>
      </c>
      <c r="J578" s="11">
        <f t="shared" si="60"/>
        <v>0</v>
      </c>
      <c r="K578" s="6">
        <f t="shared" si="61"/>
        <v>5221.7001950000003</v>
      </c>
      <c r="L578" s="4">
        <f t="shared" si="62"/>
        <v>0</v>
      </c>
    </row>
    <row r="579" spans="1:12" x14ac:dyDescent="0.25">
      <c r="A579" s="1">
        <v>41976</v>
      </c>
      <c r="B579">
        <v>5008.5</v>
      </c>
      <c r="C579">
        <v>5008.5</v>
      </c>
      <c r="D579">
        <v>4833.0498049999997</v>
      </c>
      <c r="E579">
        <v>4853.1000979999999</v>
      </c>
      <c r="F579" s="4">
        <f t="shared" si="57"/>
        <v>4853.1000979999999</v>
      </c>
      <c r="G579" s="4">
        <f t="shared" si="58"/>
        <v>5221.7001950000003</v>
      </c>
      <c r="H579" s="4" t="str">
        <f t="shared" si="59"/>
        <v>SELL</v>
      </c>
      <c r="I579" s="4">
        <f t="shared" si="56"/>
        <v>-1</v>
      </c>
      <c r="J579" s="11">
        <f t="shared" si="60"/>
        <v>0</v>
      </c>
      <c r="K579" s="6">
        <f t="shared" si="61"/>
        <v>5221.7001950000003</v>
      </c>
      <c r="L579" s="4">
        <f t="shared" si="62"/>
        <v>0</v>
      </c>
    </row>
    <row r="580" spans="1:12" x14ac:dyDescent="0.25">
      <c r="A580" s="1">
        <v>41977</v>
      </c>
      <c r="B580">
        <v>4863</v>
      </c>
      <c r="C580">
        <v>4929.8999020000001</v>
      </c>
      <c r="D580">
        <v>4824.9501950000003</v>
      </c>
      <c r="E580">
        <v>4867.25</v>
      </c>
      <c r="F580" s="4">
        <f t="shared" si="57"/>
        <v>4853.1000979999999</v>
      </c>
      <c r="G580" s="4">
        <f t="shared" si="58"/>
        <v>5094.1499020000001</v>
      </c>
      <c r="H580" s="4">
        <f t="shared" si="59"/>
        <v>0</v>
      </c>
      <c r="I580" s="4">
        <f t="shared" si="56"/>
        <v>-1</v>
      </c>
      <c r="J580" s="11">
        <f t="shared" si="60"/>
        <v>0</v>
      </c>
      <c r="K580" s="6">
        <f t="shared" si="61"/>
        <v>5221.7001950000003</v>
      </c>
      <c r="L580" s="4">
        <f t="shared" si="62"/>
        <v>0</v>
      </c>
    </row>
    <row r="581" spans="1:12" x14ac:dyDescent="0.25">
      <c r="A581" s="1">
        <v>41978</v>
      </c>
      <c r="B581">
        <v>4866.1499020000001</v>
      </c>
      <c r="C581">
        <v>4893.7001950000003</v>
      </c>
      <c r="D581">
        <v>4766</v>
      </c>
      <c r="E581">
        <v>4882.0498049999997</v>
      </c>
      <c r="F581" s="4">
        <f t="shared" si="57"/>
        <v>4853.1000979999999</v>
      </c>
      <c r="G581" s="4">
        <f t="shared" si="58"/>
        <v>5036</v>
      </c>
      <c r="H581" s="4">
        <f t="shared" si="59"/>
        <v>0</v>
      </c>
      <c r="I581" s="4">
        <f t="shared" si="56"/>
        <v>-1</v>
      </c>
      <c r="J581" s="11">
        <f t="shared" si="60"/>
        <v>0</v>
      </c>
      <c r="K581" s="6">
        <f t="shared" si="61"/>
        <v>5221.7001950000003</v>
      </c>
      <c r="L581" s="4">
        <f t="shared" si="62"/>
        <v>0</v>
      </c>
    </row>
    <row r="582" spans="1:12" x14ac:dyDescent="0.25">
      <c r="A582" s="1">
        <v>41981</v>
      </c>
      <c r="B582">
        <v>4882.0498049999997</v>
      </c>
      <c r="C582">
        <v>4918.7998049999997</v>
      </c>
      <c r="D582">
        <v>4827.1499020000001</v>
      </c>
      <c r="E582">
        <v>4899.7001950000003</v>
      </c>
      <c r="F582" s="4">
        <f t="shared" si="57"/>
        <v>4853.1000979999999</v>
      </c>
      <c r="G582" s="4">
        <f t="shared" si="58"/>
        <v>5007.8999020000001</v>
      </c>
      <c r="H582" s="4">
        <f t="shared" si="59"/>
        <v>0</v>
      </c>
      <c r="I582" s="4">
        <f t="shared" ref="I582:I645" si="63">IF(AND(H582="BUY",I581&lt;&gt;1),1,IF(AND(H582="SELL",I581&lt;&gt;-1),-1,I581))</f>
        <v>-1</v>
      </c>
      <c r="J582" s="11">
        <f t="shared" si="60"/>
        <v>0</v>
      </c>
      <c r="K582" s="6">
        <f t="shared" si="61"/>
        <v>5221.7001950000003</v>
      </c>
      <c r="L582" s="4">
        <f t="shared" si="62"/>
        <v>0</v>
      </c>
    </row>
    <row r="583" spans="1:12" x14ac:dyDescent="0.25">
      <c r="A583" s="1">
        <v>41982</v>
      </c>
      <c r="B583">
        <v>4907.8500979999999</v>
      </c>
      <c r="C583">
        <v>4951.1499020000001</v>
      </c>
      <c r="D583">
        <v>4814.1000979999999</v>
      </c>
      <c r="E583">
        <v>4830.1000979999999</v>
      </c>
      <c r="F583" s="4">
        <f t="shared" ref="F583:F646" si="64">MIN(E579:E583)</f>
        <v>4830.1000979999999</v>
      </c>
      <c r="G583" s="4">
        <f t="shared" ref="G583:G646" si="65">MAX(E579:E583)</f>
        <v>4899.7001950000003</v>
      </c>
      <c r="H583" s="4" t="str">
        <f t="shared" ref="H583:H646" si="66">IF(E583&gt;G582,"BUY",IF(E583&lt;F582,"SELL",0))</f>
        <v>SELL</v>
      </c>
      <c r="I583" s="4">
        <f t="shared" si="63"/>
        <v>-1</v>
      </c>
      <c r="J583" s="11">
        <f t="shared" ref="J583:J646" si="67">IF(I583&lt;&gt;I582,H583,0)</f>
        <v>0</v>
      </c>
      <c r="K583" s="6">
        <f t="shared" ref="K583:K646" si="68">IF(J583&lt;&gt;0,E583,K582)</f>
        <v>5221.7001950000003</v>
      </c>
      <c r="L583" s="4">
        <f t="shared" si="62"/>
        <v>0</v>
      </c>
    </row>
    <row r="584" spans="1:12" x14ac:dyDescent="0.25">
      <c r="A584" s="1">
        <v>41983</v>
      </c>
      <c r="B584">
        <v>4831</v>
      </c>
      <c r="C584">
        <v>4949.1499020000001</v>
      </c>
      <c r="D584">
        <v>4831</v>
      </c>
      <c r="E584">
        <v>4931.8500979999999</v>
      </c>
      <c r="F584" s="4">
        <f t="shared" si="64"/>
        <v>4830.1000979999999</v>
      </c>
      <c r="G584" s="4">
        <f t="shared" si="65"/>
        <v>4931.8500979999999</v>
      </c>
      <c r="H584" s="4" t="str">
        <f t="shared" si="66"/>
        <v>BUY</v>
      </c>
      <c r="I584" s="4">
        <f t="shared" si="63"/>
        <v>1</v>
      </c>
      <c r="J584" s="11" t="str">
        <f t="shared" si="67"/>
        <v>BUY</v>
      </c>
      <c r="K584" s="6">
        <f t="shared" si="68"/>
        <v>4931.8500979999999</v>
      </c>
      <c r="L584" s="4">
        <f t="shared" ref="L584:L647" si="69">IF(J584="BUY",(K583-K584)/K583,IF(J584="SELL",(K585-K583)/K583,0))</f>
        <v>5.5508758866995897E-2</v>
      </c>
    </row>
    <row r="585" spans="1:12" x14ac:dyDescent="0.25">
      <c r="A585" s="1">
        <v>41984</v>
      </c>
      <c r="B585">
        <v>4931.2998049999997</v>
      </c>
      <c r="C585">
        <v>4931.2998049999997</v>
      </c>
      <c r="D585">
        <v>4832.3500979999999</v>
      </c>
      <c r="E585">
        <v>4845.3500979999999</v>
      </c>
      <c r="F585" s="4">
        <f t="shared" si="64"/>
        <v>4830.1000979999999</v>
      </c>
      <c r="G585" s="4">
        <f t="shared" si="65"/>
        <v>4931.8500979999999</v>
      </c>
      <c r="H585" s="4">
        <f t="shared" si="66"/>
        <v>0</v>
      </c>
      <c r="I585" s="4">
        <f t="shared" si="63"/>
        <v>1</v>
      </c>
      <c r="J585" s="11">
        <f t="shared" si="67"/>
        <v>0</v>
      </c>
      <c r="K585" s="6">
        <f t="shared" si="68"/>
        <v>4931.8500979999999</v>
      </c>
      <c r="L585" s="4">
        <f t="shared" si="69"/>
        <v>0</v>
      </c>
    </row>
    <row r="586" spans="1:12" x14ac:dyDescent="0.25">
      <c r="A586" s="1">
        <v>41985</v>
      </c>
      <c r="B586">
        <v>4819.6499020000001</v>
      </c>
      <c r="C586">
        <v>4827</v>
      </c>
      <c r="D586">
        <v>4692.3500979999999</v>
      </c>
      <c r="E586">
        <v>4718.6499020000001</v>
      </c>
      <c r="F586" s="4">
        <f t="shared" si="64"/>
        <v>4718.6499020000001</v>
      </c>
      <c r="G586" s="4">
        <f t="shared" si="65"/>
        <v>4931.8500979999999</v>
      </c>
      <c r="H586" s="4" t="str">
        <f t="shared" si="66"/>
        <v>SELL</v>
      </c>
      <c r="I586" s="4">
        <f t="shared" si="63"/>
        <v>-1</v>
      </c>
      <c r="J586" s="11" t="str">
        <f t="shared" si="67"/>
        <v>SELL</v>
      </c>
      <c r="K586" s="6">
        <f t="shared" si="68"/>
        <v>4718.6499020000001</v>
      </c>
      <c r="L586" s="4">
        <f t="shared" si="69"/>
        <v>-4.3229253072079032E-2</v>
      </c>
    </row>
    <row r="587" spans="1:12" x14ac:dyDescent="0.25">
      <c r="A587" s="1">
        <v>41988</v>
      </c>
      <c r="B587">
        <v>4755.3500979999999</v>
      </c>
      <c r="C587">
        <v>4799.0498049999997</v>
      </c>
      <c r="D587">
        <v>4675.3999020000001</v>
      </c>
      <c r="E587">
        <v>4760.3999020000001</v>
      </c>
      <c r="F587" s="4">
        <f t="shared" si="64"/>
        <v>4718.6499020000001</v>
      </c>
      <c r="G587" s="4">
        <f t="shared" si="65"/>
        <v>4931.8500979999999</v>
      </c>
      <c r="H587" s="4">
        <f t="shared" si="66"/>
        <v>0</v>
      </c>
      <c r="I587" s="4">
        <f t="shared" si="63"/>
        <v>-1</v>
      </c>
      <c r="J587" s="11">
        <f t="shared" si="67"/>
        <v>0</v>
      </c>
      <c r="K587" s="6">
        <f t="shared" si="68"/>
        <v>4718.6499020000001</v>
      </c>
      <c r="L587" s="4">
        <f t="shared" si="69"/>
        <v>0</v>
      </c>
    </row>
    <row r="588" spans="1:12" x14ac:dyDescent="0.25">
      <c r="A588" s="1">
        <v>41989</v>
      </c>
      <c r="B588">
        <v>4760.5498049999997</v>
      </c>
      <c r="C588">
        <v>4810.3999020000001</v>
      </c>
      <c r="D588">
        <v>4739.3500979999999</v>
      </c>
      <c r="E588">
        <v>4792.6499020000001</v>
      </c>
      <c r="F588" s="4">
        <f t="shared" si="64"/>
        <v>4718.6499020000001</v>
      </c>
      <c r="G588" s="4">
        <f t="shared" si="65"/>
        <v>4931.8500979999999</v>
      </c>
      <c r="H588" s="4">
        <f t="shared" si="66"/>
        <v>0</v>
      </c>
      <c r="I588" s="4">
        <f t="shared" si="63"/>
        <v>-1</v>
      </c>
      <c r="J588" s="11">
        <f t="shared" si="67"/>
        <v>0</v>
      </c>
      <c r="K588" s="6">
        <f t="shared" si="68"/>
        <v>4718.6499020000001</v>
      </c>
      <c r="L588" s="4">
        <f t="shared" si="69"/>
        <v>0</v>
      </c>
    </row>
    <row r="589" spans="1:12" x14ac:dyDescent="0.25">
      <c r="A589" s="1">
        <v>41990</v>
      </c>
      <c r="B589">
        <v>4793</v>
      </c>
      <c r="C589">
        <v>4826.8500979999999</v>
      </c>
      <c r="D589">
        <v>4748.1000979999999</v>
      </c>
      <c r="E589">
        <v>4757.2001950000003</v>
      </c>
      <c r="F589" s="4">
        <f t="shared" si="64"/>
        <v>4718.6499020000001</v>
      </c>
      <c r="G589" s="4">
        <f t="shared" si="65"/>
        <v>4845.3500979999999</v>
      </c>
      <c r="H589" s="4">
        <f t="shared" si="66"/>
        <v>0</v>
      </c>
      <c r="I589" s="4">
        <f t="shared" si="63"/>
        <v>-1</v>
      </c>
      <c r="J589" s="11">
        <f t="shared" si="67"/>
        <v>0</v>
      </c>
      <c r="K589" s="6">
        <f t="shared" si="68"/>
        <v>4718.6499020000001</v>
      </c>
      <c r="L589" s="4">
        <f t="shared" si="69"/>
        <v>0</v>
      </c>
    </row>
    <row r="590" spans="1:12" x14ac:dyDescent="0.25">
      <c r="A590" s="1">
        <v>41991</v>
      </c>
      <c r="B590">
        <v>4757.25</v>
      </c>
      <c r="C590">
        <v>4843.7998049999997</v>
      </c>
      <c r="D590">
        <v>4757.25</v>
      </c>
      <c r="E590">
        <v>4826.8500979999999</v>
      </c>
      <c r="F590" s="4">
        <f t="shared" si="64"/>
        <v>4718.6499020000001</v>
      </c>
      <c r="G590" s="4">
        <f t="shared" si="65"/>
        <v>4826.8500979999999</v>
      </c>
      <c r="H590" s="4">
        <f t="shared" si="66"/>
        <v>0</v>
      </c>
      <c r="I590" s="4">
        <f t="shared" si="63"/>
        <v>-1</v>
      </c>
      <c r="J590" s="11">
        <f t="shared" si="67"/>
        <v>0</v>
      </c>
      <c r="K590" s="6">
        <f t="shared" si="68"/>
        <v>4718.6499020000001</v>
      </c>
      <c r="L590" s="4">
        <f t="shared" si="69"/>
        <v>0</v>
      </c>
    </row>
    <row r="591" spans="1:12" x14ac:dyDescent="0.25">
      <c r="A591" s="1">
        <v>41992</v>
      </c>
      <c r="B591">
        <v>4827.8999020000001</v>
      </c>
      <c r="C591">
        <v>4845.6000979999999</v>
      </c>
      <c r="D591">
        <v>4783.8999020000001</v>
      </c>
      <c r="E591">
        <v>4801.9501950000003</v>
      </c>
      <c r="F591" s="4">
        <f t="shared" si="64"/>
        <v>4757.2001950000003</v>
      </c>
      <c r="G591" s="4">
        <f t="shared" si="65"/>
        <v>4826.8500979999999</v>
      </c>
      <c r="H591" s="4">
        <f t="shared" si="66"/>
        <v>0</v>
      </c>
      <c r="I591" s="4">
        <f t="shared" si="63"/>
        <v>-1</v>
      </c>
      <c r="J591" s="11">
        <f t="shared" si="67"/>
        <v>0</v>
      </c>
      <c r="K591" s="6">
        <f t="shared" si="68"/>
        <v>4718.6499020000001</v>
      </c>
      <c r="L591" s="4">
        <f t="shared" si="69"/>
        <v>0</v>
      </c>
    </row>
    <row r="592" spans="1:12" x14ac:dyDescent="0.25">
      <c r="A592" s="1">
        <v>41995</v>
      </c>
      <c r="B592">
        <v>4801.7998049999997</v>
      </c>
      <c r="C592">
        <v>4880</v>
      </c>
      <c r="D592">
        <v>4791.3500979999999</v>
      </c>
      <c r="E592">
        <v>4855.75</v>
      </c>
      <c r="F592" s="4">
        <f t="shared" si="64"/>
        <v>4757.2001950000003</v>
      </c>
      <c r="G592" s="4">
        <f t="shared" si="65"/>
        <v>4855.75</v>
      </c>
      <c r="H592" s="4" t="str">
        <f t="shared" si="66"/>
        <v>BUY</v>
      </c>
      <c r="I592" s="4">
        <f t="shared" si="63"/>
        <v>1</v>
      </c>
      <c r="J592" s="11" t="str">
        <f t="shared" si="67"/>
        <v>BUY</v>
      </c>
      <c r="K592" s="6">
        <f t="shared" si="68"/>
        <v>4855.75</v>
      </c>
      <c r="L592" s="4">
        <f t="shared" si="69"/>
        <v>-2.905494174125739E-2</v>
      </c>
    </row>
    <row r="593" spans="1:12" x14ac:dyDescent="0.25">
      <c r="A593" s="1">
        <v>41996</v>
      </c>
      <c r="B593">
        <v>4858.6499020000001</v>
      </c>
      <c r="C593">
        <v>4929.7001950000003</v>
      </c>
      <c r="D593">
        <v>4857.6000979999999</v>
      </c>
      <c r="E593">
        <v>4914</v>
      </c>
      <c r="F593" s="4">
        <f t="shared" si="64"/>
        <v>4757.2001950000003</v>
      </c>
      <c r="G593" s="4">
        <f t="shared" si="65"/>
        <v>4914</v>
      </c>
      <c r="H593" s="4" t="str">
        <f t="shared" si="66"/>
        <v>BUY</v>
      </c>
      <c r="I593" s="4">
        <f t="shared" si="63"/>
        <v>1</v>
      </c>
      <c r="J593" s="11">
        <f t="shared" si="67"/>
        <v>0</v>
      </c>
      <c r="K593" s="6">
        <f t="shared" si="68"/>
        <v>4855.75</v>
      </c>
      <c r="L593" s="4">
        <f t="shared" si="69"/>
        <v>0</v>
      </c>
    </row>
    <row r="594" spans="1:12" x14ac:dyDescent="0.25">
      <c r="A594" s="1">
        <v>41997</v>
      </c>
      <c r="B594">
        <v>4915.1000979999999</v>
      </c>
      <c r="C594">
        <v>4922.0498049999997</v>
      </c>
      <c r="D594">
        <v>4873.7001950000003</v>
      </c>
      <c r="E594">
        <v>4887.75</v>
      </c>
      <c r="F594" s="4">
        <f t="shared" si="64"/>
        <v>4801.9501950000003</v>
      </c>
      <c r="G594" s="4">
        <f t="shared" si="65"/>
        <v>4914</v>
      </c>
      <c r="H594" s="4">
        <f t="shared" si="66"/>
        <v>0</v>
      </c>
      <c r="I594" s="4">
        <f t="shared" si="63"/>
        <v>1</v>
      </c>
      <c r="J594" s="11">
        <f t="shared" si="67"/>
        <v>0</v>
      </c>
      <c r="K594" s="6">
        <f t="shared" si="68"/>
        <v>4855.75</v>
      </c>
      <c r="L594" s="4">
        <f t="shared" si="69"/>
        <v>0</v>
      </c>
    </row>
    <row r="595" spans="1:12" x14ac:dyDescent="0.25">
      <c r="A595" s="1">
        <v>41998</v>
      </c>
      <c r="B595">
        <v>4887.2998049999997</v>
      </c>
      <c r="C595">
        <v>4887.2998049999997</v>
      </c>
      <c r="D595">
        <v>4805.5498049999997</v>
      </c>
      <c r="E595">
        <v>4844.8999020000001</v>
      </c>
      <c r="F595" s="4">
        <f t="shared" si="64"/>
        <v>4801.9501950000003</v>
      </c>
      <c r="G595" s="4">
        <f t="shared" si="65"/>
        <v>4914</v>
      </c>
      <c r="H595" s="4">
        <f t="shared" si="66"/>
        <v>0</v>
      </c>
      <c r="I595" s="4">
        <f t="shared" si="63"/>
        <v>1</v>
      </c>
      <c r="J595" s="11">
        <f t="shared" si="67"/>
        <v>0</v>
      </c>
      <c r="K595" s="6">
        <f t="shared" si="68"/>
        <v>4855.75</v>
      </c>
      <c r="L595" s="4">
        <f t="shared" si="69"/>
        <v>0</v>
      </c>
    </row>
    <row r="596" spans="1:12" x14ac:dyDescent="0.25">
      <c r="A596" s="1">
        <v>41999</v>
      </c>
      <c r="B596">
        <v>4849.3500979999999</v>
      </c>
      <c r="C596">
        <v>4912.0498049999997</v>
      </c>
      <c r="D596">
        <v>4845.8999020000001</v>
      </c>
      <c r="E596">
        <v>4856.3999020000001</v>
      </c>
      <c r="F596" s="4">
        <f t="shared" si="64"/>
        <v>4844.8999020000001</v>
      </c>
      <c r="G596" s="4">
        <f t="shared" si="65"/>
        <v>4914</v>
      </c>
      <c r="H596" s="4">
        <f t="shared" si="66"/>
        <v>0</v>
      </c>
      <c r="I596" s="4">
        <f t="shared" si="63"/>
        <v>1</v>
      </c>
      <c r="J596" s="11">
        <f t="shared" si="67"/>
        <v>0</v>
      </c>
      <c r="K596" s="6">
        <f t="shared" si="68"/>
        <v>4855.75</v>
      </c>
      <c r="L596" s="4">
        <f t="shared" si="69"/>
        <v>0</v>
      </c>
    </row>
    <row r="597" spans="1:12" x14ac:dyDescent="0.25">
      <c r="A597" s="1">
        <v>42002</v>
      </c>
      <c r="B597">
        <v>4856.6000979999999</v>
      </c>
      <c r="C597">
        <v>4884.1000979999999</v>
      </c>
      <c r="D597">
        <v>4833.1499020000001</v>
      </c>
      <c r="E597">
        <v>4870.0498049999997</v>
      </c>
      <c r="F597" s="4">
        <f t="shared" si="64"/>
        <v>4844.8999020000001</v>
      </c>
      <c r="G597" s="4">
        <f t="shared" si="65"/>
        <v>4914</v>
      </c>
      <c r="H597" s="4">
        <f t="shared" si="66"/>
        <v>0</v>
      </c>
      <c r="I597" s="4">
        <f t="shared" si="63"/>
        <v>1</v>
      </c>
      <c r="J597" s="11">
        <f t="shared" si="67"/>
        <v>0</v>
      </c>
      <c r="K597" s="6">
        <f t="shared" si="68"/>
        <v>4855.75</v>
      </c>
      <c r="L597" s="4">
        <f t="shared" si="69"/>
        <v>0</v>
      </c>
    </row>
    <row r="598" spans="1:12" x14ac:dyDescent="0.25">
      <c r="A598" s="1">
        <v>42003</v>
      </c>
      <c r="B598">
        <v>4869.5498049999997</v>
      </c>
      <c r="C598">
        <v>4880.5498049999997</v>
      </c>
      <c r="D598">
        <v>4834.6499020000001</v>
      </c>
      <c r="E598">
        <v>4858.6000979999999</v>
      </c>
      <c r="F598" s="4">
        <f t="shared" si="64"/>
        <v>4844.8999020000001</v>
      </c>
      <c r="G598" s="4">
        <f t="shared" si="65"/>
        <v>4887.75</v>
      </c>
      <c r="H598" s="4">
        <f t="shared" si="66"/>
        <v>0</v>
      </c>
      <c r="I598" s="4">
        <f t="shared" si="63"/>
        <v>1</v>
      </c>
      <c r="J598" s="11">
        <f t="shared" si="67"/>
        <v>0</v>
      </c>
      <c r="K598" s="6">
        <f t="shared" si="68"/>
        <v>4855.75</v>
      </c>
      <c r="L598" s="4">
        <f t="shared" si="69"/>
        <v>0</v>
      </c>
    </row>
    <row r="599" spans="1:12" x14ac:dyDescent="0.25">
      <c r="A599" s="1">
        <v>42004</v>
      </c>
      <c r="B599">
        <v>4859</v>
      </c>
      <c r="C599">
        <v>4880.1499020000001</v>
      </c>
      <c r="D599">
        <v>4835.6000979999999</v>
      </c>
      <c r="E599">
        <v>4859.75</v>
      </c>
      <c r="F599" s="4">
        <f t="shared" si="64"/>
        <v>4844.8999020000001</v>
      </c>
      <c r="G599" s="4">
        <f t="shared" si="65"/>
        <v>4870.0498049999997</v>
      </c>
      <c r="H599" s="4">
        <f t="shared" si="66"/>
        <v>0</v>
      </c>
      <c r="I599" s="4">
        <f t="shared" si="63"/>
        <v>1</v>
      </c>
      <c r="J599" s="11">
        <f t="shared" si="67"/>
        <v>0</v>
      </c>
      <c r="K599" s="6">
        <f t="shared" si="68"/>
        <v>4855.75</v>
      </c>
      <c r="L599" s="4">
        <f t="shared" si="69"/>
        <v>0</v>
      </c>
    </row>
    <row r="600" spans="1:12" x14ac:dyDescent="0.25">
      <c r="A600" s="1">
        <v>42005</v>
      </c>
      <c r="B600">
        <v>4858.5</v>
      </c>
      <c r="C600">
        <v>4992</v>
      </c>
      <c r="D600">
        <v>4858.4501950000003</v>
      </c>
      <c r="E600">
        <v>4922.2998049999997</v>
      </c>
      <c r="F600" s="4">
        <f t="shared" si="64"/>
        <v>4856.3999020000001</v>
      </c>
      <c r="G600" s="4">
        <f t="shared" si="65"/>
        <v>4922.2998049999997</v>
      </c>
      <c r="H600" s="4" t="str">
        <f t="shared" si="66"/>
        <v>BUY</v>
      </c>
      <c r="I600" s="4">
        <f t="shared" si="63"/>
        <v>1</v>
      </c>
      <c r="J600" s="11">
        <f t="shared" si="67"/>
        <v>0</v>
      </c>
      <c r="K600" s="6">
        <f t="shared" si="68"/>
        <v>4855.75</v>
      </c>
      <c r="L600" s="4">
        <f t="shared" si="69"/>
        <v>0</v>
      </c>
    </row>
    <row r="601" spans="1:12" x14ac:dyDescent="0.25">
      <c r="A601" s="1">
        <v>42006</v>
      </c>
      <c r="B601">
        <v>4935.6000979999999</v>
      </c>
      <c r="C601">
        <v>5029.4501950000003</v>
      </c>
      <c r="D601">
        <v>4935.3500979999999</v>
      </c>
      <c r="E601">
        <v>5017</v>
      </c>
      <c r="F601" s="4">
        <f t="shared" si="64"/>
        <v>4858.6000979999999</v>
      </c>
      <c r="G601" s="4">
        <f t="shared" si="65"/>
        <v>5017</v>
      </c>
      <c r="H601" s="4" t="str">
        <f t="shared" si="66"/>
        <v>BUY</v>
      </c>
      <c r="I601" s="4">
        <f t="shared" si="63"/>
        <v>1</v>
      </c>
      <c r="J601" s="11">
        <f t="shared" si="67"/>
        <v>0</v>
      </c>
      <c r="K601" s="6">
        <f t="shared" si="68"/>
        <v>4855.75</v>
      </c>
      <c r="L601" s="4">
        <f t="shared" si="69"/>
        <v>0</v>
      </c>
    </row>
    <row r="602" spans="1:12" x14ac:dyDescent="0.25">
      <c r="A602" s="1">
        <v>42009</v>
      </c>
      <c r="B602">
        <v>5015.7998049999997</v>
      </c>
      <c r="C602">
        <v>5093.25</v>
      </c>
      <c r="D602">
        <v>5015.1000979999999</v>
      </c>
      <c r="E602">
        <v>5088.1000979999999</v>
      </c>
      <c r="F602" s="4">
        <f t="shared" si="64"/>
        <v>4858.6000979999999</v>
      </c>
      <c r="G602" s="4">
        <f t="shared" si="65"/>
        <v>5088.1000979999999</v>
      </c>
      <c r="H602" s="4" t="str">
        <f t="shared" si="66"/>
        <v>BUY</v>
      </c>
      <c r="I602" s="4">
        <f t="shared" si="63"/>
        <v>1</v>
      </c>
      <c r="J602" s="11">
        <f t="shared" si="67"/>
        <v>0</v>
      </c>
      <c r="K602" s="6">
        <f t="shared" si="68"/>
        <v>4855.75</v>
      </c>
      <c r="L602" s="4">
        <f t="shared" si="69"/>
        <v>0</v>
      </c>
    </row>
    <row r="603" spans="1:12" x14ac:dyDescent="0.25">
      <c r="A603" s="1">
        <v>42010</v>
      </c>
      <c r="B603">
        <v>5096.9501950000003</v>
      </c>
      <c r="C603">
        <v>5096.9501950000003</v>
      </c>
      <c r="D603">
        <v>5049</v>
      </c>
      <c r="E603">
        <v>5080.25</v>
      </c>
      <c r="F603" s="4">
        <f t="shared" si="64"/>
        <v>4859.75</v>
      </c>
      <c r="G603" s="4">
        <f t="shared" si="65"/>
        <v>5088.1000979999999</v>
      </c>
      <c r="H603" s="4">
        <f t="shared" si="66"/>
        <v>0</v>
      </c>
      <c r="I603" s="4">
        <f t="shared" si="63"/>
        <v>1</v>
      </c>
      <c r="J603" s="11">
        <f t="shared" si="67"/>
        <v>0</v>
      </c>
      <c r="K603" s="6">
        <f t="shared" si="68"/>
        <v>4855.75</v>
      </c>
      <c r="L603" s="4">
        <f t="shared" si="69"/>
        <v>0</v>
      </c>
    </row>
    <row r="604" spans="1:12" x14ac:dyDescent="0.25">
      <c r="A604" s="1">
        <v>42011</v>
      </c>
      <c r="B604">
        <v>5080.5498049999997</v>
      </c>
      <c r="C604">
        <v>5118.6499020000001</v>
      </c>
      <c r="D604">
        <v>5068.0498049999997</v>
      </c>
      <c r="E604">
        <v>5088.7001950000003</v>
      </c>
      <c r="F604" s="4">
        <f t="shared" si="64"/>
        <v>4922.2998049999997</v>
      </c>
      <c r="G604" s="4">
        <f t="shared" si="65"/>
        <v>5088.7001950000003</v>
      </c>
      <c r="H604" s="4" t="str">
        <f t="shared" si="66"/>
        <v>BUY</v>
      </c>
      <c r="I604" s="4">
        <f t="shared" si="63"/>
        <v>1</v>
      </c>
      <c r="J604" s="11">
        <f t="shared" si="67"/>
        <v>0</v>
      </c>
      <c r="K604" s="6">
        <f t="shared" si="68"/>
        <v>4855.75</v>
      </c>
      <c r="L604" s="4">
        <f t="shared" si="69"/>
        <v>0</v>
      </c>
    </row>
    <row r="605" spans="1:12" x14ac:dyDescent="0.25">
      <c r="A605" s="1">
        <v>42012</v>
      </c>
      <c r="B605">
        <v>5092.1499020000001</v>
      </c>
      <c r="C605">
        <v>5147.1000979999999</v>
      </c>
      <c r="D605">
        <v>5092.1499020000001</v>
      </c>
      <c r="E605">
        <v>5124</v>
      </c>
      <c r="F605" s="4">
        <f t="shared" si="64"/>
        <v>5017</v>
      </c>
      <c r="G605" s="4">
        <f t="shared" si="65"/>
        <v>5124</v>
      </c>
      <c r="H605" s="4" t="str">
        <f t="shared" si="66"/>
        <v>BUY</v>
      </c>
      <c r="I605" s="4">
        <f t="shared" si="63"/>
        <v>1</v>
      </c>
      <c r="J605" s="11">
        <f t="shared" si="67"/>
        <v>0</v>
      </c>
      <c r="K605" s="6">
        <f t="shared" si="68"/>
        <v>4855.75</v>
      </c>
      <c r="L605" s="4">
        <f t="shared" si="69"/>
        <v>0</v>
      </c>
    </row>
    <row r="606" spans="1:12" x14ac:dyDescent="0.25">
      <c r="A606" s="1">
        <v>42013</v>
      </c>
      <c r="B606">
        <v>5121.0498049999997</v>
      </c>
      <c r="C606">
        <v>5131.7998049999997</v>
      </c>
      <c r="D606">
        <v>5094.3500979999999</v>
      </c>
      <c r="E606">
        <v>5101.5</v>
      </c>
      <c r="F606" s="4">
        <f t="shared" si="64"/>
        <v>5080.25</v>
      </c>
      <c r="G606" s="4">
        <f t="shared" si="65"/>
        <v>5124</v>
      </c>
      <c r="H606" s="4">
        <f t="shared" si="66"/>
        <v>0</v>
      </c>
      <c r="I606" s="4">
        <f t="shared" si="63"/>
        <v>1</v>
      </c>
      <c r="J606" s="11">
        <f t="shared" si="67"/>
        <v>0</v>
      </c>
      <c r="K606" s="6">
        <f t="shared" si="68"/>
        <v>4855.75</v>
      </c>
      <c r="L606" s="4">
        <f t="shared" si="69"/>
        <v>0</v>
      </c>
    </row>
    <row r="607" spans="1:12" x14ac:dyDescent="0.25">
      <c r="A607" s="1">
        <v>42016</v>
      </c>
      <c r="B607">
        <v>5101.6000979999999</v>
      </c>
      <c r="C607">
        <v>5137.3999020000001</v>
      </c>
      <c r="D607">
        <v>5092.0498049999997</v>
      </c>
      <c r="E607">
        <v>5116.25</v>
      </c>
      <c r="F607" s="4">
        <f t="shared" si="64"/>
        <v>5080.25</v>
      </c>
      <c r="G607" s="4">
        <f t="shared" si="65"/>
        <v>5124</v>
      </c>
      <c r="H607" s="4">
        <f t="shared" si="66"/>
        <v>0</v>
      </c>
      <c r="I607" s="4">
        <f t="shared" si="63"/>
        <v>1</v>
      </c>
      <c r="J607" s="11">
        <f t="shared" si="67"/>
        <v>0</v>
      </c>
      <c r="K607" s="6">
        <f t="shared" si="68"/>
        <v>4855.75</v>
      </c>
      <c r="L607" s="4">
        <f t="shared" si="69"/>
        <v>0</v>
      </c>
    </row>
    <row r="608" spans="1:12" x14ac:dyDescent="0.25">
      <c r="A608" s="1">
        <v>42017</v>
      </c>
      <c r="B608">
        <v>5116.3500979999999</v>
      </c>
      <c r="C608">
        <v>5152.6000979999999</v>
      </c>
      <c r="D608">
        <v>5102.1000979999999</v>
      </c>
      <c r="E608">
        <v>5133.3999020000001</v>
      </c>
      <c r="F608" s="4">
        <f t="shared" si="64"/>
        <v>5088.7001950000003</v>
      </c>
      <c r="G608" s="4">
        <f t="shared" si="65"/>
        <v>5133.3999020000001</v>
      </c>
      <c r="H608" s="4" t="str">
        <f t="shared" si="66"/>
        <v>BUY</v>
      </c>
      <c r="I608" s="4">
        <f t="shared" si="63"/>
        <v>1</v>
      </c>
      <c r="J608" s="11">
        <f t="shared" si="67"/>
        <v>0</v>
      </c>
      <c r="K608" s="6">
        <f t="shared" si="68"/>
        <v>4855.75</v>
      </c>
      <c r="L608" s="4">
        <f t="shared" si="69"/>
        <v>0</v>
      </c>
    </row>
    <row r="609" spans="1:12" x14ac:dyDescent="0.25">
      <c r="A609" s="1">
        <v>42018</v>
      </c>
      <c r="B609">
        <v>5131.7998049999997</v>
      </c>
      <c r="C609">
        <v>5158.1000979999999</v>
      </c>
      <c r="D609">
        <v>5122.1000979999999</v>
      </c>
      <c r="E609">
        <v>5137</v>
      </c>
      <c r="F609" s="4">
        <f t="shared" si="64"/>
        <v>5101.5</v>
      </c>
      <c r="G609" s="4">
        <f t="shared" si="65"/>
        <v>5137</v>
      </c>
      <c r="H609" s="4" t="str">
        <f t="shared" si="66"/>
        <v>BUY</v>
      </c>
      <c r="I609" s="4">
        <f t="shared" si="63"/>
        <v>1</v>
      </c>
      <c r="J609" s="11">
        <f t="shared" si="67"/>
        <v>0</v>
      </c>
      <c r="K609" s="6">
        <f t="shared" si="68"/>
        <v>4855.75</v>
      </c>
      <c r="L609" s="4">
        <f t="shared" si="69"/>
        <v>0</v>
      </c>
    </row>
    <row r="610" spans="1:12" x14ac:dyDescent="0.25">
      <c r="A610" s="1">
        <v>42019</v>
      </c>
      <c r="B610">
        <v>5134.4501950000003</v>
      </c>
      <c r="C610">
        <v>5151.0498049999997</v>
      </c>
      <c r="D610">
        <v>5101.2001950000003</v>
      </c>
      <c r="E610">
        <v>5128.8999020000001</v>
      </c>
      <c r="F610" s="4">
        <f t="shared" si="64"/>
        <v>5101.5</v>
      </c>
      <c r="G610" s="4">
        <f t="shared" si="65"/>
        <v>5137</v>
      </c>
      <c r="H610" s="4">
        <f t="shared" si="66"/>
        <v>0</v>
      </c>
      <c r="I610" s="4">
        <f t="shared" si="63"/>
        <v>1</v>
      </c>
      <c r="J610" s="11">
        <f t="shared" si="67"/>
        <v>0</v>
      </c>
      <c r="K610" s="6">
        <f t="shared" si="68"/>
        <v>4855.75</v>
      </c>
      <c r="L610" s="4">
        <f t="shared" si="69"/>
        <v>0</v>
      </c>
    </row>
    <row r="611" spans="1:12" x14ac:dyDescent="0.25">
      <c r="A611" s="1">
        <v>42020</v>
      </c>
      <c r="B611">
        <v>5128.9501950000003</v>
      </c>
      <c r="C611">
        <v>5209.25</v>
      </c>
      <c r="D611">
        <v>5125.7001950000003</v>
      </c>
      <c r="E611">
        <v>5198.1000979999999</v>
      </c>
      <c r="F611" s="4">
        <f t="shared" si="64"/>
        <v>5116.25</v>
      </c>
      <c r="G611" s="4">
        <f t="shared" si="65"/>
        <v>5198.1000979999999</v>
      </c>
      <c r="H611" s="4" t="str">
        <f t="shared" si="66"/>
        <v>BUY</v>
      </c>
      <c r="I611" s="4">
        <f t="shared" si="63"/>
        <v>1</v>
      </c>
      <c r="J611" s="11">
        <f t="shared" si="67"/>
        <v>0</v>
      </c>
      <c r="K611" s="6">
        <f t="shared" si="68"/>
        <v>4855.75</v>
      </c>
      <c r="L611" s="4">
        <f t="shared" si="69"/>
        <v>0</v>
      </c>
    </row>
    <row r="612" spans="1:12" x14ac:dyDescent="0.25">
      <c r="A612" s="1">
        <v>42023</v>
      </c>
      <c r="B612">
        <v>5198.4501950000003</v>
      </c>
      <c r="C612">
        <v>5260.5</v>
      </c>
      <c r="D612">
        <v>5177.1499020000001</v>
      </c>
      <c r="E612">
        <v>5231.8999020000001</v>
      </c>
      <c r="F612" s="4">
        <f t="shared" si="64"/>
        <v>5128.8999020000001</v>
      </c>
      <c r="G612" s="4">
        <f t="shared" si="65"/>
        <v>5231.8999020000001</v>
      </c>
      <c r="H612" s="4" t="str">
        <f t="shared" si="66"/>
        <v>BUY</v>
      </c>
      <c r="I612" s="4">
        <f t="shared" si="63"/>
        <v>1</v>
      </c>
      <c r="J612" s="11">
        <f t="shared" si="67"/>
        <v>0</v>
      </c>
      <c r="K612" s="6">
        <f t="shared" si="68"/>
        <v>4855.75</v>
      </c>
      <c r="L612" s="4">
        <f t="shared" si="69"/>
        <v>0</v>
      </c>
    </row>
    <row r="613" spans="1:12" x14ac:dyDescent="0.25">
      <c r="A613" s="1">
        <v>42024</v>
      </c>
      <c r="B613">
        <v>5232.5498049999997</v>
      </c>
      <c r="C613">
        <v>5255.6499020000001</v>
      </c>
      <c r="D613">
        <v>5214.3999020000001</v>
      </c>
      <c r="E613">
        <v>5245.8999020000001</v>
      </c>
      <c r="F613" s="4">
        <f t="shared" si="64"/>
        <v>5128.8999020000001</v>
      </c>
      <c r="G613" s="4">
        <f t="shared" si="65"/>
        <v>5245.8999020000001</v>
      </c>
      <c r="H613" s="4" t="str">
        <f t="shared" si="66"/>
        <v>BUY</v>
      </c>
      <c r="I613" s="4">
        <f t="shared" si="63"/>
        <v>1</v>
      </c>
      <c r="J613" s="11">
        <f t="shared" si="67"/>
        <v>0</v>
      </c>
      <c r="K613" s="6">
        <f t="shared" si="68"/>
        <v>4855.75</v>
      </c>
      <c r="L613" s="4">
        <f t="shared" si="69"/>
        <v>0</v>
      </c>
    </row>
    <row r="614" spans="1:12" x14ac:dyDescent="0.25">
      <c r="A614" s="1">
        <v>42025</v>
      </c>
      <c r="B614">
        <v>5246.7998049999997</v>
      </c>
      <c r="C614">
        <v>5269.9501950000003</v>
      </c>
      <c r="D614">
        <v>5237.1000979999999</v>
      </c>
      <c r="E614">
        <v>5262.7998049999997</v>
      </c>
      <c r="F614" s="4">
        <f t="shared" si="64"/>
        <v>5128.8999020000001</v>
      </c>
      <c r="G614" s="4">
        <f t="shared" si="65"/>
        <v>5262.7998049999997</v>
      </c>
      <c r="H614" s="4" t="str">
        <f t="shared" si="66"/>
        <v>BUY</v>
      </c>
      <c r="I614" s="4">
        <f t="shared" si="63"/>
        <v>1</v>
      </c>
      <c r="J614" s="11">
        <f t="shared" si="67"/>
        <v>0</v>
      </c>
      <c r="K614" s="6">
        <f t="shared" si="68"/>
        <v>4855.75</v>
      </c>
      <c r="L614" s="4">
        <f t="shared" si="69"/>
        <v>0</v>
      </c>
    </row>
    <row r="615" spans="1:12" x14ac:dyDescent="0.25">
      <c r="A615" s="1">
        <v>42026</v>
      </c>
      <c r="B615">
        <v>5260.9501950000003</v>
      </c>
      <c r="C615">
        <v>5260.9501950000003</v>
      </c>
      <c r="D615">
        <v>5187.0498049999997</v>
      </c>
      <c r="E615">
        <v>5205.2001950000003</v>
      </c>
      <c r="F615" s="4">
        <f t="shared" si="64"/>
        <v>5198.1000979999999</v>
      </c>
      <c r="G615" s="4">
        <f t="shared" si="65"/>
        <v>5262.7998049999997</v>
      </c>
      <c r="H615" s="4">
        <f t="shared" si="66"/>
        <v>0</v>
      </c>
      <c r="I615" s="4">
        <f t="shared" si="63"/>
        <v>1</v>
      </c>
      <c r="J615" s="11">
        <f t="shared" si="67"/>
        <v>0</v>
      </c>
      <c r="K615" s="6">
        <f t="shared" si="68"/>
        <v>4855.75</v>
      </c>
      <c r="L615" s="4">
        <f t="shared" si="69"/>
        <v>0</v>
      </c>
    </row>
    <row r="616" spans="1:12" x14ac:dyDescent="0.25">
      <c r="A616" s="1">
        <v>42027</v>
      </c>
      <c r="B616">
        <v>5205.8500979999999</v>
      </c>
      <c r="C616">
        <v>5243.6000979999999</v>
      </c>
      <c r="D616">
        <v>5193.3999020000001</v>
      </c>
      <c r="E616">
        <v>5225.2998049999997</v>
      </c>
      <c r="F616" s="4">
        <f t="shared" si="64"/>
        <v>5205.2001950000003</v>
      </c>
      <c r="G616" s="4">
        <f t="shared" si="65"/>
        <v>5262.7998049999997</v>
      </c>
      <c r="H616" s="4">
        <f t="shared" si="66"/>
        <v>0</v>
      </c>
      <c r="I616" s="4">
        <f t="shared" si="63"/>
        <v>1</v>
      </c>
      <c r="J616" s="11">
        <f t="shared" si="67"/>
        <v>0</v>
      </c>
      <c r="K616" s="6">
        <f t="shared" si="68"/>
        <v>4855.75</v>
      </c>
      <c r="L616" s="4">
        <f t="shared" si="69"/>
        <v>0</v>
      </c>
    </row>
    <row r="617" spans="1:12" x14ac:dyDescent="0.25">
      <c r="A617" s="1">
        <v>42030</v>
      </c>
      <c r="B617">
        <v>5225.2998049999997</v>
      </c>
      <c r="C617">
        <v>5267.2998049999997</v>
      </c>
      <c r="D617">
        <v>5202.9501950000003</v>
      </c>
      <c r="E617">
        <v>5260.3999020000001</v>
      </c>
      <c r="F617" s="4">
        <f t="shared" si="64"/>
        <v>5205.2001950000003</v>
      </c>
      <c r="G617" s="4">
        <f t="shared" si="65"/>
        <v>5262.7998049999997</v>
      </c>
      <c r="H617" s="4">
        <f t="shared" si="66"/>
        <v>0</v>
      </c>
      <c r="I617" s="4">
        <f t="shared" si="63"/>
        <v>1</v>
      </c>
      <c r="J617" s="11">
        <f t="shared" si="67"/>
        <v>0</v>
      </c>
      <c r="K617" s="6">
        <f t="shared" si="68"/>
        <v>4855.75</v>
      </c>
      <c r="L617" s="4">
        <f t="shared" si="69"/>
        <v>0</v>
      </c>
    </row>
    <row r="618" spans="1:12" x14ac:dyDescent="0.25">
      <c r="A618" s="1">
        <v>42031</v>
      </c>
      <c r="B618">
        <v>5260.5498049999997</v>
      </c>
      <c r="C618">
        <v>5293.75</v>
      </c>
      <c r="D618">
        <v>5260.5498049999997</v>
      </c>
      <c r="E618">
        <v>5282</v>
      </c>
      <c r="F618" s="4">
        <f t="shared" si="64"/>
        <v>5205.2001950000003</v>
      </c>
      <c r="G618" s="4">
        <f t="shared" si="65"/>
        <v>5282</v>
      </c>
      <c r="H618" s="4" t="str">
        <f t="shared" si="66"/>
        <v>BUY</v>
      </c>
      <c r="I618" s="4">
        <f t="shared" si="63"/>
        <v>1</v>
      </c>
      <c r="J618" s="11">
        <f t="shared" si="67"/>
        <v>0</v>
      </c>
      <c r="K618" s="6">
        <f t="shared" si="68"/>
        <v>4855.75</v>
      </c>
      <c r="L618" s="4">
        <f t="shared" si="69"/>
        <v>0</v>
      </c>
    </row>
    <row r="619" spans="1:12" x14ac:dyDescent="0.25">
      <c r="A619" s="1">
        <v>42032</v>
      </c>
      <c r="B619">
        <v>5283.8999020000001</v>
      </c>
      <c r="C619">
        <v>5329.5498049999997</v>
      </c>
      <c r="D619">
        <v>5242.1499020000001</v>
      </c>
      <c r="E619">
        <v>5302.8500979999999</v>
      </c>
      <c r="F619" s="4">
        <f t="shared" si="64"/>
        <v>5205.2001950000003</v>
      </c>
      <c r="G619" s="4">
        <f t="shared" si="65"/>
        <v>5302.8500979999999</v>
      </c>
      <c r="H619" s="4" t="str">
        <f t="shared" si="66"/>
        <v>BUY</v>
      </c>
      <c r="I619" s="4">
        <f t="shared" si="63"/>
        <v>1</v>
      </c>
      <c r="J619" s="11">
        <f t="shared" si="67"/>
        <v>0</v>
      </c>
      <c r="K619" s="6">
        <f t="shared" si="68"/>
        <v>4855.75</v>
      </c>
      <c r="L619" s="4">
        <f t="shared" si="69"/>
        <v>0</v>
      </c>
    </row>
    <row r="620" spans="1:12" x14ac:dyDescent="0.25">
      <c r="A620" s="1">
        <v>42033</v>
      </c>
      <c r="B620">
        <v>5302.9501950000003</v>
      </c>
      <c r="C620">
        <v>5325</v>
      </c>
      <c r="D620">
        <v>5251.3500979999999</v>
      </c>
      <c r="E620">
        <v>5262.4501950000003</v>
      </c>
      <c r="F620" s="4">
        <f t="shared" si="64"/>
        <v>5225.2998049999997</v>
      </c>
      <c r="G620" s="4">
        <f t="shared" si="65"/>
        <v>5302.8500979999999</v>
      </c>
      <c r="H620" s="4">
        <f t="shared" si="66"/>
        <v>0</v>
      </c>
      <c r="I620" s="4">
        <f t="shared" si="63"/>
        <v>1</v>
      </c>
      <c r="J620" s="11">
        <f t="shared" si="67"/>
        <v>0</v>
      </c>
      <c r="K620" s="6">
        <f t="shared" si="68"/>
        <v>4855.75</v>
      </c>
      <c r="L620" s="4">
        <f t="shared" si="69"/>
        <v>0</v>
      </c>
    </row>
    <row r="621" spans="1:12" x14ac:dyDescent="0.25">
      <c r="A621" s="1">
        <v>42034</v>
      </c>
      <c r="B621">
        <v>5260.3999020000001</v>
      </c>
      <c r="C621">
        <v>5293.8999020000001</v>
      </c>
      <c r="D621">
        <v>5235.1499020000001</v>
      </c>
      <c r="E621">
        <v>5249.1000979999999</v>
      </c>
      <c r="F621" s="4">
        <f t="shared" si="64"/>
        <v>5249.1000979999999</v>
      </c>
      <c r="G621" s="4">
        <f t="shared" si="65"/>
        <v>5302.8500979999999</v>
      </c>
      <c r="H621" s="4">
        <f t="shared" si="66"/>
        <v>0</v>
      </c>
      <c r="I621" s="4">
        <f t="shared" si="63"/>
        <v>1</v>
      </c>
      <c r="J621" s="11">
        <f t="shared" si="67"/>
        <v>0</v>
      </c>
      <c r="K621" s="6">
        <f t="shared" si="68"/>
        <v>4855.75</v>
      </c>
      <c r="L621" s="4">
        <f t="shared" si="69"/>
        <v>0</v>
      </c>
    </row>
    <row r="622" spans="1:12" x14ac:dyDescent="0.25">
      <c r="A622" s="1">
        <v>42037</v>
      </c>
      <c r="B622">
        <v>5249.2001950000003</v>
      </c>
      <c r="C622">
        <v>5298.6000979999999</v>
      </c>
      <c r="D622">
        <v>5249.2001950000003</v>
      </c>
      <c r="E622">
        <v>5290.5</v>
      </c>
      <c r="F622" s="4">
        <f t="shared" si="64"/>
        <v>5249.1000979999999</v>
      </c>
      <c r="G622" s="4">
        <f t="shared" si="65"/>
        <v>5302.8500979999999</v>
      </c>
      <c r="H622" s="4">
        <f t="shared" si="66"/>
        <v>0</v>
      </c>
      <c r="I622" s="4">
        <f t="shared" si="63"/>
        <v>1</v>
      </c>
      <c r="J622" s="11">
        <f t="shared" si="67"/>
        <v>0</v>
      </c>
      <c r="K622" s="6">
        <f t="shared" si="68"/>
        <v>4855.75</v>
      </c>
      <c r="L622" s="4">
        <f t="shared" si="69"/>
        <v>0</v>
      </c>
    </row>
    <row r="623" spans="1:12" x14ac:dyDescent="0.25">
      <c r="A623" s="1">
        <v>42038</v>
      </c>
      <c r="B623">
        <v>5291.3999020000001</v>
      </c>
      <c r="C623">
        <v>5377.5498049999997</v>
      </c>
      <c r="D623">
        <v>5291.3999020000001</v>
      </c>
      <c r="E623">
        <v>5368.3999020000001</v>
      </c>
      <c r="F623" s="4">
        <f t="shared" si="64"/>
        <v>5249.1000979999999</v>
      </c>
      <c r="G623" s="4">
        <f t="shared" si="65"/>
        <v>5368.3999020000001</v>
      </c>
      <c r="H623" s="4" t="str">
        <f t="shared" si="66"/>
        <v>BUY</v>
      </c>
      <c r="I623" s="4">
        <f t="shared" si="63"/>
        <v>1</v>
      </c>
      <c r="J623" s="11">
        <f t="shared" si="67"/>
        <v>0</v>
      </c>
      <c r="K623" s="6">
        <f t="shared" si="68"/>
        <v>4855.75</v>
      </c>
      <c r="L623" s="4">
        <f t="shared" si="69"/>
        <v>0</v>
      </c>
    </row>
    <row r="624" spans="1:12" x14ac:dyDescent="0.25">
      <c r="A624" s="1">
        <v>42039</v>
      </c>
      <c r="B624">
        <v>5369.6499020000001</v>
      </c>
      <c r="C624">
        <v>5388.6499020000001</v>
      </c>
      <c r="D624">
        <v>5351.7001950000003</v>
      </c>
      <c r="E624">
        <v>5366</v>
      </c>
      <c r="F624" s="4">
        <f t="shared" si="64"/>
        <v>5249.1000979999999</v>
      </c>
      <c r="G624" s="4">
        <f t="shared" si="65"/>
        <v>5368.3999020000001</v>
      </c>
      <c r="H624" s="4">
        <f t="shared" si="66"/>
        <v>0</v>
      </c>
      <c r="I624" s="4">
        <f t="shared" si="63"/>
        <v>1</v>
      </c>
      <c r="J624" s="11">
        <f t="shared" si="67"/>
        <v>0</v>
      </c>
      <c r="K624" s="6">
        <f t="shared" si="68"/>
        <v>4855.75</v>
      </c>
      <c r="L624" s="4">
        <f t="shared" si="69"/>
        <v>0</v>
      </c>
    </row>
    <row r="625" spans="1:12" x14ac:dyDescent="0.25">
      <c r="A625" s="1">
        <v>42040</v>
      </c>
      <c r="B625">
        <v>5365.7001950000003</v>
      </c>
      <c r="C625">
        <v>5399.6499020000001</v>
      </c>
      <c r="D625">
        <v>5345.0498049999997</v>
      </c>
      <c r="E625">
        <v>5374.6499020000001</v>
      </c>
      <c r="F625" s="4">
        <f t="shared" si="64"/>
        <v>5249.1000979999999</v>
      </c>
      <c r="G625" s="4">
        <f t="shared" si="65"/>
        <v>5374.6499020000001</v>
      </c>
      <c r="H625" s="4" t="str">
        <f t="shared" si="66"/>
        <v>BUY</v>
      </c>
      <c r="I625" s="4">
        <f t="shared" si="63"/>
        <v>1</v>
      </c>
      <c r="J625" s="11">
        <f t="shared" si="67"/>
        <v>0</v>
      </c>
      <c r="K625" s="6">
        <f t="shared" si="68"/>
        <v>4855.75</v>
      </c>
      <c r="L625" s="4">
        <f t="shared" si="69"/>
        <v>0</v>
      </c>
    </row>
    <row r="626" spans="1:12" x14ac:dyDescent="0.25">
      <c r="A626" s="1">
        <v>42041</v>
      </c>
      <c r="B626">
        <v>5376.2998049999997</v>
      </c>
      <c r="C626">
        <v>5383.6499020000001</v>
      </c>
      <c r="D626">
        <v>5290.25</v>
      </c>
      <c r="E626">
        <v>5304.4501950000003</v>
      </c>
      <c r="F626" s="4">
        <f t="shared" si="64"/>
        <v>5290.5</v>
      </c>
      <c r="G626" s="4">
        <f t="shared" si="65"/>
        <v>5374.6499020000001</v>
      </c>
      <c r="H626" s="4">
        <f t="shared" si="66"/>
        <v>0</v>
      </c>
      <c r="I626" s="4">
        <f t="shared" si="63"/>
        <v>1</v>
      </c>
      <c r="J626" s="11">
        <f t="shared" si="67"/>
        <v>0</v>
      </c>
      <c r="K626" s="6">
        <f t="shared" si="68"/>
        <v>4855.75</v>
      </c>
      <c r="L626" s="4">
        <f t="shared" si="69"/>
        <v>0</v>
      </c>
    </row>
    <row r="627" spans="1:12" x14ac:dyDescent="0.25">
      <c r="A627" s="1">
        <v>42044</v>
      </c>
      <c r="B627">
        <v>5302.3999020000001</v>
      </c>
      <c r="C627">
        <v>5377.4501950000003</v>
      </c>
      <c r="D627">
        <v>5302.25</v>
      </c>
      <c r="E627">
        <v>5361.75</v>
      </c>
      <c r="F627" s="4">
        <f t="shared" si="64"/>
        <v>5304.4501950000003</v>
      </c>
      <c r="G627" s="4">
        <f t="shared" si="65"/>
        <v>5374.6499020000001</v>
      </c>
      <c r="H627" s="4">
        <f t="shared" si="66"/>
        <v>0</v>
      </c>
      <c r="I627" s="4">
        <f t="shared" si="63"/>
        <v>1</v>
      </c>
      <c r="J627" s="11">
        <f t="shared" si="67"/>
        <v>0</v>
      </c>
      <c r="K627" s="6">
        <f t="shared" si="68"/>
        <v>4855.75</v>
      </c>
      <c r="L627" s="4">
        <f t="shared" si="69"/>
        <v>0</v>
      </c>
    </row>
    <row r="628" spans="1:12" x14ac:dyDescent="0.25">
      <c r="A628" s="1">
        <v>42045</v>
      </c>
      <c r="B628">
        <v>5354.1499020000001</v>
      </c>
      <c r="C628">
        <v>5382.1499020000001</v>
      </c>
      <c r="D628">
        <v>5324.8999020000001</v>
      </c>
      <c r="E628">
        <v>5339.7001950000003</v>
      </c>
      <c r="F628" s="4">
        <f t="shared" si="64"/>
        <v>5304.4501950000003</v>
      </c>
      <c r="G628" s="4">
        <f t="shared" si="65"/>
        <v>5374.6499020000001</v>
      </c>
      <c r="H628" s="4">
        <f t="shared" si="66"/>
        <v>0</v>
      </c>
      <c r="I628" s="4">
        <f t="shared" si="63"/>
        <v>1</v>
      </c>
      <c r="J628" s="11">
        <f t="shared" si="67"/>
        <v>0</v>
      </c>
      <c r="K628" s="6">
        <f t="shared" si="68"/>
        <v>4855.75</v>
      </c>
      <c r="L628" s="4">
        <f t="shared" si="69"/>
        <v>0</v>
      </c>
    </row>
    <row r="629" spans="1:12" x14ac:dyDescent="0.25">
      <c r="A629" s="1">
        <v>42046</v>
      </c>
      <c r="B629">
        <v>5340.8500979999999</v>
      </c>
      <c r="C629">
        <v>5356.5</v>
      </c>
      <c r="D629">
        <v>5301.7001950000003</v>
      </c>
      <c r="E629">
        <v>5322.9501950000003</v>
      </c>
      <c r="F629" s="4">
        <f t="shared" si="64"/>
        <v>5304.4501950000003</v>
      </c>
      <c r="G629" s="4">
        <f t="shared" si="65"/>
        <v>5374.6499020000001</v>
      </c>
      <c r="H629" s="4">
        <f t="shared" si="66"/>
        <v>0</v>
      </c>
      <c r="I629" s="4">
        <f t="shared" si="63"/>
        <v>1</v>
      </c>
      <c r="J629" s="11">
        <f t="shared" si="67"/>
        <v>0</v>
      </c>
      <c r="K629" s="6">
        <f t="shared" si="68"/>
        <v>4855.75</v>
      </c>
      <c r="L629" s="4">
        <f t="shared" si="69"/>
        <v>0</v>
      </c>
    </row>
    <row r="630" spans="1:12" x14ac:dyDescent="0.25">
      <c r="A630" s="1">
        <v>42047</v>
      </c>
      <c r="B630">
        <v>5323.2998049999997</v>
      </c>
      <c r="C630">
        <v>5373.1499020000001</v>
      </c>
      <c r="D630">
        <v>5265.2998049999997</v>
      </c>
      <c r="E630">
        <v>5273.6000979999999</v>
      </c>
      <c r="F630" s="4">
        <f t="shared" si="64"/>
        <v>5273.6000979999999</v>
      </c>
      <c r="G630" s="4">
        <f t="shared" si="65"/>
        <v>5361.75</v>
      </c>
      <c r="H630" s="4" t="str">
        <f t="shared" si="66"/>
        <v>SELL</v>
      </c>
      <c r="I630" s="4">
        <f t="shared" si="63"/>
        <v>-1</v>
      </c>
      <c r="J630" s="11" t="str">
        <f t="shared" si="67"/>
        <v>SELL</v>
      </c>
      <c r="K630" s="6">
        <f t="shared" si="68"/>
        <v>5273.6000979999999</v>
      </c>
      <c r="L630" s="4">
        <f t="shared" si="69"/>
        <v>8.6052638212428548E-2</v>
      </c>
    </row>
    <row r="631" spans="1:12" x14ac:dyDescent="0.25">
      <c r="A631" s="1">
        <v>42048</v>
      </c>
      <c r="B631">
        <v>5273.3999020000001</v>
      </c>
      <c r="C631">
        <v>5283.0498049999997</v>
      </c>
      <c r="D631">
        <v>5237.5498049999997</v>
      </c>
      <c r="E631">
        <v>5262.6000979999999</v>
      </c>
      <c r="F631" s="4">
        <f t="shared" si="64"/>
        <v>5262.6000979999999</v>
      </c>
      <c r="G631" s="4">
        <f t="shared" si="65"/>
        <v>5361.75</v>
      </c>
      <c r="H631" s="4" t="str">
        <f t="shared" si="66"/>
        <v>SELL</v>
      </c>
      <c r="I631" s="4">
        <f t="shared" si="63"/>
        <v>-1</v>
      </c>
      <c r="J631" s="11">
        <f t="shared" si="67"/>
        <v>0</v>
      </c>
      <c r="K631" s="6">
        <f t="shared" si="68"/>
        <v>5273.6000979999999</v>
      </c>
      <c r="L631" s="4">
        <f t="shared" si="69"/>
        <v>0</v>
      </c>
    </row>
    <row r="632" spans="1:12" x14ac:dyDescent="0.25">
      <c r="A632" s="1">
        <v>42051</v>
      </c>
      <c r="B632">
        <v>5279.0498049999997</v>
      </c>
      <c r="C632">
        <v>5279.0498049999997</v>
      </c>
      <c r="D632">
        <v>5160.8999020000001</v>
      </c>
      <c r="E632">
        <v>5203.6499020000001</v>
      </c>
      <c r="F632" s="4">
        <f t="shared" si="64"/>
        <v>5203.6499020000001</v>
      </c>
      <c r="G632" s="4">
        <f t="shared" si="65"/>
        <v>5339.7001950000003</v>
      </c>
      <c r="H632" s="4" t="str">
        <f t="shared" si="66"/>
        <v>SELL</v>
      </c>
      <c r="I632" s="4">
        <f t="shared" si="63"/>
        <v>-1</v>
      </c>
      <c r="J632" s="11">
        <f t="shared" si="67"/>
        <v>0</v>
      </c>
      <c r="K632" s="6">
        <f t="shared" si="68"/>
        <v>5273.6000979999999</v>
      </c>
      <c r="L632" s="4">
        <f t="shared" si="69"/>
        <v>0</v>
      </c>
    </row>
    <row r="633" spans="1:12" x14ac:dyDescent="0.25">
      <c r="A633" s="1">
        <v>42052</v>
      </c>
      <c r="B633">
        <v>5208.2998049999997</v>
      </c>
      <c r="C633">
        <v>5257.25</v>
      </c>
      <c r="D633">
        <v>5208.2998049999997</v>
      </c>
      <c r="E633">
        <v>5230.1000979999999</v>
      </c>
      <c r="F633" s="4">
        <f t="shared" si="64"/>
        <v>5203.6499020000001</v>
      </c>
      <c r="G633" s="4">
        <f t="shared" si="65"/>
        <v>5322.9501950000003</v>
      </c>
      <c r="H633" s="4">
        <f t="shared" si="66"/>
        <v>0</v>
      </c>
      <c r="I633" s="4">
        <f t="shared" si="63"/>
        <v>-1</v>
      </c>
      <c r="J633" s="11">
        <f t="shared" si="67"/>
        <v>0</v>
      </c>
      <c r="K633" s="6">
        <f t="shared" si="68"/>
        <v>5273.6000979999999</v>
      </c>
      <c r="L633" s="4">
        <f t="shared" si="69"/>
        <v>0</v>
      </c>
    </row>
    <row r="634" spans="1:12" x14ac:dyDescent="0.25">
      <c r="A634" s="1">
        <v>42053</v>
      </c>
      <c r="B634">
        <v>5230.2998049999997</v>
      </c>
      <c r="C634">
        <v>5266.2998049999997</v>
      </c>
      <c r="D634">
        <v>5230.2998049999997</v>
      </c>
      <c r="E634">
        <v>5244.8999020000001</v>
      </c>
      <c r="F634" s="4">
        <f t="shared" si="64"/>
        <v>5203.6499020000001</v>
      </c>
      <c r="G634" s="4">
        <f t="shared" si="65"/>
        <v>5273.6000979999999</v>
      </c>
      <c r="H634" s="4">
        <f t="shared" si="66"/>
        <v>0</v>
      </c>
      <c r="I634" s="4">
        <f t="shared" si="63"/>
        <v>-1</v>
      </c>
      <c r="J634" s="11">
        <f t="shared" si="67"/>
        <v>0</v>
      </c>
      <c r="K634" s="6">
        <f t="shared" si="68"/>
        <v>5273.6000979999999</v>
      </c>
      <c r="L634" s="4">
        <f t="shared" si="69"/>
        <v>0</v>
      </c>
    </row>
    <row r="635" spans="1:12" x14ac:dyDescent="0.25">
      <c r="A635" s="1">
        <v>42054</v>
      </c>
      <c r="B635">
        <v>5248.6000979999999</v>
      </c>
      <c r="C635">
        <v>5331.7998049999997</v>
      </c>
      <c r="D635">
        <v>5221.1000979999999</v>
      </c>
      <c r="E635">
        <v>5269.3500979999999</v>
      </c>
      <c r="F635" s="4">
        <f t="shared" si="64"/>
        <v>5203.6499020000001</v>
      </c>
      <c r="G635" s="4">
        <f t="shared" si="65"/>
        <v>5269.3500979999999</v>
      </c>
      <c r="H635" s="4">
        <f t="shared" si="66"/>
        <v>0</v>
      </c>
      <c r="I635" s="4">
        <f t="shared" si="63"/>
        <v>-1</v>
      </c>
      <c r="J635" s="11">
        <f t="shared" si="67"/>
        <v>0</v>
      </c>
      <c r="K635" s="6">
        <f t="shared" si="68"/>
        <v>5273.6000979999999</v>
      </c>
      <c r="L635" s="4">
        <f t="shared" si="69"/>
        <v>0</v>
      </c>
    </row>
    <row r="636" spans="1:12" x14ac:dyDescent="0.25">
      <c r="A636" s="1">
        <v>42055</v>
      </c>
      <c r="B636">
        <v>5269.6499020000001</v>
      </c>
      <c r="C636">
        <v>5311.0498049999997</v>
      </c>
      <c r="D636">
        <v>5269.6499020000001</v>
      </c>
      <c r="E636">
        <v>5304.1000979999999</v>
      </c>
      <c r="F636" s="4">
        <f t="shared" si="64"/>
        <v>5203.6499020000001</v>
      </c>
      <c r="G636" s="4">
        <f t="shared" si="65"/>
        <v>5304.1000979999999</v>
      </c>
      <c r="H636" s="4" t="str">
        <f t="shared" si="66"/>
        <v>BUY</v>
      </c>
      <c r="I636" s="4">
        <f t="shared" si="63"/>
        <v>1</v>
      </c>
      <c r="J636" s="11" t="str">
        <f t="shared" si="67"/>
        <v>BUY</v>
      </c>
      <c r="K636" s="6">
        <f t="shared" si="68"/>
        <v>5304.1000979999999</v>
      </c>
      <c r="L636" s="4">
        <f t="shared" si="69"/>
        <v>-5.7835253779608834E-3</v>
      </c>
    </row>
    <row r="637" spans="1:12" x14ac:dyDescent="0.25">
      <c r="A637" s="1">
        <v>42058</v>
      </c>
      <c r="B637">
        <v>5299.3500979999999</v>
      </c>
      <c r="C637">
        <v>5342.3500979999999</v>
      </c>
      <c r="D637">
        <v>5299.3500979999999</v>
      </c>
      <c r="E637">
        <v>5322.4501950000003</v>
      </c>
      <c r="F637" s="4">
        <f t="shared" si="64"/>
        <v>5230.1000979999999</v>
      </c>
      <c r="G637" s="4">
        <f t="shared" si="65"/>
        <v>5322.4501950000003</v>
      </c>
      <c r="H637" s="4" t="str">
        <f t="shared" si="66"/>
        <v>BUY</v>
      </c>
      <c r="I637" s="4">
        <f t="shared" si="63"/>
        <v>1</v>
      </c>
      <c r="J637" s="11">
        <f t="shared" si="67"/>
        <v>0</v>
      </c>
      <c r="K637" s="6">
        <f t="shared" si="68"/>
        <v>5304.1000979999999</v>
      </c>
      <c r="L637" s="4">
        <f t="shared" si="69"/>
        <v>0</v>
      </c>
    </row>
    <row r="638" spans="1:12" x14ac:dyDescent="0.25">
      <c r="A638" s="1">
        <v>42059</v>
      </c>
      <c r="B638">
        <v>5322.1000979999999</v>
      </c>
      <c r="C638">
        <v>5330.5498049999997</v>
      </c>
      <c r="D638">
        <v>5301.3999020000001</v>
      </c>
      <c r="E638">
        <v>5308.3500979999999</v>
      </c>
      <c r="F638" s="4">
        <f t="shared" si="64"/>
        <v>5244.8999020000001</v>
      </c>
      <c r="G638" s="4">
        <f t="shared" si="65"/>
        <v>5322.4501950000003</v>
      </c>
      <c r="H638" s="4">
        <f t="shared" si="66"/>
        <v>0</v>
      </c>
      <c r="I638" s="4">
        <f t="shared" si="63"/>
        <v>1</v>
      </c>
      <c r="J638" s="11">
        <f t="shared" si="67"/>
        <v>0</v>
      </c>
      <c r="K638" s="6">
        <f t="shared" si="68"/>
        <v>5304.1000979999999</v>
      </c>
      <c r="L638" s="4">
        <f t="shared" si="69"/>
        <v>0</v>
      </c>
    </row>
    <row r="639" spans="1:12" x14ac:dyDescent="0.25">
      <c r="A639" s="1">
        <v>42060</v>
      </c>
      <c r="B639">
        <v>5308.2001950000003</v>
      </c>
      <c r="C639">
        <v>5308.25</v>
      </c>
      <c r="D639">
        <v>5202.4501950000003</v>
      </c>
      <c r="E639">
        <v>5215.4501950000003</v>
      </c>
      <c r="F639" s="4">
        <f t="shared" si="64"/>
        <v>5215.4501950000003</v>
      </c>
      <c r="G639" s="4">
        <f t="shared" si="65"/>
        <v>5322.4501950000003</v>
      </c>
      <c r="H639" s="4" t="str">
        <f t="shared" si="66"/>
        <v>SELL</v>
      </c>
      <c r="I639" s="4">
        <f t="shared" si="63"/>
        <v>-1</v>
      </c>
      <c r="J639" s="11" t="str">
        <f t="shared" si="67"/>
        <v>SELL</v>
      </c>
      <c r="K639" s="6">
        <f t="shared" si="68"/>
        <v>5215.4501950000003</v>
      </c>
      <c r="L639" s="4">
        <f t="shared" si="69"/>
        <v>-1.6713467197466064E-2</v>
      </c>
    </row>
    <row r="640" spans="1:12" x14ac:dyDescent="0.25">
      <c r="A640" s="1">
        <v>42061</v>
      </c>
      <c r="B640">
        <v>5215.25</v>
      </c>
      <c r="C640">
        <v>5264.75</v>
      </c>
      <c r="D640">
        <v>5214.7998049999997</v>
      </c>
      <c r="E640">
        <v>5254.1499020000001</v>
      </c>
      <c r="F640" s="4">
        <f t="shared" si="64"/>
        <v>5215.4501950000003</v>
      </c>
      <c r="G640" s="4">
        <f t="shared" si="65"/>
        <v>5322.4501950000003</v>
      </c>
      <c r="H640" s="4">
        <f t="shared" si="66"/>
        <v>0</v>
      </c>
      <c r="I640" s="4">
        <f t="shared" si="63"/>
        <v>-1</v>
      </c>
      <c r="J640" s="11">
        <f t="shared" si="67"/>
        <v>0</v>
      </c>
      <c r="K640" s="6">
        <f t="shared" si="68"/>
        <v>5215.4501950000003</v>
      </c>
      <c r="L640" s="4">
        <f t="shared" si="69"/>
        <v>0</v>
      </c>
    </row>
    <row r="641" spans="1:12" x14ac:dyDescent="0.25">
      <c r="A641" s="1">
        <v>42062</v>
      </c>
      <c r="B641">
        <v>5254.2001950000003</v>
      </c>
      <c r="C641">
        <v>5294.7998049999997</v>
      </c>
      <c r="D641">
        <v>5254.2001950000003</v>
      </c>
      <c r="E641">
        <v>5278</v>
      </c>
      <c r="F641" s="4">
        <f t="shared" si="64"/>
        <v>5215.4501950000003</v>
      </c>
      <c r="G641" s="4">
        <f t="shared" si="65"/>
        <v>5322.4501950000003</v>
      </c>
      <c r="H641" s="4">
        <f t="shared" si="66"/>
        <v>0</v>
      </c>
      <c r="I641" s="4">
        <f t="shared" si="63"/>
        <v>-1</v>
      </c>
      <c r="J641" s="11">
        <f t="shared" si="67"/>
        <v>0</v>
      </c>
      <c r="K641" s="6">
        <f t="shared" si="68"/>
        <v>5215.4501950000003</v>
      </c>
      <c r="L641" s="4">
        <f t="shared" si="69"/>
        <v>0</v>
      </c>
    </row>
    <row r="642" spans="1:12" x14ac:dyDescent="0.25">
      <c r="A642" s="1">
        <v>42065</v>
      </c>
      <c r="B642">
        <v>5278.3999020000001</v>
      </c>
      <c r="C642">
        <v>5278.7001950000003</v>
      </c>
      <c r="D642">
        <v>5210.0498049999997</v>
      </c>
      <c r="E642">
        <v>5222.75</v>
      </c>
      <c r="F642" s="4">
        <f t="shared" si="64"/>
        <v>5215.4501950000003</v>
      </c>
      <c r="G642" s="4">
        <f t="shared" si="65"/>
        <v>5308.3500979999999</v>
      </c>
      <c r="H642" s="4">
        <f t="shared" si="66"/>
        <v>0</v>
      </c>
      <c r="I642" s="4">
        <f t="shared" si="63"/>
        <v>-1</v>
      </c>
      <c r="J642" s="11">
        <f t="shared" si="67"/>
        <v>0</v>
      </c>
      <c r="K642" s="6">
        <f t="shared" si="68"/>
        <v>5215.4501950000003</v>
      </c>
      <c r="L642" s="4">
        <f t="shared" si="69"/>
        <v>0</v>
      </c>
    </row>
    <row r="643" spans="1:12" x14ac:dyDescent="0.25">
      <c r="A643" s="1">
        <v>42066</v>
      </c>
      <c r="B643">
        <v>5223.8999020000001</v>
      </c>
      <c r="C643">
        <v>5250.1499020000001</v>
      </c>
      <c r="D643">
        <v>5134.8500979999999</v>
      </c>
      <c r="E643">
        <v>5148.5</v>
      </c>
      <c r="F643" s="4">
        <f t="shared" si="64"/>
        <v>5148.5</v>
      </c>
      <c r="G643" s="4">
        <f t="shared" si="65"/>
        <v>5278</v>
      </c>
      <c r="H643" s="4" t="str">
        <f t="shared" si="66"/>
        <v>SELL</v>
      </c>
      <c r="I643" s="4">
        <f t="shared" si="63"/>
        <v>-1</v>
      </c>
      <c r="J643" s="11">
        <f t="shared" si="67"/>
        <v>0</v>
      </c>
      <c r="K643" s="6">
        <f t="shared" si="68"/>
        <v>5215.4501950000003</v>
      </c>
      <c r="L643" s="4">
        <f t="shared" si="69"/>
        <v>0</v>
      </c>
    </row>
    <row r="644" spans="1:12" x14ac:dyDescent="0.25">
      <c r="A644" s="1">
        <v>42067</v>
      </c>
      <c r="B644">
        <v>5148.3500979999999</v>
      </c>
      <c r="C644">
        <v>5148.3500979999999</v>
      </c>
      <c r="D644">
        <v>5056.5</v>
      </c>
      <c r="E644">
        <v>5124.8999020000001</v>
      </c>
      <c r="F644" s="4">
        <f t="shared" si="64"/>
        <v>5124.8999020000001</v>
      </c>
      <c r="G644" s="4">
        <f t="shared" si="65"/>
        <v>5278</v>
      </c>
      <c r="H644" s="4" t="str">
        <f t="shared" si="66"/>
        <v>SELL</v>
      </c>
      <c r="I644" s="4">
        <f t="shared" si="63"/>
        <v>-1</v>
      </c>
      <c r="J644" s="11">
        <f t="shared" si="67"/>
        <v>0</v>
      </c>
      <c r="K644" s="6">
        <f t="shared" si="68"/>
        <v>5215.4501950000003</v>
      </c>
      <c r="L644" s="4">
        <f t="shared" si="69"/>
        <v>0</v>
      </c>
    </row>
    <row r="645" spans="1:12" x14ac:dyDescent="0.25">
      <c r="A645" s="1">
        <v>42068</v>
      </c>
      <c r="B645">
        <v>5124.3999020000001</v>
      </c>
      <c r="C645">
        <v>5124.8999020000001</v>
      </c>
      <c r="D645">
        <v>5037.75</v>
      </c>
      <c r="E645">
        <v>5090.8500979999999</v>
      </c>
      <c r="F645" s="4">
        <f t="shared" si="64"/>
        <v>5090.8500979999999</v>
      </c>
      <c r="G645" s="4">
        <f t="shared" si="65"/>
        <v>5278</v>
      </c>
      <c r="H645" s="4" t="str">
        <f t="shared" si="66"/>
        <v>SELL</v>
      </c>
      <c r="I645" s="4">
        <f t="shared" si="63"/>
        <v>-1</v>
      </c>
      <c r="J645" s="11">
        <f t="shared" si="67"/>
        <v>0</v>
      </c>
      <c r="K645" s="6">
        <f t="shared" si="68"/>
        <v>5215.4501950000003</v>
      </c>
      <c r="L645" s="4">
        <f t="shared" si="69"/>
        <v>0</v>
      </c>
    </row>
    <row r="646" spans="1:12" x14ac:dyDescent="0.25">
      <c r="A646" s="1">
        <v>42069</v>
      </c>
      <c r="B646">
        <v>5072.2998049999997</v>
      </c>
      <c r="C646">
        <v>5085.6499020000001</v>
      </c>
      <c r="D646">
        <v>4984.6000979999999</v>
      </c>
      <c r="E646">
        <v>5018.0498049999997</v>
      </c>
      <c r="F646" s="4">
        <f t="shared" si="64"/>
        <v>5018.0498049999997</v>
      </c>
      <c r="G646" s="4">
        <f t="shared" si="65"/>
        <v>5222.75</v>
      </c>
      <c r="H646" s="4" t="str">
        <f t="shared" si="66"/>
        <v>SELL</v>
      </c>
      <c r="I646" s="4">
        <f t="shared" ref="I646:I709" si="70">IF(AND(H646="BUY",I645&lt;&gt;1),1,IF(AND(H646="SELL",I645&lt;&gt;-1),-1,I645))</f>
        <v>-1</v>
      </c>
      <c r="J646" s="11">
        <f t="shared" si="67"/>
        <v>0</v>
      </c>
      <c r="K646" s="6">
        <f t="shared" si="68"/>
        <v>5215.4501950000003</v>
      </c>
      <c r="L646" s="4">
        <f t="shared" si="69"/>
        <v>0</v>
      </c>
    </row>
    <row r="647" spans="1:12" x14ac:dyDescent="0.25">
      <c r="A647" s="1">
        <v>42072</v>
      </c>
      <c r="B647">
        <v>5026.6000979999999</v>
      </c>
      <c r="C647">
        <v>5203.2998049999997</v>
      </c>
      <c r="D647">
        <v>5026.6000979999999</v>
      </c>
      <c r="E647">
        <v>5193.6000979999999</v>
      </c>
      <c r="F647" s="4">
        <f t="shared" ref="F647:F710" si="71">MIN(E643:E647)</f>
        <v>5018.0498049999997</v>
      </c>
      <c r="G647" s="4">
        <f t="shared" ref="G647:G710" si="72">MAX(E643:E647)</f>
        <v>5193.6000979999999</v>
      </c>
      <c r="H647" s="4">
        <f t="shared" ref="H647:H710" si="73">IF(E647&gt;G646,"BUY",IF(E647&lt;F646,"SELL",0))</f>
        <v>0</v>
      </c>
      <c r="I647" s="4">
        <f t="shared" si="70"/>
        <v>-1</v>
      </c>
      <c r="J647" s="11">
        <f t="shared" ref="J647:J710" si="74">IF(I647&lt;&gt;I646,H647,0)</f>
        <v>0</v>
      </c>
      <c r="K647" s="6">
        <f t="shared" ref="K647:K710" si="75">IF(J647&lt;&gt;0,E647,K646)</f>
        <v>5215.4501950000003</v>
      </c>
      <c r="L647" s="4">
        <f t="shared" si="69"/>
        <v>0</v>
      </c>
    </row>
    <row r="648" spans="1:12" x14ac:dyDescent="0.25">
      <c r="A648" s="1">
        <v>42073</v>
      </c>
      <c r="B648">
        <v>5189.75</v>
      </c>
      <c r="C648">
        <v>5206.7001950000003</v>
      </c>
      <c r="D648">
        <v>5126.5</v>
      </c>
      <c r="E648">
        <v>5136.1499020000001</v>
      </c>
      <c r="F648" s="4">
        <f t="shared" si="71"/>
        <v>5018.0498049999997</v>
      </c>
      <c r="G648" s="4">
        <f t="shared" si="72"/>
        <v>5193.6000979999999</v>
      </c>
      <c r="H648" s="4">
        <f t="shared" si="73"/>
        <v>0</v>
      </c>
      <c r="I648" s="4">
        <f t="shared" si="70"/>
        <v>-1</v>
      </c>
      <c r="J648" s="11">
        <f t="shared" si="74"/>
        <v>0</v>
      </c>
      <c r="K648" s="6">
        <f t="shared" si="75"/>
        <v>5215.4501950000003</v>
      </c>
      <c r="L648" s="4">
        <f t="shared" ref="L648:L711" si="76">IF(J648="BUY",(K647-K648)/K647,IF(J648="SELL",(K649-K647)/K647,0))</f>
        <v>0</v>
      </c>
    </row>
    <row r="649" spans="1:12" x14ac:dyDescent="0.25">
      <c r="A649" s="1">
        <v>42074</v>
      </c>
      <c r="B649">
        <v>5133.75</v>
      </c>
      <c r="C649">
        <v>5172.8500979999999</v>
      </c>
      <c r="D649">
        <v>5098.7998049999997</v>
      </c>
      <c r="E649">
        <v>5156.6499020000001</v>
      </c>
      <c r="F649" s="4">
        <f t="shared" si="71"/>
        <v>5018.0498049999997</v>
      </c>
      <c r="G649" s="4">
        <f t="shared" si="72"/>
        <v>5193.6000979999999</v>
      </c>
      <c r="H649" s="4">
        <f t="shared" si="73"/>
        <v>0</v>
      </c>
      <c r="I649" s="4">
        <f t="shared" si="70"/>
        <v>-1</v>
      </c>
      <c r="J649" s="11">
        <f t="shared" si="74"/>
        <v>0</v>
      </c>
      <c r="K649" s="6">
        <f t="shared" si="75"/>
        <v>5215.4501950000003</v>
      </c>
      <c r="L649" s="4">
        <f t="shared" si="76"/>
        <v>0</v>
      </c>
    </row>
    <row r="650" spans="1:12" x14ac:dyDescent="0.25">
      <c r="A650" s="1">
        <v>42075</v>
      </c>
      <c r="B650">
        <v>5157.5498049999997</v>
      </c>
      <c r="C650">
        <v>5212.7001950000003</v>
      </c>
      <c r="D650">
        <v>5147.9501950000003</v>
      </c>
      <c r="E650">
        <v>5178.8999020000001</v>
      </c>
      <c r="F650" s="4">
        <f t="shared" si="71"/>
        <v>5018.0498049999997</v>
      </c>
      <c r="G650" s="4">
        <f t="shared" si="72"/>
        <v>5193.6000979999999</v>
      </c>
      <c r="H650" s="4">
        <f t="shared" si="73"/>
        <v>0</v>
      </c>
      <c r="I650" s="4">
        <f t="shared" si="70"/>
        <v>-1</v>
      </c>
      <c r="J650" s="11">
        <f t="shared" si="74"/>
        <v>0</v>
      </c>
      <c r="K650" s="6">
        <f t="shared" si="75"/>
        <v>5215.4501950000003</v>
      </c>
      <c r="L650" s="4">
        <f t="shared" si="76"/>
        <v>0</v>
      </c>
    </row>
    <row r="651" spans="1:12" x14ac:dyDescent="0.25">
      <c r="A651" s="1">
        <v>42076</v>
      </c>
      <c r="B651">
        <v>5180.5498049999997</v>
      </c>
      <c r="C651">
        <v>5192.75</v>
      </c>
      <c r="D651">
        <v>5070.9501950000003</v>
      </c>
      <c r="E651">
        <v>5093.5</v>
      </c>
      <c r="F651" s="4">
        <f t="shared" si="71"/>
        <v>5093.5</v>
      </c>
      <c r="G651" s="4">
        <f t="shared" si="72"/>
        <v>5193.6000979999999</v>
      </c>
      <c r="H651" s="4">
        <f t="shared" si="73"/>
        <v>0</v>
      </c>
      <c r="I651" s="4">
        <f t="shared" si="70"/>
        <v>-1</v>
      </c>
      <c r="J651" s="11">
        <f t="shared" si="74"/>
        <v>0</v>
      </c>
      <c r="K651" s="6">
        <f t="shared" si="75"/>
        <v>5215.4501950000003</v>
      </c>
      <c r="L651" s="4">
        <f t="shared" si="76"/>
        <v>0</v>
      </c>
    </row>
    <row r="652" spans="1:12" x14ac:dyDescent="0.25">
      <c r="A652" s="1">
        <v>42079</v>
      </c>
      <c r="B652">
        <v>5093.8999020000001</v>
      </c>
      <c r="C652">
        <v>5094.5498049999997</v>
      </c>
      <c r="D652">
        <v>4966.25</v>
      </c>
      <c r="E652">
        <v>5059.8999020000001</v>
      </c>
      <c r="F652" s="4">
        <f t="shared" si="71"/>
        <v>5059.8999020000001</v>
      </c>
      <c r="G652" s="4">
        <f t="shared" si="72"/>
        <v>5178.8999020000001</v>
      </c>
      <c r="H652" s="4" t="str">
        <f t="shared" si="73"/>
        <v>SELL</v>
      </c>
      <c r="I652" s="4">
        <f t="shared" si="70"/>
        <v>-1</v>
      </c>
      <c r="J652" s="11">
        <f t="shared" si="74"/>
        <v>0</v>
      </c>
      <c r="K652" s="6">
        <f t="shared" si="75"/>
        <v>5215.4501950000003</v>
      </c>
      <c r="L652" s="4">
        <f t="shared" si="76"/>
        <v>0</v>
      </c>
    </row>
    <row r="653" spans="1:12" x14ac:dyDescent="0.25">
      <c r="A653" s="1">
        <v>42080</v>
      </c>
      <c r="B653">
        <v>5059.5498049999997</v>
      </c>
      <c r="C653">
        <v>5105.2001950000003</v>
      </c>
      <c r="D653">
        <v>5024.25</v>
      </c>
      <c r="E653">
        <v>5066.2001950000003</v>
      </c>
      <c r="F653" s="4">
        <f t="shared" si="71"/>
        <v>5059.8999020000001</v>
      </c>
      <c r="G653" s="4">
        <f t="shared" si="72"/>
        <v>5178.8999020000001</v>
      </c>
      <c r="H653" s="4">
        <f t="shared" si="73"/>
        <v>0</v>
      </c>
      <c r="I653" s="4">
        <f t="shared" si="70"/>
        <v>-1</v>
      </c>
      <c r="J653" s="11">
        <f t="shared" si="74"/>
        <v>0</v>
      </c>
      <c r="K653" s="6">
        <f t="shared" si="75"/>
        <v>5215.4501950000003</v>
      </c>
      <c r="L653" s="4">
        <f t="shared" si="76"/>
        <v>0</v>
      </c>
    </row>
    <row r="654" spans="1:12" x14ac:dyDescent="0.25">
      <c r="A654" s="1">
        <v>42081</v>
      </c>
      <c r="B654">
        <v>5065.1000979999999</v>
      </c>
      <c r="C654">
        <v>5065.1000979999999</v>
      </c>
      <c r="D654">
        <v>4908.1499020000001</v>
      </c>
      <c r="E654">
        <v>4919.6499020000001</v>
      </c>
      <c r="F654" s="4">
        <f t="shared" si="71"/>
        <v>4919.6499020000001</v>
      </c>
      <c r="G654" s="4">
        <f t="shared" si="72"/>
        <v>5178.8999020000001</v>
      </c>
      <c r="H654" s="4" t="str">
        <f t="shared" si="73"/>
        <v>SELL</v>
      </c>
      <c r="I654" s="4">
        <f t="shared" si="70"/>
        <v>-1</v>
      </c>
      <c r="J654" s="11">
        <f t="shared" si="74"/>
        <v>0</v>
      </c>
      <c r="K654" s="6">
        <f t="shared" si="75"/>
        <v>5215.4501950000003</v>
      </c>
      <c r="L654" s="4">
        <f t="shared" si="76"/>
        <v>0</v>
      </c>
    </row>
    <row r="655" spans="1:12" x14ac:dyDescent="0.25">
      <c r="A655" s="1">
        <v>42082</v>
      </c>
      <c r="B655">
        <v>4924.2998049999997</v>
      </c>
      <c r="C655">
        <v>4980.25</v>
      </c>
      <c r="D655">
        <v>4924.2998049999997</v>
      </c>
      <c r="E655">
        <v>4947.6000979999999</v>
      </c>
      <c r="F655" s="4">
        <f t="shared" si="71"/>
        <v>4919.6499020000001</v>
      </c>
      <c r="G655" s="4">
        <f t="shared" si="72"/>
        <v>5093.5</v>
      </c>
      <c r="H655" s="4">
        <f t="shared" si="73"/>
        <v>0</v>
      </c>
      <c r="I655" s="4">
        <f t="shared" si="70"/>
        <v>-1</v>
      </c>
      <c r="J655" s="11">
        <f t="shared" si="74"/>
        <v>0</v>
      </c>
      <c r="K655" s="6">
        <f t="shared" si="75"/>
        <v>5215.4501950000003</v>
      </c>
      <c r="L655" s="4">
        <f t="shared" si="76"/>
        <v>0</v>
      </c>
    </row>
    <row r="656" spans="1:12" x14ac:dyDescent="0.25">
      <c r="A656" s="1">
        <v>42083</v>
      </c>
      <c r="B656">
        <v>4946.7001950000003</v>
      </c>
      <c r="C656">
        <v>4946.7001950000003</v>
      </c>
      <c r="D656">
        <v>4842.2998049999997</v>
      </c>
      <c r="E656">
        <v>4931.1499020000001</v>
      </c>
      <c r="F656" s="4">
        <f t="shared" si="71"/>
        <v>4919.6499020000001</v>
      </c>
      <c r="G656" s="4">
        <f t="shared" si="72"/>
        <v>5066.2001950000003</v>
      </c>
      <c r="H656" s="4">
        <f t="shared" si="73"/>
        <v>0</v>
      </c>
      <c r="I656" s="4">
        <f t="shared" si="70"/>
        <v>-1</v>
      </c>
      <c r="J656" s="11">
        <f t="shared" si="74"/>
        <v>0</v>
      </c>
      <c r="K656" s="6">
        <f t="shared" si="75"/>
        <v>5215.4501950000003</v>
      </c>
      <c r="L656" s="4">
        <f t="shared" si="76"/>
        <v>0</v>
      </c>
    </row>
    <row r="657" spans="1:12" x14ac:dyDescent="0.25">
      <c r="A657" s="1">
        <v>42086</v>
      </c>
      <c r="B657">
        <v>4944.2998049999997</v>
      </c>
      <c r="C657">
        <v>5029.5498049999997</v>
      </c>
      <c r="D657">
        <v>4923.4501950000003</v>
      </c>
      <c r="E657">
        <v>4943.9501950000003</v>
      </c>
      <c r="F657" s="4">
        <f t="shared" si="71"/>
        <v>4919.6499020000001</v>
      </c>
      <c r="G657" s="4">
        <f t="shared" si="72"/>
        <v>5066.2001950000003</v>
      </c>
      <c r="H657" s="4">
        <f t="shared" si="73"/>
        <v>0</v>
      </c>
      <c r="I657" s="4">
        <f t="shared" si="70"/>
        <v>-1</v>
      </c>
      <c r="J657" s="11">
        <f t="shared" si="74"/>
        <v>0</v>
      </c>
      <c r="K657" s="6">
        <f t="shared" si="75"/>
        <v>5215.4501950000003</v>
      </c>
      <c r="L657" s="4">
        <f t="shared" si="76"/>
        <v>0</v>
      </c>
    </row>
    <row r="658" spans="1:12" x14ac:dyDescent="0.25">
      <c r="A658" s="1">
        <v>42087</v>
      </c>
      <c r="B658">
        <v>4945.2998049999997</v>
      </c>
      <c r="C658">
        <v>4946.6000979999999</v>
      </c>
      <c r="D658">
        <v>4786.4501950000003</v>
      </c>
      <c r="E658">
        <v>4806.75</v>
      </c>
      <c r="F658" s="4">
        <f t="shared" si="71"/>
        <v>4806.75</v>
      </c>
      <c r="G658" s="4">
        <f t="shared" si="72"/>
        <v>4947.6000979999999</v>
      </c>
      <c r="H658" s="4" t="str">
        <f t="shared" si="73"/>
        <v>SELL</v>
      </c>
      <c r="I658" s="4">
        <f t="shared" si="70"/>
        <v>-1</v>
      </c>
      <c r="J658" s="11">
        <f t="shared" si="74"/>
        <v>0</v>
      </c>
      <c r="K658" s="6">
        <f t="shared" si="75"/>
        <v>5215.4501950000003</v>
      </c>
      <c r="L658" s="4">
        <f t="shared" si="76"/>
        <v>0</v>
      </c>
    </row>
    <row r="659" spans="1:12" x14ac:dyDescent="0.25">
      <c r="A659" s="1">
        <v>42088</v>
      </c>
      <c r="B659">
        <v>4807.2998049999997</v>
      </c>
      <c r="C659">
        <v>4925.4501950000003</v>
      </c>
      <c r="D659">
        <v>4807.2998049999997</v>
      </c>
      <c r="E659">
        <v>4917.3999020000001</v>
      </c>
      <c r="F659" s="4">
        <f t="shared" si="71"/>
        <v>4806.75</v>
      </c>
      <c r="G659" s="4">
        <f t="shared" si="72"/>
        <v>4947.6000979999999</v>
      </c>
      <c r="H659" s="4">
        <f t="shared" si="73"/>
        <v>0</v>
      </c>
      <c r="I659" s="4">
        <f t="shared" si="70"/>
        <v>-1</v>
      </c>
      <c r="J659" s="11">
        <f t="shared" si="74"/>
        <v>0</v>
      </c>
      <c r="K659" s="6">
        <f t="shared" si="75"/>
        <v>5215.4501950000003</v>
      </c>
      <c r="L659" s="4">
        <f t="shared" si="76"/>
        <v>0</v>
      </c>
    </row>
    <row r="660" spans="1:12" x14ac:dyDescent="0.25">
      <c r="A660" s="1">
        <v>42089</v>
      </c>
      <c r="B660">
        <v>4915.1499020000001</v>
      </c>
      <c r="C660">
        <v>5016.6000979999999</v>
      </c>
      <c r="D660">
        <v>4897.6000979999999</v>
      </c>
      <c r="E660">
        <v>5003.1000979999999</v>
      </c>
      <c r="F660" s="4">
        <f t="shared" si="71"/>
        <v>4806.75</v>
      </c>
      <c r="G660" s="4">
        <f t="shared" si="72"/>
        <v>5003.1000979999999</v>
      </c>
      <c r="H660" s="4" t="str">
        <f t="shared" si="73"/>
        <v>BUY</v>
      </c>
      <c r="I660" s="4">
        <f t="shared" si="70"/>
        <v>1</v>
      </c>
      <c r="J660" s="11" t="str">
        <f t="shared" si="74"/>
        <v>BUY</v>
      </c>
      <c r="K660" s="6">
        <f t="shared" si="75"/>
        <v>5003.1000979999999</v>
      </c>
      <c r="L660" s="4">
        <f t="shared" si="76"/>
        <v>4.0715583326551244E-2</v>
      </c>
    </row>
    <row r="661" spans="1:12" x14ac:dyDescent="0.25">
      <c r="A661" s="1">
        <v>42090</v>
      </c>
      <c r="B661">
        <v>5005.6000979999999</v>
      </c>
      <c r="C661">
        <v>5077.25</v>
      </c>
      <c r="D661">
        <v>5005.6000979999999</v>
      </c>
      <c r="E661">
        <v>5066.5498049999997</v>
      </c>
      <c r="F661" s="4">
        <f t="shared" si="71"/>
        <v>4806.75</v>
      </c>
      <c r="G661" s="4">
        <f t="shared" si="72"/>
        <v>5066.5498049999997</v>
      </c>
      <c r="H661" s="4" t="str">
        <f t="shared" si="73"/>
        <v>BUY</v>
      </c>
      <c r="I661" s="4">
        <f t="shared" si="70"/>
        <v>1</v>
      </c>
      <c r="J661" s="11">
        <f t="shared" si="74"/>
        <v>0</v>
      </c>
      <c r="K661" s="6">
        <f t="shared" si="75"/>
        <v>5003.1000979999999</v>
      </c>
      <c r="L661" s="4">
        <f t="shared" si="76"/>
        <v>0</v>
      </c>
    </row>
    <row r="662" spans="1:12" x14ac:dyDescent="0.25">
      <c r="A662" s="1">
        <v>42093</v>
      </c>
      <c r="B662">
        <v>5076.1000979999999</v>
      </c>
      <c r="C662">
        <v>5097.6000979999999</v>
      </c>
      <c r="D662">
        <v>5038.5498049999997</v>
      </c>
      <c r="E662">
        <v>5086.2998049999997</v>
      </c>
      <c r="F662" s="4">
        <f t="shared" si="71"/>
        <v>4806.75</v>
      </c>
      <c r="G662" s="4">
        <f t="shared" si="72"/>
        <v>5086.2998049999997</v>
      </c>
      <c r="H662" s="4" t="str">
        <f t="shared" si="73"/>
        <v>BUY</v>
      </c>
      <c r="I662" s="4">
        <f t="shared" si="70"/>
        <v>1</v>
      </c>
      <c r="J662" s="11">
        <f t="shared" si="74"/>
        <v>0</v>
      </c>
      <c r="K662" s="6">
        <f t="shared" si="75"/>
        <v>5003.1000979999999</v>
      </c>
      <c r="L662" s="4">
        <f t="shared" si="76"/>
        <v>0</v>
      </c>
    </row>
    <row r="663" spans="1:12" x14ac:dyDescent="0.25">
      <c r="A663" s="1">
        <v>42094</v>
      </c>
      <c r="B663">
        <v>5086.25</v>
      </c>
      <c r="C663">
        <v>5086.9501950000003</v>
      </c>
      <c r="D663">
        <v>4961.0498049999997</v>
      </c>
      <c r="E663">
        <v>4970.2001950000003</v>
      </c>
      <c r="F663" s="4">
        <f t="shared" si="71"/>
        <v>4917.3999020000001</v>
      </c>
      <c r="G663" s="4">
        <f t="shared" si="72"/>
        <v>5086.2998049999997</v>
      </c>
      <c r="H663" s="4">
        <f t="shared" si="73"/>
        <v>0</v>
      </c>
      <c r="I663" s="4">
        <f t="shared" si="70"/>
        <v>1</v>
      </c>
      <c r="J663" s="11">
        <f t="shared" si="74"/>
        <v>0</v>
      </c>
      <c r="K663" s="6">
        <f t="shared" si="75"/>
        <v>5003.1000979999999</v>
      </c>
      <c r="L663" s="4">
        <f t="shared" si="76"/>
        <v>0</v>
      </c>
    </row>
    <row r="664" spans="1:12" x14ac:dyDescent="0.25">
      <c r="A664" s="1">
        <v>42095</v>
      </c>
      <c r="B664">
        <v>4970.75</v>
      </c>
      <c r="C664">
        <v>5031.2001950000003</v>
      </c>
      <c r="D664">
        <v>4967.0498049999997</v>
      </c>
      <c r="E664">
        <v>5019.8500979999999</v>
      </c>
      <c r="F664" s="4">
        <f t="shared" si="71"/>
        <v>4970.2001950000003</v>
      </c>
      <c r="G664" s="4">
        <f t="shared" si="72"/>
        <v>5086.2998049999997</v>
      </c>
      <c r="H664" s="4">
        <f t="shared" si="73"/>
        <v>0</v>
      </c>
      <c r="I664" s="4">
        <f t="shared" si="70"/>
        <v>1</v>
      </c>
      <c r="J664" s="11">
        <f t="shared" si="74"/>
        <v>0</v>
      </c>
      <c r="K664" s="6">
        <f t="shared" si="75"/>
        <v>5003.1000979999999</v>
      </c>
      <c r="L664" s="4">
        <f t="shared" si="76"/>
        <v>0</v>
      </c>
    </row>
    <row r="665" spans="1:12" x14ac:dyDescent="0.25">
      <c r="A665" s="1">
        <v>42096</v>
      </c>
      <c r="B665">
        <v>5020.1499020000001</v>
      </c>
      <c r="C665">
        <v>5125.7001950000003</v>
      </c>
      <c r="D665">
        <v>5020.1499020000001</v>
      </c>
      <c r="E665">
        <v>5110.5</v>
      </c>
      <c r="F665" s="4">
        <f t="shared" si="71"/>
        <v>4970.2001950000003</v>
      </c>
      <c r="G665" s="4">
        <f t="shared" si="72"/>
        <v>5110.5</v>
      </c>
      <c r="H665" s="4" t="str">
        <f t="shared" si="73"/>
        <v>BUY</v>
      </c>
      <c r="I665" s="4">
        <f t="shared" si="70"/>
        <v>1</v>
      </c>
      <c r="J665" s="11">
        <f t="shared" si="74"/>
        <v>0</v>
      </c>
      <c r="K665" s="6">
        <f t="shared" si="75"/>
        <v>5003.1000979999999</v>
      </c>
      <c r="L665" s="4">
        <f t="shared" si="76"/>
        <v>0</v>
      </c>
    </row>
    <row r="666" spans="1:12" x14ac:dyDescent="0.25">
      <c r="A666" s="1">
        <v>42097</v>
      </c>
      <c r="B666">
        <v>5112.6000979999999</v>
      </c>
      <c r="C666">
        <v>5147.8999020000001</v>
      </c>
      <c r="D666">
        <v>5091.6000979999999</v>
      </c>
      <c r="E666">
        <v>5135.5</v>
      </c>
      <c r="F666" s="4">
        <f t="shared" si="71"/>
        <v>4970.2001950000003</v>
      </c>
      <c r="G666" s="4">
        <f t="shared" si="72"/>
        <v>5135.5</v>
      </c>
      <c r="H666" s="4" t="str">
        <f t="shared" si="73"/>
        <v>BUY</v>
      </c>
      <c r="I666" s="4">
        <f t="shared" si="70"/>
        <v>1</v>
      </c>
      <c r="J666" s="11">
        <f t="shared" si="74"/>
        <v>0</v>
      </c>
      <c r="K666" s="6">
        <f t="shared" si="75"/>
        <v>5003.1000979999999</v>
      </c>
      <c r="L666" s="4">
        <f t="shared" si="76"/>
        <v>0</v>
      </c>
    </row>
    <row r="667" spans="1:12" x14ac:dyDescent="0.25">
      <c r="A667" s="1">
        <v>42100</v>
      </c>
      <c r="B667">
        <v>5132.9501950000003</v>
      </c>
      <c r="C667">
        <v>5132.9501950000003</v>
      </c>
      <c r="D667">
        <v>5004.25</v>
      </c>
      <c r="E667">
        <v>5034</v>
      </c>
      <c r="F667" s="4">
        <f t="shared" si="71"/>
        <v>4970.2001950000003</v>
      </c>
      <c r="G667" s="4">
        <f t="shared" si="72"/>
        <v>5135.5</v>
      </c>
      <c r="H667" s="4">
        <f t="shared" si="73"/>
        <v>0</v>
      </c>
      <c r="I667" s="4">
        <f t="shared" si="70"/>
        <v>1</v>
      </c>
      <c r="J667" s="11">
        <f t="shared" si="74"/>
        <v>0</v>
      </c>
      <c r="K667" s="6">
        <f t="shared" si="75"/>
        <v>5003.1000979999999</v>
      </c>
      <c r="L667" s="4">
        <f t="shared" si="76"/>
        <v>0</v>
      </c>
    </row>
    <row r="668" spans="1:12" x14ac:dyDescent="0.25">
      <c r="A668" s="1">
        <v>42101</v>
      </c>
      <c r="B668">
        <v>5036.7001950000003</v>
      </c>
      <c r="C668">
        <v>5071.3500979999999</v>
      </c>
      <c r="D668">
        <v>4967.2998049999997</v>
      </c>
      <c r="E668">
        <v>4987.1000979999999</v>
      </c>
      <c r="F668" s="4">
        <f t="shared" si="71"/>
        <v>4987.1000979999999</v>
      </c>
      <c r="G668" s="4">
        <f t="shared" si="72"/>
        <v>5135.5</v>
      </c>
      <c r="H668" s="4">
        <f t="shared" si="73"/>
        <v>0</v>
      </c>
      <c r="I668" s="4">
        <f t="shared" si="70"/>
        <v>1</v>
      </c>
      <c r="J668" s="11">
        <f t="shared" si="74"/>
        <v>0</v>
      </c>
      <c r="K668" s="6">
        <f t="shared" si="75"/>
        <v>5003.1000979999999</v>
      </c>
      <c r="L668" s="4">
        <f t="shared" si="76"/>
        <v>0</v>
      </c>
    </row>
    <row r="669" spans="1:12" x14ac:dyDescent="0.25">
      <c r="A669" s="1">
        <v>42102</v>
      </c>
      <c r="B669">
        <v>4985.0498049999997</v>
      </c>
      <c r="C669">
        <v>5050.6000979999999</v>
      </c>
      <c r="D669">
        <v>4980.1000979999999</v>
      </c>
      <c r="E669">
        <v>5000.2998049999997</v>
      </c>
      <c r="F669" s="4">
        <f t="shared" si="71"/>
        <v>4987.1000979999999</v>
      </c>
      <c r="G669" s="4">
        <f t="shared" si="72"/>
        <v>5135.5</v>
      </c>
      <c r="H669" s="4">
        <f t="shared" si="73"/>
        <v>0</v>
      </c>
      <c r="I669" s="4">
        <f t="shared" si="70"/>
        <v>1</v>
      </c>
      <c r="J669" s="11">
        <f t="shared" si="74"/>
        <v>0</v>
      </c>
      <c r="K669" s="6">
        <f t="shared" si="75"/>
        <v>5003.1000979999999</v>
      </c>
      <c r="L669" s="4">
        <f t="shared" si="76"/>
        <v>0</v>
      </c>
    </row>
    <row r="670" spans="1:12" x14ac:dyDescent="0.25">
      <c r="A670" s="1">
        <v>42103</v>
      </c>
      <c r="B670">
        <v>4999.6000979999999</v>
      </c>
      <c r="C670">
        <v>5085.2001950000003</v>
      </c>
      <c r="D670">
        <v>4997.6000979999999</v>
      </c>
      <c r="E670">
        <v>5078.6000979999999</v>
      </c>
      <c r="F670" s="4">
        <f t="shared" si="71"/>
        <v>4987.1000979999999</v>
      </c>
      <c r="G670" s="4">
        <f t="shared" si="72"/>
        <v>5135.5</v>
      </c>
      <c r="H670" s="4">
        <f t="shared" si="73"/>
        <v>0</v>
      </c>
      <c r="I670" s="4">
        <f t="shared" si="70"/>
        <v>1</v>
      </c>
      <c r="J670" s="11">
        <f t="shared" si="74"/>
        <v>0</v>
      </c>
      <c r="K670" s="6">
        <f t="shared" si="75"/>
        <v>5003.1000979999999</v>
      </c>
      <c r="L670" s="4">
        <f t="shared" si="76"/>
        <v>0</v>
      </c>
    </row>
    <row r="671" spans="1:12" x14ac:dyDescent="0.25">
      <c r="A671" s="1">
        <v>42104</v>
      </c>
      <c r="B671">
        <v>5078.75</v>
      </c>
      <c r="C671">
        <v>5139.0498049999997</v>
      </c>
      <c r="D671">
        <v>5078.75</v>
      </c>
      <c r="E671">
        <v>5119.3500979999999</v>
      </c>
      <c r="F671" s="4">
        <f t="shared" si="71"/>
        <v>4987.1000979999999</v>
      </c>
      <c r="G671" s="4">
        <f t="shared" si="72"/>
        <v>5119.3500979999999</v>
      </c>
      <c r="H671" s="4">
        <f t="shared" si="73"/>
        <v>0</v>
      </c>
      <c r="I671" s="4">
        <f t="shared" si="70"/>
        <v>1</v>
      </c>
      <c r="J671" s="11">
        <f t="shared" si="74"/>
        <v>0</v>
      </c>
      <c r="K671" s="6">
        <f t="shared" si="75"/>
        <v>5003.1000979999999</v>
      </c>
      <c r="L671" s="4">
        <f t="shared" si="76"/>
        <v>0</v>
      </c>
    </row>
    <row r="672" spans="1:12" x14ac:dyDescent="0.25">
      <c r="A672" s="1">
        <v>42107</v>
      </c>
      <c r="B672">
        <v>5120.1499020000001</v>
      </c>
      <c r="C672">
        <v>5201.25</v>
      </c>
      <c r="D672">
        <v>5120.1499020000001</v>
      </c>
      <c r="E672">
        <v>5197.7001950000003</v>
      </c>
      <c r="F672" s="4">
        <f t="shared" si="71"/>
        <v>4987.1000979999999</v>
      </c>
      <c r="G672" s="4">
        <f t="shared" si="72"/>
        <v>5197.7001950000003</v>
      </c>
      <c r="H672" s="4" t="str">
        <f t="shared" si="73"/>
        <v>BUY</v>
      </c>
      <c r="I672" s="4">
        <f t="shared" si="70"/>
        <v>1</v>
      </c>
      <c r="J672" s="11">
        <f t="shared" si="74"/>
        <v>0</v>
      </c>
      <c r="K672" s="6">
        <f t="shared" si="75"/>
        <v>5003.1000979999999</v>
      </c>
      <c r="L672" s="4">
        <f t="shared" si="76"/>
        <v>0</v>
      </c>
    </row>
    <row r="673" spans="1:12" x14ac:dyDescent="0.25">
      <c r="A673" s="1">
        <v>42108</v>
      </c>
      <c r="B673">
        <v>5201.2998049999997</v>
      </c>
      <c r="C673">
        <v>5231.4501950000003</v>
      </c>
      <c r="D673">
        <v>5171.0498049999997</v>
      </c>
      <c r="E673">
        <v>5222.3500979999999</v>
      </c>
      <c r="F673" s="4">
        <f t="shared" si="71"/>
        <v>5000.2998049999997</v>
      </c>
      <c r="G673" s="4">
        <f t="shared" si="72"/>
        <v>5222.3500979999999</v>
      </c>
      <c r="H673" s="4" t="str">
        <f t="shared" si="73"/>
        <v>BUY</v>
      </c>
      <c r="I673" s="4">
        <f t="shared" si="70"/>
        <v>1</v>
      </c>
      <c r="J673" s="11">
        <f t="shared" si="74"/>
        <v>0</v>
      </c>
      <c r="K673" s="6">
        <f t="shared" si="75"/>
        <v>5003.1000979999999</v>
      </c>
      <c r="L673" s="4">
        <f t="shared" si="76"/>
        <v>0</v>
      </c>
    </row>
    <row r="674" spans="1:12" x14ac:dyDescent="0.25">
      <c r="A674" s="1">
        <v>42109</v>
      </c>
      <c r="B674">
        <v>5225.0498049999997</v>
      </c>
      <c r="C674">
        <v>5255.6499020000001</v>
      </c>
      <c r="D674">
        <v>5214.8999020000001</v>
      </c>
      <c r="E674">
        <v>5233.3500979999999</v>
      </c>
      <c r="F674" s="4">
        <f t="shared" si="71"/>
        <v>5078.6000979999999</v>
      </c>
      <c r="G674" s="4">
        <f t="shared" si="72"/>
        <v>5233.3500979999999</v>
      </c>
      <c r="H674" s="4" t="str">
        <f t="shared" si="73"/>
        <v>BUY</v>
      </c>
      <c r="I674" s="4">
        <f t="shared" si="70"/>
        <v>1</v>
      </c>
      <c r="J674" s="11">
        <f t="shared" si="74"/>
        <v>0</v>
      </c>
      <c r="K674" s="6">
        <f t="shared" si="75"/>
        <v>5003.1000979999999</v>
      </c>
      <c r="L674" s="4">
        <f t="shared" si="76"/>
        <v>0</v>
      </c>
    </row>
    <row r="675" spans="1:12" x14ac:dyDescent="0.25">
      <c r="A675" s="1">
        <v>42110</v>
      </c>
      <c r="B675">
        <v>5233.6499020000001</v>
      </c>
      <c r="C675">
        <v>5285.5498049999997</v>
      </c>
      <c r="D675">
        <v>5206.5498049999997</v>
      </c>
      <c r="E675">
        <v>5274.8500979999999</v>
      </c>
      <c r="F675" s="4">
        <f t="shared" si="71"/>
        <v>5119.3500979999999</v>
      </c>
      <c r="G675" s="4">
        <f t="shared" si="72"/>
        <v>5274.8500979999999</v>
      </c>
      <c r="H675" s="4" t="str">
        <f t="shared" si="73"/>
        <v>BUY</v>
      </c>
      <c r="I675" s="4">
        <f t="shared" si="70"/>
        <v>1</v>
      </c>
      <c r="J675" s="11">
        <f t="shared" si="74"/>
        <v>0</v>
      </c>
      <c r="K675" s="6">
        <f t="shared" si="75"/>
        <v>5003.1000979999999</v>
      </c>
      <c r="L675" s="4">
        <f t="shared" si="76"/>
        <v>0</v>
      </c>
    </row>
    <row r="676" spans="1:12" x14ac:dyDescent="0.25">
      <c r="A676" s="1">
        <v>42111</v>
      </c>
      <c r="B676">
        <v>5274.9501950000003</v>
      </c>
      <c r="C676">
        <v>5302.2998049999997</v>
      </c>
      <c r="D676">
        <v>5245.5</v>
      </c>
      <c r="E676">
        <v>5262.6000979999999</v>
      </c>
      <c r="F676" s="4">
        <f t="shared" si="71"/>
        <v>5197.7001950000003</v>
      </c>
      <c r="G676" s="4">
        <f t="shared" si="72"/>
        <v>5274.8500979999999</v>
      </c>
      <c r="H676" s="4">
        <f t="shared" si="73"/>
        <v>0</v>
      </c>
      <c r="I676" s="4">
        <f t="shared" si="70"/>
        <v>1</v>
      </c>
      <c r="J676" s="11">
        <f t="shared" si="74"/>
        <v>0</v>
      </c>
      <c r="K676" s="6">
        <f t="shared" si="75"/>
        <v>5003.1000979999999</v>
      </c>
      <c r="L676" s="4">
        <f t="shared" si="76"/>
        <v>0</v>
      </c>
    </row>
    <row r="677" spans="1:12" x14ac:dyDescent="0.25">
      <c r="A677" s="1">
        <v>42114</v>
      </c>
      <c r="B677">
        <v>5266.5</v>
      </c>
      <c r="C677">
        <v>5366.75</v>
      </c>
      <c r="D677">
        <v>5266.5</v>
      </c>
      <c r="E677">
        <v>5353.2998049999997</v>
      </c>
      <c r="F677" s="4">
        <f t="shared" si="71"/>
        <v>5222.3500979999999</v>
      </c>
      <c r="G677" s="4">
        <f t="shared" si="72"/>
        <v>5353.2998049999997</v>
      </c>
      <c r="H677" s="4" t="str">
        <f t="shared" si="73"/>
        <v>BUY</v>
      </c>
      <c r="I677" s="4">
        <f t="shared" si="70"/>
        <v>1</v>
      </c>
      <c r="J677" s="11">
        <f t="shared" si="74"/>
        <v>0</v>
      </c>
      <c r="K677" s="6">
        <f t="shared" si="75"/>
        <v>5003.1000979999999</v>
      </c>
      <c r="L677" s="4">
        <f t="shared" si="76"/>
        <v>0</v>
      </c>
    </row>
    <row r="678" spans="1:12" x14ac:dyDescent="0.25">
      <c r="A678" s="1">
        <v>42115</v>
      </c>
      <c r="B678">
        <v>5353.9501950000003</v>
      </c>
      <c r="C678">
        <v>5354.3500979999999</v>
      </c>
      <c r="D678">
        <v>5311.0498049999997</v>
      </c>
      <c r="E678">
        <v>5316.5498049999997</v>
      </c>
      <c r="F678" s="4">
        <f t="shared" si="71"/>
        <v>5233.3500979999999</v>
      </c>
      <c r="G678" s="4">
        <f t="shared" si="72"/>
        <v>5353.2998049999997</v>
      </c>
      <c r="H678" s="4">
        <f t="shared" si="73"/>
        <v>0</v>
      </c>
      <c r="I678" s="4">
        <f t="shared" si="70"/>
        <v>1</v>
      </c>
      <c r="J678" s="11">
        <f t="shared" si="74"/>
        <v>0</v>
      </c>
      <c r="K678" s="6">
        <f t="shared" si="75"/>
        <v>5003.1000979999999</v>
      </c>
      <c r="L678" s="4">
        <f t="shared" si="76"/>
        <v>0</v>
      </c>
    </row>
    <row r="679" spans="1:12" x14ac:dyDescent="0.25">
      <c r="A679" s="1">
        <v>42116</v>
      </c>
      <c r="B679">
        <v>5316.1499020000001</v>
      </c>
      <c r="C679">
        <v>5333.2998049999997</v>
      </c>
      <c r="D679">
        <v>5288.1499020000001</v>
      </c>
      <c r="E679">
        <v>5323.1499020000001</v>
      </c>
      <c r="F679" s="4">
        <f t="shared" si="71"/>
        <v>5262.6000979999999</v>
      </c>
      <c r="G679" s="4">
        <f t="shared" si="72"/>
        <v>5353.2998049999997</v>
      </c>
      <c r="H679" s="4">
        <f t="shared" si="73"/>
        <v>0</v>
      </c>
      <c r="I679" s="4">
        <f t="shared" si="70"/>
        <v>1</v>
      </c>
      <c r="J679" s="11">
        <f t="shared" si="74"/>
        <v>0</v>
      </c>
      <c r="K679" s="6">
        <f t="shared" si="75"/>
        <v>5003.1000979999999</v>
      </c>
      <c r="L679" s="4">
        <f t="shared" si="76"/>
        <v>0</v>
      </c>
    </row>
    <row r="680" spans="1:12" x14ac:dyDescent="0.25">
      <c r="A680" s="1">
        <v>42117</v>
      </c>
      <c r="B680">
        <v>5323.25</v>
      </c>
      <c r="C680">
        <v>5348.2998049999997</v>
      </c>
      <c r="D680">
        <v>5284.5498049999997</v>
      </c>
      <c r="E680">
        <v>5320.6000979999999</v>
      </c>
      <c r="F680" s="4">
        <f t="shared" si="71"/>
        <v>5262.6000979999999</v>
      </c>
      <c r="G680" s="4">
        <f t="shared" si="72"/>
        <v>5353.2998049999997</v>
      </c>
      <c r="H680" s="4">
        <f t="shared" si="73"/>
        <v>0</v>
      </c>
      <c r="I680" s="4">
        <f t="shared" si="70"/>
        <v>1</v>
      </c>
      <c r="J680" s="11">
        <f t="shared" si="74"/>
        <v>0</v>
      </c>
      <c r="K680" s="6">
        <f t="shared" si="75"/>
        <v>5003.1000979999999</v>
      </c>
      <c r="L680" s="4">
        <f t="shared" si="76"/>
        <v>0</v>
      </c>
    </row>
    <row r="681" spans="1:12" x14ac:dyDescent="0.25">
      <c r="A681" s="1">
        <v>42118</v>
      </c>
      <c r="B681">
        <v>5320.5</v>
      </c>
      <c r="C681">
        <v>5320.5</v>
      </c>
      <c r="D681">
        <v>5259.8999020000001</v>
      </c>
      <c r="E681">
        <v>5269.0498049999997</v>
      </c>
      <c r="F681" s="4">
        <f t="shared" si="71"/>
        <v>5269.0498049999997</v>
      </c>
      <c r="G681" s="4">
        <f t="shared" si="72"/>
        <v>5353.2998049999997</v>
      </c>
      <c r="H681" s="4">
        <f t="shared" si="73"/>
        <v>0</v>
      </c>
      <c r="I681" s="4">
        <f t="shared" si="70"/>
        <v>1</v>
      </c>
      <c r="J681" s="11">
        <f t="shared" si="74"/>
        <v>0</v>
      </c>
      <c r="K681" s="6">
        <f t="shared" si="75"/>
        <v>5003.1000979999999</v>
      </c>
      <c r="L681" s="4">
        <f t="shared" si="76"/>
        <v>0</v>
      </c>
    </row>
    <row r="682" spans="1:12" x14ac:dyDescent="0.25">
      <c r="A682" s="1">
        <v>42121</v>
      </c>
      <c r="B682">
        <v>5271.1000979999999</v>
      </c>
      <c r="C682">
        <v>5339.4501950000003</v>
      </c>
      <c r="D682">
        <v>5270.75</v>
      </c>
      <c r="E682">
        <v>5333.5</v>
      </c>
      <c r="F682" s="4">
        <f t="shared" si="71"/>
        <v>5269.0498049999997</v>
      </c>
      <c r="G682" s="4">
        <f t="shared" si="72"/>
        <v>5333.5</v>
      </c>
      <c r="H682" s="4">
        <f t="shared" si="73"/>
        <v>0</v>
      </c>
      <c r="I682" s="4">
        <f t="shared" si="70"/>
        <v>1</v>
      </c>
      <c r="J682" s="11">
        <f t="shared" si="74"/>
        <v>0</v>
      </c>
      <c r="K682" s="6">
        <f t="shared" si="75"/>
        <v>5003.1000979999999</v>
      </c>
      <c r="L682" s="4">
        <f t="shared" si="76"/>
        <v>0</v>
      </c>
    </row>
    <row r="683" spans="1:12" x14ac:dyDescent="0.25">
      <c r="A683" s="1">
        <v>42122</v>
      </c>
      <c r="B683">
        <v>5333.5498049999997</v>
      </c>
      <c r="C683">
        <v>5334.1499020000001</v>
      </c>
      <c r="D683">
        <v>5235.7998049999997</v>
      </c>
      <c r="E683">
        <v>5256.1499020000001</v>
      </c>
      <c r="F683" s="4">
        <f t="shared" si="71"/>
        <v>5256.1499020000001</v>
      </c>
      <c r="G683" s="4">
        <f t="shared" si="72"/>
        <v>5333.5</v>
      </c>
      <c r="H683" s="4" t="str">
        <f t="shared" si="73"/>
        <v>SELL</v>
      </c>
      <c r="I683" s="4">
        <f t="shared" si="70"/>
        <v>-1</v>
      </c>
      <c r="J683" s="11" t="str">
        <f t="shared" si="74"/>
        <v>SELL</v>
      </c>
      <c r="K683" s="6">
        <f t="shared" si="75"/>
        <v>5256.1499020000001</v>
      </c>
      <c r="L683" s="4">
        <f t="shared" si="76"/>
        <v>5.0578601075992352E-2</v>
      </c>
    </row>
    <row r="684" spans="1:12" x14ac:dyDescent="0.25">
      <c r="A684" s="1">
        <v>42123</v>
      </c>
      <c r="B684">
        <v>5254.25</v>
      </c>
      <c r="C684">
        <v>5320.3500979999999</v>
      </c>
      <c r="D684">
        <v>5210</v>
      </c>
      <c r="E684">
        <v>5312.5</v>
      </c>
      <c r="F684" s="4">
        <f t="shared" si="71"/>
        <v>5256.1499020000001</v>
      </c>
      <c r="G684" s="4">
        <f t="shared" si="72"/>
        <v>5333.5</v>
      </c>
      <c r="H684" s="4">
        <f t="shared" si="73"/>
        <v>0</v>
      </c>
      <c r="I684" s="4">
        <f t="shared" si="70"/>
        <v>-1</v>
      </c>
      <c r="J684" s="11">
        <f t="shared" si="74"/>
        <v>0</v>
      </c>
      <c r="K684" s="6">
        <f t="shared" si="75"/>
        <v>5256.1499020000001</v>
      </c>
      <c r="L684" s="4">
        <f t="shared" si="76"/>
        <v>0</v>
      </c>
    </row>
    <row r="685" spans="1:12" x14ac:dyDescent="0.25">
      <c r="A685" s="1">
        <v>42124</v>
      </c>
      <c r="B685">
        <v>5312.0498049999997</v>
      </c>
      <c r="C685">
        <v>5312.5498049999997</v>
      </c>
      <c r="D685">
        <v>5232.1000979999999</v>
      </c>
      <c r="E685">
        <v>5251.3999020000001</v>
      </c>
      <c r="F685" s="4">
        <f t="shared" si="71"/>
        <v>5251.3999020000001</v>
      </c>
      <c r="G685" s="4">
        <f t="shared" si="72"/>
        <v>5333.5</v>
      </c>
      <c r="H685" s="4" t="str">
        <f t="shared" si="73"/>
        <v>SELL</v>
      </c>
      <c r="I685" s="4">
        <f t="shared" si="70"/>
        <v>-1</v>
      </c>
      <c r="J685" s="11">
        <f t="shared" si="74"/>
        <v>0</v>
      </c>
      <c r="K685" s="6">
        <f t="shared" si="75"/>
        <v>5256.1499020000001</v>
      </c>
      <c r="L685" s="4">
        <f t="shared" si="76"/>
        <v>0</v>
      </c>
    </row>
    <row r="686" spans="1:12" x14ac:dyDescent="0.25">
      <c r="A686" s="1">
        <v>42125</v>
      </c>
      <c r="B686">
        <v>5251.25</v>
      </c>
      <c r="C686">
        <v>5277.25</v>
      </c>
      <c r="D686">
        <v>5225.6000979999999</v>
      </c>
      <c r="E686">
        <v>5237.1000979999999</v>
      </c>
      <c r="F686" s="4">
        <f t="shared" si="71"/>
        <v>5237.1000979999999</v>
      </c>
      <c r="G686" s="4">
        <f t="shared" si="72"/>
        <v>5333.5</v>
      </c>
      <c r="H686" s="4" t="str">
        <f t="shared" si="73"/>
        <v>SELL</v>
      </c>
      <c r="I686" s="4">
        <f t="shared" si="70"/>
        <v>-1</v>
      </c>
      <c r="J686" s="11">
        <f t="shared" si="74"/>
        <v>0</v>
      </c>
      <c r="K686" s="6">
        <f t="shared" si="75"/>
        <v>5256.1499020000001</v>
      </c>
      <c r="L686" s="4">
        <f t="shared" si="76"/>
        <v>0</v>
      </c>
    </row>
    <row r="687" spans="1:12" x14ac:dyDescent="0.25">
      <c r="A687" s="1">
        <v>42128</v>
      </c>
      <c r="B687">
        <v>5237</v>
      </c>
      <c r="C687">
        <v>5252.75</v>
      </c>
      <c r="D687">
        <v>5225.8500979999999</v>
      </c>
      <c r="E687">
        <v>5235.8999020000001</v>
      </c>
      <c r="F687" s="4">
        <f t="shared" si="71"/>
        <v>5235.8999020000001</v>
      </c>
      <c r="G687" s="4">
        <f t="shared" si="72"/>
        <v>5312.5</v>
      </c>
      <c r="H687" s="4" t="str">
        <f t="shared" si="73"/>
        <v>SELL</v>
      </c>
      <c r="I687" s="4">
        <f t="shared" si="70"/>
        <v>-1</v>
      </c>
      <c r="J687" s="11">
        <f t="shared" si="74"/>
        <v>0</v>
      </c>
      <c r="K687" s="6">
        <f t="shared" si="75"/>
        <v>5256.1499020000001</v>
      </c>
      <c r="L687" s="4">
        <f t="shared" si="76"/>
        <v>0</v>
      </c>
    </row>
    <row r="688" spans="1:12" x14ac:dyDescent="0.25">
      <c r="A688" s="1">
        <v>42129</v>
      </c>
      <c r="B688">
        <v>5236.1000979999999</v>
      </c>
      <c r="C688">
        <v>5297.4501950000003</v>
      </c>
      <c r="D688">
        <v>5231.5</v>
      </c>
      <c r="E688">
        <v>5289.0498049999997</v>
      </c>
      <c r="F688" s="4">
        <f t="shared" si="71"/>
        <v>5235.8999020000001</v>
      </c>
      <c r="G688" s="4">
        <f t="shared" si="72"/>
        <v>5312.5</v>
      </c>
      <c r="H688" s="4">
        <f t="shared" si="73"/>
        <v>0</v>
      </c>
      <c r="I688" s="4">
        <f t="shared" si="70"/>
        <v>-1</v>
      </c>
      <c r="J688" s="11">
        <f t="shared" si="74"/>
        <v>0</v>
      </c>
      <c r="K688" s="6">
        <f t="shared" si="75"/>
        <v>5256.1499020000001</v>
      </c>
      <c r="L688" s="4">
        <f t="shared" si="76"/>
        <v>0</v>
      </c>
    </row>
    <row r="689" spans="1:12" x14ac:dyDescent="0.25">
      <c r="A689" s="1">
        <v>42130</v>
      </c>
      <c r="B689">
        <v>5293.1000979999999</v>
      </c>
      <c r="C689">
        <v>5296.75</v>
      </c>
      <c r="D689">
        <v>5233.4501950000003</v>
      </c>
      <c r="E689">
        <v>5241.1000979999999</v>
      </c>
      <c r="F689" s="4">
        <f t="shared" si="71"/>
        <v>5235.8999020000001</v>
      </c>
      <c r="G689" s="4">
        <f t="shared" si="72"/>
        <v>5289.0498049999997</v>
      </c>
      <c r="H689" s="4">
        <f t="shared" si="73"/>
        <v>0</v>
      </c>
      <c r="I689" s="4">
        <f t="shared" si="70"/>
        <v>-1</v>
      </c>
      <c r="J689" s="11">
        <f t="shared" si="74"/>
        <v>0</v>
      </c>
      <c r="K689" s="6">
        <f t="shared" si="75"/>
        <v>5256.1499020000001</v>
      </c>
      <c r="L689" s="4">
        <f t="shared" si="76"/>
        <v>0</v>
      </c>
    </row>
    <row r="690" spans="1:12" x14ac:dyDescent="0.25">
      <c r="A690" s="1">
        <v>42131</v>
      </c>
      <c r="B690">
        <v>5242</v>
      </c>
      <c r="C690">
        <v>5320.5</v>
      </c>
      <c r="D690">
        <v>5242</v>
      </c>
      <c r="E690">
        <v>5296.8500979999999</v>
      </c>
      <c r="F690" s="4">
        <f t="shared" si="71"/>
        <v>5235.8999020000001</v>
      </c>
      <c r="G690" s="4">
        <f t="shared" si="72"/>
        <v>5296.8500979999999</v>
      </c>
      <c r="H690" s="4" t="str">
        <f t="shared" si="73"/>
        <v>BUY</v>
      </c>
      <c r="I690" s="4">
        <f t="shared" si="70"/>
        <v>1</v>
      </c>
      <c r="J690" s="11" t="str">
        <f t="shared" si="74"/>
        <v>BUY</v>
      </c>
      <c r="K690" s="6">
        <f t="shared" si="75"/>
        <v>5296.8500979999999</v>
      </c>
      <c r="L690" s="4">
        <f t="shared" si="76"/>
        <v>-7.7433476515791685E-3</v>
      </c>
    </row>
    <row r="691" spans="1:12" x14ac:dyDescent="0.25">
      <c r="A691" s="1">
        <v>42132</v>
      </c>
      <c r="B691">
        <v>5297.2001950000003</v>
      </c>
      <c r="C691">
        <v>5359.0498049999997</v>
      </c>
      <c r="D691">
        <v>5297.2001950000003</v>
      </c>
      <c r="E691">
        <v>5352.4501950000003</v>
      </c>
      <c r="F691" s="4">
        <f t="shared" si="71"/>
        <v>5235.8999020000001</v>
      </c>
      <c r="G691" s="4">
        <f t="shared" si="72"/>
        <v>5352.4501950000003</v>
      </c>
      <c r="H691" s="4" t="str">
        <f t="shared" si="73"/>
        <v>BUY</v>
      </c>
      <c r="I691" s="4">
        <f t="shared" si="70"/>
        <v>1</v>
      </c>
      <c r="J691" s="11">
        <f t="shared" si="74"/>
        <v>0</v>
      </c>
      <c r="K691" s="6">
        <f t="shared" si="75"/>
        <v>5296.8500979999999</v>
      </c>
      <c r="L691" s="4">
        <f t="shared" si="76"/>
        <v>0</v>
      </c>
    </row>
    <row r="692" spans="1:12" x14ac:dyDescent="0.25">
      <c r="A692" s="1">
        <v>42135</v>
      </c>
      <c r="B692">
        <v>5352.25</v>
      </c>
      <c r="C692">
        <v>5402.7001950000003</v>
      </c>
      <c r="D692">
        <v>5351.6000979999999</v>
      </c>
      <c r="E692">
        <v>5383</v>
      </c>
      <c r="F692" s="4">
        <f t="shared" si="71"/>
        <v>5241.1000979999999</v>
      </c>
      <c r="G692" s="4">
        <f t="shared" si="72"/>
        <v>5383</v>
      </c>
      <c r="H692" s="4" t="str">
        <f t="shared" si="73"/>
        <v>BUY</v>
      </c>
      <c r="I692" s="4">
        <f t="shared" si="70"/>
        <v>1</v>
      </c>
      <c r="J692" s="11">
        <f t="shared" si="74"/>
        <v>0</v>
      </c>
      <c r="K692" s="6">
        <f t="shared" si="75"/>
        <v>5296.8500979999999</v>
      </c>
      <c r="L692" s="4">
        <f t="shared" si="76"/>
        <v>0</v>
      </c>
    </row>
    <row r="693" spans="1:12" x14ac:dyDescent="0.25">
      <c r="A693" s="1">
        <v>42136</v>
      </c>
      <c r="B693">
        <v>5370.2001950000003</v>
      </c>
      <c r="C693">
        <v>5406.2001950000003</v>
      </c>
      <c r="D693">
        <v>5357.8500979999999</v>
      </c>
      <c r="E693">
        <v>5400.6499020000001</v>
      </c>
      <c r="F693" s="4">
        <f t="shared" si="71"/>
        <v>5241.1000979999999</v>
      </c>
      <c r="G693" s="4">
        <f t="shared" si="72"/>
        <v>5400.6499020000001</v>
      </c>
      <c r="H693" s="4" t="str">
        <f t="shared" si="73"/>
        <v>BUY</v>
      </c>
      <c r="I693" s="4">
        <f t="shared" si="70"/>
        <v>1</v>
      </c>
      <c r="J693" s="11">
        <f t="shared" si="74"/>
        <v>0</v>
      </c>
      <c r="K693" s="6">
        <f t="shared" si="75"/>
        <v>5296.8500979999999</v>
      </c>
      <c r="L693" s="4">
        <f t="shared" si="76"/>
        <v>0</v>
      </c>
    </row>
    <row r="694" spans="1:12" x14ac:dyDescent="0.25">
      <c r="A694" s="1">
        <v>42137</v>
      </c>
      <c r="B694">
        <v>5402</v>
      </c>
      <c r="C694">
        <v>5453.4501950000003</v>
      </c>
      <c r="D694">
        <v>5371.7001950000003</v>
      </c>
      <c r="E694">
        <v>5386.1499020000001</v>
      </c>
      <c r="F694" s="4">
        <f t="shared" si="71"/>
        <v>5296.8500979999999</v>
      </c>
      <c r="G694" s="4">
        <f t="shared" si="72"/>
        <v>5400.6499020000001</v>
      </c>
      <c r="H694" s="4">
        <f t="shared" si="73"/>
        <v>0</v>
      </c>
      <c r="I694" s="4">
        <f t="shared" si="70"/>
        <v>1</v>
      </c>
      <c r="J694" s="11">
        <f t="shared" si="74"/>
        <v>0</v>
      </c>
      <c r="K694" s="6">
        <f t="shared" si="75"/>
        <v>5296.8500979999999</v>
      </c>
      <c r="L694" s="4">
        <f t="shared" si="76"/>
        <v>0</v>
      </c>
    </row>
    <row r="695" spans="1:12" x14ac:dyDescent="0.25">
      <c r="A695" s="1">
        <v>42138</v>
      </c>
      <c r="B695">
        <v>5387.1000979999999</v>
      </c>
      <c r="C695">
        <v>5399.2001950000003</v>
      </c>
      <c r="D695">
        <v>5360.6000979999999</v>
      </c>
      <c r="E695">
        <v>5378.75</v>
      </c>
      <c r="F695" s="4">
        <f t="shared" si="71"/>
        <v>5352.4501950000003</v>
      </c>
      <c r="G695" s="4">
        <f t="shared" si="72"/>
        <v>5400.6499020000001</v>
      </c>
      <c r="H695" s="4">
        <f t="shared" si="73"/>
        <v>0</v>
      </c>
      <c r="I695" s="4">
        <f t="shared" si="70"/>
        <v>1</v>
      </c>
      <c r="J695" s="11">
        <f t="shared" si="74"/>
        <v>0</v>
      </c>
      <c r="K695" s="6">
        <f t="shared" si="75"/>
        <v>5296.8500979999999</v>
      </c>
      <c r="L695" s="4">
        <f t="shared" si="76"/>
        <v>0</v>
      </c>
    </row>
    <row r="696" spans="1:12" x14ac:dyDescent="0.25">
      <c r="A696" s="1">
        <v>42139</v>
      </c>
      <c r="B696">
        <v>5376.6499020000001</v>
      </c>
      <c r="C696">
        <v>5401.3500979999999</v>
      </c>
      <c r="D696">
        <v>5374.3999020000001</v>
      </c>
      <c r="E696">
        <v>5393.8999020000001</v>
      </c>
      <c r="F696" s="4">
        <f t="shared" si="71"/>
        <v>5378.75</v>
      </c>
      <c r="G696" s="4">
        <f t="shared" si="72"/>
        <v>5400.6499020000001</v>
      </c>
      <c r="H696" s="4">
        <f t="shared" si="73"/>
        <v>0</v>
      </c>
      <c r="I696" s="4">
        <f t="shared" si="70"/>
        <v>1</v>
      </c>
      <c r="J696" s="11">
        <f t="shared" si="74"/>
        <v>0</v>
      </c>
      <c r="K696" s="6">
        <f t="shared" si="75"/>
        <v>5296.8500979999999</v>
      </c>
      <c r="L696" s="4">
        <f t="shared" si="76"/>
        <v>0</v>
      </c>
    </row>
    <row r="697" spans="1:12" x14ac:dyDescent="0.25">
      <c r="A697" s="1">
        <v>42142</v>
      </c>
      <c r="B697">
        <v>5392.7001950000003</v>
      </c>
      <c r="C697">
        <v>5409.1000979999999</v>
      </c>
      <c r="D697">
        <v>5361.5</v>
      </c>
      <c r="E697">
        <v>5386.4501950000003</v>
      </c>
      <c r="F697" s="4">
        <f t="shared" si="71"/>
        <v>5378.75</v>
      </c>
      <c r="G697" s="4">
        <f t="shared" si="72"/>
        <v>5400.6499020000001</v>
      </c>
      <c r="H697" s="4">
        <f t="shared" si="73"/>
        <v>0</v>
      </c>
      <c r="I697" s="4">
        <f t="shared" si="70"/>
        <v>1</v>
      </c>
      <c r="J697" s="11">
        <f t="shared" si="74"/>
        <v>0</v>
      </c>
      <c r="K697" s="6">
        <f t="shared" si="75"/>
        <v>5296.8500979999999</v>
      </c>
      <c r="L697" s="4">
        <f t="shared" si="76"/>
        <v>0</v>
      </c>
    </row>
    <row r="698" spans="1:12" x14ac:dyDescent="0.25">
      <c r="A698" s="1">
        <v>42143</v>
      </c>
      <c r="B698">
        <v>5387</v>
      </c>
      <c r="C698">
        <v>5416.4501950000003</v>
      </c>
      <c r="D698">
        <v>5353.6000979999999</v>
      </c>
      <c r="E698">
        <v>5368</v>
      </c>
      <c r="F698" s="4">
        <f t="shared" si="71"/>
        <v>5368</v>
      </c>
      <c r="G698" s="4">
        <f t="shared" si="72"/>
        <v>5393.8999020000001</v>
      </c>
      <c r="H698" s="4" t="str">
        <f t="shared" si="73"/>
        <v>SELL</v>
      </c>
      <c r="I698" s="4">
        <f t="shared" si="70"/>
        <v>-1</v>
      </c>
      <c r="J698" s="11" t="str">
        <f t="shared" si="74"/>
        <v>SELL</v>
      </c>
      <c r="K698" s="6">
        <f t="shared" si="75"/>
        <v>5368</v>
      </c>
      <c r="L698" s="4">
        <f t="shared" si="76"/>
        <v>1.9351123423089176E-2</v>
      </c>
    </row>
    <row r="699" spans="1:12" x14ac:dyDescent="0.25">
      <c r="A699" s="1">
        <v>42144</v>
      </c>
      <c r="B699">
        <v>5368.8500979999999</v>
      </c>
      <c r="C699">
        <v>5409.1000979999999</v>
      </c>
      <c r="D699">
        <v>5368.8500979999999</v>
      </c>
      <c r="E699">
        <v>5399.3500979999999</v>
      </c>
      <c r="F699" s="4">
        <f t="shared" si="71"/>
        <v>5368</v>
      </c>
      <c r="G699" s="4">
        <f t="shared" si="72"/>
        <v>5399.3500979999999</v>
      </c>
      <c r="H699" s="4" t="str">
        <f t="shared" si="73"/>
        <v>BUY</v>
      </c>
      <c r="I699" s="4">
        <f t="shared" si="70"/>
        <v>1</v>
      </c>
      <c r="J699" s="11" t="str">
        <f t="shared" si="74"/>
        <v>BUY</v>
      </c>
      <c r="K699" s="6">
        <f t="shared" si="75"/>
        <v>5399.3500979999999</v>
      </c>
      <c r="L699" s="4">
        <f t="shared" si="76"/>
        <v>-5.840182190760039E-3</v>
      </c>
    </row>
    <row r="700" spans="1:12" x14ac:dyDescent="0.25">
      <c r="A700" s="1">
        <v>42145</v>
      </c>
      <c r="B700">
        <v>5399.1499020000001</v>
      </c>
      <c r="C700">
        <v>5447.1499020000001</v>
      </c>
      <c r="D700">
        <v>5372.2001950000003</v>
      </c>
      <c r="E700">
        <v>5441.9501950000003</v>
      </c>
      <c r="F700" s="4">
        <f t="shared" si="71"/>
        <v>5368</v>
      </c>
      <c r="G700" s="4">
        <f t="shared" si="72"/>
        <v>5441.9501950000003</v>
      </c>
      <c r="H700" s="4" t="str">
        <f t="shared" si="73"/>
        <v>BUY</v>
      </c>
      <c r="I700" s="4">
        <f t="shared" si="70"/>
        <v>1</v>
      </c>
      <c r="J700" s="11">
        <f t="shared" si="74"/>
        <v>0</v>
      </c>
      <c r="K700" s="6">
        <f t="shared" si="75"/>
        <v>5399.3500979999999</v>
      </c>
      <c r="L700" s="4">
        <f t="shared" si="76"/>
        <v>0</v>
      </c>
    </row>
    <row r="701" spans="1:12" x14ac:dyDescent="0.25">
      <c r="A701" s="1">
        <v>42146</v>
      </c>
      <c r="B701">
        <v>5441.8999020000001</v>
      </c>
      <c r="C701">
        <v>5477.5</v>
      </c>
      <c r="D701">
        <v>5435.1499020000001</v>
      </c>
      <c r="E701">
        <v>5449.1000979999999</v>
      </c>
      <c r="F701" s="4">
        <f t="shared" si="71"/>
        <v>5368</v>
      </c>
      <c r="G701" s="4">
        <f t="shared" si="72"/>
        <v>5449.1000979999999</v>
      </c>
      <c r="H701" s="4" t="str">
        <f t="shared" si="73"/>
        <v>BUY</v>
      </c>
      <c r="I701" s="4">
        <f t="shared" si="70"/>
        <v>1</v>
      </c>
      <c r="J701" s="11">
        <f t="shared" si="74"/>
        <v>0</v>
      </c>
      <c r="K701" s="6">
        <f t="shared" si="75"/>
        <v>5399.3500979999999</v>
      </c>
      <c r="L701" s="4">
        <f t="shared" si="76"/>
        <v>0</v>
      </c>
    </row>
    <row r="702" spans="1:12" x14ac:dyDescent="0.25">
      <c r="A702" s="1">
        <v>42149</v>
      </c>
      <c r="B702">
        <v>5446.5498049999997</v>
      </c>
      <c r="C702">
        <v>5466.25</v>
      </c>
      <c r="D702">
        <v>5409.2001950000003</v>
      </c>
      <c r="E702">
        <v>5418.6000979999999</v>
      </c>
      <c r="F702" s="4">
        <f t="shared" si="71"/>
        <v>5368</v>
      </c>
      <c r="G702" s="4">
        <f t="shared" si="72"/>
        <v>5449.1000979999999</v>
      </c>
      <c r="H702" s="4">
        <f t="shared" si="73"/>
        <v>0</v>
      </c>
      <c r="I702" s="4">
        <f t="shared" si="70"/>
        <v>1</v>
      </c>
      <c r="J702" s="11">
        <f t="shared" si="74"/>
        <v>0</v>
      </c>
      <c r="K702" s="6">
        <f t="shared" si="75"/>
        <v>5399.3500979999999</v>
      </c>
      <c r="L702" s="4">
        <f t="shared" si="76"/>
        <v>0</v>
      </c>
    </row>
    <row r="703" spans="1:12" x14ac:dyDescent="0.25">
      <c r="A703" s="1">
        <v>42150</v>
      </c>
      <c r="B703">
        <v>5420.2001950000003</v>
      </c>
      <c r="C703">
        <v>5450.9501950000003</v>
      </c>
      <c r="D703">
        <v>5407.2001950000003</v>
      </c>
      <c r="E703">
        <v>5430.6000979999999</v>
      </c>
      <c r="F703" s="4">
        <f t="shared" si="71"/>
        <v>5399.3500979999999</v>
      </c>
      <c r="G703" s="4">
        <f t="shared" si="72"/>
        <v>5449.1000979999999</v>
      </c>
      <c r="H703" s="4">
        <f t="shared" si="73"/>
        <v>0</v>
      </c>
      <c r="I703" s="4">
        <f t="shared" si="70"/>
        <v>1</v>
      </c>
      <c r="J703" s="11">
        <f t="shared" si="74"/>
        <v>0</v>
      </c>
      <c r="K703" s="6">
        <f t="shared" si="75"/>
        <v>5399.3500979999999</v>
      </c>
      <c r="L703" s="4">
        <f t="shared" si="76"/>
        <v>0</v>
      </c>
    </row>
    <row r="704" spans="1:12" x14ac:dyDescent="0.25">
      <c r="A704" s="1">
        <v>42151</v>
      </c>
      <c r="B704">
        <v>5436.1000979999999</v>
      </c>
      <c r="C704">
        <v>5447.8500979999999</v>
      </c>
      <c r="D704">
        <v>5386.25</v>
      </c>
      <c r="E704">
        <v>5397.5498049999997</v>
      </c>
      <c r="F704" s="4">
        <f t="shared" si="71"/>
        <v>5397.5498049999997</v>
      </c>
      <c r="G704" s="4">
        <f t="shared" si="72"/>
        <v>5449.1000979999999</v>
      </c>
      <c r="H704" s="4" t="str">
        <f t="shared" si="73"/>
        <v>SELL</v>
      </c>
      <c r="I704" s="4">
        <f t="shared" si="70"/>
        <v>-1</v>
      </c>
      <c r="J704" s="11" t="str">
        <f t="shared" si="74"/>
        <v>SELL</v>
      </c>
      <c r="K704" s="6">
        <f t="shared" si="75"/>
        <v>5397.5498049999997</v>
      </c>
      <c r="L704" s="4">
        <f t="shared" si="76"/>
        <v>-3.3342772135985284E-4</v>
      </c>
    </row>
    <row r="705" spans="1:12" x14ac:dyDescent="0.25">
      <c r="A705" s="1">
        <v>42152</v>
      </c>
      <c r="B705">
        <v>5397.8500979999999</v>
      </c>
      <c r="C705">
        <v>5415.8500979999999</v>
      </c>
      <c r="D705">
        <v>5381.5498049999997</v>
      </c>
      <c r="E705">
        <v>5408.8999020000001</v>
      </c>
      <c r="F705" s="4">
        <f t="shared" si="71"/>
        <v>5397.5498049999997</v>
      </c>
      <c r="G705" s="4">
        <f t="shared" si="72"/>
        <v>5449.1000979999999</v>
      </c>
      <c r="H705" s="4">
        <f t="shared" si="73"/>
        <v>0</v>
      </c>
      <c r="I705" s="4">
        <f t="shared" si="70"/>
        <v>-1</v>
      </c>
      <c r="J705" s="11">
        <f t="shared" si="74"/>
        <v>0</v>
      </c>
      <c r="K705" s="6">
        <f t="shared" si="75"/>
        <v>5397.5498049999997</v>
      </c>
      <c r="L705" s="4">
        <f t="shared" si="76"/>
        <v>0</v>
      </c>
    </row>
    <row r="706" spans="1:12" x14ac:dyDescent="0.25">
      <c r="A706" s="1">
        <v>42153</v>
      </c>
      <c r="B706">
        <v>5408.3999020000001</v>
      </c>
      <c r="C706">
        <v>5413.25</v>
      </c>
      <c r="D706">
        <v>5349.2001950000003</v>
      </c>
      <c r="E706">
        <v>5367.6000979999999</v>
      </c>
      <c r="F706" s="4">
        <f t="shared" si="71"/>
        <v>5367.6000979999999</v>
      </c>
      <c r="G706" s="4">
        <f t="shared" si="72"/>
        <v>5430.6000979999999</v>
      </c>
      <c r="H706" s="4" t="str">
        <f t="shared" si="73"/>
        <v>SELL</v>
      </c>
      <c r="I706" s="4">
        <f t="shared" si="70"/>
        <v>-1</v>
      </c>
      <c r="J706" s="11">
        <f t="shared" si="74"/>
        <v>0</v>
      </c>
      <c r="K706" s="6">
        <f t="shared" si="75"/>
        <v>5397.5498049999997</v>
      </c>
      <c r="L706" s="4">
        <f t="shared" si="76"/>
        <v>0</v>
      </c>
    </row>
    <row r="707" spans="1:12" x14ac:dyDescent="0.25">
      <c r="A707" s="1">
        <v>42156</v>
      </c>
      <c r="B707">
        <v>5369.5498049999997</v>
      </c>
      <c r="C707">
        <v>5438.8500979999999</v>
      </c>
      <c r="D707">
        <v>5351.2998049999997</v>
      </c>
      <c r="E707">
        <v>5431.6499020000001</v>
      </c>
      <c r="F707" s="4">
        <f t="shared" si="71"/>
        <v>5367.6000979999999</v>
      </c>
      <c r="G707" s="4">
        <f t="shared" si="72"/>
        <v>5431.6499020000001</v>
      </c>
      <c r="H707" s="4" t="str">
        <f t="shared" si="73"/>
        <v>BUY</v>
      </c>
      <c r="I707" s="4">
        <f t="shared" si="70"/>
        <v>1</v>
      </c>
      <c r="J707" s="11" t="str">
        <f t="shared" si="74"/>
        <v>BUY</v>
      </c>
      <c r="K707" s="6">
        <f t="shared" si="75"/>
        <v>5431.6499020000001</v>
      </c>
      <c r="L707" s="4">
        <f t="shared" si="76"/>
        <v>-6.3176993695198448E-3</v>
      </c>
    </row>
    <row r="708" spans="1:12" x14ac:dyDescent="0.25">
      <c r="A708" s="1">
        <v>42157</v>
      </c>
      <c r="B708">
        <v>5432.5</v>
      </c>
      <c r="C708">
        <v>5459.2001950000003</v>
      </c>
      <c r="D708">
        <v>5426.3999020000001</v>
      </c>
      <c r="E708">
        <v>5439.5498049999997</v>
      </c>
      <c r="F708" s="4">
        <f t="shared" si="71"/>
        <v>5367.6000979999999</v>
      </c>
      <c r="G708" s="4">
        <f t="shared" si="72"/>
        <v>5439.5498049999997</v>
      </c>
      <c r="H708" s="4" t="str">
        <f t="shared" si="73"/>
        <v>BUY</v>
      </c>
      <c r="I708" s="4">
        <f t="shared" si="70"/>
        <v>1</v>
      </c>
      <c r="J708" s="11">
        <f t="shared" si="74"/>
        <v>0</v>
      </c>
      <c r="K708" s="6">
        <f t="shared" si="75"/>
        <v>5431.6499020000001</v>
      </c>
      <c r="L708" s="4">
        <f t="shared" si="76"/>
        <v>0</v>
      </c>
    </row>
    <row r="709" spans="1:12" x14ac:dyDescent="0.25">
      <c r="A709" s="1">
        <v>42158</v>
      </c>
      <c r="B709">
        <v>5441.3500979999999</v>
      </c>
      <c r="C709">
        <v>5481.8999020000001</v>
      </c>
      <c r="D709">
        <v>5428.3999020000001</v>
      </c>
      <c r="E709">
        <v>5467.8500979999999</v>
      </c>
      <c r="F709" s="4">
        <f t="shared" si="71"/>
        <v>5367.6000979999999</v>
      </c>
      <c r="G709" s="4">
        <f t="shared" si="72"/>
        <v>5467.8500979999999</v>
      </c>
      <c r="H709" s="4" t="str">
        <f t="shared" si="73"/>
        <v>BUY</v>
      </c>
      <c r="I709" s="4">
        <f t="shared" si="70"/>
        <v>1</v>
      </c>
      <c r="J709" s="11">
        <f t="shared" si="74"/>
        <v>0</v>
      </c>
      <c r="K709" s="6">
        <f t="shared" si="75"/>
        <v>5431.6499020000001</v>
      </c>
      <c r="L709" s="4">
        <f t="shared" si="76"/>
        <v>0</v>
      </c>
    </row>
    <row r="710" spans="1:12" x14ac:dyDescent="0.25">
      <c r="A710" s="1">
        <v>42159</v>
      </c>
      <c r="B710">
        <v>5470.1499020000001</v>
      </c>
      <c r="C710">
        <v>5487.1499020000001</v>
      </c>
      <c r="D710">
        <v>5443.1000979999999</v>
      </c>
      <c r="E710">
        <v>5447.1000979999999</v>
      </c>
      <c r="F710" s="4">
        <f t="shared" si="71"/>
        <v>5367.6000979999999</v>
      </c>
      <c r="G710" s="4">
        <f t="shared" si="72"/>
        <v>5467.8500979999999</v>
      </c>
      <c r="H710" s="4">
        <f t="shared" si="73"/>
        <v>0</v>
      </c>
      <c r="I710" s="4">
        <f t="shared" ref="I710:I773" si="77">IF(AND(H710="BUY",I709&lt;&gt;1),1,IF(AND(H710="SELL",I709&lt;&gt;-1),-1,I709))</f>
        <v>1</v>
      </c>
      <c r="J710" s="11">
        <f t="shared" si="74"/>
        <v>0</v>
      </c>
      <c r="K710" s="6">
        <f t="shared" si="75"/>
        <v>5431.6499020000001</v>
      </c>
      <c r="L710" s="4">
        <f t="shared" si="76"/>
        <v>0</v>
      </c>
    </row>
    <row r="711" spans="1:12" x14ac:dyDescent="0.25">
      <c r="A711" s="1">
        <v>42160</v>
      </c>
      <c r="B711">
        <v>5448.25</v>
      </c>
      <c r="C711">
        <v>5471.8999020000001</v>
      </c>
      <c r="D711">
        <v>5431.3500979999999</v>
      </c>
      <c r="E711">
        <v>5439.25</v>
      </c>
      <c r="F711" s="4">
        <f t="shared" ref="F711:F774" si="78">MIN(E707:E711)</f>
        <v>5431.6499020000001</v>
      </c>
      <c r="G711" s="4">
        <f t="shared" ref="G711:G774" si="79">MAX(E707:E711)</f>
        <v>5467.8500979999999</v>
      </c>
      <c r="H711" s="4">
        <f t="shared" ref="H711:H774" si="80">IF(E711&gt;G710,"BUY",IF(E711&lt;F710,"SELL",0))</f>
        <v>0</v>
      </c>
      <c r="I711" s="4">
        <f t="shared" si="77"/>
        <v>1</v>
      </c>
      <c r="J711" s="11">
        <f t="shared" ref="J711:J774" si="81">IF(I711&lt;&gt;I710,H711,0)</f>
        <v>0</v>
      </c>
      <c r="K711" s="6">
        <f t="shared" ref="K711:K774" si="82">IF(J711&lt;&gt;0,E711,K710)</f>
        <v>5431.6499020000001</v>
      </c>
      <c r="L711" s="4">
        <f t="shared" si="76"/>
        <v>0</v>
      </c>
    </row>
    <row r="712" spans="1:12" x14ac:dyDescent="0.25">
      <c r="A712" s="1">
        <v>42163</v>
      </c>
      <c r="B712">
        <v>5439.7998049999997</v>
      </c>
      <c r="C712">
        <v>5492.2998049999997</v>
      </c>
      <c r="D712">
        <v>5433.25</v>
      </c>
      <c r="E712">
        <v>5486.1499020000001</v>
      </c>
      <c r="F712" s="4">
        <f t="shared" si="78"/>
        <v>5439.25</v>
      </c>
      <c r="G712" s="4">
        <f t="shared" si="79"/>
        <v>5486.1499020000001</v>
      </c>
      <c r="H712" s="4" t="str">
        <f t="shared" si="80"/>
        <v>BUY</v>
      </c>
      <c r="I712" s="4">
        <f t="shared" si="77"/>
        <v>1</v>
      </c>
      <c r="J712" s="11">
        <f t="shared" si="81"/>
        <v>0</v>
      </c>
      <c r="K712" s="6">
        <f t="shared" si="82"/>
        <v>5431.6499020000001</v>
      </c>
      <c r="L712" s="4">
        <f t="shared" ref="L712:L775" si="83">IF(J712="BUY",(K711-K712)/K711,IF(J712="SELL",(K713-K711)/K711,0))</f>
        <v>0</v>
      </c>
    </row>
    <row r="713" spans="1:12" x14ac:dyDescent="0.25">
      <c r="A713" s="1">
        <v>42164</v>
      </c>
      <c r="B713">
        <v>5486.7998049999997</v>
      </c>
      <c r="C713">
        <v>5491.4501950000003</v>
      </c>
      <c r="D713">
        <v>5445.3500979999999</v>
      </c>
      <c r="E713">
        <v>5460.7001950000003</v>
      </c>
      <c r="F713" s="4">
        <f t="shared" si="78"/>
        <v>5439.25</v>
      </c>
      <c r="G713" s="4">
        <f t="shared" si="79"/>
        <v>5486.1499020000001</v>
      </c>
      <c r="H713" s="4">
        <f t="shared" si="80"/>
        <v>0</v>
      </c>
      <c r="I713" s="4">
        <f t="shared" si="77"/>
        <v>1</v>
      </c>
      <c r="J713" s="11">
        <f t="shared" si="81"/>
        <v>0</v>
      </c>
      <c r="K713" s="6">
        <f t="shared" si="82"/>
        <v>5431.6499020000001</v>
      </c>
      <c r="L713" s="4">
        <f t="shared" si="83"/>
        <v>0</v>
      </c>
    </row>
    <row r="714" spans="1:12" x14ac:dyDescent="0.25">
      <c r="A714" s="1">
        <v>42165</v>
      </c>
      <c r="B714">
        <v>5460.7001950000003</v>
      </c>
      <c r="C714">
        <v>5474.6000979999999</v>
      </c>
      <c r="D714">
        <v>5412</v>
      </c>
      <c r="E714">
        <v>5420.6000979999999</v>
      </c>
      <c r="F714" s="4">
        <f t="shared" si="78"/>
        <v>5420.6000979999999</v>
      </c>
      <c r="G714" s="4">
        <f t="shared" si="79"/>
        <v>5486.1499020000001</v>
      </c>
      <c r="H714" s="4" t="str">
        <f t="shared" si="80"/>
        <v>SELL</v>
      </c>
      <c r="I714" s="4">
        <f t="shared" si="77"/>
        <v>-1</v>
      </c>
      <c r="J714" s="11" t="str">
        <f t="shared" si="81"/>
        <v>SELL</v>
      </c>
      <c r="K714" s="6">
        <f t="shared" si="82"/>
        <v>5420.6000979999999</v>
      </c>
      <c r="L714" s="4">
        <f t="shared" si="83"/>
        <v>-2.0343365642788479E-3</v>
      </c>
    </row>
    <row r="715" spans="1:12" x14ac:dyDescent="0.25">
      <c r="A715" s="1">
        <v>42166</v>
      </c>
      <c r="B715">
        <v>5418.7001950000003</v>
      </c>
      <c r="C715">
        <v>5431.1000979999999</v>
      </c>
      <c r="D715">
        <v>5372.4501950000003</v>
      </c>
      <c r="E715">
        <v>5416.4501950000003</v>
      </c>
      <c r="F715" s="4">
        <f t="shared" si="78"/>
        <v>5416.4501950000003</v>
      </c>
      <c r="G715" s="4">
        <f t="shared" si="79"/>
        <v>5486.1499020000001</v>
      </c>
      <c r="H715" s="4" t="str">
        <f t="shared" si="80"/>
        <v>SELL</v>
      </c>
      <c r="I715" s="4">
        <f t="shared" si="77"/>
        <v>-1</v>
      </c>
      <c r="J715" s="11">
        <f t="shared" si="81"/>
        <v>0</v>
      </c>
      <c r="K715" s="6">
        <f t="shared" si="82"/>
        <v>5420.6000979999999</v>
      </c>
      <c r="L715" s="4">
        <f t="shared" si="83"/>
        <v>0</v>
      </c>
    </row>
    <row r="716" spans="1:12" x14ac:dyDescent="0.25">
      <c r="A716" s="1">
        <v>42167</v>
      </c>
      <c r="B716">
        <v>5420.6499020000001</v>
      </c>
      <c r="C716">
        <v>5476.5</v>
      </c>
      <c r="D716">
        <v>5415.5</v>
      </c>
      <c r="E716">
        <v>5452.1000979999999</v>
      </c>
      <c r="F716" s="4">
        <f t="shared" si="78"/>
        <v>5416.4501950000003</v>
      </c>
      <c r="G716" s="4">
        <f t="shared" si="79"/>
        <v>5486.1499020000001</v>
      </c>
      <c r="H716" s="4">
        <f t="shared" si="80"/>
        <v>0</v>
      </c>
      <c r="I716" s="4">
        <f t="shared" si="77"/>
        <v>-1</v>
      </c>
      <c r="J716" s="11">
        <f t="shared" si="81"/>
        <v>0</v>
      </c>
      <c r="K716" s="6">
        <f t="shared" si="82"/>
        <v>5420.6000979999999</v>
      </c>
      <c r="L716" s="4">
        <f t="shared" si="83"/>
        <v>0</v>
      </c>
    </row>
    <row r="717" spans="1:12" x14ac:dyDescent="0.25">
      <c r="A717" s="1">
        <v>42170</v>
      </c>
      <c r="B717">
        <v>5452.1000979999999</v>
      </c>
      <c r="C717">
        <v>5465.25</v>
      </c>
      <c r="D717">
        <v>5397.3999020000001</v>
      </c>
      <c r="E717">
        <v>5418.2998049999997</v>
      </c>
      <c r="F717" s="4">
        <f t="shared" si="78"/>
        <v>5416.4501950000003</v>
      </c>
      <c r="G717" s="4">
        <f t="shared" si="79"/>
        <v>5460.7001950000003</v>
      </c>
      <c r="H717" s="4">
        <f t="shared" si="80"/>
        <v>0</v>
      </c>
      <c r="I717" s="4">
        <f t="shared" si="77"/>
        <v>-1</v>
      </c>
      <c r="J717" s="11">
        <f t="shared" si="81"/>
        <v>0</v>
      </c>
      <c r="K717" s="6">
        <f t="shared" si="82"/>
        <v>5420.6000979999999</v>
      </c>
      <c r="L717" s="4">
        <f t="shared" si="83"/>
        <v>0</v>
      </c>
    </row>
    <row r="718" spans="1:12" x14ac:dyDescent="0.25">
      <c r="A718" s="1">
        <v>42171</v>
      </c>
      <c r="B718">
        <v>5422.1499020000001</v>
      </c>
      <c r="C718">
        <v>5443.5498049999997</v>
      </c>
      <c r="D718">
        <v>5408.7998049999997</v>
      </c>
      <c r="E718">
        <v>5414.1499020000001</v>
      </c>
      <c r="F718" s="4">
        <f t="shared" si="78"/>
        <v>5414.1499020000001</v>
      </c>
      <c r="G718" s="4">
        <f t="shared" si="79"/>
        <v>5452.1000979999999</v>
      </c>
      <c r="H718" s="4" t="str">
        <f t="shared" si="80"/>
        <v>SELL</v>
      </c>
      <c r="I718" s="4">
        <f t="shared" si="77"/>
        <v>-1</v>
      </c>
      <c r="J718" s="11">
        <f t="shared" si="81"/>
        <v>0</v>
      </c>
      <c r="K718" s="6">
        <f t="shared" si="82"/>
        <v>5420.6000979999999</v>
      </c>
      <c r="L718" s="4">
        <f t="shared" si="83"/>
        <v>0</v>
      </c>
    </row>
    <row r="719" spans="1:12" x14ac:dyDescent="0.25">
      <c r="A719" s="1">
        <v>42172</v>
      </c>
      <c r="B719">
        <v>5416.25</v>
      </c>
      <c r="C719">
        <v>5487.9501950000003</v>
      </c>
      <c r="D719">
        <v>5416.25</v>
      </c>
      <c r="E719">
        <v>5479.1499020000001</v>
      </c>
      <c r="F719" s="4">
        <f t="shared" si="78"/>
        <v>5414.1499020000001</v>
      </c>
      <c r="G719" s="4">
        <f t="shared" si="79"/>
        <v>5479.1499020000001</v>
      </c>
      <c r="H719" s="4" t="str">
        <f t="shared" si="80"/>
        <v>BUY</v>
      </c>
      <c r="I719" s="4">
        <f t="shared" si="77"/>
        <v>1</v>
      </c>
      <c r="J719" s="11" t="str">
        <f t="shared" si="81"/>
        <v>BUY</v>
      </c>
      <c r="K719" s="6">
        <f t="shared" si="82"/>
        <v>5479.1499020000001</v>
      </c>
      <c r="L719" s="4">
        <f t="shared" si="83"/>
        <v>-1.0801350946660486E-2</v>
      </c>
    </row>
    <row r="720" spans="1:12" x14ac:dyDescent="0.25">
      <c r="A720" s="1">
        <v>42173</v>
      </c>
      <c r="B720">
        <v>5478.25</v>
      </c>
      <c r="C720">
        <v>5544.7001950000003</v>
      </c>
      <c r="D720">
        <v>5478.1000979999999</v>
      </c>
      <c r="E720">
        <v>5540.2001950000003</v>
      </c>
      <c r="F720" s="4">
        <f t="shared" si="78"/>
        <v>5414.1499020000001</v>
      </c>
      <c r="G720" s="4">
        <f t="shared" si="79"/>
        <v>5540.2001950000003</v>
      </c>
      <c r="H720" s="4" t="str">
        <f t="shared" si="80"/>
        <v>BUY</v>
      </c>
      <c r="I720" s="4">
        <f t="shared" si="77"/>
        <v>1</v>
      </c>
      <c r="J720" s="11">
        <f t="shared" si="81"/>
        <v>0</v>
      </c>
      <c r="K720" s="6">
        <f t="shared" si="82"/>
        <v>5479.1499020000001</v>
      </c>
      <c r="L720" s="4">
        <f t="shared" si="83"/>
        <v>0</v>
      </c>
    </row>
    <row r="721" spans="1:12" x14ac:dyDescent="0.25">
      <c r="A721" s="1">
        <v>42174</v>
      </c>
      <c r="B721">
        <v>5540.7998049999997</v>
      </c>
      <c r="C721">
        <v>5546.6000979999999</v>
      </c>
      <c r="D721">
        <v>5513.3500979999999</v>
      </c>
      <c r="E721">
        <v>5530.6499020000001</v>
      </c>
      <c r="F721" s="4">
        <f t="shared" si="78"/>
        <v>5414.1499020000001</v>
      </c>
      <c r="G721" s="4">
        <f t="shared" si="79"/>
        <v>5540.2001950000003</v>
      </c>
      <c r="H721" s="4">
        <f t="shared" si="80"/>
        <v>0</v>
      </c>
      <c r="I721" s="4">
        <f t="shared" si="77"/>
        <v>1</v>
      </c>
      <c r="J721" s="11">
        <f t="shared" si="81"/>
        <v>0</v>
      </c>
      <c r="K721" s="6">
        <f t="shared" si="82"/>
        <v>5479.1499020000001</v>
      </c>
      <c r="L721" s="4">
        <f t="shared" si="83"/>
        <v>0</v>
      </c>
    </row>
    <row r="722" spans="1:12" x14ac:dyDescent="0.25">
      <c r="A722" s="1">
        <v>42177</v>
      </c>
      <c r="B722">
        <v>5531.1499020000001</v>
      </c>
      <c r="C722">
        <v>5549.7998049999997</v>
      </c>
      <c r="D722">
        <v>5519.3999020000001</v>
      </c>
      <c r="E722">
        <v>5543.5</v>
      </c>
      <c r="F722" s="4">
        <f t="shared" si="78"/>
        <v>5414.1499020000001</v>
      </c>
      <c r="G722" s="4">
        <f t="shared" si="79"/>
        <v>5543.5</v>
      </c>
      <c r="H722" s="4" t="str">
        <f t="shared" si="80"/>
        <v>BUY</v>
      </c>
      <c r="I722" s="4">
        <f t="shared" si="77"/>
        <v>1</v>
      </c>
      <c r="J722" s="11">
        <f t="shared" si="81"/>
        <v>0</v>
      </c>
      <c r="K722" s="6">
        <f t="shared" si="82"/>
        <v>5479.1499020000001</v>
      </c>
      <c r="L722" s="4">
        <f t="shared" si="83"/>
        <v>0</v>
      </c>
    </row>
    <row r="723" spans="1:12" x14ac:dyDescent="0.25">
      <c r="A723" s="1">
        <v>42178</v>
      </c>
      <c r="B723">
        <v>5541.1000979999999</v>
      </c>
      <c r="C723">
        <v>5547.25</v>
      </c>
      <c r="D723">
        <v>5488.4501950000003</v>
      </c>
      <c r="E723">
        <v>5505.1000979999999</v>
      </c>
      <c r="F723" s="4">
        <f t="shared" si="78"/>
        <v>5479.1499020000001</v>
      </c>
      <c r="G723" s="4">
        <f t="shared" si="79"/>
        <v>5543.5</v>
      </c>
      <c r="H723" s="4">
        <f t="shared" si="80"/>
        <v>0</v>
      </c>
      <c r="I723" s="4">
        <f t="shared" si="77"/>
        <v>1</v>
      </c>
      <c r="J723" s="11">
        <f t="shared" si="81"/>
        <v>0</v>
      </c>
      <c r="K723" s="6">
        <f t="shared" si="82"/>
        <v>5479.1499020000001</v>
      </c>
      <c r="L723" s="4">
        <f t="shared" si="83"/>
        <v>0</v>
      </c>
    </row>
    <row r="724" spans="1:12" x14ac:dyDescent="0.25">
      <c r="A724" s="1">
        <v>42179</v>
      </c>
      <c r="B724">
        <v>5505.2998049999997</v>
      </c>
      <c r="C724">
        <v>5506.1499020000001</v>
      </c>
      <c r="D724">
        <v>5452.5498049999997</v>
      </c>
      <c r="E724">
        <v>5462.3500979999999</v>
      </c>
      <c r="F724" s="4">
        <f t="shared" si="78"/>
        <v>5462.3500979999999</v>
      </c>
      <c r="G724" s="4">
        <f t="shared" si="79"/>
        <v>5543.5</v>
      </c>
      <c r="H724" s="4" t="str">
        <f t="shared" si="80"/>
        <v>SELL</v>
      </c>
      <c r="I724" s="4">
        <f t="shared" si="77"/>
        <v>-1</v>
      </c>
      <c r="J724" s="11" t="str">
        <f t="shared" si="81"/>
        <v>SELL</v>
      </c>
      <c r="K724" s="6">
        <f t="shared" si="82"/>
        <v>5462.3500979999999</v>
      </c>
      <c r="L724" s="4">
        <f t="shared" si="83"/>
        <v>-3.0661333054362969E-3</v>
      </c>
    </row>
    <row r="725" spans="1:12" x14ac:dyDescent="0.25">
      <c r="A725" s="1">
        <v>42180</v>
      </c>
      <c r="B725">
        <v>5462.1000979999999</v>
      </c>
      <c r="C725">
        <v>5486.5498049999997</v>
      </c>
      <c r="D725">
        <v>5454.7001950000003</v>
      </c>
      <c r="E725">
        <v>5477.8999020000001</v>
      </c>
      <c r="F725" s="4">
        <f t="shared" si="78"/>
        <v>5462.3500979999999</v>
      </c>
      <c r="G725" s="4">
        <f t="shared" si="79"/>
        <v>5543.5</v>
      </c>
      <c r="H725" s="4">
        <f t="shared" si="80"/>
        <v>0</v>
      </c>
      <c r="I725" s="4">
        <f t="shared" si="77"/>
        <v>-1</v>
      </c>
      <c r="J725" s="11">
        <f t="shared" si="81"/>
        <v>0</v>
      </c>
      <c r="K725" s="6">
        <f t="shared" si="82"/>
        <v>5462.3500979999999</v>
      </c>
      <c r="L725" s="4">
        <f t="shared" si="83"/>
        <v>0</v>
      </c>
    </row>
    <row r="726" spans="1:12" x14ac:dyDescent="0.25">
      <c r="A726" s="1">
        <v>42181</v>
      </c>
      <c r="B726">
        <v>5489.6000979999999</v>
      </c>
      <c r="C726">
        <v>5495.2001950000003</v>
      </c>
      <c r="D726">
        <v>5391.9501950000003</v>
      </c>
      <c r="E726">
        <v>5408.7001950000003</v>
      </c>
      <c r="F726" s="4">
        <f t="shared" si="78"/>
        <v>5408.7001950000003</v>
      </c>
      <c r="G726" s="4">
        <f t="shared" si="79"/>
        <v>5543.5</v>
      </c>
      <c r="H726" s="4" t="str">
        <f t="shared" si="80"/>
        <v>SELL</v>
      </c>
      <c r="I726" s="4">
        <f t="shared" si="77"/>
        <v>-1</v>
      </c>
      <c r="J726" s="11">
        <f t="shared" si="81"/>
        <v>0</v>
      </c>
      <c r="K726" s="6">
        <f t="shared" si="82"/>
        <v>5462.3500979999999</v>
      </c>
      <c r="L726" s="4">
        <f t="shared" si="83"/>
        <v>0</v>
      </c>
    </row>
    <row r="727" spans="1:12" x14ac:dyDescent="0.25">
      <c r="A727" s="1">
        <v>42184</v>
      </c>
      <c r="B727">
        <v>5408.8999020000001</v>
      </c>
      <c r="C727">
        <v>5469</v>
      </c>
      <c r="D727">
        <v>5390.3500979999999</v>
      </c>
      <c r="E727">
        <v>5415.4501950000003</v>
      </c>
      <c r="F727" s="4">
        <f t="shared" si="78"/>
        <v>5408.7001950000003</v>
      </c>
      <c r="G727" s="4">
        <f t="shared" si="79"/>
        <v>5505.1000979999999</v>
      </c>
      <c r="H727" s="4">
        <f t="shared" si="80"/>
        <v>0</v>
      </c>
      <c r="I727" s="4">
        <f t="shared" si="77"/>
        <v>-1</v>
      </c>
      <c r="J727" s="11">
        <f t="shared" si="81"/>
        <v>0</v>
      </c>
      <c r="K727" s="6">
        <f t="shared" si="82"/>
        <v>5462.3500979999999</v>
      </c>
      <c r="L727" s="4">
        <f t="shared" si="83"/>
        <v>0</v>
      </c>
    </row>
    <row r="728" spans="1:12" x14ac:dyDescent="0.25">
      <c r="A728" s="1">
        <v>42185</v>
      </c>
      <c r="B728">
        <v>5413.5498049999997</v>
      </c>
      <c r="C728">
        <v>5413.8999020000001</v>
      </c>
      <c r="D728">
        <v>5348.8999020000001</v>
      </c>
      <c r="E728">
        <v>5402.3999020000001</v>
      </c>
      <c r="F728" s="4">
        <f t="shared" si="78"/>
        <v>5402.3999020000001</v>
      </c>
      <c r="G728" s="4">
        <f t="shared" si="79"/>
        <v>5477.8999020000001</v>
      </c>
      <c r="H728" s="4" t="str">
        <f t="shared" si="80"/>
        <v>SELL</v>
      </c>
      <c r="I728" s="4">
        <f t="shared" si="77"/>
        <v>-1</v>
      </c>
      <c r="J728" s="11">
        <f t="shared" si="81"/>
        <v>0</v>
      </c>
      <c r="K728" s="6">
        <f t="shared" si="82"/>
        <v>5462.3500979999999</v>
      </c>
      <c r="L728" s="4">
        <f t="shared" si="83"/>
        <v>0</v>
      </c>
    </row>
    <row r="729" spans="1:12" x14ac:dyDescent="0.25">
      <c r="A729" s="1">
        <v>42186</v>
      </c>
      <c r="B729">
        <v>5403.0498049999997</v>
      </c>
      <c r="C729">
        <v>5478.6000979999999</v>
      </c>
      <c r="D729">
        <v>5403.0498049999997</v>
      </c>
      <c r="E729">
        <v>5471.8500979999999</v>
      </c>
      <c r="F729" s="4">
        <f t="shared" si="78"/>
        <v>5402.3999020000001</v>
      </c>
      <c r="G729" s="4">
        <f t="shared" si="79"/>
        <v>5477.8999020000001</v>
      </c>
      <c r="H729" s="4">
        <f t="shared" si="80"/>
        <v>0</v>
      </c>
      <c r="I729" s="4">
        <f t="shared" si="77"/>
        <v>-1</v>
      </c>
      <c r="J729" s="11">
        <f t="shared" si="81"/>
        <v>0</v>
      </c>
      <c r="K729" s="6">
        <f t="shared" si="82"/>
        <v>5462.3500979999999</v>
      </c>
      <c r="L729" s="4">
        <f t="shared" si="83"/>
        <v>0</v>
      </c>
    </row>
    <row r="730" spans="1:12" x14ac:dyDescent="0.25">
      <c r="A730" s="1">
        <v>42187</v>
      </c>
      <c r="B730">
        <v>5471.8999020000001</v>
      </c>
      <c r="C730">
        <v>5513.9501950000003</v>
      </c>
      <c r="D730">
        <v>5471.8500979999999</v>
      </c>
      <c r="E730">
        <v>5486.1499020000001</v>
      </c>
      <c r="F730" s="4">
        <f t="shared" si="78"/>
        <v>5402.3999020000001</v>
      </c>
      <c r="G730" s="4">
        <f t="shared" si="79"/>
        <v>5486.1499020000001</v>
      </c>
      <c r="H730" s="4" t="str">
        <f t="shared" si="80"/>
        <v>BUY</v>
      </c>
      <c r="I730" s="4">
        <f t="shared" si="77"/>
        <v>1</v>
      </c>
      <c r="J730" s="11" t="str">
        <f t="shared" si="81"/>
        <v>BUY</v>
      </c>
      <c r="K730" s="6">
        <f t="shared" si="82"/>
        <v>5486.1499020000001</v>
      </c>
      <c r="L730" s="4">
        <f t="shared" si="83"/>
        <v>-4.3570630906126558E-3</v>
      </c>
    </row>
    <row r="731" spans="1:12" x14ac:dyDescent="0.25">
      <c r="A731" s="1">
        <v>42188</v>
      </c>
      <c r="B731">
        <v>5486.2998049999997</v>
      </c>
      <c r="C731">
        <v>5510.3999020000001</v>
      </c>
      <c r="D731">
        <v>5473.6499020000001</v>
      </c>
      <c r="E731">
        <v>5479.3999020000001</v>
      </c>
      <c r="F731" s="4">
        <f t="shared" si="78"/>
        <v>5402.3999020000001</v>
      </c>
      <c r="G731" s="4">
        <f t="shared" si="79"/>
        <v>5486.1499020000001</v>
      </c>
      <c r="H731" s="4">
        <f t="shared" si="80"/>
        <v>0</v>
      </c>
      <c r="I731" s="4">
        <f t="shared" si="77"/>
        <v>1</v>
      </c>
      <c r="J731" s="11">
        <f t="shared" si="81"/>
        <v>0</v>
      </c>
      <c r="K731" s="6">
        <f t="shared" si="82"/>
        <v>5486.1499020000001</v>
      </c>
      <c r="L731" s="4">
        <f t="shared" si="83"/>
        <v>0</v>
      </c>
    </row>
    <row r="732" spans="1:12" x14ac:dyDescent="0.25">
      <c r="A732" s="1">
        <v>42191</v>
      </c>
      <c r="B732">
        <v>5479.5498049999997</v>
      </c>
      <c r="C732">
        <v>5589.3999020000001</v>
      </c>
      <c r="D732">
        <v>5479.5498049999997</v>
      </c>
      <c r="E732">
        <v>5576.9501950000003</v>
      </c>
      <c r="F732" s="4">
        <f t="shared" si="78"/>
        <v>5402.3999020000001</v>
      </c>
      <c r="G732" s="4">
        <f t="shared" si="79"/>
        <v>5576.9501950000003</v>
      </c>
      <c r="H732" s="4" t="str">
        <f t="shared" si="80"/>
        <v>BUY</v>
      </c>
      <c r="I732" s="4">
        <f t="shared" si="77"/>
        <v>1</v>
      </c>
      <c r="J732" s="11">
        <f t="shared" si="81"/>
        <v>0</v>
      </c>
      <c r="K732" s="6">
        <f t="shared" si="82"/>
        <v>5486.1499020000001</v>
      </c>
      <c r="L732" s="4">
        <f t="shared" si="83"/>
        <v>0</v>
      </c>
    </row>
    <row r="733" spans="1:12" x14ac:dyDescent="0.25">
      <c r="A733" s="1">
        <v>42192</v>
      </c>
      <c r="B733">
        <v>5575.8999020000001</v>
      </c>
      <c r="C733">
        <v>5625.5</v>
      </c>
      <c r="D733">
        <v>5571.6499020000001</v>
      </c>
      <c r="E733">
        <v>5604</v>
      </c>
      <c r="F733" s="4">
        <f t="shared" si="78"/>
        <v>5471.8500979999999</v>
      </c>
      <c r="G733" s="4">
        <f t="shared" si="79"/>
        <v>5604</v>
      </c>
      <c r="H733" s="4" t="str">
        <f t="shared" si="80"/>
        <v>BUY</v>
      </c>
      <c r="I733" s="4">
        <f t="shared" si="77"/>
        <v>1</v>
      </c>
      <c r="J733" s="11">
        <f t="shared" si="81"/>
        <v>0</v>
      </c>
      <c r="K733" s="6">
        <f t="shared" si="82"/>
        <v>5486.1499020000001</v>
      </c>
      <c r="L733" s="4">
        <f t="shared" si="83"/>
        <v>0</v>
      </c>
    </row>
    <row r="734" spans="1:12" x14ac:dyDescent="0.25">
      <c r="A734" s="1">
        <v>42193</v>
      </c>
      <c r="B734">
        <v>5604.25</v>
      </c>
      <c r="C734">
        <v>5625.2998049999997</v>
      </c>
      <c r="D734">
        <v>5567.75</v>
      </c>
      <c r="E734">
        <v>5607.8500979999999</v>
      </c>
      <c r="F734" s="4">
        <f t="shared" si="78"/>
        <v>5479.3999020000001</v>
      </c>
      <c r="G734" s="4">
        <f t="shared" si="79"/>
        <v>5607.8500979999999</v>
      </c>
      <c r="H734" s="4" t="str">
        <f t="shared" si="80"/>
        <v>BUY</v>
      </c>
      <c r="I734" s="4">
        <f t="shared" si="77"/>
        <v>1</v>
      </c>
      <c r="J734" s="11">
        <f t="shared" si="81"/>
        <v>0</v>
      </c>
      <c r="K734" s="6">
        <f t="shared" si="82"/>
        <v>5486.1499020000001</v>
      </c>
      <c r="L734" s="4">
        <f t="shared" si="83"/>
        <v>0</v>
      </c>
    </row>
    <row r="735" spans="1:12" x14ac:dyDescent="0.25">
      <c r="A735" s="1">
        <v>42194</v>
      </c>
      <c r="B735">
        <v>5608.2998049999997</v>
      </c>
      <c r="C735">
        <v>5647.4501950000003</v>
      </c>
      <c r="D735">
        <v>5608.1000979999999</v>
      </c>
      <c r="E735">
        <v>5640.0498049999997</v>
      </c>
      <c r="F735" s="4">
        <f t="shared" si="78"/>
        <v>5479.3999020000001</v>
      </c>
      <c r="G735" s="4">
        <f t="shared" si="79"/>
        <v>5640.0498049999997</v>
      </c>
      <c r="H735" s="4" t="str">
        <f t="shared" si="80"/>
        <v>BUY</v>
      </c>
      <c r="I735" s="4">
        <f t="shared" si="77"/>
        <v>1</v>
      </c>
      <c r="J735" s="11">
        <f t="shared" si="81"/>
        <v>0</v>
      </c>
      <c r="K735" s="6">
        <f t="shared" si="82"/>
        <v>5486.1499020000001</v>
      </c>
      <c r="L735" s="4">
        <f t="shared" si="83"/>
        <v>0</v>
      </c>
    </row>
    <row r="736" spans="1:12" x14ac:dyDescent="0.25">
      <c r="A736" s="1">
        <v>42195</v>
      </c>
      <c r="B736">
        <v>5639.2001950000003</v>
      </c>
      <c r="C736">
        <v>5770.6000979999999</v>
      </c>
      <c r="D736">
        <v>5639.2001950000003</v>
      </c>
      <c r="E736">
        <v>5760</v>
      </c>
      <c r="F736" s="4">
        <f t="shared" si="78"/>
        <v>5576.9501950000003</v>
      </c>
      <c r="G736" s="4">
        <f t="shared" si="79"/>
        <v>5760</v>
      </c>
      <c r="H736" s="4" t="str">
        <f t="shared" si="80"/>
        <v>BUY</v>
      </c>
      <c r="I736" s="4">
        <f t="shared" si="77"/>
        <v>1</v>
      </c>
      <c r="J736" s="11">
        <f t="shared" si="81"/>
        <v>0</v>
      </c>
      <c r="K736" s="6">
        <f t="shared" si="82"/>
        <v>5486.1499020000001</v>
      </c>
      <c r="L736" s="4">
        <f t="shared" si="83"/>
        <v>0</v>
      </c>
    </row>
    <row r="737" spans="1:12" x14ac:dyDescent="0.25">
      <c r="A737" s="1">
        <v>42198</v>
      </c>
      <c r="B737">
        <v>5760.2998049999997</v>
      </c>
      <c r="C737">
        <v>5838.4501950000003</v>
      </c>
      <c r="D737">
        <v>5760.2998049999997</v>
      </c>
      <c r="E737">
        <v>5795.5498049999997</v>
      </c>
      <c r="F737" s="4">
        <f t="shared" si="78"/>
        <v>5604</v>
      </c>
      <c r="G737" s="4">
        <f t="shared" si="79"/>
        <v>5795.5498049999997</v>
      </c>
      <c r="H737" s="4" t="str">
        <f t="shared" si="80"/>
        <v>BUY</v>
      </c>
      <c r="I737" s="4">
        <f t="shared" si="77"/>
        <v>1</v>
      </c>
      <c r="J737" s="11">
        <f t="shared" si="81"/>
        <v>0</v>
      </c>
      <c r="K737" s="6">
        <f t="shared" si="82"/>
        <v>5486.1499020000001</v>
      </c>
      <c r="L737" s="4">
        <f t="shared" si="83"/>
        <v>0</v>
      </c>
    </row>
    <row r="738" spans="1:12" x14ac:dyDescent="0.25">
      <c r="A738" s="1">
        <v>42199</v>
      </c>
      <c r="B738">
        <v>5795.25</v>
      </c>
      <c r="C738">
        <v>5869.4501950000003</v>
      </c>
      <c r="D738">
        <v>5792.2001950000003</v>
      </c>
      <c r="E738">
        <v>5860.9501950000003</v>
      </c>
      <c r="F738" s="4">
        <f t="shared" si="78"/>
        <v>5607.8500979999999</v>
      </c>
      <c r="G738" s="4">
        <f t="shared" si="79"/>
        <v>5860.9501950000003</v>
      </c>
      <c r="H738" s="4" t="str">
        <f t="shared" si="80"/>
        <v>BUY</v>
      </c>
      <c r="I738" s="4">
        <f t="shared" si="77"/>
        <v>1</v>
      </c>
      <c r="J738" s="11">
        <f t="shared" si="81"/>
        <v>0</v>
      </c>
      <c r="K738" s="6">
        <f t="shared" si="82"/>
        <v>5486.1499020000001</v>
      </c>
      <c r="L738" s="4">
        <f t="shared" si="83"/>
        <v>0</v>
      </c>
    </row>
    <row r="739" spans="1:12" x14ac:dyDescent="0.25">
      <c r="A739" s="1">
        <v>42200</v>
      </c>
      <c r="B739">
        <v>5861.1000979999999</v>
      </c>
      <c r="C739">
        <v>5901.6499020000001</v>
      </c>
      <c r="D739">
        <v>5815.7998049999997</v>
      </c>
      <c r="E739">
        <v>5828.7001950000003</v>
      </c>
      <c r="F739" s="4">
        <f t="shared" si="78"/>
        <v>5640.0498049999997</v>
      </c>
      <c r="G739" s="4">
        <f t="shared" si="79"/>
        <v>5860.9501950000003</v>
      </c>
      <c r="H739" s="4">
        <f t="shared" si="80"/>
        <v>0</v>
      </c>
      <c r="I739" s="4">
        <f t="shared" si="77"/>
        <v>1</v>
      </c>
      <c r="J739" s="11">
        <f t="shared" si="81"/>
        <v>0</v>
      </c>
      <c r="K739" s="6">
        <f t="shared" si="82"/>
        <v>5486.1499020000001</v>
      </c>
      <c r="L739" s="4">
        <f t="shared" si="83"/>
        <v>0</v>
      </c>
    </row>
    <row r="740" spans="1:12" x14ac:dyDescent="0.25">
      <c r="A740" s="1">
        <v>42201</v>
      </c>
      <c r="B740">
        <v>5828.7001950000003</v>
      </c>
      <c r="C740">
        <v>5898.3999020000001</v>
      </c>
      <c r="D740">
        <v>5828.7001950000003</v>
      </c>
      <c r="E740">
        <v>5884.9501950000003</v>
      </c>
      <c r="F740" s="4">
        <f t="shared" si="78"/>
        <v>5760</v>
      </c>
      <c r="G740" s="4">
        <f t="shared" si="79"/>
        <v>5884.9501950000003</v>
      </c>
      <c r="H740" s="4" t="str">
        <f t="shared" si="80"/>
        <v>BUY</v>
      </c>
      <c r="I740" s="4">
        <f t="shared" si="77"/>
        <v>1</v>
      </c>
      <c r="J740" s="11">
        <f t="shared" si="81"/>
        <v>0</v>
      </c>
      <c r="K740" s="6">
        <f t="shared" si="82"/>
        <v>5486.1499020000001</v>
      </c>
      <c r="L740" s="4">
        <f t="shared" si="83"/>
        <v>0</v>
      </c>
    </row>
    <row r="741" spans="1:12" x14ac:dyDescent="0.25">
      <c r="A741" s="1">
        <v>42202</v>
      </c>
      <c r="B741">
        <v>5885.0498049999997</v>
      </c>
      <c r="C741">
        <v>5989.5</v>
      </c>
      <c r="D741">
        <v>5885.0498049999997</v>
      </c>
      <c r="E741">
        <v>5980.4501950000003</v>
      </c>
      <c r="F741" s="4">
        <f t="shared" si="78"/>
        <v>5795.5498049999997</v>
      </c>
      <c r="G741" s="4">
        <f t="shared" si="79"/>
        <v>5980.4501950000003</v>
      </c>
      <c r="H741" s="4" t="str">
        <f t="shared" si="80"/>
        <v>BUY</v>
      </c>
      <c r="I741" s="4">
        <f t="shared" si="77"/>
        <v>1</v>
      </c>
      <c r="J741" s="11">
        <f t="shared" si="81"/>
        <v>0</v>
      </c>
      <c r="K741" s="6">
        <f t="shared" si="82"/>
        <v>5486.1499020000001</v>
      </c>
      <c r="L741" s="4">
        <f t="shared" si="83"/>
        <v>0</v>
      </c>
    </row>
    <row r="742" spans="1:12" x14ac:dyDescent="0.25">
      <c r="A742" s="1">
        <v>42205</v>
      </c>
      <c r="B742">
        <v>5980.5</v>
      </c>
      <c r="C742">
        <v>6032.7998049999997</v>
      </c>
      <c r="D742">
        <v>5961.8500979999999</v>
      </c>
      <c r="E742">
        <v>6009.0498049999997</v>
      </c>
      <c r="F742" s="4">
        <f t="shared" si="78"/>
        <v>5828.7001950000003</v>
      </c>
      <c r="G742" s="4">
        <f t="shared" si="79"/>
        <v>6009.0498049999997</v>
      </c>
      <c r="H742" s="4" t="str">
        <f t="shared" si="80"/>
        <v>BUY</v>
      </c>
      <c r="I742" s="4">
        <f t="shared" si="77"/>
        <v>1</v>
      </c>
      <c r="J742" s="11">
        <f t="shared" si="81"/>
        <v>0</v>
      </c>
      <c r="K742" s="6">
        <f t="shared" si="82"/>
        <v>5486.1499020000001</v>
      </c>
      <c r="L742" s="4">
        <f t="shared" si="83"/>
        <v>0</v>
      </c>
    </row>
    <row r="743" spans="1:12" x14ac:dyDescent="0.25">
      <c r="A743" s="1">
        <v>42206</v>
      </c>
      <c r="B743">
        <v>6008.3999020000001</v>
      </c>
      <c r="C743">
        <v>6037.3999020000001</v>
      </c>
      <c r="D743">
        <v>5946.4501950000003</v>
      </c>
      <c r="E743">
        <v>5991</v>
      </c>
      <c r="F743" s="4">
        <f t="shared" si="78"/>
        <v>5828.7001950000003</v>
      </c>
      <c r="G743" s="4">
        <f t="shared" si="79"/>
        <v>6009.0498049999997</v>
      </c>
      <c r="H743" s="4">
        <f t="shared" si="80"/>
        <v>0</v>
      </c>
      <c r="I743" s="4">
        <f t="shared" si="77"/>
        <v>1</v>
      </c>
      <c r="J743" s="11">
        <f t="shared" si="81"/>
        <v>0</v>
      </c>
      <c r="K743" s="6">
        <f t="shared" si="82"/>
        <v>5486.1499020000001</v>
      </c>
      <c r="L743" s="4">
        <f t="shared" si="83"/>
        <v>0</v>
      </c>
    </row>
    <row r="744" spans="1:12" x14ac:dyDescent="0.25">
      <c r="A744" s="1">
        <v>42207</v>
      </c>
      <c r="B744">
        <v>5991.0498049999997</v>
      </c>
      <c r="C744">
        <v>6006.7998049999997</v>
      </c>
      <c r="D744">
        <v>5932.3999020000001</v>
      </c>
      <c r="E744">
        <v>5959.5498049999997</v>
      </c>
      <c r="F744" s="4">
        <f t="shared" si="78"/>
        <v>5884.9501950000003</v>
      </c>
      <c r="G744" s="4">
        <f t="shared" si="79"/>
        <v>6009.0498049999997</v>
      </c>
      <c r="H744" s="4">
        <f t="shared" si="80"/>
        <v>0</v>
      </c>
      <c r="I744" s="4">
        <f t="shared" si="77"/>
        <v>1</v>
      </c>
      <c r="J744" s="11">
        <f t="shared" si="81"/>
        <v>0</v>
      </c>
      <c r="K744" s="6">
        <f t="shared" si="82"/>
        <v>5486.1499020000001</v>
      </c>
      <c r="L744" s="4">
        <f t="shared" si="83"/>
        <v>0</v>
      </c>
    </row>
    <row r="745" spans="1:12" x14ac:dyDescent="0.25">
      <c r="A745" s="1">
        <v>42208</v>
      </c>
      <c r="B745">
        <v>5959.4501950000003</v>
      </c>
      <c r="C745">
        <v>6029.1000979999999</v>
      </c>
      <c r="D745">
        <v>5951.2001950000003</v>
      </c>
      <c r="E745">
        <v>6018.2998049999997</v>
      </c>
      <c r="F745" s="4">
        <f t="shared" si="78"/>
        <v>5959.5498049999997</v>
      </c>
      <c r="G745" s="4">
        <f t="shared" si="79"/>
        <v>6018.2998049999997</v>
      </c>
      <c r="H745" s="4" t="str">
        <f t="shared" si="80"/>
        <v>BUY</v>
      </c>
      <c r="I745" s="4">
        <f t="shared" si="77"/>
        <v>1</v>
      </c>
      <c r="J745" s="11">
        <f t="shared" si="81"/>
        <v>0</v>
      </c>
      <c r="K745" s="6">
        <f t="shared" si="82"/>
        <v>5486.1499020000001</v>
      </c>
      <c r="L745" s="4">
        <f t="shared" si="83"/>
        <v>0</v>
      </c>
    </row>
    <row r="746" spans="1:12" x14ac:dyDescent="0.25">
      <c r="A746" s="1">
        <v>42209</v>
      </c>
      <c r="B746">
        <v>6018.2998049999997</v>
      </c>
      <c r="C746">
        <v>6073.5</v>
      </c>
      <c r="D746">
        <v>6018.2998049999997</v>
      </c>
      <c r="E746">
        <v>6035.6499020000001</v>
      </c>
      <c r="F746" s="4">
        <f t="shared" si="78"/>
        <v>5959.5498049999997</v>
      </c>
      <c r="G746" s="4">
        <f t="shared" si="79"/>
        <v>6035.6499020000001</v>
      </c>
      <c r="H746" s="4" t="str">
        <f t="shared" si="80"/>
        <v>BUY</v>
      </c>
      <c r="I746" s="4">
        <f t="shared" si="77"/>
        <v>1</v>
      </c>
      <c r="J746" s="11">
        <f t="shared" si="81"/>
        <v>0</v>
      </c>
      <c r="K746" s="6">
        <f t="shared" si="82"/>
        <v>5486.1499020000001</v>
      </c>
      <c r="L746" s="4">
        <f t="shared" si="83"/>
        <v>0</v>
      </c>
    </row>
    <row r="747" spans="1:12" x14ac:dyDescent="0.25">
      <c r="A747" s="1">
        <v>42212</v>
      </c>
      <c r="B747">
        <v>6036.0498049999997</v>
      </c>
      <c r="C747">
        <v>6049.7998049999997</v>
      </c>
      <c r="D747">
        <v>5991.2998049999997</v>
      </c>
      <c r="E747">
        <v>6029.5</v>
      </c>
      <c r="F747" s="4">
        <f t="shared" si="78"/>
        <v>5959.5498049999997</v>
      </c>
      <c r="G747" s="4">
        <f t="shared" si="79"/>
        <v>6035.6499020000001</v>
      </c>
      <c r="H747" s="4">
        <f t="shared" si="80"/>
        <v>0</v>
      </c>
      <c r="I747" s="4">
        <f t="shared" si="77"/>
        <v>1</v>
      </c>
      <c r="J747" s="11">
        <f t="shared" si="81"/>
        <v>0</v>
      </c>
      <c r="K747" s="6">
        <f t="shared" si="82"/>
        <v>5486.1499020000001</v>
      </c>
      <c r="L747" s="4">
        <f t="shared" si="83"/>
        <v>0</v>
      </c>
    </row>
    <row r="748" spans="1:12" x14ac:dyDescent="0.25">
      <c r="A748" s="1">
        <v>42213</v>
      </c>
      <c r="B748">
        <v>6029.1499020000001</v>
      </c>
      <c r="C748">
        <v>6071.5498049999997</v>
      </c>
      <c r="D748">
        <v>5979.6499020000001</v>
      </c>
      <c r="E748">
        <v>5991.2998049999997</v>
      </c>
      <c r="F748" s="4">
        <f t="shared" si="78"/>
        <v>5959.5498049999997</v>
      </c>
      <c r="G748" s="4">
        <f t="shared" si="79"/>
        <v>6035.6499020000001</v>
      </c>
      <c r="H748" s="4">
        <f t="shared" si="80"/>
        <v>0</v>
      </c>
      <c r="I748" s="4">
        <f t="shared" si="77"/>
        <v>1</v>
      </c>
      <c r="J748" s="11">
        <f t="shared" si="81"/>
        <v>0</v>
      </c>
      <c r="K748" s="6">
        <f t="shared" si="82"/>
        <v>5486.1499020000001</v>
      </c>
      <c r="L748" s="4">
        <f t="shared" si="83"/>
        <v>0</v>
      </c>
    </row>
    <row r="749" spans="1:12" x14ac:dyDescent="0.25">
      <c r="A749" s="1">
        <v>42214</v>
      </c>
      <c r="B749">
        <v>5991.3500979999999</v>
      </c>
      <c r="C749">
        <v>6048.4501950000003</v>
      </c>
      <c r="D749">
        <v>5963.6000979999999</v>
      </c>
      <c r="E749">
        <v>6029.9501950000003</v>
      </c>
      <c r="F749" s="4">
        <f t="shared" si="78"/>
        <v>5991.2998049999997</v>
      </c>
      <c r="G749" s="4">
        <f t="shared" si="79"/>
        <v>6035.6499020000001</v>
      </c>
      <c r="H749" s="4">
        <f t="shared" si="80"/>
        <v>0</v>
      </c>
      <c r="I749" s="4">
        <f t="shared" si="77"/>
        <v>1</v>
      </c>
      <c r="J749" s="11">
        <f t="shared" si="81"/>
        <v>0</v>
      </c>
      <c r="K749" s="6">
        <f t="shared" si="82"/>
        <v>5486.1499020000001</v>
      </c>
      <c r="L749" s="4">
        <f t="shared" si="83"/>
        <v>0</v>
      </c>
    </row>
    <row r="750" spans="1:12" x14ac:dyDescent="0.25">
      <c r="A750" s="1">
        <v>42215</v>
      </c>
      <c r="B750">
        <v>6030.2998049999997</v>
      </c>
      <c r="C750">
        <v>6153.1000979999999</v>
      </c>
      <c r="D750">
        <v>6030.2998049999997</v>
      </c>
      <c r="E750">
        <v>6143.3999020000001</v>
      </c>
      <c r="F750" s="4">
        <f t="shared" si="78"/>
        <v>5991.2998049999997</v>
      </c>
      <c r="G750" s="4">
        <f t="shared" si="79"/>
        <v>6143.3999020000001</v>
      </c>
      <c r="H750" s="4" t="str">
        <f t="shared" si="80"/>
        <v>BUY</v>
      </c>
      <c r="I750" s="4">
        <f t="shared" si="77"/>
        <v>1</v>
      </c>
      <c r="J750" s="11">
        <f t="shared" si="81"/>
        <v>0</v>
      </c>
      <c r="K750" s="6">
        <f t="shared" si="82"/>
        <v>5486.1499020000001</v>
      </c>
      <c r="L750" s="4">
        <f t="shared" si="83"/>
        <v>0</v>
      </c>
    </row>
    <row r="751" spans="1:12" x14ac:dyDescent="0.25">
      <c r="A751" s="1">
        <v>42216</v>
      </c>
      <c r="B751">
        <v>6144.7001950000003</v>
      </c>
      <c r="C751">
        <v>6222.1000979999999</v>
      </c>
      <c r="D751">
        <v>6144.7001950000003</v>
      </c>
      <c r="E751">
        <v>6159.4501950000003</v>
      </c>
      <c r="F751" s="4">
        <f t="shared" si="78"/>
        <v>5991.2998049999997</v>
      </c>
      <c r="G751" s="4">
        <f t="shared" si="79"/>
        <v>6159.4501950000003</v>
      </c>
      <c r="H751" s="4" t="str">
        <f t="shared" si="80"/>
        <v>BUY</v>
      </c>
      <c r="I751" s="4">
        <f t="shared" si="77"/>
        <v>1</v>
      </c>
      <c r="J751" s="11">
        <f t="shared" si="81"/>
        <v>0</v>
      </c>
      <c r="K751" s="6">
        <f t="shared" si="82"/>
        <v>5486.1499020000001</v>
      </c>
      <c r="L751" s="4">
        <f t="shared" si="83"/>
        <v>0</v>
      </c>
    </row>
    <row r="752" spans="1:12" x14ac:dyDescent="0.25">
      <c r="A752" s="1">
        <v>42219</v>
      </c>
      <c r="B752">
        <v>6159.4501950000003</v>
      </c>
      <c r="C752">
        <v>6188.3500979999999</v>
      </c>
      <c r="D752">
        <v>6118.0498049999997</v>
      </c>
      <c r="E752">
        <v>6145.7998049999997</v>
      </c>
      <c r="F752" s="4">
        <f t="shared" si="78"/>
        <v>5991.2998049999997</v>
      </c>
      <c r="G752" s="4">
        <f t="shared" si="79"/>
        <v>6159.4501950000003</v>
      </c>
      <c r="H752" s="4">
        <f t="shared" si="80"/>
        <v>0</v>
      </c>
      <c r="I752" s="4">
        <f t="shared" si="77"/>
        <v>1</v>
      </c>
      <c r="J752" s="11">
        <f t="shared" si="81"/>
        <v>0</v>
      </c>
      <c r="K752" s="6">
        <f t="shared" si="82"/>
        <v>5486.1499020000001</v>
      </c>
      <c r="L752" s="4">
        <f t="shared" si="83"/>
        <v>0</v>
      </c>
    </row>
    <row r="753" spans="1:12" x14ac:dyDescent="0.25">
      <c r="A753" s="1">
        <v>42220</v>
      </c>
      <c r="B753">
        <v>6150.9501950000003</v>
      </c>
      <c r="C753">
        <v>6223.3999020000001</v>
      </c>
      <c r="D753">
        <v>6148.6000979999999</v>
      </c>
      <c r="E753">
        <v>6186.4501950000003</v>
      </c>
      <c r="F753" s="4">
        <f t="shared" si="78"/>
        <v>6029.9501950000003</v>
      </c>
      <c r="G753" s="4">
        <f t="shared" si="79"/>
        <v>6186.4501950000003</v>
      </c>
      <c r="H753" s="4" t="str">
        <f t="shared" si="80"/>
        <v>BUY</v>
      </c>
      <c r="I753" s="4">
        <f t="shared" si="77"/>
        <v>1</v>
      </c>
      <c r="J753" s="11">
        <f t="shared" si="81"/>
        <v>0</v>
      </c>
      <c r="K753" s="6">
        <f t="shared" si="82"/>
        <v>5486.1499020000001</v>
      </c>
      <c r="L753" s="4">
        <f t="shared" si="83"/>
        <v>0</v>
      </c>
    </row>
    <row r="754" spans="1:12" x14ac:dyDescent="0.25">
      <c r="A754" s="1">
        <v>42221</v>
      </c>
      <c r="B754">
        <v>6186.8500979999999</v>
      </c>
      <c r="C754">
        <v>6199.4501950000003</v>
      </c>
      <c r="D754">
        <v>6107.5</v>
      </c>
      <c r="E754">
        <v>6120.2998049999997</v>
      </c>
      <c r="F754" s="4">
        <f t="shared" si="78"/>
        <v>6120.2998049999997</v>
      </c>
      <c r="G754" s="4">
        <f t="shared" si="79"/>
        <v>6186.4501950000003</v>
      </c>
      <c r="H754" s="4">
        <f t="shared" si="80"/>
        <v>0</v>
      </c>
      <c r="I754" s="4">
        <f t="shared" si="77"/>
        <v>1</v>
      </c>
      <c r="J754" s="11">
        <f t="shared" si="81"/>
        <v>0</v>
      </c>
      <c r="K754" s="6">
        <f t="shared" si="82"/>
        <v>5486.1499020000001</v>
      </c>
      <c r="L754" s="4">
        <f t="shared" si="83"/>
        <v>0</v>
      </c>
    </row>
    <row r="755" spans="1:12" x14ac:dyDescent="0.25">
      <c r="A755" s="1">
        <v>42222</v>
      </c>
      <c r="B755">
        <v>6121.3999020000001</v>
      </c>
      <c r="C755">
        <v>6148.6000979999999</v>
      </c>
      <c r="D755">
        <v>6067</v>
      </c>
      <c r="E755">
        <v>6103.4501950000003</v>
      </c>
      <c r="F755" s="4">
        <f t="shared" si="78"/>
        <v>6103.4501950000003</v>
      </c>
      <c r="G755" s="4">
        <f t="shared" si="79"/>
        <v>6186.4501950000003</v>
      </c>
      <c r="H755" s="4" t="str">
        <f t="shared" si="80"/>
        <v>SELL</v>
      </c>
      <c r="I755" s="4">
        <f t="shared" si="77"/>
        <v>-1</v>
      </c>
      <c r="J755" s="11" t="str">
        <f t="shared" si="81"/>
        <v>SELL</v>
      </c>
      <c r="K755" s="6">
        <f t="shared" si="82"/>
        <v>6103.4501950000003</v>
      </c>
      <c r="L755" s="4">
        <f t="shared" si="83"/>
        <v>0.11251976413822756</v>
      </c>
    </row>
    <row r="756" spans="1:12" x14ac:dyDescent="0.25">
      <c r="A756" s="1">
        <v>42223</v>
      </c>
      <c r="B756">
        <v>6105.9501950000003</v>
      </c>
      <c r="C756">
        <v>6187.75</v>
      </c>
      <c r="D756">
        <v>6105.9501950000003</v>
      </c>
      <c r="E756">
        <v>6135.8500979999999</v>
      </c>
      <c r="F756" s="4">
        <f t="shared" si="78"/>
        <v>6103.4501950000003</v>
      </c>
      <c r="G756" s="4">
        <f t="shared" si="79"/>
        <v>6186.4501950000003</v>
      </c>
      <c r="H756" s="4">
        <f t="shared" si="80"/>
        <v>0</v>
      </c>
      <c r="I756" s="4">
        <f t="shared" si="77"/>
        <v>-1</v>
      </c>
      <c r="J756" s="11">
        <f t="shared" si="81"/>
        <v>0</v>
      </c>
      <c r="K756" s="6">
        <f t="shared" si="82"/>
        <v>6103.4501950000003</v>
      </c>
      <c r="L756" s="4">
        <f t="shared" si="83"/>
        <v>0</v>
      </c>
    </row>
    <row r="757" spans="1:12" x14ac:dyDescent="0.25">
      <c r="A757" s="1">
        <v>42226</v>
      </c>
      <c r="B757">
        <v>6135.9501950000003</v>
      </c>
      <c r="C757">
        <v>6144.9501950000003</v>
      </c>
      <c r="D757">
        <v>6057.9501950000003</v>
      </c>
      <c r="E757">
        <v>6090.8999020000001</v>
      </c>
      <c r="F757" s="4">
        <f t="shared" si="78"/>
        <v>6090.8999020000001</v>
      </c>
      <c r="G757" s="4">
        <f t="shared" si="79"/>
        <v>6186.4501950000003</v>
      </c>
      <c r="H757" s="4" t="str">
        <f t="shared" si="80"/>
        <v>SELL</v>
      </c>
      <c r="I757" s="4">
        <f t="shared" si="77"/>
        <v>-1</v>
      </c>
      <c r="J757" s="11">
        <f t="shared" si="81"/>
        <v>0</v>
      </c>
      <c r="K757" s="6">
        <f t="shared" si="82"/>
        <v>6103.4501950000003</v>
      </c>
      <c r="L757" s="4">
        <f t="shared" si="83"/>
        <v>0</v>
      </c>
    </row>
    <row r="758" spans="1:12" x14ac:dyDescent="0.25">
      <c r="A758" s="1">
        <v>42227</v>
      </c>
      <c r="B758">
        <v>6091.4501950000003</v>
      </c>
      <c r="C758">
        <v>6240.25</v>
      </c>
      <c r="D758">
        <v>6089.75</v>
      </c>
      <c r="E758">
        <v>6233.8999020000001</v>
      </c>
      <c r="F758" s="4">
        <f t="shared" si="78"/>
        <v>6090.8999020000001</v>
      </c>
      <c r="G758" s="4">
        <f t="shared" si="79"/>
        <v>6233.8999020000001</v>
      </c>
      <c r="H758" s="4" t="str">
        <f t="shared" si="80"/>
        <v>BUY</v>
      </c>
      <c r="I758" s="4">
        <f t="shared" si="77"/>
        <v>1</v>
      </c>
      <c r="J758" s="11" t="str">
        <f t="shared" si="81"/>
        <v>BUY</v>
      </c>
      <c r="K758" s="6">
        <f t="shared" si="82"/>
        <v>6233.8999020000001</v>
      </c>
      <c r="L758" s="4">
        <f t="shared" si="83"/>
        <v>-2.1373109115703982E-2</v>
      </c>
    </row>
    <row r="759" spans="1:12" x14ac:dyDescent="0.25">
      <c r="A759" s="1">
        <v>42228</v>
      </c>
      <c r="B759">
        <v>6234.2998049999997</v>
      </c>
      <c r="C759">
        <v>6284.1000979999999</v>
      </c>
      <c r="D759">
        <v>6157.8999020000001</v>
      </c>
      <c r="E759">
        <v>6177.3500979999999</v>
      </c>
      <c r="F759" s="4">
        <f t="shared" si="78"/>
        <v>6090.8999020000001</v>
      </c>
      <c r="G759" s="4">
        <f t="shared" si="79"/>
        <v>6233.8999020000001</v>
      </c>
      <c r="H759" s="4">
        <f t="shared" si="80"/>
        <v>0</v>
      </c>
      <c r="I759" s="4">
        <f t="shared" si="77"/>
        <v>1</v>
      </c>
      <c r="J759" s="11">
        <f t="shared" si="81"/>
        <v>0</v>
      </c>
      <c r="K759" s="6">
        <f t="shared" si="82"/>
        <v>6233.8999020000001</v>
      </c>
      <c r="L759" s="4">
        <f t="shared" si="83"/>
        <v>0</v>
      </c>
    </row>
    <row r="760" spans="1:12" x14ac:dyDescent="0.25">
      <c r="A760" s="1">
        <v>42229</v>
      </c>
      <c r="B760">
        <v>6175.8999020000001</v>
      </c>
      <c r="C760">
        <v>6200.6000979999999</v>
      </c>
      <c r="D760">
        <v>6050.3500979999999</v>
      </c>
      <c r="E760">
        <v>6062.6499020000001</v>
      </c>
      <c r="F760" s="4">
        <f t="shared" si="78"/>
        <v>6062.6499020000001</v>
      </c>
      <c r="G760" s="4">
        <f t="shared" si="79"/>
        <v>6233.8999020000001</v>
      </c>
      <c r="H760" s="4" t="str">
        <f t="shared" si="80"/>
        <v>SELL</v>
      </c>
      <c r="I760" s="4">
        <f t="shared" si="77"/>
        <v>-1</v>
      </c>
      <c r="J760" s="11" t="str">
        <f t="shared" si="81"/>
        <v>SELL</v>
      </c>
      <c r="K760" s="6">
        <f t="shared" si="82"/>
        <v>6062.6499020000001</v>
      </c>
      <c r="L760" s="4">
        <f t="shared" si="83"/>
        <v>-2.7470765121695082E-2</v>
      </c>
    </row>
    <row r="761" spans="1:12" x14ac:dyDescent="0.25">
      <c r="A761" s="1">
        <v>42230</v>
      </c>
      <c r="B761">
        <v>6112.75</v>
      </c>
      <c r="C761">
        <v>6115.1000979999999</v>
      </c>
      <c r="D761">
        <v>5985.1000979999999</v>
      </c>
      <c r="E761">
        <v>6075.9501950000003</v>
      </c>
      <c r="F761" s="4">
        <f t="shared" si="78"/>
        <v>6062.6499020000001</v>
      </c>
      <c r="G761" s="4">
        <f t="shared" si="79"/>
        <v>6233.8999020000001</v>
      </c>
      <c r="H761" s="4">
        <f t="shared" si="80"/>
        <v>0</v>
      </c>
      <c r="I761" s="4">
        <f t="shared" si="77"/>
        <v>-1</v>
      </c>
      <c r="J761" s="11">
        <f t="shared" si="81"/>
        <v>0</v>
      </c>
      <c r="K761" s="6">
        <f t="shared" si="82"/>
        <v>6062.6499020000001</v>
      </c>
      <c r="L761" s="4">
        <f t="shared" si="83"/>
        <v>0</v>
      </c>
    </row>
    <row r="762" spans="1:12" x14ac:dyDescent="0.25">
      <c r="A762" s="1">
        <v>42233</v>
      </c>
      <c r="B762">
        <v>6114.4501950000003</v>
      </c>
      <c r="C762">
        <v>6127.0498049999997</v>
      </c>
      <c r="D762">
        <v>6008.1499020000001</v>
      </c>
      <c r="E762">
        <v>6027.2998049999997</v>
      </c>
      <c r="F762" s="4">
        <f t="shared" si="78"/>
        <v>6027.2998049999997</v>
      </c>
      <c r="G762" s="4">
        <f t="shared" si="79"/>
        <v>6233.8999020000001</v>
      </c>
      <c r="H762" s="4" t="str">
        <f t="shared" si="80"/>
        <v>SELL</v>
      </c>
      <c r="I762" s="4">
        <f t="shared" si="77"/>
        <v>-1</v>
      </c>
      <c r="J762" s="11">
        <f t="shared" si="81"/>
        <v>0</v>
      </c>
      <c r="K762" s="6">
        <f t="shared" si="82"/>
        <v>6062.6499020000001</v>
      </c>
      <c r="L762" s="4">
        <f t="shared" si="83"/>
        <v>0</v>
      </c>
    </row>
    <row r="763" spans="1:12" x14ac:dyDescent="0.25">
      <c r="A763" s="1">
        <v>42234</v>
      </c>
      <c r="B763">
        <v>6002.9501950000003</v>
      </c>
      <c r="C763">
        <v>6038.1000979999999</v>
      </c>
      <c r="D763">
        <v>5966.75</v>
      </c>
      <c r="E763">
        <v>5982.1000979999999</v>
      </c>
      <c r="F763" s="4">
        <f t="shared" si="78"/>
        <v>5982.1000979999999</v>
      </c>
      <c r="G763" s="4">
        <f t="shared" si="79"/>
        <v>6177.3500979999999</v>
      </c>
      <c r="H763" s="4" t="str">
        <f t="shared" si="80"/>
        <v>SELL</v>
      </c>
      <c r="I763" s="4">
        <f t="shared" si="77"/>
        <v>-1</v>
      </c>
      <c r="J763" s="11">
        <f t="shared" si="81"/>
        <v>0</v>
      </c>
      <c r="K763" s="6">
        <f t="shared" si="82"/>
        <v>6062.6499020000001</v>
      </c>
      <c r="L763" s="4">
        <f t="shared" si="83"/>
        <v>0</v>
      </c>
    </row>
    <row r="764" spans="1:12" x14ac:dyDescent="0.25">
      <c r="A764" s="1">
        <v>42235</v>
      </c>
      <c r="B764">
        <v>6008.8999020000001</v>
      </c>
      <c r="C764">
        <v>6113.5</v>
      </c>
      <c r="D764">
        <v>5984.8999020000001</v>
      </c>
      <c r="E764">
        <v>6101.5</v>
      </c>
      <c r="F764" s="4">
        <f t="shared" si="78"/>
        <v>5982.1000979999999</v>
      </c>
      <c r="G764" s="4">
        <f t="shared" si="79"/>
        <v>6101.5</v>
      </c>
      <c r="H764" s="4">
        <f t="shared" si="80"/>
        <v>0</v>
      </c>
      <c r="I764" s="4">
        <f t="shared" si="77"/>
        <v>-1</v>
      </c>
      <c r="J764" s="11">
        <f t="shared" si="81"/>
        <v>0</v>
      </c>
      <c r="K764" s="6">
        <f t="shared" si="82"/>
        <v>6062.6499020000001</v>
      </c>
      <c r="L764" s="4">
        <f t="shared" si="83"/>
        <v>0</v>
      </c>
    </row>
    <row r="765" spans="1:12" x14ac:dyDescent="0.25">
      <c r="A765" s="1">
        <v>42236</v>
      </c>
      <c r="B765">
        <v>6113.3999020000001</v>
      </c>
      <c r="C765">
        <v>6121.1000979999999</v>
      </c>
      <c r="D765">
        <v>6041.3500979999999</v>
      </c>
      <c r="E765">
        <v>6066.0498049999997</v>
      </c>
      <c r="F765" s="4">
        <f t="shared" si="78"/>
        <v>5982.1000979999999</v>
      </c>
      <c r="G765" s="4">
        <f t="shared" si="79"/>
        <v>6101.5</v>
      </c>
      <c r="H765" s="4">
        <f t="shared" si="80"/>
        <v>0</v>
      </c>
      <c r="I765" s="4">
        <f t="shared" si="77"/>
        <v>-1</v>
      </c>
      <c r="J765" s="11">
        <f t="shared" si="81"/>
        <v>0</v>
      </c>
      <c r="K765" s="6">
        <f t="shared" si="82"/>
        <v>6062.6499020000001</v>
      </c>
      <c r="L765" s="4">
        <f t="shared" si="83"/>
        <v>0</v>
      </c>
    </row>
    <row r="766" spans="1:12" x14ac:dyDescent="0.25">
      <c r="A766" s="1">
        <v>42237</v>
      </c>
      <c r="B766">
        <v>6101.25</v>
      </c>
      <c r="C766">
        <v>6151.2998049999997</v>
      </c>
      <c r="D766">
        <v>6094.6000979999999</v>
      </c>
      <c r="E766">
        <v>6105.7998049999997</v>
      </c>
      <c r="F766" s="4">
        <f t="shared" si="78"/>
        <v>5982.1000979999999</v>
      </c>
      <c r="G766" s="4">
        <f t="shared" si="79"/>
        <v>6105.7998049999997</v>
      </c>
      <c r="H766" s="4" t="str">
        <f t="shared" si="80"/>
        <v>BUY</v>
      </c>
      <c r="I766" s="4">
        <f t="shared" si="77"/>
        <v>1</v>
      </c>
      <c r="J766" s="11" t="str">
        <f t="shared" si="81"/>
        <v>BUY</v>
      </c>
      <c r="K766" s="6">
        <f t="shared" si="82"/>
        <v>6105.7998049999997</v>
      </c>
      <c r="L766" s="4">
        <f t="shared" si="83"/>
        <v>-7.1173337892667813E-3</v>
      </c>
    </row>
    <row r="767" spans="1:12" x14ac:dyDescent="0.25">
      <c r="A767" s="1">
        <v>42240</v>
      </c>
      <c r="B767">
        <v>6116.2998049999997</v>
      </c>
      <c r="C767">
        <v>6120.25</v>
      </c>
      <c r="D767">
        <v>6074.6499020000001</v>
      </c>
      <c r="E767">
        <v>6082</v>
      </c>
      <c r="F767" s="4">
        <f t="shared" si="78"/>
        <v>5982.1000979999999</v>
      </c>
      <c r="G767" s="4">
        <f t="shared" si="79"/>
        <v>6105.7998049999997</v>
      </c>
      <c r="H767" s="4">
        <f t="shared" si="80"/>
        <v>0</v>
      </c>
      <c r="I767" s="4">
        <f t="shared" si="77"/>
        <v>1</v>
      </c>
      <c r="J767" s="11">
        <f t="shared" si="81"/>
        <v>0</v>
      </c>
      <c r="K767" s="6">
        <f t="shared" si="82"/>
        <v>6105.7998049999997</v>
      </c>
      <c r="L767" s="4">
        <f t="shared" si="83"/>
        <v>0</v>
      </c>
    </row>
    <row r="768" spans="1:12" x14ac:dyDescent="0.25">
      <c r="A768" s="1">
        <v>42241</v>
      </c>
      <c r="B768">
        <v>6075.4501950000003</v>
      </c>
      <c r="C768">
        <v>6075.9501950000003</v>
      </c>
      <c r="D768">
        <v>5987.5498049999997</v>
      </c>
      <c r="E768">
        <v>6012.6499020000001</v>
      </c>
      <c r="F768" s="4">
        <f t="shared" si="78"/>
        <v>6012.6499020000001</v>
      </c>
      <c r="G768" s="4">
        <f t="shared" si="79"/>
        <v>6105.7998049999997</v>
      </c>
      <c r="H768" s="4">
        <f t="shared" si="80"/>
        <v>0</v>
      </c>
      <c r="I768" s="4">
        <f t="shared" si="77"/>
        <v>1</v>
      </c>
      <c r="J768" s="11">
        <f t="shared" si="81"/>
        <v>0</v>
      </c>
      <c r="K768" s="6">
        <f t="shared" si="82"/>
        <v>6105.7998049999997</v>
      </c>
      <c r="L768" s="4">
        <f t="shared" si="83"/>
        <v>0</v>
      </c>
    </row>
    <row r="769" spans="1:12" x14ac:dyDescent="0.25">
      <c r="A769" s="1">
        <v>42242</v>
      </c>
      <c r="B769">
        <v>6039.9501950000003</v>
      </c>
      <c r="C769">
        <v>6071.1000979999999</v>
      </c>
      <c r="D769">
        <v>5968.1000979999999</v>
      </c>
      <c r="E769">
        <v>5987.7001950000003</v>
      </c>
      <c r="F769" s="4">
        <f t="shared" si="78"/>
        <v>5987.7001950000003</v>
      </c>
      <c r="G769" s="4">
        <f t="shared" si="79"/>
        <v>6105.7998049999997</v>
      </c>
      <c r="H769" s="4" t="str">
        <f t="shared" si="80"/>
        <v>SELL</v>
      </c>
      <c r="I769" s="4">
        <f t="shared" si="77"/>
        <v>-1</v>
      </c>
      <c r="J769" s="11" t="str">
        <f t="shared" si="81"/>
        <v>SELL</v>
      </c>
      <c r="K769" s="6">
        <f t="shared" si="82"/>
        <v>5987.7001950000003</v>
      </c>
      <c r="L769" s="4">
        <f t="shared" si="83"/>
        <v>-1.9342201475929216E-2</v>
      </c>
    </row>
    <row r="770" spans="1:12" x14ac:dyDescent="0.25">
      <c r="A770" s="1">
        <v>42243</v>
      </c>
      <c r="B770">
        <v>6021.1499020000001</v>
      </c>
      <c r="C770">
        <v>6032.6499020000001</v>
      </c>
      <c r="D770">
        <v>5937.1000979999999</v>
      </c>
      <c r="E770">
        <v>6017.7001950000003</v>
      </c>
      <c r="F770" s="4">
        <f t="shared" si="78"/>
        <v>5987.7001950000003</v>
      </c>
      <c r="G770" s="4">
        <f t="shared" si="79"/>
        <v>6105.7998049999997</v>
      </c>
      <c r="H770" s="4">
        <f t="shared" si="80"/>
        <v>0</v>
      </c>
      <c r="I770" s="4">
        <f t="shared" si="77"/>
        <v>-1</v>
      </c>
      <c r="J770" s="11">
        <f t="shared" si="81"/>
        <v>0</v>
      </c>
      <c r="K770" s="6">
        <f t="shared" si="82"/>
        <v>5987.7001950000003</v>
      </c>
      <c r="L770" s="4">
        <f t="shared" si="83"/>
        <v>0</v>
      </c>
    </row>
    <row r="771" spans="1:12" x14ac:dyDescent="0.25">
      <c r="A771" s="1">
        <v>42244</v>
      </c>
      <c r="B771">
        <v>6092.2998049999997</v>
      </c>
      <c r="C771">
        <v>6132.3999020000001</v>
      </c>
      <c r="D771">
        <v>6084.75</v>
      </c>
      <c r="E771">
        <v>6117.5498049999997</v>
      </c>
      <c r="F771" s="4">
        <f t="shared" si="78"/>
        <v>5987.7001950000003</v>
      </c>
      <c r="G771" s="4">
        <f t="shared" si="79"/>
        <v>6117.5498049999997</v>
      </c>
      <c r="H771" s="4" t="str">
        <f t="shared" si="80"/>
        <v>BUY</v>
      </c>
      <c r="I771" s="4">
        <f t="shared" si="77"/>
        <v>1</v>
      </c>
      <c r="J771" s="11" t="str">
        <f t="shared" si="81"/>
        <v>BUY</v>
      </c>
      <c r="K771" s="6">
        <f t="shared" si="82"/>
        <v>6117.5498049999997</v>
      </c>
      <c r="L771" s="4">
        <f t="shared" si="83"/>
        <v>-2.1686057379497654E-2</v>
      </c>
    </row>
    <row r="772" spans="1:12" x14ac:dyDescent="0.25">
      <c r="A772" s="1">
        <v>42247</v>
      </c>
      <c r="B772">
        <v>6127.5498049999997</v>
      </c>
      <c r="C772">
        <v>6138.1000979999999</v>
      </c>
      <c r="D772">
        <v>6094.3999020000001</v>
      </c>
      <c r="E772">
        <v>6119</v>
      </c>
      <c r="F772" s="4">
        <f t="shared" si="78"/>
        <v>5987.7001950000003</v>
      </c>
      <c r="G772" s="4">
        <f t="shared" si="79"/>
        <v>6119</v>
      </c>
      <c r="H772" s="4" t="str">
        <f t="shared" si="80"/>
        <v>BUY</v>
      </c>
      <c r="I772" s="4">
        <f t="shared" si="77"/>
        <v>1</v>
      </c>
      <c r="J772" s="11">
        <f t="shared" si="81"/>
        <v>0</v>
      </c>
      <c r="K772" s="6">
        <f t="shared" si="82"/>
        <v>6117.5498049999997</v>
      </c>
      <c r="L772" s="4">
        <f t="shared" si="83"/>
        <v>0</v>
      </c>
    </row>
    <row r="773" spans="1:12" x14ac:dyDescent="0.25">
      <c r="A773" s="1">
        <v>42248</v>
      </c>
      <c r="B773">
        <v>6150.6000979999999</v>
      </c>
      <c r="C773">
        <v>6182.5</v>
      </c>
      <c r="D773">
        <v>6146.7998049999997</v>
      </c>
      <c r="E773">
        <v>6160.5</v>
      </c>
      <c r="F773" s="4">
        <f t="shared" si="78"/>
        <v>5987.7001950000003</v>
      </c>
      <c r="G773" s="4">
        <f t="shared" si="79"/>
        <v>6160.5</v>
      </c>
      <c r="H773" s="4" t="str">
        <f t="shared" si="80"/>
        <v>BUY</v>
      </c>
      <c r="I773" s="4">
        <f t="shared" si="77"/>
        <v>1</v>
      </c>
      <c r="J773" s="11">
        <f t="shared" si="81"/>
        <v>0</v>
      </c>
      <c r="K773" s="6">
        <f t="shared" si="82"/>
        <v>6117.5498049999997</v>
      </c>
      <c r="L773" s="4">
        <f t="shared" si="83"/>
        <v>0</v>
      </c>
    </row>
    <row r="774" spans="1:12" x14ac:dyDescent="0.25">
      <c r="A774" s="1">
        <v>42249</v>
      </c>
      <c r="B774">
        <v>6209.6000979999999</v>
      </c>
      <c r="C774">
        <v>6290.1499020000001</v>
      </c>
      <c r="D774">
        <v>6199.3500979999999</v>
      </c>
      <c r="E774">
        <v>6281.7998049999997</v>
      </c>
      <c r="F774" s="4">
        <f t="shared" si="78"/>
        <v>6017.7001950000003</v>
      </c>
      <c r="G774" s="4">
        <f t="shared" si="79"/>
        <v>6281.7998049999997</v>
      </c>
      <c r="H774" s="4" t="str">
        <f t="shared" si="80"/>
        <v>BUY</v>
      </c>
      <c r="I774" s="4">
        <f t="shared" ref="I774:I837" si="84">IF(AND(H774="BUY",I773&lt;&gt;1),1,IF(AND(H774="SELL",I773&lt;&gt;-1),-1,I773))</f>
        <v>1</v>
      </c>
      <c r="J774" s="11">
        <f t="shared" si="81"/>
        <v>0</v>
      </c>
      <c r="K774" s="6">
        <f t="shared" si="82"/>
        <v>6117.5498049999997</v>
      </c>
      <c r="L774" s="4">
        <f t="shared" si="83"/>
        <v>0</v>
      </c>
    </row>
    <row r="775" spans="1:12" x14ac:dyDescent="0.25">
      <c r="A775" s="1">
        <v>42250</v>
      </c>
      <c r="B775">
        <v>6321.8500979999999</v>
      </c>
      <c r="C775">
        <v>6338.5</v>
      </c>
      <c r="D775">
        <v>6303.1000979999999</v>
      </c>
      <c r="E775">
        <v>6312.4501950000003</v>
      </c>
      <c r="F775" s="4">
        <f t="shared" ref="F775:F838" si="85">MIN(E771:E775)</f>
        <v>6117.5498049999997</v>
      </c>
      <c r="G775" s="4">
        <f t="shared" ref="G775:G838" si="86">MAX(E771:E775)</f>
        <v>6312.4501950000003</v>
      </c>
      <c r="H775" s="4" t="str">
        <f t="shared" ref="H775:H838" si="87">IF(E775&gt;G774,"BUY",IF(E775&lt;F774,"SELL",0))</f>
        <v>BUY</v>
      </c>
      <c r="I775" s="4">
        <f t="shared" si="84"/>
        <v>1</v>
      </c>
      <c r="J775" s="11">
        <f t="shared" ref="J775:J838" si="88">IF(I775&lt;&gt;I774,H775,0)</f>
        <v>0</v>
      </c>
      <c r="K775" s="6">
        <f t="shared" ref="K775:K838" si="89">IF(J775&lt;&gt;0,E775,K774)</f>
        <v>6117.5498049999997</v>
      </c>
      <c r="L775" s="4">
        <f t="shared" si="83"/>
        <v>0</v>
      </c>
    </row>
    <row r="776" spans="1:12" x14ac:dyDescent="0.25">
      <c r="A776" s="1">
        <v>42251</v>
      </c>
      <c r="B776">
        <v>6335.25</v>
      </c>
      <c r="C776">
        <v>6335.8999020000001</v>
      </c>
      <c r="D776">
        <v>6265.3500979999999</v>
      </c>
      <c r="E776">
        <v>6273.2001950000003</v>
      </c>
      <c r="F776" s="4">
        <f t="shared" si="85"/>
        <v>6119</v>
      </c>
      <c r="G776" s="4">
        <f t="shared" si="86"/>
        <v>6312.4501950000003</v>
      </c>
      <c r="H776" s="4">
        <f t="shared" si="87"/>
        <v>0</v>
      </c>
      <c r="I776" s="4">
        <f t="shared" si="84"/>
        <v>1</v>
      </c>
      <c r="J776" s="11">
        <f t="shared" si="88"/>
        <v>0</v>
      </c>
      <c r="K776" s="6">
        <f t="shared" si="89"/>
        <v>6117.5498049999997</v>
      </c>
      <c r="L776" s="4">
        <f t="shared" ref="L776:L839" si="90">IF(J776="BUY",(K775-K776)/K775,IF(J776="SELL",(K777-K775)/K775,0))</f>
        <v>0</v>
      </c>
    </row>
    <row r="777" spans="1:12" x14ac:dyDescent="0.25">
      <c r="A777" s="1">
        <v>42254</v>
      </c>
      <c r="B777">
        <v>6281</v>
      </c>
      <c r="C777">
        <v>6310.8999020000001</v>
      </c>
      <c r="D777">
        <v>6243.5498049999997</v>
      </c>
      <c r="E777">
        <v>6301.5498049999997</v>
      </c>
      <c r="F777" s="4">
        <f t="shared" si="85"/>
        <v>6160.5</v>
      </c>
      <c r="G777" s="4">
        <f t="shared" si="86"/>
        <v>6312.4501950000003</v>
      </c>
      <c r="H777" s="4">
        <f t="shared" si="87"/>
        <v>0</v>
      </c>
      <c r="I777" s="4">
        <f t="shared" si="84"/>
        <v>1</v>
      </c>
      <c r="J777" s="11">
        <f t="shared" si="88"/>
        <v>0</v>
      </c>
      <c r="K777" s="6">
        <f t="shared" si="89"/>
        <v>6117.5498049999997</v>
      </c>
      <c r="L777" s="4">
        <f t="shared" si="90"/>
        <v>0</v>
      </c>
    </row>
    <row r="778" spans="1:12" x14ac:dyDescent="0.25">
      <c r="A778" s="1">
        <v>42255</v>
      </c>
      <c r="B778">
        <v>6303.2001950000003</v>
      </c>
      <c r="C778">
        <v>6307.6499020000001</v>
      </c>
      <c r="D778">
        <v>6269.25</v>
      </c>
      <c r="E778">
        <v>6275.7001950000003</v>
      </c>
      <c r="F778" s="4">
        <f t="shared" si="85"/>
        <v>6273.2001950000003</v>
      </c>
      <c r="G778" s="4">
        <f t="shared" si="86"/>
        <v>6312.4501950000003</v>
      </c>
      <c r="H778" s="4">
        <f t="shared" si="87"/>
        <v>0</v>
      </c>
      <c r="I778" s="4">
        <f t="shared" si="84"/>
        <v>1</v>
      </c>
      <c r="J778" s="11">
        <f t="shared" si="88"/>
        <v>0</v>
      </c>
      <c r="K778" s="6">
        <f t="shared" si="89"/>
        <v>6117.5498049999997</v>
      </c>
      <c r="L778" s="4">
        <f t="shared" si="90"/>
        <v>0</v>
      </c>
    </row>
    <row r="779" spans="1:12" x14ac:dyDescent="0.25">
      <c r="A779" s="1">
        <v>42256</v>
      </c>
      <c r="B779">
        <v>6286.3500979999999</v>
      </c>
      <c r="C779">
        <v>6296.5498049999997</v>
      </c>
      <c r="D779">
        <v>6179.5</v>
      </c>
      <c r="E779">
        <v>6194.25</v>
      </c>
      <c r="F779" s="4">
        <f t="shared" si="85"/>
        <v>6194.25</v>
      </c>
      <c r="G779" s="4">
        <f t="shared" si="86"/>
        <v>6312.4501950000003</v>
      </c>
      <c r="H779" s="4" t="str">
        <f t="shared" si="87"/>
        <v>SELL</v>
      </c>
      <c r="I779" s="4">
        <f t="shared" si="84"/>
        <v>-1</v>
      </c>
      <c r="J779" s="11" t="str">
        <f t="shared" si="88"/>
        <v>SELL</v>
      </c>
      <c r="K779" s="6">
        <f t="shared" si="89"/>
        <v>6194.25</v>
      </c>
      <c r="L779" s="4">
        <f t="shared" si="90"/>
        <v>1.2537731190567782E-2</v>
      </c>
    </row>
    <row r="780" spans="1:12" x14ac:dyDescent="0.25">
      <c r="A780" s="1">
        <v>42257</v>
      </c>
      <c r="B780">
        <v>6182.2998049999997</v>
      </c>
      <c r="C780">
        <v>6202.5</v>
      </c>
      <c r="D780">
        <v>6056.75</v>
      </c>
      <c r="E780">
        <v>6071.6499020000001</v>
      </c>
      <c r="F780" s="4">
        <f t="shared" si="85"/>
        <v>6071.6499020000001</v>
      </c>
      <c r="G780" s="4">
        <f t="shared" si="86"/>
        <v>6301.5498049999997</v>
      </c>
      <c r="H780" s="4" t="str">
        <f t="shared" si="87"/>
        <v>SELL</v>
      </c>
      <c r="I780" s="4">
        <f t="shared" si="84"/>
        <v>-1</v>
      </c>
      <c r="J780" s="11">
        <f t="shared" si="88"/>
        <v>0</v>
      </c>
      <c r="K780" s="6">
        <f t="shared" si="89"/>
        <v>6194.25</v>
      </c>
      <c r="L780" s="4">
        <f t="shared" si="90"/>
        <v>0</v>
      </c>
    </row>
    <row r="781" spans="1:12" x14ac:dyDescent="0.25">
      <c r="A781" s="1">
        <v>42258</v>
      </c>
      <c r="B781">
        <v>6079.8999020000001</v>
      </c>
      <c r="C781">
        <v>6128.75</v>
      </c>
      <c r="D781">
        <v>6039.3999020000001</v>
      </c>
      <c r="E781">
        <v>6121.6000979999999</v>
      </c>
      <c r="F781" s="4">
        <f t="shared" si="85"/>
        <v>6071.6499020000001</v>
      </c>
      <c r="G781" s="4">
        <f t="shared" si="86"/>
        <v>6301.5498049999997</v>
      </c>
      <c r="H781" s="4">
        <f t="shared" si="87"/>
        <v>0</v>
      </c>
      <c r="I781" s="4">
        <f t="shared" si="84"/>
        <v>-1</v>
      </c>
      <c r="J781" s="11">
        <f t="shared" si="88"/>
        <v>0</v>
      </c>
      <c r="K781" s="6">
        <f t="shared" si="89"/>
        <v>6194.25</v>
      </c>
      <c r="L781" s="4">
        <f t="shared" si="90"/>
        <v>0</v>
      </c>
    </row>
    <row r="782" spans="1:12" x14ac:dyDescent="0.25">
      <c r="A782" s="1">
        <v>42261</v>
      </c>
      <c r="B782">
        <v>6143.4501950000003</v>
      </c>
      <c r="C782">
        <v>6144.0498049999997</v>
      </c>
      <c r="D782">
        <v>5970.6000979999999</v>
      </c>
      <c r="E782">
        <v>5988.7001950000003</v>
      </c>
      <c r="F782" s="4">
        <f t="shared" si="85"/>
        <v>5988.7001950000003</v>
      </c>
      <c r="G782" s="4">
        <f t="shared" si="86"/>
        <v>6275.7001950000003</v>
      </c>
      <c r="H782" s="4" t="str">
        <f t="shared" si="87"/>
        <v>SELL</v>
      </c>
      <c r="I782" s="4">
        <f t="shared" si="84"/>
        <v>-1</v>
      </c>
      <c r="J782" s="11">
        <f t="shared" si="88"/>
        <v>0</v>
      </c>
      <c r="K782" s="6">
        <f t="shared" si="89"/>
        <v>6194.25</v>
      </c>
      <c r="L782" s="4">
        <f t="shared" si="90"/>
        <v>0</v>
      </c>
    </row>
    <row r="783" spans="1:12" x14ac:dyDescent="0.25">
      <c r="A783" s="1">
        <v>42262</v>
      </c>
      <c r="B783">
        <v>5988.7001950000003</v>
      </c>
      <c r="C783">
        <v>5988.7001950000003</v>
      </c>
      <c r="D783">
        <v>5988.7001950000003</v>
      </c>
      <c r="E783">
        <v>5988.7001950000003</v>
      </c>
      <c r="F783" s="4">
        <f t="shared" si="85"/>
        <v>5988.7001950000003</v>
      </c>
      <c r="G783" s="4">
        <f t="shared" si="86"/>
        <v>6194.25</v>
      </c>
      <c r="H783" s="4">
        <f t="shared" si="87"/>
        <v>0</v>
      </c>
      <c r="I783" s="4">
        <f t="shared" si="84"/>
        <v>-1</v>
      </c>
      <c r="J783" s="11">
        <f t="shared" si="88"/>
        <v>0</v>
      </c>
      <c r="K783" s="6">
        <f t="shared" si="89"/>
        <v>6194.25</v>
      </c>
      <c r="L783" s="4">
        <f t="shared" si="90"/>
        <v>0</v>
      </c>
    </row>
    <row r="784" spans="1:12" x14ac:dyDescent="0.25">
      <c r="A784" s="1">
        <v>42263</v>
      </c>
      <c r="B784">
        <v>6075.9501950000003</v>
      </c>
      <c r="C784">
        <v>6076.2001950000003</v>
      </c>
      <c r="D784">
        <v>5906.75</v>
      </c>
      <c r="E784">
        <v>5998.7998049999997</v>
      </c>
      <c r="F784" s="4">
        <f t="shared" si="85"/>
        <v>5988.7001950000003</v>
      </c>
      <c r="G784" s="4">
        <f t="shared" si="86"/>
        <v>6121.6000979999999</v>
      </c>
      <c r="H784" s="4">
        <f t="shared" si="87"/>
        <v>0</v>
      </c>
      <c r="I784" s="4">
        <f t="shared" si="84"/>
        <v>-1</v>
      </c>
      <c r="J784" s="11">
        <f t="shared" si="88"/>
        <v>0</v>
      </c>
      <c r="K784" s="6">
        <f t="shared" si="89"/>
        <v>6194.25</v>
      </c>
      <c r="L784" s="4">
        <f t="shared" si="90"/>
        <v>0</v>
      </c>
    </row>
    <row r="785" spans="1:12" x14ac:dyDescent="0.25">
      <c r="A785" s="1">
        <v>42264</v>
      </c>
      <c r="B785">
        <v>6011.2998049999997</v>
      </c>
      <c r="C785">
        <v>6013.25</v>
      </c>
      <c r="D785">
        <v>5863.9501950000003</v>
      </c>
      <c r="E785">
        <v>5890.2998049999997</v>
      </c>
      <c r="F785" s="4">
        <f t="shared" si="85"/>
        <v>5890.2998049999997</v>
      </c>
      <c r="G785" s="4">
        <f t="shared" si="86"/>
        <v>6121.6000979999999</v>
      </c>
      <c r="H785" s="4" t="str">
        <f t="shared" si="87"/>
        <v>SELL</v>
      </c>
      <c r="I785" s="4">
        <f t="shared" si="84"/>
        <v>-1</v>
      </c>
      <c r="J785" s="11">
        <f t="shared" si="88"/>
        <v>0</v>
      </c>
      <c r="K785" s="6">
        <f t="shared" si="89"/>
        <v>6194.25</v>
      </c>
      <c r="L785" s="4">
        <f t="shared" si="90"/>
        <v>0</v>
      </c>
    </row>
    <row r="786" spans="1:12" x14ac:dyDescent="0.25">
      <c r="A786" s="1">
        <v>42265</v>
      </c>
      <c r="B786">
        <v>5920.8999020000001</v>
      </c>
      <c r="C786">
        <v>6020.25</v>
      </c>
      <c r="D786">
        <v>5905.1499020000001</v>
      </c>
      <c r="E786">
        <v>6010</v>
      </c>
      <c r="F786" s="4">
        <f t="shared" si="85"/>
        <v>5890.2998049999997</v>
      </c>
      <c r="G786" s="4">
        <f t="shared" si="86"/>
        <v>6010</v>
      </c>
      <c r="H786" s="4">
        <f t="shared" si="87"/>
        <v>0</v>
      </c>
      <c r="I786" s="4">
        <f t="shared" si="84"/>
        <v>-1</v>
      </c>
      <c r="J786" s="11">
        <f t="shared" si="88"/>
        <v>0</v>
      </c>
      <c r="K786" s="6">
        <f t="shared" si="89"/>
        <v>6194.25</v>
      </c>
      <c r="L786" s="4">
        <f t="shared" si="90"/>
        <v>0</v>
      </c>
    </row>
    <row r="787" spans="1:12" x14ac:dyDescent="0.25">
      <c r="A787" s="1">
        <v>42268</v>
      </c>
      <c r="B787">
        <v>5971.5498049999997</v>
      </c>
      <c r="C787">
        <v>5973.3500979999999</v>
      </c>
      <c r="D787">
        <v>5824.9501950000003</v>
      </c>
      <c r="E787">
        <v>5934.75</v>
      </c>
      <c r="F787" s="4">
        <f t="shared" si="85"/>
        <v>5890.2998049999997</v>
      </c>
      <c r="G787" s="4">
        <f t="shared" si="86"/>
        <v>6010</v>
      </c>
      <c r="H787" s="4">
        <f t="shared" si="87"/>
        <v>0</v>
      </c>
      <c r="I787" s="4">
        <f t="shared" si="84"/>
        <v>-1</v>
      </c>
      <c r="J787" s="11">
        <f t="shared" si="88"/>
        <v>0</v>
      </c>
      <c r="K787" s="6">
        <f t="shared" si="89"/>
        <v>6194.25</v>
      </c>
      <c r="L787" s="4">
        <f t="shared" si="90"/>
        <v>0</v>
      </c>
    </row>
    <row r="788" spans="1:12" x14ac:dyDescent="0.25">
      <c r="A788" s="1">
        <v>42269</v>
      </c>
      <c r="B788">
        <v>5946.7998049999997</v>
      </c>
      <c r="C788">
        <v>5976.6499020000001</v>
      </c>
      <c r="D788">
        <v>5833.6000979999999</v>
      </c>
      <c r="E788">
        <v>5865.75</v>
      </c>
      <c r="F788" s="4">
        <f t="shared" si="85"/>
        <v>5865.75</v>
      </c>
      <c r="G788" s="4">
        <f t="shared" si="86"/>
        <v>6010</v>
      </c>
      <c r="H788" s="4" t="str">
        <f t="shared" si="87"/>
        <v>SELL</v>
      </c>
      <c r="I788" s="4">
        <f t="shared" si="84"/>
        <v>-1</v>
      </c>
      <c r="J788" s="11">
        <f t="shared" si="88"/>
        <v>0</v>
      </c>
      <c r="K788" s="6">
        <f t="shared" si="89"/>
        <v>6194.25</v>
      </c>
      <c r="L788" s="4">
        <f t="shared" si="90"/>
        <v>0</v>
      </c>
    </row>
    <row r="789" spans="1:12" x14ac:dyDescent="0.25">
      <c r="A789" s="1">
        <v>42270</v>
      </c>
      <c r="B789">
        <v>5883.9501950000003</v>
      </c>
      <c r="C789">
        <v>5907.1000979999999</v>
      </c>
      <c r="D789">
        <v>5780.3500979999999</v>
      </c>
      <c r="E789">
        <v>5799.75</v>
      </c>
      <c r="F789" s="4">
        <f t="shared" si="85"/>
        <v>5799.75</v>
      </c>
      <c r="G789" s="4">
        <f t="shared" si="86"/>
        <v>6010</v>
      </c>
      <c r="H789" s="4" t="str">
        <f t="shared" si="87"/>
        <v>SELL</v>
      </c>
      <c r="I789" s="4">
        <f t="shared" si="84"/>
        <v>-1</v>
      </c>
      <c r="J789" s="11">
        <f t="shared" si="88"/>
        <v>0</v>
      </c>
      <c r="K789" s="6">
        <f t="shared" si="89"/>
        <v>6194.25</v>
      </c>
      <c r="L789" s="4">
        <f t="shared" si="90"/>
        <v>0</v>
      </c>
    </row>
    <row r="790" spans="1:12" x14ac:dyDescent="0.25">
      <c r="A790" s="1">
        <v>42271</v>
      </c>
      <c r="B790">
        <v>5828.5498049999997</v>
      </c>
      <c r="C790">
        <v>5838.5</v>
      </c>
      <c r="D790">
        <v>5690.3500979999999</v>
      </c>
      <c r="E790">
        <v>5751.9501950000003</v>
      </c>
      <c r="F790" s="4">
        <f t="shared" si="85"/>
        <v>5751.9501950000003</v>
      </c>
      <c r="G790" s="4">
        <f t="shared" si="86"/>
        <v>6010</v>
      </c>
      <c r="H790" s="4" t="str">
        <f t="shared" si="87"/>
        <v>SELL</v>
      </c>
      <c r="I790" s="4">
        <f t="shared" si="84"/>
        <v>-1</v>
      </c>
      <c r="J790" s="11">
        <f t="shared" si="88"/>
        <v>0</v>
      </c>
      <c r="K790" s="6">
        <f t="shared" si="89"/>
        <v>6194.25</v>
      </c>
      <c r="L790" s="4">
        <f t="shared" si="90"/>
        <v>0</v>
      </c>
    </row>
    <row r="791" spans="1:12" x14ac:dyDescent="0.25">
      <c r="A791" s="1">
        <v>42272</v>
      </c>
      <c r="B791">
        <v>5789.9501950000003</v>
      </c>
      <c r="C791">
        <v>5843.1499020000001</v>
      </c>
      <c r="D791">
        <v>5754.7001950000003</v>
      </c>
      <c r="E791">
        <v>5830</v>
      </c>
      <c r="F791" s="4">
        <f t="shared" si="85"/>
        <v>5751.9501950000003</v>
      </c>
      <c r="G791" s="4">
        <f t="shared" si="86"/>
        <v>5934.75</v>
      </c>
      <c r="H791" s="4">
        <f t="shared" si="87"/>
        <v>0</v>
      </c>
      <c r="I791" s="4">
        <f t="shared" si="84"/>
        <v>-1</v>
      </c>
      <c r="J791" s="11">
        <f t="shared" si="88"/>
        <v>0</v>
      </c>
      <c r="K791" s="6">
        <f t="shared" si="89"/>
        <v>6194.25</v>
      </c>
      <c r="L791" s="4">
        <f t="shared" si="90"/>
        <v>0</v>
      </c>
    </row>
    <row r="792" spans="1:12" x14ac:dyDescent="0.25">
      <c r="A792" s="1">
        <v>42275</v>
      </c>
      <c r="B792">
        <v>5811.6000979999999</v>
      </c>
      <c r="C792">
        <v>5892.25</v>
      </c>
      <c r="D792">
        <v>5768.3500979999999</v>
      </c>
      <c r="E792">
        <v>5862.7001950000003</v>
      </c>
      <c r="F792" s="4">
        <f t="shared" si="85"/>
        <v>5751.9501950000003</v>
      </c>
      <c r="G792" s="4">
        <f t="shared" si="86"/>
        <v>5865.75</v>
      </c>
      <c r="H792" s="4">
        <f t="shared" si="87"/>
        <v>0</v>
      </c>
      <c r="I792" s="4">
        <f t="shared" si="84"/>
        <v>-1</v>
      </c>
      <c r="J792" s="11">
        <f t="shared" si="88"/>
        <v>0</v>
      </c>
      <c r="K792" s="6">
        <f t="shared" si="89"/>
        <v>6194.25</v>
      </c>
      <c r="L792" s="4">
        <f t="shared" si="90"/>
        <v>0</v>
      </c>
    </row>
    <row r="793" spans="1:12" x14ac:dyDescent="0.25">
      <c r="A793" s="1">
        <v>42276</v>
      </c>
      <c r="B793">
        <v>5871</v>
      </c>
      <c r="C793">
        <v>5971</v>
      </c>
      <c r="D793">
        <v>5865.5498049999997</v>
      </c>
      <c r="E793">
        <v>5960.8999020000001</v>
      </c>
      <c r="F793" s="4">
        <f t="shared" si="85"/>
        <v>5751.9501950000003</v>
      </c>
      <c r="G793" s="4">
        <f t="shared" si="86"/>
        <v>5960.8999020000001</v>
      </c>
      <c r="H793" s="4" t="str">
        <f t="shared" si="87"/>
        <v>BUY</v>
      </c>
      <c r="I793" s="4">
        <f t="shared" si="84"/>
        <v>1</v>
      </c>
      <c r="J793" s="11" t="str">
        <f t="shared" si="88"/>
        <v>BUY</v>
      </c>
      <c r="K793" s="6">
        <f t="shared" si="89"/>
        <v>5960.8999020000001</v>
      </c>
      <c r="L793" s="4">
        <f t="shared" si="90"/>
        <v>3.7672050369294087E-2</v>
      </c>
    </row>
    <row r="794" spans="1:12" x14ac:dyDescent="0.25">
      <c r="A794" s="1">
        <v>42277</v>
      </c>
      <c r="B794">
        <v>6023.0498049999997</v>
      </c>
      <c r="C794">
        <v>6029.5</v>
      </c>
      <c r="D794">
        <v>5980.6000979999999</v>
      </c>
      <c r="E794">
        <v>6011.7001950000003</v>
      </c>
      <c r="F794" s="4">
        <f t="shared" si="85"/>
        <v>5751.9501950000003</v>
      </c>
      <c r="G794" s="4">
        <f t="shared" si="86"/>
        <v>6011.7001950000003</v>
      </c>
      <c r="H794" s="4" t="str">
        <f t="shared" si="87"/>
        <v>BUY</v>
      </c>
      <c r="I794" s="4">
        <f t="shared" si="84"/>
        <v>1</v>
      </c>
      <c r="J794" s="11">
        <f t="shared" si="88"/>
        <v>0</v>
      </c>
      <c r="K794" s="6">
        <f t="shared" si="89"/>
        <v>5960.8999020000001</v>
      </c>
      <c r="L794" s="4">
        <f t="shared" si="90"/>
        <v>0</v>
      </c>
    </row>
    <row r="795" spans="1:12" x14ac:dyDescent="0.25">
      <c r="A795" s="1">
        <v>42278</v>
      </c>
      <c r="B795">
        <v>6013.3500979999999</v>
      </c>
      <c r="C795">
        <v>6025.3999020000001</v>
      </c>
      <c r="D795">
        <v>5964.25</v>
      </c>
      <c r="E795">
        <v>5992.7998049999997</v>
      </c>
      <c r="F795" s="4">
        <f t="shared" si="85"/>
        <v>5830</v>
      </c>
      <c r="G795" s="4">
        <f t="shared" si="86"/>
        <v>6011.7001950000003</v>
      </c>
      <c r="H795" s="4">
        <f t="shared" si="87"/>
        <v>0</v>
      </c>
      <c r="I795" s="4">
        <f t="shared" si="84"/>
        <v>1</v>
      </c>
      <c r="J795" s="11">
        <f t="shared" si="88"/>
        <v>0</v>
      </c>
      <c r="K795" s="6">
        <f t="shared" si="89"/>
        <v>5960.8999020000001</v>
      </c>
      <c r="L795" s="4">
        <f t="shared" si="90"/>
        <v>0</v>
      </c>
    </row>
    <row r="796" spans="1:12" x14ac:dyDescent="0.25">
      <c r="A796" s="1">
        <v>42279</v>
      </c>
      <c r="B796">
        <v>6033.6499020000001</v>
      </c>
      <c r="C796">
        <v>6069.4501950000003</v>
      </c>
      <c r="D796">
        <v>5981.7001950000003</v>
      </c>
      <c r="E796">
        <v>5992.25</v>
      </c>
      <c r="F796" s="4">
        <f t="shared" si="85"/>
        <v>5862.7001950000003</v>
      </c>
      <c r="G796" s="4">
        <f t="shared" si="86"/>
        <v>6011.7001950000003</v>
      </c>
      <c r="H796" s="4">
        <f t="shared" si="87"/>
        <v>0</v>
      </c>
      <c r="I796" s="4">
        <f t="shared" si="84"/>
        <v>1</v>
      </c>
      <c r="J796" s="11">
        <f t="shared" si="88"/>
        <v>0</v>
      </c>
      <c r="K796" s="6">
        <f t="shared" si="89"/>
        <v>5960.8999020000001</v>
      </c>
      <c r="L796" s="4">
        <f t="shared" si="90"/>
        <v>0</v>
      </c>
    </row>
    <row r="797" spans="1:12" x14ac:dyDescent="0.25">
      <c r="A797" s="1">
        <v>42282</v>
      </c>
      <c r="B797">
        <v>5995.0498049999997</v>
      </c>
      <c r="C797">
        <v>6001</v>
      </c>
      <c r="D797">
        <v>5939.7001950000003</v>
      </c>
      <c r="E797">
        <v>5976.5498049999997</v>
      </c>
      <c r="F797" s="4">
        <f t="shared" si="85"/>
        <v>5960.8999020000001</v>
      </c>
      <c r="G797" s="4">
        <f t="shared" si="86"/>
        <v>6011.7001950000003</v>
      </c>
      <c r="H797" s="4">
        <f t="shared" si="87"/>
        <v>0</v>
      </c>
      <c r="I797" s="4">
        <f t="shared" si="84"/>
        <v>1</v>
      </c>
      <c r="J797" s="11">
        <f t="shared" si="88"/>
        <v>0</v>
      </c>
      <c r="K797" s="6">
        <f t="shared" si="89"/>
        <v>5960.8999020000001</v>
      </c>
      <c r="L797" s="4">
        <f t="shared" si="90"/>
        <v>0</v>
      </c>
    </row>
    <row r="798" spans="1:12" x14ac:dyDescent="0.25">
      <c r="A798" s="1">
        <v>42283</v>
      </c>
      <c r="B798">
        <v>5954.3999020000001</v>
      </c>
      <c r="C798">
        <v>5960</v>
      </c>
      <c r="D798">
        <v>5878.6000979999999</v>
      </c>
      <c r="E798">
        <v>5903.7001950000003</v>
      </c>
      <c r="F798" s="4">
        <f t="shared" si="85"/>
        <v>5903.7001950000003</v>
      </c>
      <c r="G798" s="4">
        <f t="shared" si="86"/>
        <v>6011.7001950000003</v>
      </c>
      <c r="H798" s="4" t="str">
        <f t="shared" si="87"/>
        <v>SELL</v>
      </c>
      <c r="I798" s="4">
        <f t="shared" si="84"/>
        <v>-1</v>
      </c>
      <c r="J798" s="11" t="str">
        <f t="shared" si="88"/>
        <v>SELL</v>
      </c>
      <c r="K798" s="6">
        <f t="shared" si="89"/>
        <v>5903.7001950000003</v>
      </c>
      <c r="L798" s="4">
        <f t="shared" si="90"/>
        <v>-9.5958174001224417E-3</v>
      </c>
    </row>
    <row r="799" spans="1:12" x14ac:dyDescent="0.25">
      <c r="A799" s="1">
        <v>42284</v>
      </c>
      <c r="B799">
        <v>5924.25</v>
      </c>
      <c r="C799">
        <v>5927.2998049999997</v>
      </c>
      <c r="D799">
        <v>5742.2998049999997</v>
      </c>
      <c r="E799">
        <v>5766.5</v>
      </c>
      <c r="F799" s="4">
        <f t="shared" si="85"/>
        <v>5766.5</v>
      </c>
      <c r="G799" s="4">
        <f t="shared" si="86"/>
        <v>5992.7998049999997</v>
      </c>
      <c r="H799" s="4" t="str">
        <f t="shared" si="87"/>
        <v>SELL</v>
      </c>
      <c r="I799" s="4">
        <f t="shared" si="84"/>
        <v>-1</v>
      </c>
      <c r="J799" s="11">
        <f t="shared" si="88"/>
        <v>0</v>
      </c>
      <c r="K799" s="6">
        <f t="shared" si="89"/>
        <v>5903.7001950000003</v>
      </c>
      <c r="L799" s="4">
        <f t="shared" si="90"/>
        <v>0</v>
      </c>
    </row>
    <row r="800" spans="1:12" x14ac:dyDescent="0.25">
      <c r="A800" s="1">
        <v>42285</v>
      </c>
      <c r="B800">
        <v>5761</v>
      </c>
      <c r="C800">
        <v>5865.5</v>
      </c>
      <c r="D800">
        <v>5721.1499020000001</v>
      </c>
      <c r="E800">
        <v>5857.3500979999999</v>
      </c>
      <c r="F800" s="4">
        <f t="shared" si="85"/>
        <v>5766.5</v>
      </c>
      <c r="G800" s="4">
        <f t="shared" si="86"/>
        <v>5992.25</v>
      </c>
      <c r="H800" s="4">
        <f t="shared" si="87"/>
        <v>0</v>
      </c>
      <c r="I800" s="4">
        <f t="shared" si="84"/>
        <v>-1</v>
      </c>
      <c r="J800" s="11">
        <f t="shared" si="88"/>
        <v>0</v>
      </c>
      <c r="K800" s="6">
        <f t="shared" si="89"/>
        <v>5903.7001950000003</v>
      </c>
      <c r="L800" s="4">
        <f t="shared" si="90"/>
        <v>0</v>
      </c>
    </row>
    <row r="801" spans="1:12" x14ac:dyDescent="0.25">
      <c r="A801" s="1">
        <v>42286</v>
      </c>
      <c r="B801">
        <v>5882.6499020000001</v>
      </c>
      <c r="C801">
        <v>5913.7998049999997</v>
      </c>
      <c r="D801">
        <v>5795.8999020000001</v>
      </c>
      <c r="E801">
        <v>5907.6499020000001</v>
      </c>
      <c r="F801" s="4">
        <f t="shared" si="85"/>
        <v>5766.5</v>
      </c>
      <c r="G801" s="4">
        <f t="shared" si="86"/>
        <v>5976.5498049999997</v>
      </c>
      <c r="H801" s="4">
        <f t="shared" si="87"/>
        <v>0</v>
      </c>
      <c r="I801" s="4">
        <f t="shared" si="84"/>
        <v>-1</v>
      </c>
      <c r="J801" s="11">
        <f t="shared" si="88"/>
        <v>0</v>
      </c>
      <c r="K801" s="6">
        <f t="shared" si="89"/>
        <v>5903.7001950000003</v>
      </c>
      <c r="L801" s="4">
        <f t="shared" si="90"/>
        <v>0</v>
      </c>
    </row>
    <row r="802" spans="1:12" x14ac:dyDescent="0.25">
      <c r="A802" s="1">
        <v>42289</v>
      </c>
      <c r="B802">
        <v>5928.7001950000003</v>
      </c>
      <c r="C802">
        <v>5953.9501950000003</v>
      </c>
      <c r="D802">
        <v>5888.75</v>
      </c>
      <c r="E802">
        <v>5944.1000979999999</v>
      </c>
      <c r="F802" s="4">
        <f t="shared" si="85"/>
        <v>5766.5</v>
      </c>
      <c r="G802" s="4">
        <f t="shared" si="86"/>
        <v>5944.1000979999999</v>
      </c>
      <c r="H802" s="4">
        <f t="shared" si="87"/>
        <v>0</v>
      </c>
      <c r="I802" s="4">
        <f t="shared" si="84"/>
        <v>-1</v>
      </c>
      <c r="J802" s="11">
        <f t="shared" si="88"/>
        <v>0</v>
      </c>
      <c r="K802" s="6">
        <f t="shared" si="89"/>
        <v>5903.7001950000003</v>
      </c>
      <c r="L802" s="4">
        <f t="shared" si="90"/>
        <v>0</v>
      </c>
    </row>
    <row r="803" spans="1:12" x14ac:dyDescent="0.25">
      <c r="A803" s="1">
        <v>42290</v>
      </c>
      <c r="B803">
        <v>5931.1499020000001</v>
      </c>
      <c r="C803">
        <v>5942.75</v>
      </c>
      <c r="D803">
        <v>5865.7998049999997</v>
      </c>
      <c r="E803">
        <v>5892.2998049999997</v>
      </c>
      <c r="F803" s="4">
        <f t="shared" si="85"/>
        <v>5766.5</v>
      </c>
      <c r="G803" s="4">
        <f t="shared" si="86"/>
        <v>5944.1000979999999</v>
      </c>
      <c r="H803" s="4">
        <f t="shared" si="87"/>
        <v>0</v>
      </c>
      <c r="I803" s="4">
        <f t="shared" si="84"/>
        <v>-1</v>
      </c>
      <c r="J803" s="11">
        <f t="shared" si="88"/>
        <v>0</v>
      </c>
      <c r="K803" s="6">
        <f t="shared" si="89"/>
        <v>5903.7001950000003</v>
      </c>
      <c r="L803" s="4">
        <f t="shared" si="90"/>
        <v>0</v>
      </c>
    </row>
    <row r="804" spans="1:12" x14ac:dyDescent="0.25">
      <c r="A804" s="1">
        <v>42291</v>
      </c>
      <c r="B804">
        <v>5910.5498049999997</v>
      </c>
      <c r="C804">
        <v>5956.1499020000001</v>
      </c>
      <c r="D804">
        <v>5855.0498049999997</v>
      </c>
      <c r="E804">
        <v>5948.75</v>
      </c>
      <c r="F804" s="4">
        <f t="shared" si="85"/>
        <v>5857.3500979999999</v>
      </c>
      <c r="G804" s="4">
        <f t="shared" si="86"/>
        <v>5948.75</v>
      </c>
      <c r="H804" s="4" t="str">
        <f t="shared" si="87"/>
        <v>BUY</v>
      </c>
      <c r="I804" s="4">
        <f t="shared" si="84"/>
        <v>1</v>
      </c>
      <c r="J804" s="11" t="str">
        <f t="shared" si="88"/>
        <v>BUY</v>
      </c>
      <c r="K804" s="6">
        <f t="shared" si="89"/>
        <v>5948.75</v>
      </c>
      <c r="L804" s="4">
        <f t="shared" si="90"/>
        <v>-7.6307745163200396E-3</v>
      </c>
    </row>
    <row r="805" spans="1:12" x14ac:dyDescent="0.25">
      <c r="A805" s="1">
        <v>42292</v>
      </c>
      <c r="B805">
        <v>5948.75</v>
      </c>
      <c r="C805">
        <v>5948.75</v>
      </c>
      <c r="D805">
        <v>5948.75</v>
      </c>
      <c r="E805">
        <v>5948.75</v>
      </c>
      <c r="F805" s="4">
        <f t="shared" si="85"/>
        <v>5892.2998049999997</v>
      </c>
      <c r="G805" s="4">
        <f t="shared" si="86"/>
        <v>5948.75</v>
      </c>
      <c r="H805" s="4">
        <f t="shared" si="87"/>
        <v>0</v>
      </c>
      <c r="I805" s="4">
        <f t="shared" si="84"/>
        <v>1</v>
      </c>
      <c r="J805" s="11">
        <f t="shared" si="88"/>
        <v>0</v>
      </c>
      <c r="K805" s="6">
        <f t="shared" si="89"/>
        <v>5948.75</v>
      </c>
      <c r="L805" s="4">
        <f t="shared" si="90"/>
        <v>0</v>
      </c>
    </row>
    <row r="806" spans="1:12" x14ac:dyDescent="0.25">
      <c r="A806" s="1">
        <v>42293</v>
      </c>
      <c r="B806">
        <v>5926.8500979999999</v>
      </c>
      <c r="C806">
        <v>5985</v>
      </c>
      <c r="D806">
        <v>5900.25</v>
      </c>
      <c r="E806">
        <v>5947.0498049999997</v>
      </c>
      <c r="F806" s="4">
        <f t="shared" si="85"/>
        <v>5892.2998049999997</v>
      </c>
      <c r="G806" s="4">
        <f t="shared" si="86"/>
        <v>5948.75</v>
      </c>
      <c r="H806" s="4">
        <f t="shared" si="87"/>
        <v>0</v>
      </c>
      <c r="I806" s="4">
        <f t="shared" si="84"/>
        <v>1</v>
      </c>
      <c r="J806" s="11">
        <f t="shared" si="88"/>
        <v>0</v>
      </c>
      <c r="K806" s="6">
        <f t="shared" si="89"/>
        <v>5948.75</v>
      </c>
      <c r="L806" s="4">
        <f t="shared" si="90"/>
        <v>0</v>
      </c>
    </row>
    <row r="807" spans="1:12" x14ac:dyDescent="0.25">
      <c r="A807" s="1">
        <v>42296</v>
      </c>
      <c r="B807">
        <v>5960.3999020000001</v>
      </c>
      <c r="C807">
        <v>6007.4501950000003</v>
      </c>
      <c r="D807">
        <v>5960.0498049999997</v>
      </c>
      <c r="E807">
        <v>6000.6499020000001</v>
      </c>
      <c r="F807" s="4">
        <f t="shared" si="85"/>
        <v>5892.2998049999997</v>
      </c>
      <c r="G807" s="4">
        <f t="shared" si="86"/>
        <v>6000.6499020000001</v>
      </c>
      <c r="H807" s="4" t="str">
        <f t="shared" si="87"/>
        <v>BUY</v>
      </c>
      <c r="I807" s="4">
        <f t="shared" si="84"/>
        <v>1</v>
      </c>
      <c r="J807" s="11">
        <f t="shared" si="88"/>
        <v>0</v>
      </c>
      <c r="K807" s="6">
        <f t="shared" si="89"/>
        <v>5948.75</v>
      </c>
      <c r="L807" s="4">
        <f t="shared" si="90"/>
        <v>0</v>
      </c>
    </row>
    <row r="808" spans="1:12" x14ac:dyDescent="0.25">
      <c r="A808" s="1">
        <v>42297</v>
      </c>
      <c r="B808">
        <v>6019</v>
      </c>
      <c r="C808">
        <v>6023.7998049999997</v>
      </c>
      <c r="D808">
        <v>5958</v>
      </c>
      <c r="E808">
        <v>5984.3999020000001</v>
      </c>
      <c r="F808" s="4">
        <f t="shared" si="85"/>
        <v>5947.0498049999997</v>
      </c>
      <c r="G808" s="4">
        <f t="shared" si="86"/>
        <v>6000.6499020000001</v>
      </c>
      <c r="H808" s="4">
        <f t="shared" si="87"/>
        <v>0</v>
      </c>
      <c r="I808" s="4">
        <f t="shared" si="84"/>
        <v>1</v>
      </c>
      <c r="J808" s="11">
        <f t="shared" si="88"/>
        <v>0</v>
      </c>
      <c r="K808" s="6">
        <f t="shared" si="89"/>
        <v>5948.75</v>
      </c>
      <c r="L808" s="4">
        <f t="shared" si="90"/>
        <v>0</v>
      </c>
    </row>
    <row r="809" spans="1:12" x14ac:dyDescent="0.25">
      <c r="A809" s="1">
        <v>42298</v>
      </c>
      <c r="B809">
        <v>6005.8999020000001</v>
      </c>
      <c r="C809">
        <v>6006.4501950000003</v>
      </c>
      <c r="D809">
        <v>5964.6000979999999</v>
      </c>
      <c r="E809">
        <v>5980</v>
      </c>
      <c r="F809" s="4">
        <f t="shared" si="85"/>
        <v>5947.0498049999997</v>
      </c>
      <c r="G809" s="4">
        <f t="shared" si="86"/>
        <v>6000.6499020000001</v>
      </c>
      <c r="H809" s="4">
        <f t="shared" si="87"/>
        <v>0</v>
      </c>
      <c r="I809" s="4">
        <f t="shared" si="84"/>
        <v>1</v>
      </c>
      <c r="J809" s="11">
        <f t="shared" si="88"/>
        <v>0</v>
      </c>
      <c r="K809" s="6">
        <f t="shared" si="89"/>
        <v>5948.75</v>
      </c>
      <c r="L809" s="4">
        <f t="shared" si="90"/>
        <v>0</v>
      </c>
    </row>
    <row r="810" spans="1:12" x14ac:dyDescent="0.25">
      <c r="A810" s="1">
        <v>42299</v>
      </c>
      <c r="B810">
        <v>5940.25</v>
      </c>
      <c r="C810">
        <v>6017.3500979999999</v>
      </c>
      <c r="D810">
        <v>5940.25</v>
      </c>
      <c r="E810">
        <v>6011.6000979999999</v>
      </c>
      <c r="F810" s="4">
        <f t="shared" si="85"/>
        <v>5947.0498049999997</v>
      </c>
      <c r="G810" s="4">
        <f t="shared" si="86"/>
        <v>6011.6000979999999</v>
      </c>
      <c r="H810" s="4" t="str">
        <f t="shared" si="87"/>
        <v>BUY</v>
      </c>
      <c r="I810" s="4">
        <f t="shared" si="84"/>
        <v>1</v>
      </c>
      <c r="J810" s="11">
        <f t="shared" si="88"/>
        <v>0</v>
      </c>
      <c r="K810" s="6">
        <f t="shared" si="89"/>
        <v>5948.75</v>
      </c>
      <c r="L810" s="4">
        <f t="shared" si="90"/>
        <v>0</v>
      </c>
    </row>
    <row r="811" spans="1:12" x14ac:dyDescent="0.25">
      <c r="A811" s="1">
        <v>42300</v>
      </c>
      <c r="B811">
        <v>6013.2998049999997</v>
      </c>
      <c r="C811">
        <v>6045.75</v>
      </c>
      <c r="D811">
        <v>5991.1000979999999</v>
      </c>
      <c r="E811">
        <v>5998.1000979999999</v>
      </c>
      <c r="F811" s="4">
        <f t="shared" si="85"/>
        <v>5980</v>
      </c>
      <c r="G811" s="4">
        <f t="shared" si="86"/>
        <v>6011.6000979999999</v>
      </c>
      <c r="H811" s="4">
        <f t="shared" si="87"/>
        <v>0</v>
      </c>
      <c r="I811" s="4">
        <f t="shared" si="84"/>
        <v>1</v>
      </c>
      <c r="J811" s="11">
        <f t="shared" si="88"/>
        <v>0</v>
      </c>
      <c r="K811" s="6">
        <f t="shared" si="89"/>
        <v>5948.75</v>
      </c>
      <c r="L811" s="4">
        <f t="shared" si="90"/>
        <v>0</v>
      </c>
    </row>
    <row r="812" spans="1:12" x14ac:dyDescent="0.25">
      <c r="A812" s="1">
        <v>42303</v>
      </c>
      <c r="B812">
        <v>6005.3500979999999</v>
      </c>
      <c r="C812">
        <v>6010.8999020000001</v>
      </c>
      <c r="D812">
        <v>5982.25</v>
      </c>
      <c r="E812">
        <v>5996</v>
      </c>
      <c r="F812" s="4">
        <f t="shared" si="85"/>
        <v>5980</v>
      </c>
      <c r="G812" s="4">
        <f t="shared" si="86"/>
        <v>6011.6000979999999</v>
      </c>
      <c r="H812" s="4">
        <f t="shared" si="87"/>
        <v>0</v>
      </c>
      <c r="I812" s="4">
        <f t="shared" si="84"/>
        <v>1</v>
      </c>
      <c r="J812" s="11">
        <f t="shared" si="88"/>
        <v>0</v>
      </c>
      <c r="K812" s="6">
        <f t="shared" si="89"/>
        <v>5948.75</v>
      </c>
      <c r="L812" s="4">
        <f t="shared" si="90"/>
        <v>0</v>
      </c>
    </row>
    <row r="813" spans="1:12" x14ac:dyDescent="0.25">
      <c r="A813" s="1">
        <v>42304</v>
      </c>
      <c r="B813">
        <v>6005.1499020000001</v>
      </c>
      <c r="C813">
        <v>6067.5498049999997</v>
      </c>
      <c r="D813">
        <v>6002.8500979999999</v>
      </c>
      <c r="E813">
        <v>6060.3500979999999</v>
      </c>
      <c r="F813" s="4">
        <f t="shared" si="85"/>
        <v>5980</v>
      </c>
      <c r="G813" s="4">
        <f t="shared" si="86"/>
        <v>6060.3500979999999</v>
      </c>
      <c r="H813" s="4" t="str">
        <f t="shared" si="87"/>
        <v>BUY</v>
      </c>
      <c r="I813" s="4">
        <f t="shared" si="84"/>
        <v>1</v>
      </c>
      <c r="J813" s="11">
        <f t="shared" si="88"/>
        <v>0</v>
      </c>
      <c r="K813" s="6">
        <f t="shared" si="89"/>
        <v>5948.75</v>
      </c>
      <c r="L813" s="4">
        <f t="shared" si="90"/>
        <v>0</v>
      </c>
    </row>
    <row r="814" spans="1:12" x14ac:dyDescent="0.25">
      <c r="A814" s="1">
        <v>42305</v>
      </c>
      <c r="B814">
        <v>6062.3500979999999</v>
      </c>
      <c r="C814">
        <v>6106.3999020000001</v>
      </c>
      <c r="D814">
        <v>6062.3500979999999</v>
      </c>
      <c r="E814">
        <v>6101.8500979999999</v>
      </c>
      <c r="F814" s="4">
        <f t="shared" si="85"/>
        <v>5996</v>
      </c>
      <c r="G814" s="4">
        <f t="shared" si="86"/>
        <v>6101.8500979999999</v>
      </c>
      <c r="H814" s="4" t="str">
        <f t="shared" si="87"/>
        <v>BUY</v>
      </c>
      <c r="I814" s="4">
        <f t="shared" si="84"/>
        <v>1</v>
      </c>
      <c r="J814" s="11">
        <f t="shared" si="88"/>
        <v>0</v>
      </c>
      <c r="K814" s="6">
        <f t="shared" si="89"/>
        <v>5948.75</v>
      </c>
      <c r="L814" s="4">
        <f t="shared" si="90"/>
        <v>0</v>
      </c>
    </row>
    <row r="815" spans="1:12" x14ac:dyDescent="0.25">
      <c r="A815" s="1">
        <v>42306</v>
      </c>
      <c r="B815">
        <v>6105.1000979999999</v>
      </c>
      <c r="C815">
        <v>6147.2998049999997</v>
      </c>
      <c r="D815">
        <v>6103.5498049999997</v>
      </c>
      <c r="E815">
        <v>6134.5</v>
      </c>
      <c r="F815" s="4">
        <f t="shared" si="85"/>
        <v>5996</v>
      </c>
      <c r="G815" s="4">
        <f t="shared" si="86"/>
        <v>6134.5</v>
      </c>
      <c r="H815" s="4" t="str">
        <f t="shared" si="87"/>
        <v>BUY</v>
      </c>
      <c r="I815" s="4">
        <f t="shared" si="84"/>
        <v>1</v>
      </c>
      <c r="J815" s="11">
        <f t="shared" si="88"/>
        <v>0</v>
      </c>
      <c r="K815" s="6">
        <f t="shared" si="89"/>
        <v>5948.75</v>
      </c>
      <c r="L815" s="4">
        <f t="shared" si="90"/>
        <v>0</v>
      </c>
    </row>
    <row r="816" spans="1:12" x14ac:dyDescent="0.25">
      <c r="A816" s="1">
        <v>42307</v>
      </c>
      <c r="B816">
        <v>6177.4501950000003</v>
      </c>
      <c r="C816">
        <v>6178.5498049999997</v>
      </c>
      <c r="D816">
        <v>6147.2001950000003</v>
      </c>
      <c r="E816">
        <v>6157.6000979999999</v>
      </c>
      <c r="F816" s="4">
        <f t="shared" si="85"/>
        <v>5996</v>
      </c>
      <c r="G816" s="4">
        <f t="shared" si="86"/>
        <v>6157.6000979999999</v>
      </c>
      <c r="H816" s="4" t="str">
        <f t="shared" si="87"/>
        <v>BUY</v>
      </c>
      <c r="I816" s="4">
        <f t="shared" si="84"/>
        <v>1</v>
      </c>
      <c r="J816" s="11">
        <f t="shared" si="88"/>
        <v>0</v>
      </c>
      <c r="K816" s="6">
        <f t="shared" si="89"/>
        <v>5948.75</v>
      </c>
      <c r="L816" s="4">
        <f t="shared" si="90"/>
        <v>0</v>
      </c>
    </row>
    <row r="817" spans="1:12" x14ac:dyDescent="0.25">
      <c r="A817" s="1">
        <v>42310</v>
      </c>
      <c r="B817">
        <v>6172.75</v>
      </c>
      <c r="C817">
        <v>6181.0498049999997</v>
      </c>
      <c r="D817">
        <v>6124.3999020000001</v>
      </c>
      <c r="E817">
        <v>6146.3500979999999</v>
      </c>
      <c r="F817" s="4">
        <f t="shared" si="85"/>
        <v>6060.3500979999999</v>
      </c>
      <c r="G817" s="4">
        <f t="shared" si="86"/>
        <v>6157.6000979999999</v>
      </c>
      <c r="H817" s="4">
        <f t="shared" si="87"/>
        <v>0</v>
      </c>
      <c r="I817" s="4">
        <f t="shared" si="84"/>
        <v>1</v>
      </c>
      <c r="J817" s="11">
        <f t="shared" si="88"/>
        <v>0</v>
      </c>
      <c r="K817" s="6">
        <f t="shared" si="89"/>
        <v>5948.75</v>
      </c>
      <c r="L817" s="4">
        <f t="shared" si="90"/>
        <v>0</v>
      </c>
    </row>
    <row r="818" spans="1:12" x14ac:dyDescent="0.25">
      <c r="A818" s="1">
        <v>42311</v>
      </c>
      <c r="B818">
        <v>6141.3500979999999</v>
      </c>
      <c r="C818">
        <v>6141.3500979999999</v>
      </c>
      <c r="D818">
        <v>6062.3500979999999</v>
      </c>
      <c r="E818">
        <v>6079.7998049999997</v>
      </c>
      <c r="F818" s="4">
        <f t="shared" si="85"/>
        <v>6079.7998049999997</v>
      </c>
      <c r="G818" s="4">
        <f t="shared" si="86"/>
        <v>6157.6000979999999</v>
      </c>
      <c r="H818" s="4">
        <f t="shared" si="87"/>
        <v>0</v>
      </c>
      <c r="I818" s="4">
        <f t="shared" si="84"/>
        <v>1</v>
      </c>
      <c r="J818" s="11">
        <f t="shared" si="88"/>
        <v>0</v>
      </c>
      <c r="K818" s="6">
        <f t="shared" si="89"/>
        <v>5948.75</v>
      </c>
      <c r="L818" s="4">
        <f t="shared" si="90"/>
        <v>0</v>
      </c>
    </row>
    <row r="819" spans="1:12" x14ac:dyDescent="0.25">
      <c r="A819" s="1">
        <v>42312</v>
      </c>
      <c r="B819">
        <v>6107</v>
      </c>
      <c r="C819">
        <v>6116.1499020000001</v>
      </c>
      <c r="D819">
        <v>6022.2998049999997</v>
      </c>
      <c r="E819">
        <v>6048.25</v>
      </c>
      <c r="F819" s="4">
        <f t="shared" si="85"/>
        <v>6048.25</v>
      </c>
      <c r="G819" s="4">
        <f t="shared" si="86"/>
        <v>6157.6000979999999</v>
      </c>
      <c r="H819" s="4" t="str">
        <f t="shared" si="87"/>
        <v>SELL</v>
      </c>
      <c r="I819" s="4">
        <f t="shared" si="84"/>
        <v>-1</v>
      </c>
      <c r="J819" s="11" t="str">
        <f t="shared" si="88"/>
        <v>SELL</v>
      </c>
      <c r="K819" s="6">
        <f t="shared" si="89"/>
        <v>6048.25</v>
      </c>
      <c r="L819" s="4">
        <f t="shared" si="90"/>
        <v>1.6726202983820129E-2</v>
      </c>
    </row>
    <row r="820" spans="1:12" x14ac:dyDescent="0.25">
      <c r="A820" s="1">
        <v>42313</v>
      </c>
      <c r="B820">
        <v>6030.8999020000001</v>
      </c>
      <c r="C820">
        <v>6051.2001950000003</v>
      </c>
      <c r="D820">
        <v>5883.6000979999999</v>
      </c>
      <c r="E820">
        <v>5904.6000979999999</v>
      </c>
      <c r="F820" s="4">
        <f t="shared" si="85"/>
        <v>5904.6000979999999</v>
      </c>
      <c r="G820" s="4">
        <f t="shared" si="86"/>
        <v>6157.6000979999999</v>
      </c>
      <c r="H820" s="4" t="str">
        <f t="shared" si="87"/>
        <v>SELL</v>
      </c>
      <c r="I820" s="4">
        <f t="shared" si="84"/>
        <v>-1</v>
      </c>
      <c r="J820" s="11">
        <f t="shared" si="88"/>
        <v>0</v>
      </c>
      <c r="K820" s="6">
        <f t="shared" si="89"/>
        <v>6048.25</v>
      </c>
      <c r="L820" s="4">
        <f t="shared" si="90"/>
        <v>0</v>
      </c>
    </row>
    <row r="821" spans="1:12" x14ac:dyDescent="0.25">
      <c r="A821" s="1">
        <v>42314</v>
      </c>
      <c r="B821">
        <v>5901.2998049999997</v>
      </c>
      <c r="C821">
        <v>5907.25</v>
      </c>
      <c r="D821">
        <v>5740.9501950000003</v>
      </c>
      <c r="E821">
        <v>5762.8500979999999</v>
      </c>
      <c r="F821" s="4">
        <f t="shared" si="85"/>
        <v>5762.8500979999999</v>
      </c>
      <c r="G821" s="4">
        <f t="shared" si="86"/>
        <v>6146.3500979999999</v>
      </c>
      <c r="H821" s="4" t="str">
        <f t="shared" si="87"/>
        <v>SELL</v>
      </c>
      <c r="I821" s="4">
        <f t="shared" si="84"/>
        <v>-1</v>
      </c>
      <c r="J821" s="11">
        <f t="shared" si="88"/>
        <v>0</v>
      </c>
      <c r="K821" s="6">
        <f t="shared" si="89"/>
        <v>6048.25</v>
      </c>
      <c r="L821" s="4">
        <f t="shared" si="90"/>
        <v>0</v>
      </c>
    </row>
    <row r="822" spans="1:12" x14ac:dyDescent="0.25">
      <c r="A822" s="1">
        <v>42317</v>
      </c>
      <c r="B822">
        <v>5767.9501950000003</v>
      </c>
      <c r="C822">
        <v>5842.6000979999999</v>
      </c>
      <c r="D822">
        <v>5698.2001950000003</v>
      </c>
      <c r="E822">
        <v>5754.1000979999999</v>
      </c>
      <c r="F822" s="4">
        <f t="shared" si="85"/>
        <v>5754.1000979999999</v>
      </c>
      <c r="G822" s="4">
        <f t="shared" si="86"/>
        <v>6079.7998049999997</v>
      </c>
      <c r="H822" s="4" t="str">
        <f t="shared" si="87"/>
        <v>SELL</v>
      </c>
      <c r="I822" s="4">
        <f t="shared" si="84"/>
        <v>-1</v>
      </c>
      <c r="J822" s="11">
        <f t="shared" si="88"/>
        <v>0</v>
      </c>
      <c r="K822" s="6">
        <f t="shared" si="89"/>
        <v>6048.25</v>
      </c>
      <c r="L822" s="4">
        <f t="shared" si="90"/>
        <v>0</v>
      </c>
    </row>
    <row r="823" spans="1:12" x14ac:dyDescent="0.25">
      <c r="A823" s="1">
        <v>42318</v>
      </c>
      <c r="B823">
        <v>5800.0498049999997</v>
      </c>
      <c r="C823">
        <v>5874.2001950000003</v>
      </c>
      <c r="D823">
        <v>5711.2998049999997</v>
      </c>
      <c r="E823">
        <v>5863.25</v>
      </c>
      <c r="F823" s="4">
        <f t="shared" si="85"/>
        <v>5754.1000979999999</v>
      </c>
      <c r="G823" s="4">
        <f t="shared" si="86"/>
        <v>6048.25</v>
      </c>
      <c r="H823" s="4">
        <f t="shared" si="87"/>
        <v>0</v>
      </c>
      <c r="I823" s="4">
        <f t="shared" si="84"/>
        <v>-1</v>
      </c>
      <c r="J823" s="11">
        <f t="shared" si="88"/>
        <v>0</v>
      </c>
      <c r="K823" s="6">
        <f t="shared" si="89"/>
        <v>6048.25</v>
      </c>
      <c r="L823" s="4">
        <f t="shared" si="90"/>
        <v>0</v>
      </c>
    </row>
    <row r="824" spans="1:12" x14ac:dyDescent="0.25">
      <c r="A824" s="1">
        <v>42319</v>
      </c>
      <c r="B824">
        <v>5850.75</v>
      </c>
      <c r="C824">
        <v>5857.75</v>
      </c>
      <c r="D824">
        <v>5736.7001950000003</v>
      </c>
      <c r="E824">
        <v>5751.8999020000001</v>
      </c>
      <c r="F824" s="4">
        <f t="shared" si="85"/>
        <v>5751.8999020000001</v>
      </c>
      <c r="G824" s="4">
        <f t="shared" si="86"/>
        <v>5904.6000979999999</v>
      </c>
      <c r="H824" s="4" t="str">
        <f t="shared" si="87"/>
        <v>SELL</v>
      </c>
      <c r="I824" s="4">
        <f t="shared" si="84"/>
        <v>-1</v>
      </c>
      <c r="J824" s="11">
        <f t="shared" si="88"/>
        <v>0</v>
      </c>
      <c r="K824" s="6">
        <f t="shared" si="89"/>
        <v>6048.25</v>
      </c>
      <c r="L824" s="4">
        <f t="shared" si="90"/>
        <v>0</v>
      </c>
    </row>
    <row r="825" spans="1:12" x14ac:dyDescent="0.25">
      <c r="A825" s="1">
        <v>42320</v>
      </c>
      <c r="B825">
        <v>5752.1000979999999</v>
      </c>
      <c r="C825">
        <v>5833.6499020000001</v>
      </c>
      <c r="D825">
        <v>5639.6499020000001</v>
      </c>
      <c r="E825">
        <v>5654.5498049999997</v>
      </c>
      <c r="F825" s="4">
        <f t="shared" si="85"/>
        <v>5654.5498049999997</v>
      </c>
      <c r="G825" s="4">
        <f t="shared" si="86"/>
        <v>5863.25</v>
      </c>
      <c r="H825" s="4" t="str">
        <f t="shared" si="87"/>
        <v>SELL</v>
      </c>
      <c r="I825" s="4">
        <f t="shared" si="84"/>
        <v>-1</v>
      </c>
      <c r="J825" s="11">
        <f t="shared" si="88"/>
        <v>0</v>
      </c>
      <c r="K825" s="6">
        <f t="shared" si="89"/>
        <v>6048.25</v>
      </c>
      <c r="L825" s="4">
        <f t="shared" si="90"/>
        <v>0</v>
      </c>
    </row>
    <row r="826" spans="1:12" x14ac:dyDescent="0.25">
      <c r="A826" s="1">
        <v>42321</v>
      </c>
      <c r="B826">
        <v>5648.7998049999997</v>
      </c>
      <c r="C826">
        <v>5696.1499020000001</v>
      </c>
      <c r="D826">
        <v>5624.1499020000001</v>
      </c>
      <c r="E826">
        <v>5654.75</v>
      </c>
      <c r="F826" s="4">
        <f t="shared" si="85"/>
        <v>5654.5498049999997</v>
      </c>
      <c r="G826" s="4">
        <f t="shared" si="86"/>
        <v>5863.25</v>
      </c>
      <c r="H826" s="4">
        <f t="shared" si="87"/>
        <v>0</v>
      </c>
      <c r="I826" s="4">
        <f t="shared" si="84"/>
        <v>-1</v>
      </c>
      <c r="J826" s="11">
        <f t="shared" si="88"/>
        <v>0</v>
      </c>
      <c r="K826" s="6">
        <f t="shared" si="89"/>
        <v>6048.25</v>
      </c>
      <c r="L826" s="4">
        <f t="shared" si="90"/>
        <v>0</v>
      </c>
    </row>
    <row r="827" spans="1:12" x14ac:dyDescent="0.25">
      <c r="A827" s="1">
        <v>42324</v>
      </c>
      <c r="B827">
        <v>5682.5498049999997</v>
      </c>
      <c r="C827">
        <v>5730.5</v>
      </c>
      <c r="D827">
        <v>5671.25</v>
      </c>
      <c r="E827">
        <v>5724.0498049999997</v>
      </c>
      <c r="F827" s="4">
        <f t="shared" si="85"/>
        <v>5654.5498049999997</v>
      </c>
      <c r="G827" s="4">
        <f t="shared" si="86"/>
        <v>5863.25</v>
      </c>
      <c r="H827" s="4">
        <f t="shared" si="87"/>
        <v>0</v>
      </c>
      <c r="I827" s="4">
        <f t="shared" si="84"/>
        <v>-1</v>
      </c>
      <c r="J827" s="11">
        <f t="shared" si="88"/>
        <v>0</v>
      </c>
      <c r="K827" s="6">
        <f t="shared" si="89"/>
        <v>6048.25</v>
      </c>
      <c r="L827" s="4">
        <f t="shared" si="90"/>
        <v>0</v>
      </c>
    </row>
    <row r="828" spans="1:12" x14ac:dyDescent="0.25">
      <c r="A828" s="1">
        <v>42325</v>
      </c>
      <c r="B828">
        <v>5737.3500979999999</v>
      </c>
      <c r="C828">
        <v>5747.6499020000001</v>
      </c>
      <c r="D828">
        <v>5662.5498049999997</v>
      </c>
      <c r="E828">
        <v>5691.0498049999997</v>
      </c>
      <c r="F828" s="4">
        <f t="shared" si="85"/>
        <v>5654.5498049999997</v>
      </c>
      <c r="G828" s="4">
        <f t="shared" si="86"/>
        <v>5751.8999020000001</v>
      </c>
      <c r="H828" s="4">
        <f t="shared" si="87"/>
        <v>0</v>
      </c>
      <c r="I828" s="4">
        <f t="shared" si="84"/>
        <v>-1</v>
      </c>
      <c r="J828" s="11">
        <f t="shared" si="88"/>
        <v>0</v>
      </c>
      <c r="K828" s="6">
        <f t="shared" si="89"/>
        <v>6048.25</v>
      </c>
      <c r="L828" s="4">
        <f t="shared" si="90"/>
        <v>0</v>
      </c>
    </row>
    <row r="829" spans="1:12" x14ac:dyDescent="0.25">
      <c r="A829" s="1">
        <v>42326</v>
      </c>
      <c r="B829">
        <v>5656</v>
      </c>
      <c r="C829">
        <v>5729.4501950000003</v>
      </c>
      <c r="D829">
        <v>5634.5</v>
      </c>
      <c r="E829">
        <v>5711.6000979999999</v>
      </c>
      <c r="F829" s="4">
        <f t="shared" si="85"/>
        <v>5654.5498049999997</v>
      </c>
      <c r="G829" s="4">
        <f t="shared" si="86"/>
        <v>5724.0498049999997</v>
      </c>
      <c r="H829" s="4">
        <f t="shared" si="87"/>
        <v>0</v>
      </c>
      <c r="I829" s="4">
        <f t="shared" si="84"/>
        <v>-1</v>
      </c>
      <c r="J829" s="11">
        <f t="shared" si="88"/>
        <v>0</v>
      </c>
      <c r="K829" s="6">
        <f t="shared" si="89"/>
        <v>6048.25</v>
      </c>
      <c r="L829" s="4">
        <f t="shared" si="90"/>
        <v>0</v>
      </c>
    </row>
    <row r="830" spans="1:12" x14ac:dyDescent="0.25">
      <c r="A830" s="1">
        <v>42327</v>
      </c>
      <c r="B830">
        <v>5692.0498049999997</v>
      </c>
      <c r="C830">
        <v>5717.5498049999997</v>
      </c>
      <c r="D830">
        <v>5674.5</v>
      </c>
      <c r="E830">
        <v>5696.5</v>
      </c>
      <c r="F830" s="4">
        <f t="shared" si="85"/>
        <v>5654.75</v>
      </c>
      <c r="G830" s="4">
        <f t="shared" si="86"/>
        <v>5724.0498049999997</v>
      </c>
      <c r="H830" s="4">
        <f t="shared" si="87"/>
        <v>0</v>
      </c>
      <c r="I830" s="4">
        <f t="shared" si="84"/>
        <v>-1</v>
      </c>
      <c r="J830" s="11">
        <f t="shared" si="88"/>
        <v>0</v>
      </c>
      <c r="K830" s="6">
        <f t="shared" si="89"/>
        <v>6048.25</v>
      </c>
      <c r="L830" s="4">
        <f t="shared" si="90"/>
        <v>0</v>
      </c>
    </row>
    <row r="831" spans="1:12" x14ac:dyDescent="0.25">
      <c r="A831" s="1">
        <v>42328</v>
      </c>
      <c r="B831">
        <v>5717.1000979999999</v>
      </c>
      <c r="C831">
        <v>5756</v>
      </c>
      <c r="D831">
        <v>5697.75</v>
      </c>
      <c r="E831">
        <v>5743.25</v>
      </c>
      <c r="F831" s="4">
        <f t="shared" si="85"/>
        <v>5691.0498049999997</v>
      </c>
      <c r="G831" s="4">
        <f t="shared" si="86"/>
        <v>5743.25</v>
      </c>
      <c r="H831" s="4" t="str">
        <f t="shared" si="87"/>
        <v>BUY</v>
      </c>
      <c r="I831" s="4">
        <f t="shared" si="84"/>
        <v>1</v>
      </c>
      <c r="J831" s="11" t="str">
        <f t="shared" si="88"/>
        <v>BUY</v>
      </c>
      <c r="K831" s="6">
        <f t="shared" si="89"/>
        <v>5743.25</v>
      </c>
      <c r="L831" s="4">
        <f t="shared" si="90"/>
        <v>5.04278096970198E-2</v>
      </c>
    </row>
    <row r="832" spans="1:12" x14ac:dyDescent="0.25">
      <c r="A832" s="1">
        <v>42331</v>
      </c>
      <c r="B832">
        <v>5763.2998049999997</v>
      </c>
      <c r="C832">
        <v>5801.5498049999997</v>
      </c>
      <c r="D832">
        <v>5680.6499020000001</v>
      </c>
      <c r="E832">
        <v>5687.3999020000001</v>
      </c>
      <c r="F832" s="4">
        <f t="shared" si="85"/>
        <v>5687.3999020000001</v>
      </c>
      <c r="G832" s="4">
        <f t="shared" si="86"/>
        <v>5743.25</v>
      </c>
      <c r="H832" s="4" t="str">
        <f t="shared" si="87"/>
        <v>SELL</v>
      </c>
      <c r="I832" s="4">
        <f t="shared" si="84"/>
        <v>-1</v>
      </c>
      <c r="J832" s="11" t="str">
        <f t="shared" si="88"/>
        <v>SELL</v>
      </c>
      <c r="K832" s="6">
        <f t="shared" si="89"/>
        <v>5687.3999020000001</v>
      </c>
      <c r="L832" s="4">
        <f t="shared" si="90"/>
        <v>-9.7244762112044386E-3</v>
      </c>
    </row>
    <row r="833" spans="1:12" x14ac:dyDescent="0.25">
      <c r="A833" s="1">
        <v>42332</v>
      </c>
      <c r="B833">
        <v>5687.3999020000001</v>
      </c>
      <c r="C833">
        <v>5687.3999020000001</v>
      </c>
      <c r="D833">
        <v>5687.3999020000001</v>
      </c>
      <c r="E833">
        <v>5687.3999020000001</v>
      </c>
      <c r="F833" s="4">
        <f t="shared" si="85"/>
        <v>5687.3999020000001</v>
      </c>
      <c r="G833" s="4">
        <f t="shared" si="86"/>
        <v>5743.25</v>
      </c>
      <c r="H833" s="4">
        <f t="shared" si="87"/>
        <v>0</v>
      </c>
      <c r="I833" s="4">
        <f t="shared" si="84"/>
        <v>-1</v>
      </c>
      <c r="J833" s="11">
        <f t="shared" si="88"/>
        <v>0</v>
      </c>
      <c r="K833" s="6">
        <f t="shared" si="89"/>
        <v>5687.3999020000001</v>
      </c>
      <c r="L833" s="4">
        <f t="shared" si="90"/>
        <v>0</v>
      </c>
    </row>
    <row r="834" spans="1:12" x14ac:dyDescent="0.25">
      <c r="A834" s="1">
        <v>42333</v>
      </c>
      <c r="B834">
        <v>5725.2998049999997</v>
      </c>
      <c r="C834">
        <v>5726.1000979999999</v>
      </c>
      <c r="D834">
        <v>5594.9501950000003</v>
      </c>
      <c r="E834">
        <v>5604.2998049999997</v>
      </c>
      <c r="F834" s="4">
        <f t="shared" si="85"/>
        <v>5604.2998049999997</v>
      </c>
      <c r="G834" s="4">
        <f t="shared" si="86"/>
        <v>5743.25</v>
      </c>
      <c r="H834" s="4" t="str">
        <f t="shared" si="87"/>
        <v>SELL</v>
      </c>
      <c r="I834" s="4">
        <f t="shared" si="84"/>
        <v>-1</v>
      </c>
      <c r="J834" s="11">
        <f t="shared" si="88"/>
        <v>0</v>
      </c>
      <c r="K834" s="6">
        <f t="shared" si="89"/>
        <v>5687.3999020000001</v>
      </c>
      <c r="L834" s="4">
        <f t="shared" si="90"/>
        <v>0</v>
      </c>
    </row>
    <row r="835" spans="1:12" x14ac:dyDescent="0.25">
      <c r="A835" s="1">
        <v>42334</v>
      </c>
      <c r="B835">
        <v>5614</v>
      </c>
      <c r="C835">
        <v>5614.3999020000001</v>
      </c>
      <c r="D835">
        <v>5459.5498049999997</v>
      </c>
      <c r="E835">
        <v>5512.1499020000001</v>
      </c>
      <c r="F835" s="4">
        <f t="shared" si="85"/>
        <v>5512.1499020000001</v>
      </c>
      <c r="G835" s="4">
        <f t="shared" si="86"/>
        <v>5743.25</v>
      </c>
      <c r="H835" s="4" t="str">
        <f t="shared" si="87"/>
        <v>SELL</v>
      </c>
      <c r="I835" s="4">
        <f t="shared" si="84"/>
        <v>-1</v>
      </c>
      <c r="J835" s="11">
        <f t="shared" si="88"/>
        <v>0</v>
      </c>
      <c r="K835" s="6">
        <f t="shared" si="89"/>
        <v>5687.3999020000001</v>
      </c>
      <c r="L835" s="4">
        <f t="shared" si="90"/>
        <v>0</v>
      </c>
    </row>
    <row r="836" spans="1:12" x14ac:dyDescent="0.25">
      <c r="A836" s="1">
        <v>42335</v>
      </c>
      <c r="B836">
        <v>5452.5498049999997</v>
      </c>
      <c r="C836">
        <v>5526.8500979999999</v>
      </c>
      <c r="D836">
        <v>5416.6499020000001</v>
      </c>
      <c r="E836">
        <v>5505.8999020000001</v>
      </c>
      <c r="F836" s="4">
        <f t="shared" si="85"/>
        <v>5505.8999020000001</v>
      </c>
      <c r="G836" s="4">
        <f t="shared" si="86"/>
        <v>5687.3999020000001</v>
      </c>
      <c r="H836" s="4" t="str">
        <f t="shared" si="87"/>
        <v>SELL</v>
      </c>
      <c r="I836" s="4">
        <f t="shared" si="84"/>
        <v>-1</v>
      </c>
      <c r="J836" s="11">
        <f t="shared" si="88"/>
        <v>0</v>
      </c>
      <c r="K836" s="6">
        <f t="shared" si="89"/>
        <v>5687.3999020000001</v>
      </c>
      <c r="L836" s="4">
        <f t="shared" si="90"/>
        <v>0</v>
      </c>
    </row>
    <row r="837" spans="1:12" x14ac:dyDescent="0.25">
      <c r="A837" s="1">
        <v>42338</v>
      </c>
      <c r="B837">
        <v>5537.2998049999997</v>
      </c>
      <c r="C837">
        <v>5539.1499020000001</v>
      </c>
      <c r="D837">
        <v>5402</v>
      </c>
      <c r="E837">
        <v>5417.2001950000003</v>
      </c>
      <c r="F837" s="4">
        <f t="shared" si="85"/>
        <v>5417.2001950000003</v>
      </c>
      <c r="G837" s="4">
        <f t="shared" si="86"/>
        <v>5687.3999020000001</v>
      </c>
      <c r="H837" s="4" t="str">
        <f t="shared" si="87"/>
        <v>SELL</v>
      </c>
      <c r="I837" s="4">
        <f t="shared" si="84"/>
        <v>-1</v>
      </c>
      <c r="J837" s="11">
        <f t="shared" si="88"/>
        <v>0</v>
      </c>
      <c r="K837" s="6">
        <f t="shared" si="89"/>
        <v>5687.3999020000001</v>
      </c>
      <c r="L837" s="4">
        <f t="shared" si="90"/>
        <v>0</v>
      </c>
    </row>
    <row r="838" spans="1:12" x14ac:dyDescent="0.25">
      <c r="A838" s="1">
        <v>42339</v>
      </c>
      <c r="B838">
        <v>5469.5498049999997</v>
      </c>
      <c r="C838">
        <v>5490.6000979999999</v>
      </c>
      <c r="D838">
        <v>5415.6499020000001</v>
      </c>
      <c r="E838">
        <v>5432</v>
      </c>
      <c r="F838" s="4">
        <f t="shared" si="85"/>
        <v>5417.2001950000003</v>
      </c>
      <c r="G838" s="4">
        <f t="shared" si="86"/>
        <v>5604.2998049999997</v>
      </c>
      <c r="H838" s="4">
        <f t="shared" si="87"/>
        <v>0</v>
      </c>
      <c r="I838" s="4">
        <f t="shared" ref="I838:I901" si="91">IF(AND(H838="BUY",I837&lt;&gt;1),1,IF(AND(H838="SELL",I837&lt;&gt;-1),-1,I837))</f>
        <v>-1</v>
      </c>
      <c r="J838" s="11">
        <f t="shared" si="88"/>
        <v>0</v>
      </c>
      <c r="K838" s="6">
        <f t="shared" si="89"/>
        <v>5687.3999020000001</v>
      </c>
      <c r="L838" s="4">
        <f t="shared" si="90"/>
        <v>0</v>
      </c>
    </row>
    <row r="839" spans="1:12" x14ac:dyDescent="0.25">
      <c r="A839" s="1">
        <v>42340</v>
      </c>
      <c r="B839">
        <v>5430.4501950000003</v>
      </c>
      <c r="C839">
        <v>5532.6499020000001</v>
      </c>
      <c r="D839">
        <v>5418</v>
      </c>
      <c r="E839">
        <v>5526.75</v>
      </c>
      <c r="F839" s="4">
        <f t="shared" ref="F839:F902" si="92">MIN(E835:E839)</f>
        <v>5417.2001950000003</v>
      </c>
      <c r="G839" s="4">
        <f t="shared" ref="G839:G902" si="93">MAX(E835:E839)</f>
        <v>5526.75</v>
      </c>
      <c r="H839" s="4">
        <f t="shared" ref="H839:H902" si="94">IF(E839&gt;G838,"BUY",IF(E839&lt;F838,"SELL",0))</f>
        <v>0</v>
      </c>
      <c r="I839" s="4">
        <f t="shared" si="91"/>
        <v>-1</v>
      </c>
      <c r="J839" s="11">
        <f t="shared" ref="J839:J902" si="95">IF(I839&lt;&gt;I838,H839,0)</f>
        <v>0</v>
      </c>
      <c r="K839" s="6">
        <f t="shared" ref="K839:K902" si="96">IF(J839&lt;&gt;0,E839,K838)</f>
        <v>5687.3999020000001</v>
      </c>
      <c r="L839" s="4">
        <f t="shared" si="90"/>
        <v>0</v>
      </c>
    </row>
    <row r="840" spans="1:12" x14ac:dyDescent="0.25">
      <c r="A840" s="1">
        <v>42341</v>
      </c>
      <c r="B840">
        <v>5519.8999020000001</v>
      </c>
      <c r="C840">
        <v>5556.2998049999997</v>
      </c>
      <c r="D840">
        <v>5369.0498049999997</v>
      </c>
      <c r="E840">
        <v>5395.75</v>
      </c>
      <c r="F840" s="4">
        <f t="shared" si="92"/>
        <v>5395.75</v>
      </c>
      <c r="G840" s="4">
        <f t="shared" si="93"/>
        <v>5526.75</v>
      </c>
      <c r="H840" s="4" t="str">
        <f t="shared" si="94"/>
        <v>SELL</v>
      </c>
      <c r="I840" s="4">
        <f t="shared" si="91"/>
        <v>-1</v>
      </c>
      <c r="J840" s="11">
        <f t="shared" si="95"/>
        <v>0</v>
      </c>
      <c r="K840" s="6">
        <f t="shared" si="96"/>
        <v>5687.3999020000001</v>
      </c>
      <c r="L840" s="4">
        <f t="shared" ref="L840:L903" si="97">IF(J840="BUY",(K839-K840)/K839,IF(J840="SELL",(K841-K839)/K839,0))</f>
        <v>0</v>
      </c>
    </row>
    <row r="841" spans="1:12" x14ac:dyDescent="0.25">
      <c r="A841" s="1">
        <v>42342</v>
      </c>
      <c r="B841">
        <v>5430.1499020000001</v>
      </c>
      <c r="C841">
        <v>5440.3500979999999</v>
      </c>
      <c r="D841">
        <v>5376.9501950000003</v>
      </c>
      <c r="E841">
        <v>5396</v>
      </c>
      <c r="F841" s="4">
        <f t="shared" si="92"/>
        <v>5395.75</v>
      </c>
      <c r="G841" s="4">
        <f t="shared" si="93"/>
        <v>5526.75</v>
      </c>
      <c r="H841" s="4">
        <f t="shared" si="94"/>
        <v>0</v>
      </c>
      <c r="I841" s="4">
        <f t="shared" si="91"/>
        <v>-1</v>
      </c>
      <c r="J841" s="11">
        <f t="shared" si="95"/>
        <v>0</v>
      </c>
      <c r="K841" s="6">
        <f t="shared" si="96"/>
        <v>5687.3999020000001</v>
      </c>
      <c r="L841" s="4">
        <f t="shared" si="97"/>
        <v>0</v>
      </c>
    </row>
    <row r="842" spans="1:12" x14ac:dyDescent="0.25">
      <c r="A842" s="1">
        <v>42345</v>
      </c>
      <c r="B842">
        <v>5432.3500979999999</v>
      </c>
      <c r="C842">
        <v>5432.3500979999999</v>
      </c>
      <c r="D842">
        <v>5303.3999020000001</v>
      </c>
      <c r="E842">
        <v>5312.5498049999997</v>
      </c>
      <c r="F842" s="4">
        <f t="shared" si="92"/>
        <v>5312.5498049999997</v>
      </c>
      <c r="G842" s="4">
        <f t="shared" si="93"/>
        <v>5526.75</v>
      </c>
      <c r="H842" s="4" t="str">
        <f t="shared" si="94"/>
        <v>SELL</v>
      </c>
      <c r="I842" s="4">
        <f t="shared" si="91"/>
        <v>-1</v>
      </c>
      <c r="J842" s="11">
        <f t="shared" si="95"/>
        <v>0</v>
      </c>
      <c r="K842" s="6">
        <f t="shared" si="96"/>
        <v>5687.3999020000001</v>
      </c>
      <c r="L842" s="4">
        <f t="shared" si="97"/>
        <v>0</v>
      </c>
    </row>
    <row r="843" spans="1:12" x14ac:dyDescent="0.25">
      <c r="A843" s="1">
        <v>42346</v>
      </c>
      <c r="B843">
        <v>5293.0498049999997</v>
      </c>
      <c r="C843">
        <v>5339.4501950000003</v>
      </c>
      <c r="D843">
        <v>5225.6499020000001</v>
      </c>
      <c r="E843">
        <v>5253.5498049999997</v>
      </c>
      <c r="F843" s="4">
        <f t="shared" si="92"/>
        <v>5253.5498049999997</v>
      </c>
      <c r="G843" s="4">
        <f t="shared" si="93"/>
        <v>5526.75</v>
      </c>
      <c r="H843" s="4" t="str">
        <f t="shared" si="94"/>
        <v>SELL</v>
      </c>
      <c r="I843" s="4">
        <f t="shared" si="91"/>
        <v>-1</v>
      </c>
      <c r="J843" s="11">
        <f t="shared" si="95"/>
        <v>0</v>
      </c>
      <c r="K843" s="6">
        <f t="shared" si="96"/>
        <v>5687.3999020000001</v>
      </c>
      <c r="L843" s="4">
        <f t="shared" si="97"/>
        <v>0</v>
      </c>
    </row>
    <row r="844" spans="1:12" x14ac:dyDescent="0.25">
      <c r="A844" s="1">
        <v>42347</v>
      </c>
      <c r="B844">
        <v>5246.0498049999997</v>
      </c>
      <c r="C844">
        <v>5272.6000979999999</v>
      </c>
      <c r="D844">
        <v>5196.7998049999997</v>
      </c>
      <c r="E844">
        <v>5225.7998049999997</v>
      </c>
      <c r="F844" s="4">
        <f t="shared" si="92"/>
        <v>5225.7998049999997</v>
      </c>
      <c r="G844" s="4">
        <f t="shared" si="93"/>
        <v>5396</v>
      </c>
      <c r="H844" s="4" t="str">
        <f t="shared" si="94"/>
        <v>SELL</v>
      </c>
      <c r="I844" s="4">
        <f t="shared" si="91"/>
        <v>-1</v>
      </c>
      <c r="J844" s="11">
        <f t="shared" si="95"/>
        <v>0</v>
      </c>
      <c r="K844" s="6">
        <f t="shared" si="96"/>
        <v>5687.3999020000001</v>
      </c>
      <c r="L844" s="4">
        <f t="shared" si="97"/>
        <v>0</v>
      </c>
    </row>
    <row r="845" spans="1:12" x14ac:dyDescent="0.25">
      <c r="A845" s="1">
        <v>42348</v>
      </c>
      <c r="B845">
        <v>5219.6499020000001</v>
      </c>
      <c r="C845">
        <v>5319.4501950000003</v>
      </c>
      <c r="D845">
        <v>5177.7001950000003</v>
      </c>
      <c r="E845">
        <v>5310</v>
      </c>
      <c r="F845" s="4">
        <f t="shared" si="92"/>
        <v>5225.7998049999997</v>
      </c>
      <c r="G845" s="4">
        <f t="shared" si="93"/>
        <v>5396</v>
      </c>
      <c r="H845" s="4">
        <f t="shared" si="94"/>
        <v>0</v>
      </c>
      <c r="I845" s="4">
        <f t="shared" si="91"/>
        <v>-1</v>
      </c>
      <c r="J845" s="11">
        <f t="shared" si="95"/>
        <v>0</v>
      </c>
      <c r="K845" s="6">
        <f t="shared" si="96"/>
        <v>5687.3999020000001</v>
      </c>
      <c r="L845" s="4">
        <f t="shared" si="97"/>
        <v>0</v>
      </c>
    </row>
    <row r="846" spans="1:12" x14ac:dyDescent="0.25">
      <c r="A846" s="1">
        <v>42349</v>
      </c>
      <c r="B846">
        <v>5340.25</v>
      </c>
      <c r="C846">
        <v>5463.7998049999997</v>
      </c>
      <c r="D846">
        <v>5340.25</v>
      </c>
      <c r="E846">
        <v>5456</v>
      </c>
      <c r="F846" s="4">
        <f t="shared" si="92"/>
        <v>5225.7998049999997</v>
      </c>
      <c r="G846" s="4">
        <f t="shared" si="93"/>
        <v>5456</v>
      </c>
      <c r="H846" s="4" t="str">
        <f t="shared" si="94"/>
        <v>BUY</v>
      </c>
      <c r="I846" s="4">
        <f t="shared" si="91"/>
        <v>1</v>
      </c>
      <c r="J846" s="11" t="str">
        <f t="shared" si="95"/>
        <v>BUY</v>
      </c>
      <c r="K846" s="6">
        <f t="shared" si="96"/>
        <v>5456</v>
      </c>
      <c r="L846" s="4">
        <f t="shared" si="97"/>
        <v>4.0686413121508704E-2</v>
      </c>
    </row>
    <row r="847" spans="1:12" x14ac:dyDescent="0.25">
      <c r="A847" s="1">
        <v>42352</v>
      </c>
      <c r="B847">
        <v>5467.75</v>
      </c>
      <c r="C847">
        <v>5506.5</v>
      </c>
      <c r="D847">
        <v>5408.3500979999999</v>
      </c>
      <c r="E847">
        <v>5481</v>
      </c>
      <c r="F847" s="4">
        <f t="shared" si="92"/>
        <v>5225.7998049999997</v>
      </c>
      <c r="G847" s="4">
        <f t="shared" si="93"/>
        <v>5481</v>
      </c>
      <c r="H847" s="4" t="str">
        <f t="shared" si="94"/>
        <v>BUY</v>
      </c>
      <c r="I847" s="4">
        <f t="shared" si="91"/>
        <v>1</v>
      </c>
      <c r="J847" s="11">
        <f t="shared" si="95"/>
        <v>0</v>
      </c>
      <c r="K847" s="6">
        <f t="shared" si="96"/>
        <v>5456</v>
      </c>
      <c r="L847" s="4">
        <f t="shared" si="97"/>
        <v>0</v>
      </c>
    </row>
    <row r="848" spans="1:12" x14ac:dyDescent="0.25">
      <c r="A848" s="1">
        <v>42353</v>
      </c>
      <c r="B848">
        <v>5467.6000979999999</v>
      </c>
      <c r="C848">
        <v>5504.7998049999997</v>
      </c>
      <c r="D848">
        <v>5460.3500979999999</v>
      </c>
      <c r="E848">
        <v>5481.7001950000003</v>
      </c>
      <c r="F848" s="4">
        <f t="shared" si="92"/>
        <v>5225.7998049999997</v>
      </c>
      <c r="G848" s="4">
        <f t="shared" si="93"/>
        <v>5481.7001950000003</v>
      </c>
      <c r="H848" s="4" t="str">
        <f t="shared" si="94"/>
        <v>BUY</v>
      </c>
      <c r="I848" s="4">
        <f t="shared" si="91"/>
        <v>1</v>
      </c>
      <c r="J848" s="11">
        <f t="shared" si="95"/>
        <v>0</v>
      </c>
      <c r="K848" s="6">
        <f t="shared" si="96"/>
        <v>5456</v>
      </c>
      <c r="L848" s="4">
        <f t="shared" si="97"/>
        <v>0</v>
      </c>
    </row>
    <row r="849" spans="1:12" x14ac:dyDescent="0.25">
      <c r="A849" s="1">
        <v>42354</v>
      </c>
      <c r="B849">
        <v>5501.7001950000003</v>
      </c>
      <c r="C849">
        <v>5553</v>
      </c>
      <c r="D849">
        <v>5463.3999020000001</v>
      </c>
      <c r="E849">
        <v>5546.4501950000003</v>
      </c>
      <c r="F849" s="4">
        <f t="shared" si="92"/>
        <v>5310</v>
      </c>
      <c r="G849" s="4">
        <f t="shared" si="93"/>
        <v>5546.4501950000003</v>
      </c>
      <c r="H849" s="4" t="str">
        <f t="shared" si="94"/>
        <v>BUY</v>
      </c>
      <c r="I849" s="4">
        <f t="shared" si="91"/>
        <v>1</v>
      </c>
      <c r="J849" s="11">
        <f t="shared" si="95"/>
        <v>0</v>
      </c>
      <c r="K849" s="6">
        <f t="shared" si="96"/>
        <v>5456</v>
      </c>
      <c r="L849" s="4">
        <f t="shared" si="97"/>
        <v>0</v>
      </c>
    </row>
    <row r="850" spans="1:12" x14ac:dyDescent="0.25">
      <c r="A850" s="1">
        <v>42355</v>
      </c>
      <c r="B850">
        <v>5557.5498049999997</v>
      </c>
      <c r="C850">
        <v>5599.25</v>
      </c>
      <c r="D850">
        <v>5441.9501950000003</v>
      </c>
      <c r="E850">
        <v>5458.9501950000003</v>
      </c>
      <c r="F850" s="4">
        <f t="shared" si="92"/>
        <v>5456</v>
      </c>
      <c r="G850" s="4">
        <f t="shared" si="93"/>
        <v>5546.4501950000003</v>
      </c>
      <c r="H850" s="4">
        <f t="shared" si="94"/>
        <v>0</v>
      </c>
      <c r="I850" s="4">
        <f t="shared" si="91"/>
        <v>1</v>
      </c>
      <c r="J850" s="11">
        <f t="shared" si="95"/>
        <v>0</v>
      </c>
      <c r="K850" s="6">
        <f t="shared" si="96"/>
        <v>5456</v>
      </c>
      <c r="L850" s="4">
        <f t="shared" si="97"/>
        <v>0</v>
      </c>
    </row>
    <row r="851" spans="1:12" x14ac:dyDescent="0.25">
      <c r="A851" s="1">
        <v>42356</v>
      </c>
      <c r="B851">
        <v>5456.6000979999999</v>
      </c>
      <c r="C851">
        <v>5526.25</v>
      </c>
      <c r="D851">
        <v>5413.1000979999999</v>
      </c>
      <c r="E851">
        <v>5518.6000979999999</v>
      </c>
      <c r="F851" s="4">
        <f t="shared" si="92"/>
        <v>5458.9501950000003</v>
      </c>
      <c r="G851" s="4">
        <f t="shared" si="93"/>
        <v>5546.4501950000003</v>
      </c>
      <c r="H851" s="4">
        <f t="shared" si="94"/>
        <v>0</v>
      </c>
      <c r="I851" s="4">
        <f t="shared" si="91"/>
        <v>1</v>
      </c>
      <c r="J851" s="11">
        <f t="shared" si="95"/>
        <v>0</v>
      </c>
      <c r="K851" s="6">
        <f t="shared" si="96"/>
        <v>5456</v>
      </c>
      <c r="L851" s="4">
        <f t="shared" si="97"/>
        <v>0</v>
      </c>
    </row>
    <row r="852" spans="1:12" x14ac:dyDescent="0.25">
      <c r="A852" s="1">
        <v>42359</v>
      </c>
      <c r="B852">
        <v>5504.3999020000001</v>
      </c>
      <c r="C852">
        <v>5519.4501950000003</v>
      </c>
      <c r="D852">
        <v>5437.2998049999997</v>
      </c>
      <c r="E852">
        <v>5469.2001950000003</v>
      </c>
      <c r="F852" s="4">
        <f t="shared" si="92"/>
        <v>5458.9501950000003</v>
      </c>
      <c r="G852" s="4">
        <f t="shared" si="93"/>
        <v>5546.4501950000003</v>
      </c>
      <c r="H852" s="4">
        <f t="shared" si="94"/>
        <v>0</v>
      </c>
      <c r="I852" s="4">
        <f t="shared" si="91"/>
        <v>1</v>
      </c>
      <c r="J852" s="11">
        <f t="shared" si="95"/>
        <v>0</v>
      </c>
      <c r="K852" s="6">
        <f t="shared" si="96"/>
        <v>5456</v>
      </c>
      <c r="L852" s="4">
        <f t="shared" si="97"/>
        <v>0</v>
      </c>
    </row>
    <row r="853" spans="1:12" x14ac:dyDescent="0.25">
      <c r="A853" s="1">
        <v>42360</v>
      </c>
      <c r="B853">
        <v>5452.4501950000003</v>
      </c>
      <c r="C853">
        <v>5495.2001950000003</v>
      </c>
      <c r="D853">
        <v>5427.5498049999997</v>
      </c>
      <c r="E853">
        <v>5437.3500979999999</v>
      </c>
      <c r="F853" s="4">
        <f t="shared" si="92"/>
        <v>5437.3500979999999</v>
      </c>
      <c r="G853" s="4">
        <f t="shared" si="93"/>
        <v>5546.4501950000003</v>
      </c>
      <c r="H853" s="4" t="str">
        <f t="shared" si="94"/>
        <v>SELL</v>
      </c>
      <c r="I853" s="4">
        <f t="shared" si="91"/>
        <v>-1</v>
      </c>
      <c r="J853" s="11" t="str">
        <f t="shared" si="95"/>
        <v>SELL</v>
      </c>
      <c r="K853" s="6">
        <f t="shared" si="96"/>
        <v>5437.3500979999999</v>
      </c>
      <c r="L853" s="4">
        <f t="shared" si="97"/>
        <v>-3.4182371700879968E-3</v>
      </c>
    </row>
    <row r="854" spans="1:12" x14ac:dyDescent="0.25">
      <c r="A854" s="1">
        <v>42361</v>
      </c>
      <c r="B854">
        <v>5408.75</v>
      </c>
      <c r="C854">
        <v>5423.3999020000001</v>
      </c>
      <c r="D854">
        <v>5242.5</v>
      </c>
      <c r="E854">
        <v>5262.7001950000003</v>
      </c>
      <c r="F854" s="4">
        <f t="shared" si="92"/>
        <v>5262.7001950000003</v>
      </c>
      <c r="G854" s="4">
        <f t="shared" si="93"/>
        <v>5518.6000979999999</v>
      </c>
      <c r="H854" s="4" t="str">
        <f t="shared" si="94"/>
        <v>SELL</v>
      </c>
      <c r="I854" s="4">
        <f t="shared" si="91"/>
        <v>-1</v>
      </c>
      <c r="J854" s="11">
        <f t="shared" si="95"/>
        <v>0</v>
      </c>
      <c r="K854" s="6">
        <f t="shared" si="96"/>
        <v>5437.3500979999999</v>
      </c>
      <c r="L854" s="4">
        <f t="shared" si="97"/>
        <v>0</v>
      </c>
    </row>
    <row r="855" spans="1:12" x14ac:dyDescent="0.25">
      <c r="A855" s="1">
        <v>42362</v>
      </c>
      <c r="B855">
        <v>5321.0498049999997</v>
      </c>
      <c r="C855">
        <v>5338.2001950000003</v>
      </c>
      <c r="D855">
        <v>5232.75</v>
      </c>
      <c r="E855">
        <v>5303.5498049999997</v>
      </c>
      <c r="F855" s="4">
        <f t="shared" si="92"/>
        <v>5262.7001950000003</v>
      </c>
      <c r="G855" s="4">
        <f t="shared" si="93"/>
        <v>5518.6000979999999</v>
      </c>
      <c r="H855" s="4">
        <f t="shared" si="94"/>
        <v>0</v>
      </c>
      <c r="I855" s="4">
        <f t="shared" si="91"/>
        <v>-1</v>
      </c>
      <c r="J855" s="11">
        <f t="shared" si="95"/>
        <v>0</v>
      </c>
      <c r="K855" s="6">
        <f t="shared" si="96"/>
        <v>5437.3500979999999</v>
      </c>
      <c r="L855" s="4">
        <f t="shared" si="97"/>
        <v>0</v>
      </c>
    </row>
    <row r="856" spans="1:12" x14ac:dyDescent="0.25">
      <c r="A856" s="1">
        <v>42363</v>
      </c>
      <c r="B856">
        <v>5330.1499020000001</v>
      </c>
      <c r="C856">
        <v>5477</v>
      </c>
      <c r="D856">
        <v>5308.6000979999999</v>
      </c>
      <c r="E856">
        <v>5333.25</v>
      </c>
      <c r="F856" s="4">
        <f t="shared" si="92"/>
        <v>5262.7001950000003</v>
      </c>
      <c r="G856" s="4">
        <f t="shared" si="93"/>
        <v>5469.2001950000003</v>
      </c>
      <c r="H856" s="4">
        <f t="shared" si="94"/>
        <v>0</v>
      </c>
      <c r="I856" s="4">
        <f t="shared" si="91"/>
        <v>-1</v>
      </c>
      <c r="J856" s="11">
        <f t="shared" si="95"/>
        <v>0</v>
      </c>
      <c r="K856" s="6">
        <f t="shared" si="96"/>
        <v>5437.3500979999999</v>
      </c>
      <c r="L856" s="4">
        <f t="shared" si="97"/>
        <v>0</v>
      </c>
    </row>
    <row r="857" spans="1:12" x14ac:dyDescent="0.25">
      <c r="A857" s="1">
        <v>42366</v>
      </c>
      <c r="B857">
        <v>5382</v>
      </c>
      <c r="C857">
        <v>5533.0498049999997</v>
      </c>
      <c r="D857">
        <v>5373.5498049999997</v>
      </c>
      <c r="E857">
        <v>5522.2998049999997</v>
      </c>
      <c r="F857" s="4">
        <f t="shared" si="92"/>
        <v>5262.7001950000003</v>
      </c>
      <c r="G857" s="4">
        <f t="shared" si="93"/>
        <v>5522.2998049999997</v>
      </c>
      <c r="H857" s="4" t="str">
        <f t="shared" si="94"/>
        <v>BUY</v>
      </c>
      <c r="I857" s="4">
        <f t="shared" si="91"/>
        <v>1</v>
      </c>
      <c r="J857" s="11" t="str">
        <f t="shared" si="95"/>
        <v>BUY</v>
      </c>
      <c r="K857" s="6">
        <f t="shared" si="96"/>
        <v>5522.2998049999997</v>
      </c>
      <c r="L857" s="4">
        <f t="shared" si="97"/>
        <v>-1.562336532849825E-2</v>
      </c>
    </row>
    <row r="858" spans="1:12" x14ac:dyDescent="0.25">
      <c r="A858" s="1">
        <v>42367</v>
      </c>
      <c r="B858">
        <v>5522.2998049999997</v>
      </c>
      <c r="C858">
        <v>5522.2998049999997</v>
      </c>
      <c r="D858">
        <v>5522.2998049999997</v>
      </c>
      <c r="E858">
        <v>5522.2998049999997</v>
      </c>
      <c r="F858" s="4">
        <f t="shared" si="92"/>
        <v>5262.7001950000003</v>
      </c>
      <c r="G858" s="4">
        <f t="shared" si="93"/>
        <v>5522.2998049999997</v>
      </c>
      <c r="H858" s="4">
        <f t="shared" si="94"/>
        <v>0</v>
      </c>
      <c r="I858" s="4">
        <f t="shared" si="91"/>
        <v>1</v>
      </c>
      <c r="J858" s="11">
        <f t="shared" si="95"/>
        <v>0</v>
      </c>
      <c r="K858" s="6">
        <f t="shared" si="96"/>
        <v>5522.2998049999997</v>
      </c>
      <c r="L858" s="4">
        <f t="shared" si="97"/>
        <v>0</v>
      </c>
    </row>
    <row r="859" spans="1:12" x14ac:dyDescent="0.25">
      <c r="A859" s="1">
        <v>42368</v>
      </c>
      <c r="B859">
        <v>5478.4501950000003</v>
      </c>
      <c r="C859">
        <v>5570.75</v>
      </c>
      <c r="D859">
        <v>5468.25</v>
      </c>
      <c r="E859">
        <v>5536.2001950000003</v>
      </c>
      <c r="F859" s="4">
        <f t="shared" si="92"/>
        <v>5303.5498049999997</v>
      </c>
      <c r="G859" s="4">
        <f t="shared" si="93"/>
        <v>5536.2001950000003</v>
      </c>
      <c r="H859" s="4" t="str">
        <f t="shared" si="94"/>
        <v>BUY</v>
      </c>
      <c r="I859" s="4">
        <f t="shared" si="91"/>
        <v>1</v>
      </c>
      <c r="J859" s="11">
        <f t="shared" si="95"/>
        <v>0</v>
      </c>
      <c r="K859" s="6">
        <f t="shared" si="96"/>
        <v>5522.2998049999997</v>
      </c>
      <c r="L859" s="4">
        <f t="shared" si="97"/>
        <v>0</v>
      </c>
    </row>
    <row r="860" spans="1:12" x14ac:dyDescent="0.25">
      <c r="A860" s="1">
        <v>42369</v>
      </c>
      <c r="B860">
        <v>5586.2001950000003</v>
      </c>
      <c r="C860">
        <v>5608.2001950000003</v>
      </c>
      <c r="D860">
        <v>5524.1000979999999</v>
      </c>
      <c r="E860">
        <v>5538.75</v>
      </c>
      <c r="F860" s="4">
        <f t="shared" si="92"/>
        <v>5333.25</v>
      </c>
      <c r="G860" s="4">
        <f t="shared" si="93"/>
        <v>5538.75</v>
      </c>
      <c r="H860" s="4" t="str">
        <f t="shared" si="94"/>
        <v>BUY</v>
      </c>
      <c r="I860" s="4">
        <f t="shared" si="91"/>
        <v>1</v>
      </c>
      <c r="J860" s="11">
        <f t="shared" si="95"/>
        <v>0</v>
      </c>
      <c r="K860" s="6">
        <f t="shared" si="96"/>
        <v>5522.2998049999997</v>
      </c>
      <c r="L860" s="4">
        <f t="shared" si="97"/>
        <v>0</v>
      </c>
    </row>
    <row r="861" spans="1:12" x14ac:dyDescent="0.25">
      <c r="A861" s="1">
        <v>42370</v>
      </c>
      <c r="B861">
        <v>5490.0498049999997</v>
      </c>
      <c r="C861">
        <v>5491.25</v>
      </c>
      <c r="D861">
        <v>5408.4501950000003</v>
      </c>
      <c r="E861">
        <v>5463.1499020000001</v>
      </c>
      <c r="F861" s="4">
        <f t="shared" si="92"/>
        <v>5463.1499020000001</v>
      </c>
      <c r="G861" s="4">
        <f t="shared" si="93"/>
        <v>5538.75</v>
      </c>
      <c r="H861" s="4">
        <f t="shared" si="94"/>
        <v>0</v>
      </c>
      <c r="I861" s="4">
        <f t="shared" si="91"/>
        <v>1</v>
      </c>
      <c r="J861" s="11">
        <f t="shared" si="95"/>
        <v>0</v>
      </c>
      <c r="K861" s="6">
        <f t="shared" si="96"/>
        <v>5522.2998049999997</v>
      </c>
      <c r="L861" s="4">
        <f t="shared" si="97"/>
        <v>0</v>
      </c>
    </row>
    <row r="862" spans="1:12" x14ac:dyDescent="0.25">
      <c r="A862" s="1">
        <v>42373</v>
      </c>
      <c r="B862">
        <v>5466.1000979999999</v>
      </c>
      <c r="C862">
        <v>5530.5498049999997</v>
      </c>
      <c r="D862">
        <v>5464.75</v>
      </c>
      <c r="E862">
        <v>5520.7998049999997</v>
      </c>
      <c r="F862" s="4">
        <f t="shared" si="92"/>
        <v>5463.1499020000001</v>
      </c>
      <c r="G862" s="4">
        <f t="shared" si="93"/>
        <v>5538.75</v>
      </c>
      <c r="H862" s="4">
        <f t="shared" si="94"/>
        <v>0</v>
      </c>
      <c r="I862" s="4">
        <f t="shared" si="91"/>
        <v>1</v>
      </c>
      <c r="J862" s="11">
        <f t="shared" si="95"/>
        <v>0</v>
      </c>
      <c r="K862" s="6">
        <f t="shared" si="96"/>
        <v>5522.2998049999997</v>
      </c>
      <c r="L862" s="4">
        <f t="shared" si="97"/>
        <v>0</v>
      </c>
    </row>
    <row r="863" spans="1:12" x14ac:dyDescent="0.25">
      <c r="A863" s="1">
        <v>42374</v>
      </c>
      <c r="B863">
        <v>5542.3999020000001</v>
      </c>
      <c r="C863">
        <v>5563.2998049999997</v>
      </c>
      <c r="D863">
        <v>5477.4501950000003</v>
      </c>
      <c r="E863">
        <v>5531</v>
      </c>
      <c r="F863" s="4">
        <f t="shared" si="92"/>
        <v>5463.1499020000001</v>
      </c>
      <c r="G863" s="4">
        <f t="shared" si="93"/>
        <v>5538.75</v>
      </c>
      <c r="H863" s="4">
        <f t="shared" si="94"/>
        <v>0</v>
      </c>
      <c r="I863" s="4">
        <f t="shared" si="91"/>
        <v>1</v>
      </c>
      <c r="J863" s="11">
        <f t="shared" si="95"/>
        <v>0</v>
      </c>
      <c r="K863" s="6">
        <f t="shared" si="96"/>
        <v>5522.2998049999997</v>
      </c>
      <c r="L863" s="4">
        <f t="shared" si="97"/>
        <v>0</v>
      </c>
    </row>
    <row r="864" spans="1:12" x14ac:dyDescent="0.25">
      <c r="A864" s="1">
        <v>42375</v>
      </c>
      <c r="B864">
        <v>5516.1000979999999</v>
      </c>
      <c r="C864">
        <v>5516.2998049999997</v>
      </c>
      <c r="D864">
        <v>5468.4501950000003</v>
      </c>
      <c r="E864">
        <v>5494.3999020000001</v>
      </c>
      <c r="F864" s="4">
        <f t="shared" si="92"/>
        <v>5463.1499020000001</v>
      </c>
      <c r="G864" s="4">
        <f t="shared" si="93"/>
        <v>5538.75</v>
      </c>
      <c r="H864" s="4">
        <f t="shared" si="94"/>
        <v>0</v>
      </c>
      <c r="I864" s="4">
        <f t="shared" si="91"/>
        <v>1</v>
      </c>
      <c r="J864" s="11">
        <f t="shared" si="95"/>
        <v>0</v>
      </c>
      <c r="K864" s="6">
        <f t="shared" si="96"/>
        <v>5522.2998049999997</v>
      </c>
      <c r="L864" s="4">
        <f t="shared" si="97"/>
        <v>0</v>
      </c>
    </row>
    <row r="865" spans="1:12" x14ac:dyDescent="0.25">
      <c r="A865" s="1">
        <v>42376</v>
      </c>
      <c r="B865">
        <v>5456.1499020000001</v>
      </c>
      <c r="C865">
        <v>5502.7001950000003</v>
      </c>
      <c r="D865">
        <v>5411.5498049999997</v>
      </c>
      <c r="E865">
        <v>5445.4501950000003</v>
      </c>
      <c r="F865" s="4">
        <f t="shared" si="92"/>
        <v>5445.4501950000003</v>
      </c>
      <c r="G865" s="4">
        <f t="shared" si="93"/>
        <v>5531</v>
      </c>
      <c r="H865" s="4" t="str">
        <f t="shared" si="94"/>
        <v>SELL</v>
      </c>
      <c r="I865" s="4">
        <f t="shared" si="91"/>
        <v>-1</v>
      </c>
      <c r="J865" s="11" t="str">
        <f t="shared" si="95"/>
        <v>SELL</v>
      </c>
      <c r="K865" s="6">
        <f t="shared" si="96"/>
        <v>5445.4501950000003</v>
      </c>
      <c r="L865" s="4">
        <f t="shared" si="97"/>
        <v>1.6660078816565355E-3</v>
      </c>
    </row>
    <row r="866" spans="1:12" x14ac:dyDescent="0.25">
      <c r="A866" s="1">
        <v>42377</v>
      </c>
      <c r="B866">
        <v>5436.5</v>
      </c>
      <c r="C866">
        <v>5537.2998049999997</v>
      </c>
      <c r="D866">
        <v>5434.25</v>
      </c>
      <c r="E866">
        <v>5531.5</v>
      </c>
      <c r="F866" s="4">
        <f t="shared" si="92"/>
        <v>5445.4501950000003</v>
      </c>
      <c r="G866" s="4">
        <f t="shared" si="93"/>
        <v>5531.5</v>
      </c>
      <c r="H866" s="4" t="str">
        <f t="shared" si="94"/>
        <v>BUY</v>
      </c>
      <c r="I866" s="4">
        <f t="shared" si="91"/>
        <v>1</v>
      </c>
      <c r="J866" s="11" t="str">
        <f t="shared" si="95"/>
        <v>BUY</v>
      </c>
      <c r="K866" s="6">
        <f t="shared" si="96"/>
        <v>5531.5</v>
      </c>
      <c r="L866" s="4">
        <f t="shared" si="97"/>
        <v>-1.580214709869358E-2</v>
      </c>
    </row>
    <row r="867" spans="1:12" x14ac:dyDescent="0.25">
      <c r="A867" s="1">
        <v>42380</v>
      </c>
      <c r="B867">
        <v>5420</v>
      </c>
      <c r="C867">
        <v>5497.8500979999999</v>
      </c>
      <c r="D867">
        <v>5373.6499020000001</v>
      </c>
      <c r="E867">
        <v>5449.6499020000001</v>
      </c>
      <c r="F867" s="4">
        <f t="shared" si="92"/>
        <v>5445.4501950000003</v>
      </c>
      <c r="G867" s="4">
        <f t="shared" si="93"/>
        <v>5531.5</v>
      </c>
      <c r="H867" s="4">
        <f t="shared" si="94"/>
        <v>0</v>
      </c>
      <c r="I867" s="4">
        <f t="shared" si="91"/>
        <v>1</v>
      </c>
      <c r="J867" s="11">
        <f t="shared" si="95"/>
        <v>0</v>
      </c>
      <c r="K867" s="6">
        <f t="shared" si="96"/>
        <v>5531.5</v>
      </c>
      <c r="L867" s="4">
        <f t="shared" si="97"/>
        <v>0</v>
      </c>
    </row>
    <row r="868" spans="1:12" x14ac:dyDescent="0.25">
      <c r="A868" s="1">
        <v>42381</v>
      </c>
      <c r="B868">
        <v>5475.9501950000003</v>
      </c>
      <c r="C868">
        <v>5535.1000979999999</v>
      </c>
      <c r="D868">
        <v>5475.9501950000003</v>
      </c>
      <c r="E868">
        <v>5511.1499020000001</v>
      </c>
      <c r="F868" s="4">
        <f t="shared" si="92"/>
        <v>5445.4501950000003</v>
      </c>
      <c r="G868" s="4">
        <f t="shared" si="93"/>
        <v>5531.5</v>
      </c>
      <c r="H868" s="4">
        <f t="shared" si="94"/>
        <v>0</v>
      </c>
      <c r="I868" s="4">
        <f t="shared" si="91"/>
        <v>1</v>
      </c>
      <c r="J868" s="11">
        <f t="shared" si="95"/>
        <v>0</v>
      </c>
      <c r="K868" s="6">
        <f t="shared" si="96"/>
        <v>5531.5</v>
      </c>
      <c r="L868" s="4">
        <f t="shared" si="97"/>
        <v>0</v>
      </c>
    </row>
    <row r="869" spans="1:12" x14ac:dyDescent="0.25">
      <c r="A869" s="1">
        <v>42382</v>
      </c>
      <c r="B869">
        <v>5455.3999020000001</v>
      </c>
      <c r="C869">
        <v>5510.0498049999997</v>
      </c>
      <c r="D869">
        <v>5435.2998049999997</v>
      </c>
      <c r="E869">
        <v>5446.6499020000001</v>
      </c>
      <c r="F869" s="4">
        <f t="shared" si="92"/>
        <v>5445.4501950000003</v>
      </c>
      <c r="G869" s="4">
        <f t="shared" si="93"/>
        <v>5531.5</v>
      </c>
      <c r="H869" s="4">
        <f t="shared" si="94"/>
        <v>0</v>
      </c>
      <c r="I869" s="4">
        <f t="shared" si="91"/>
        <v>1</v>
      </c>
      <c r="J869" s="11">
        <f t="shared" si="95"/>
        <v>0</v>
      </c>
      <c r="K869" s="6">
        <f t="shared" si="96"/>
        <v>5531.5</v>
      </c>
      <c r="L869" s="4">
        <f t="shared" si="97"/>
        <v>0</v>
      </c>
    </row>
    <row r="870" spans="1:12" x14ac:dyDescent="0.25">
      <c r="A870" s="1">
        <v>42383</v>
      </c>
      <c r="B870">
        <v>5475.3500979999999</v>
      </c>
      <c r="C870">
        <v>5483.0498049999997</v>
      </c>
      <c r="D870">
        <v>5366.3999020000001</v>
      </c>
      <c r="E870">
        <v>5373.7001950000003</v>
      </c>
      <c r="F870" s="4">
        <f t="shared" si="92"/>
        <v>5373.7001950000003</v>
      </c>
      <c r="G870" s="4">
        <f t="shared" si="93"/>
        <v>5531.5</v>
      </c>
      <c r="H870" s="4" t="str">
        <f t="shared" si="94"/>
        <v>SELL</v>
      </c>
      <c r="I870" s="4">
        <f t="shared" si="91"/>
        <v>-1</v>
      </c>
      <c r="J870" s="11" t="str">
        <f t="shared" si="95"/>
        <v>SELL</v>
      </c>
      <c r="K870" s="6">
        <f t="shared" si="96"/>
        <v>5373.7001950000003</v>
      </c>
      <c r="L870" s="4">
        <f t="shared" si="97"/>
        <v>-2.8527488927054083E-2</v>
      </c>
    </row>
    <row r="871" spans="1:12" x14ac:dyDescent="0.25">
      <c r="A871" s="1">
        <v>42384</v>
      </c>
      <c r="B871">
        <v>5408.75</v>
      </c>
      <c r="C871">
        <v>5413.2998049999997</v>
      </c>
      <c r="D871">
        <v>5348.2001950000003</v>
      </c>
      <c r="E871">
        <v>5364.75</v>
      </c>
      <c r="F871" s="4">
        <f t="shared" si="92"/>
        <v>5364.75</v>
      </c>
      <c r="G871" s="4">
        <f t="shared" si="93"/>
        <v>5511.1499020000001</v>
      </c>
      <c r="H871" s="4" t="str">
        <f t="shared" si="94"/>
        <v>SELL</v>
      </c>
      <c r="I871" s="4">
        <f t="shared" si="91"/>
        <v>-1</v>
      </c>
      <c r="J871" s="11">
        <f t="shared" si="95"/>
        <v>0</v>
      </c>
      <c r="K871" s="6">
        <f t="shared" si="96"/>
        <v>5373.7001950000003</v>
      </c>
      <c r="L871" s="4">
        <f t="shared" si="97"/>
        <v>0</v>
      </c>
    </row>
    <row r="872" spans="1:12" x14ac:dyDescent="0.25">
      <c r="A872" s="1">
        <v>42387</v>
      </c>
      <c r="B872">
        <v>5390.8500979999999</v>
      </c>
      <c r="C872">
        <v>5428.1499020000001</v>
      </c>
      <c r="D872">
        <v>5376.1499020000001</v>
      </c>
      <c r="E872">
        <v>5413.8500979999999</v>
      </c>
      <c r="F872" s="4">
        <f t="shared" si="92"/>
        <v>5364.75</v>
      </c>
      <c r="G872" s="4">
        <f t="shared" si="93"/>
        <v>5511.1499020000001</v>
      </c>
      <c r="H872" s="4">
        <f t="shared" si="94"/>
        <v>0</v>
      </c>
      <c r="I872" s="4">
        <f t="shared" si="91"/>
        <v>-1</v>
      </c>
      <c r="J872" s="11">
        <f t="shared" si="95"/>
        <v>0</v>
      </c>
      <c r="K872" s="6">
        <f t="shared" si="96"/>
        <v>5373.7001950000003</v>
      </c>
      <c r="L872" s="4">
        <f t="shared" si="97"/>
        <v>0</v>
      </c>
    </row>
    <row r="873" spans="1:12" x14ac:dyDescent="0.25">
      <c r="A873" s="1">
        <v>42388</v>
      </c>
      <c r="B873">
        <v>5411.3999020000001</v>
      </c>
      <c r="C873">
        <v>5484.9501950000003</v>
      </c>
      <c r="D873">
        <v>5401.9501950000003</v>
      </c>
      <c r="E873">
        <v>5480.25</v>
      </c>
      <c r="F873" s="4">
        <f t="shared" si="92"/>
        <v>5364.75</v>
      </c>
      <c r="G873" s="4">
        <f t="shared" si="93"/>
        <v>5480.25</v>
      </c>
      <c r="H873" s="4">
        <f t="shared" si="94"/>
        <v>0</v>
      </c>
      <c r="I873" s="4">
        <f t="shared" si="91"/>
        <v>-1</v>
      </c>
      <c r="J873" s="11">
        <f t="shared" si="95"/>
        <v>0</v>
      </c>
      <c r="K873" s="6">
        <f t="shared" si="96"/>
        <v>5373.7001950000003</v>
      </c>
      <c r="L873" s="4">
        <f t="shared" si="97"/>
        <v>0</v>
      </c>
    </row>
    <row r="874" spans="1:12" x14ac:dyDescent="0.25">
      <c r="A874" s="1">
        <v>42389</v>
      </c>
      <c r="B874">
        <v>5501.7998049999997</v>
      </c>
      <c r="C874">
        <v>5529</v>
      </c>
      <c r="D874">
        <v>5496.1000979999999</v>
      </c>
      <c r="E874">
        <v>5522.3999020000001</v>
      </c>
      <c r="F874" s="4">
        <f t="shared" si="92"/>
        <v>5364.75</v>
      </c>
      <c r="G874" s="4">
        <f t="shared" si="93"/>
        <v>5522.3999020000001</v>
      </c>
      <c r="H874" s="4" t="str">
        <f t="shared" si="94"/>
        <v>BUY</v>
      </c>
      <c r="I874" s="4">
        <f t="shared" si="91"/>
        <v>1</v>
      </c>
      <c r="J874" s="11" t="str">
        <f t="shared" si="95"/>
        <v>BUY</v>
      </c>
      <c r="K874" s="6">
        <f t="shared" si="96"/>
        <v>5522.3999020000001</v>
      </c>
      <c r="L874" s="4">
        <f t="shared" si="97"/>
        <v>-2.767175346670038E-2</v>
      </c>
    </row>
    <row r="875" spans="1:12" x14ac:dyDescent="0.25">
      <c r="A875" s="1">
        <v>42390</v>
      </c>
      <c r="B875">
        <v>5588.6499020000001</v>
      </c>
      <c r="C875">
        <v>5667.1000979999999</v>
      </c>
      <c r="D875">
        <v>5560.9501950000003</v>
      </c>
      <c r="E875">
        <v>5654.25</v>
      </c>
      <c r="F875" s="4">
        <f t="shared" si="92"/>
        <v>5364.75</v>
      </c>
      <c r="G875" s="4">
        <f t="shared" si="93"/>
        <v>5654.25</v>
      </c>
      <c r="H875" s="4" t="str">
        <f t="shared" si="94"/>
        <v>BUY</v>
      </c>
      <c r="I875" s="4">
        <f t="shared" si="91"/>
        <v>1</v>
      </c>
      <c r="J875" s="11">
        <f t="shared" si="95"/>
        <v>0</v>
      </c>
      <c r="K875" s="6">
        <f t="shared" si="96"/>
        <v>5522.3999020000001</v>
      </c>
      <c r="L875" s="4">
        <f t="shared" si="97"/>
        <v>0</v>
      </c>
    </row>
    <row r="876" spans="1:12" x14ac:dyDescent="0.25">
      <c r="A876" s="1">
        <v>42391</v>
      </c>
      <c r="B876">
        <v>5645.25</v>
      </c>
      <c r="C876">
        <v>5709.1000979999999</v>
      </c>
      <c r="D876">
        <v>5643.2001950000003</v>
      </c>
      <c r="E876">
        <v>5687.25</v>
      </c>
      <c r="F876" s="4">
        <f t="shared" si="92"/>
        <v>5413.8500979999999</v>
      </c>
      <c r="G876" s="4">
        <f t="shared" si="93"/>
        <v>5687.25</v>
      </c>
      <c r="H876" s="4" t="str">
        <f t="shared" si="94"/>
        <v>BUY</v>
      </c>
      <c r="I876" s="4">
        <f t="shared" si="91"/>
        <v>1</v>
      </c>
      <c r="J876" s="11">
        <f t="shared" si="95"/>
        <v>0</v>
      </c>
      <c r="K876" s="6">
        <f t="shared" si="96"/>
        <v>5522.3999020000001</v>
      </c>
      <c r="L876" s="4">
        <f t="shared" si="97"/>
        <v>0</v>
      </c>
    </row>
    <row r="877" spans="1:12" x14ac:dyDescent="0.25">
      <c r="A877" s="1">
        <v>42394</v>
      </c>
      <c r="B877">
        <v>5686.5</v>
      </c>
      <c r="C877">
        <v>5770.3500979999999</v>
      </c>
      <c r="D877">
        <v>5680.7001950000003</v>
      </c>
      <c r="E877">
        <v>5736.3500979999999</v>
      </c>
      <c r="F877" s="4">
        <f t="shared" si="92"/>
        <v>5480.25</v>
      </c>
      <c r="G877" s="4">
        <f t="shared" si="93"/>
        <v>5736.3500979999999</v>
      </c>
      <c r="H877" s="4" t="str">
        <f t="shared" si="94"/>
        <v>BUY</v>
      </c>
      <c r="I877" s="4">
        <f t="shared" si="91"/>
        <v>1</v>
      </c>
      <c r="J877" s="11">
        <f t="shared" si="95"/>
        <v>0</v>
      </c>
      <c r="K877" s="6">
        <f t="shared" si="96"/>
        <v>5522.3999020000001</v>
      </c>
      <c r="L877" s="4">
        <f t="shared" si="97"/>
        <v>0</v>
      </c>
    </row>
    <row r="878" spans="1:12" x14ac:dyDescent="0.25">
      <c r="A878" s="1">
        <v>42395</v>
      </c>
      <c r="B878">
        <v>5755.7998049999997</v>
      </c>
      <c r="C878">
        <v>5803.1499020000001</v>
      </c>
      <c r="D878">
        <v>5753.8999020000001</v>
      </c>
      <c r="E878">
        <v>5787.6499020000001</v>
      </c>
      <c r="F878" s="4">
        <f t="shared" si="92"/>
        <v>5522.3999020000001</v>
      </c>
      <c r="G878" s="4">
        <f t="shared" si="93"/>
        <v>5787.6499020000001</v>
      </c>
      <c r="H878" s="4" t="str">
        <f t="shared" si="94"/>
        <v>BUY</v>
      </c>
      <c r="I878" s="4">
        <f t="shared" si="91"/>
        <v>1</v>
      </c>
      <c r="J878" s="11">
        <f t="shared" si="95"/>
        <v>0</v>
      </c>
      <c r="K878" s="6">
        <f t="shared" si="96"/>
        <v>5522.3999020000001</v>
      </c>
      <c r="L878" s="4">
        <f t="shared" si="97"/>
        <v>0</v>
      </c>
    </row>
    <row r="879" spans="1:12" x14ac:dyDescent="0.25">
      <c r="A879" s="1">
        <v>42396</v>
      </c>
      <c r="B879">
        <v>5803.0498049999997</v>
      </c>
      <c r="C879">
        <v>5872</v>
      </c>
      <c r="D879">
        <v>5778.6499020000001</v>
      </c>
      <c r="E879">
        <v>5833.75</v>
      </c>
      <c r="F879" s="4">
        <f t="shared" si="92"/>
        <v>5654.25</v>
      </c>
      <c r="G879" s="4">
        <f t="shared" si="93"/>
        <v>5833.75</v>
      </c>
      <c r="H879" s="4" t="str">
        <f t="shared" si="94"/>
        <v>BUY</v>
      </c>
      <c r="I879" s="4">
        <f t="shared" si="91"/>
        <v>1</v>
      </c>
      <c r="J879" s="11">
        <f t="shared" si="95"/>
        <v>0</v>
      </c>
      <c r="K879" s="6">
        <f t="shared" si="96"/>
        <v>5522.3999020000001</v>
      </c>
      <c r="L879" s="4">
        <f t="shared" si="97"/>
        <v>0</v>
      </c>
    </row>
    <row r="880" spans="1:12" x14ac:dyDescent="0.25">
      <c r="A880" s="1">
        <v>42397</v>
      </c>
      <c r="B880">
        <v>5835</v>
      </c>
      <c r="C880">
        <v>5860.2001950000003</v>
      </c>
      <c r="D880">
        <v>5810.3999020000001</v>
      </c>
      <c r="E880">
        <v>5826.0498049999997</v>
      </c>
      <c r="F880" s="4">
        <f t="shared" si="92"/>
        <v>5687.25</v>
      </c>
      <c r="G880" s="4">
        <f t="shared" si="93"/>
        <v>5833.75</v>
      </c>
      <c r="H880" s="4">
        <f t="shared" si="94"/>
        <v>0</v>
      </c>
      <c r="I880" s="4">
        <f t="shared" si="91"/>
        <v>1</v>
      </c>
      <c r="J880" s="11">
        <f t="shared" si="95"/>
        <v>0</v>
      </c>
      <c r="K880" s="6">
        <f t="shared" si="96"/>
        <v>5522.3999020000001</v>
      </c>
      <c r="L880" s="4">
        <f t="shared" si="97"/>
        <v>0</v>
      </c>
    </row>
    <row r="881" spans="1:12" x14ac:dyDescent="0.25">
      <c r="A881" s="1">
        <v>42398</v>
      </c>
      <c r="B881">
        <v>5842</v>
      </c>
      <c r="C881">
        <v>5918.7001950000003</v>
      </c>
      <c r="D881">
        <v>5833.2001950000003</v>
      </c>
      <c r="E881">
        <v>5908.4501950000003</v>
      </c>
      <c r="F881" s="4">
        <f t="shared" si="92"/>
        <v>5736.3500979999999</v>
      </c>
      <c r="G881" s="4">
        <f t="shared" si="93"/>
        <v>5908.4501950000003</v>
      </c>
      <c r="H881" s="4" t="str">
        <f t="shared" si="94"/>
        <v>BUY</v>
      </c>
      <c r="I881" s="4">
        <f t="shared" si="91"/>
        <v>1</v>
      </c>
      <c r="J881" s="11">
        <f t="shared" si="95"/>
        <v>0</v>
      </c>
      <c r="K881" s="6">
        <f t="shared" si="96"/>
        <v>5522.3999020000001</v>
      </c>
      <c r="L881" s="4">
        <f t="shared" si="97"/>
        <v>0</v>
      </c>
    </row>
    <row r="882" spans="1:12" x14ac:dyDescent="0.25">
      <c r="A882" s="1">
        <v>42401</v>
      </c>
      <c r="B882">
        <v>5923.8500979999999</v>
      </c>
      <c r="C882">
        <v>5928.6499020000001</v>
      </c>
      <c r="D882">
        <v>5855.8500979999999</v>
      </c>
      <c r="E882">
        <v>5910.0498049999997</v>
      </c>
      <c r="F882" s="4">
        <f t="shared" si="92"/>
        <v>5787.6499020000001</v>
      </c>
      <c r="G882" s="4">
        <f t="shared" si="93"/>
        <v>5910.0498049999997</v>
      </c>
      <c r="H882" s="4" t="str">
        <f t="shared" si="94"/>
        <v>BUY</v>
      </c>
      <c r="I882" s="4">
        <f t="shared" si="91"/>
        <v>1</v>
      </c>
      <c r="J882" s="11">
        <f t="shared" si="95"/>
        <v>0</v>
      </c>
      <c r="K882" s="6">
        <f t="shared" si="96"/>
        <v>5522.3999020000001</v>
      </c>
      <c r="L882" s="4">
        <f t="shared" si="97"/>
        <v>0</v>
      </c>
    </row>
    <row r="883" spans="1:12" x14ac:dyDescent="0.25">
      <c r="A883" s="1">
        <v>42402</v>
      </c>
      <c r="B883">
        <v>5908</v>
      </c>
      <c r="C883">
        <v>5944.4501950000003</v>
      </c>
      <c r="D883">
        <v>5868.7998049999997</v>
      </c>
      <c r="E883">
        <v>5891.75</v>
      </c>
      <c r="F883" s="4">
        <f t="shared" si="92"/>
        <v>5826.0498049999997</v>
      </c>
      <c r="G883" s="4">
        <f t="shared" si="93"/>
        <v>5910.0498049999997</v>
      </c>
      <c r="H883" s="4">
        <f t="shared" si="94"/>
        <v>0</v>
      </c>
      <c r="I883" s="4">
        <f t="shared" si="91"/>
        <v>1</v>
      </c>
      <c r="J883" s="11">
        <f t="shared" si="95"/>
        <v>0</v>
      </c>
      <c r="K883" s="6">
        <f t="shared" si="96"/>
        <v>5522.3999020000001</v>
      </c>
      <c r="L883" s="4">
        <f t="shared" si="97"/>
        <v>0</v>
      </c>
    </row>
    <row r="884" spans="1:12" x14ac:dyDescent="0.25">
      <c r="A884" s="1">
        <v>42403</v>
      </c>
      <c r="B884">
        <v>5888.5498049999997</v>
      </c>
      <c r="C884">
        <v>5906.1000979999999</v>
      </c>
      <c r="D884">
        <v>5866.25</v>
      </c>
      <c r="E884">
        <v>5885.7001950000003</v>
      </c>
      <c r="F884" s="4">
        <f t="shared" si="92"/>
        <v>5826.0498049999997</v>
      </c>
      <c r="G884" s="4">
        <f t="shared" si="93"/>
        <v>5910.0498049999997</v>
      </c>
      <c r="H884" s="4">
        <f t="shared" si="94"/>
        <v>0</v>
      </c>
      <c r="I884" s="4">
        <f t="shared" si="91"/>
        <v>1</v>
      </c>
      <c r="J884" s="11">
        <f t="shared" si="95"/>
        <v>0</v>
      </c>
      <c r="K884" s="6">
        <f t="shared" si="96"/>
        <v>5522.3999020000001</v>
      </c>
      <c r="L884" s="4">
        <f t="shared" si="97"/>
        <v>0</v>
      </c>
    </row>
    <row r="885" spans="1:12" x14ac:dyDescent="0.25">
      <c r="A885" s="1">
        <v>42404</v>
      </c>
      <c r="B885">
        <v>5886.75</v>
      </c>
      <c r="C885">
        <v>5926.9501950000003</v>
      </c>
      <c r="D885">
        <v>5822</v>
      </c>
      <c r="E885">
        <v>5842</v>
      </c>
      <c r="F885" s="4">
        <f t="shared" si="92"/>
        <v>5842</v>
      </c>
      <c r="G885" s="4">
        <f t="shared" si="93"/>
        <v>5910.0498049999997</v>
      </c>
      <c r="H885" s="4">
        <f t="shared" si="94"/>
        <v>0</v>
      </c>
      <c r="I885" s="4">
        <f t="shared" si="91"/>
        <v>1</v>
      </c>
      <c r="J885" s="11">
        <f t="shared" si="95"/>
        <v>0</v>
      </c>
      <c r="K885" s="6">
        <f t="shared" si="96"/>
        <v>5522.3999020000001</v>
      </c>
      <c r="L885" s="4">
        <f t="shared" si="97"/>
        <v>0</v>
      </c>
    </row>
    <row r="886" spans="1:12" x14ac:dyDescent="0.25">
      <c r="A886" s="1">
        <v>42405</v>
      </c>
      <c r="B886">
        <v>5805.3500979999999</v>
      </c>
      <c r="C886">
        <v>5830.2998049999997</v>
      </c>
      <c r="D886">
        <v>5777.8999020000001</v>
      </c>
      <c r="E886">
        <v>5785.7001950000003</v>
      </c>
      <c r="F886" s="4">
        <f t="shared" si="92"/>
        <v>5785.7001950000003</v>
      </c>
      <c r="G886" s="4">
        <f t="shared" si="93"/>
        <v>5910.0498049999997</v>
      </c>
      <c r="H886" s="4" t="str">
        <f t="shared" si="94"/>
        <v>SELL</v>
      </c>
      <c r="I886" s="4">
        <f t="shared" si="91"/>
        <v>-1</v>
      </c>
      <c r="J886" s="11" t="str">
        <f t="shared" si="95"/>
        <v>SELL</v>
      </c>
      <c r="K886" s="6">
        <f t="shared" si="96"/>
        <v>5785.7001950000003</v>
      </c>
      <c r="L886" s="4">
        <f t="shared" si="97"/>
        <v>4.7678599462643592E-2</v>
      </c>
    </row>
    <row r="887" spans="1:12" x14ac:dyDescent="0.25">
      <c r="A887" s="1">
        <v>42408</v>
      </c>
      <c r="B887">
        <v>5785.7001950000003</v>
      </c>
      <c r="C887">
        <v>5785.7001950000003</v>
      </c>
      <c r="D887">
        <v>5785.7001950000003</v>
      </c>
      <c r="E887">
        <v>5785.7001950000003</v>
      </c>
      <c r="F887" s="4">
        <f t="shared" si="92"/>
        <v>5785.7001950000003</v>
      </c>
      <c r="G887" s="4">
        <f t="shared" si="93"/>
        <v>5891.75</v>
      </c>
      <c r="H887" s="4">
        <f t="shared" si="94"/>
        <v>0</v>
      </c>
      <c r="I887" s="4">
        <f t="shared" si="91"/>
        <v>-1</v>
      </c>
      <c r="J887" s="11">
        <f t="shared" si="95"/>
        <v>0</v>
      </c>
      <c r="K887" s="6">
        <f t="shared" si="96"/>
        <v>5785.7001950000003</v>
      </c>
      <c r="L887" s="4">
        <f t="shared" si="97"/>
        <v>0</v>
      </c>
    </row>
    <row r="888" spans="1:12" x14ac:dyDescent="0.25">
      <c r="A888" s="1">
        <v>42409</v>
      </c>
      <c r="B888">
        <v>5747.9501950000003</v>
      </c>
      <c r="C888">
        <v>5923.6000979999999</v>
      </c>
      <c r="D888">
        <v>5735.5498049999997</v>
      </c>
      <c r="E888">
        <v>5911.5</v>
      </c>
      <c r="F888" s="4">
        <f t="shared" si="92"/>
        <v>5785.7001950000003</v>
      </c>
      <c r="G888" s="4">
        <f t="shared" si="93"/>
        <v>5911.5</v>
      </c>
      <c r="H888" s="4" t="str">
        <f t="shared" si="94"/>
        <v>BUY</v>
      </c>
      <c r="I888" s="4">
        <f t="shared" si="91"/>
        <v>1</v>
      </c>
      <c r="J888" s="11" t="str">
        <f t="shared" si="95"/>
        <v>BUY</v>
      </c>
      <c r="K888" s="6">
        <f t="shared" si="96"/>
        <v>5911.5</v>
      </c>
      <c r="L888" s="4">
        <f t="shared" si="97"/>
        <v>-2.1743229126997592E-2</v>
      </c>
    </row>
    <row r="889" spans="1:12" x14ac:dyDescent="0.25">
      <c r="A889" s="1">
        <v>42410</v>
      </c>
      <c r="B889">
        <v>5911.5</v>
      </c>
      <c r="C889">
        <v>5911.5</v>
      </c>
      <c r="D889">
        <v>5911.5</v>
      </c>
      <c r="E889">
        <v>5911.5</v>
      </c>
      <c r="F889" s="4">
        <f t="shared" si="92"/>
        <v>5785.7001950000003</v>
      </c>
      <c r="G889" s="4">
        <f t="shared" si="93"/>
        <v>5911.5</v>
      </c>
      <c r="H889" s="4">
        <f t="shared" si="94"/>
        <v>0</v>
      </c>
      <c r="I889" s="4">
        <f t="shared" si="91"/>
        <v>1</v>
      </c>
      <c r="J889" s="11">
        <f t="shared" si="95"/>
        <v>0</v>
      </c>
      <c r="K889" s="6">
        <f t="shared" si="96"/>
        <v>5911.5</v>
      </c>
      <c r="L889" s="4">
        <f t="shared" si="97"/>
        <v>0</v>
      </c>
    </row>
    <row r="890" spans="1:12" x14ac:dyDescent="0.25">
      <c r="A890" s="1">
        <v>42411</v>
      </c>
      <c r="B890">
        <v>5898.75</v>
      </c>
      <c r="C890">
        <v>5907.3500979999999</v>
      </c>
      <c r="D890">
        <v>5806.4501950000003</v>
      </c>
      <c r="E890">
        <v>5824.5498049999997</v>
      </c>
      <c r="F890" s="4">
        <f t="shared" si="92"/>
        <v>5785.7001950000003</v>
      </c>
      <c r="G890" s="4">
        <f t="shared" si="93"/>
        <v>5911.5</v>
      </c>
      <c r="H890" s="4">
        <f t="shared" si="94"/>
        <v>0</v>
      </c>
      <c r="I890" s="4">
        <f t="shared" si="91"/>
        <v>1</v>
      </c>
      <c r="J890" s="11">
        <f t="shared" si="95"/>
        <v>0</v>
      </c>
      <c r="K890" s="6">
        <f t="shared" si="96"/>
        <v>5911.5</v>
      </c>
      <c r="L890" s="4">
        <f t="shared" si="97"/>
        <v>0</v>
      </c>
    </row>
    <row r="891" spans="1:12" x14ac:dyDescent="0.25">
      <c r="A891" s="1">
        <v>42412</v>
      </c>
      <c r="B891">
        <v>5824.3500979999999</v>
      </c>
      <c r="C891">
        <v>5897.8999020000001</v>
      </c>
      <c r="D891">
        <v>5722.25</v>
      </c>
      <c r="E891">
        <v>5729.1000979999999</v>
      </c>
      <c r="F891" s="4">
        <f t="shared" si="92"/>
        <v>5729.1000979999999</v>
      </c>
      <c r="G891" s="4">
        <f t="shared" si="93"/>
        <v>5911.5</v>
      </c>
      <c r="H891" s="4" t="str">
        <f t="shared" si="94"/>
        <v>SELL</v>
      </c>
      <c r="I891" s="4">
        <f t="shared" si="91"/>
        <v>-1</v>
      </c>
      <c r="J891" s="11" t="str">
        <f t="shared" si="95"/>
        <v>SELL</v>
      </c>
      <c r="K891" s="6">
        <f t="shared" si="96"/>
        <v>5729.1000979999999</v>
      </c>
      <c r="L891" s="4">
        <f t="shared" si="97"/>
        <v>-3.0855096337646978E-2</v>
      </c>
    </row>
    <row r="892" spans="1:12" x14ac:dyDescent="0.25">
      <c r="A892" s="1">
        <v>42415</v>
      </c>
      <c r="B892">
        <v>5716</v>
      </c>
      <c r="C892">
        <v>5762.9501950000003</v>
      </c>
      <c r="D892">
        <v>5693.25</v>
      </c>
      <c r="E892">
        <v>5740.75</v>
      </c>
      <c r="F892" s="4">
        <f t="shared" si="92"/>
        <v>5729.1000979999999</v>
      </c>
      <c r="G892" s="4">
        <f t="shared" si="93"/>
        <v>5911.5</v>
      </c>
      <c r="H892" s="4">
        <f t="shared" si="94"/>
        <v>0</v>
      </c>
      <c r="I892" s="4">
        <f t="shared" si="91"/>
        <v>-1</v>
      </c>
      <c r="J892" s="11">
        <f t="shared" si="95"/>
        <v>0</v>
      </c>
      <c r="K892" s="6">
        <f t="shared" si="96"/>
        <v>5729.1000979999999</v>
      </c>
      <c r="L892" s="4">
        <f t="shared" si="97"/>
        <v>0</v>
      </c>
    </row>
    <row r="893" spans="1:12" x14ac:dyDescent="0.25">
      <c r="A893" s="1">
        <v>42416</v>
      </c>
      <c r="B893">
        <v>5786.0498049999997</v>
      </c>
      <c r="C893">
        <v>5857.3500979999999</v>
      </c>
      <c r="D893">
        <v>5759.6499020000001</v>
      </c>
      <c r="E893">
        <v>5851.6499020000001</v>
      </c>
      <c r="F893" s="4">
        <f t="shared" si="92"/>
        <v>5729.1000979999999</v>
      </c>
      <c r="G893" s="4">
        <f t="shared" si="93"/>
        <v>5911.5</v>
      </c>
      <c r="H893" s="4">
        <f t="shared" si="94"/>
        <v>0</v>
      </c>
      <c r="I893" s="4">
        <f t="shared" si="91"/>
        <v>-1</v>
      </c>
      <c r="J893" s="11">
        <f t="shared" si="95"/>
        <v>0</v>
      </c>
      <c r="K893" s="6">
        <f t="shared" si="96"/>
        <v>5729.1000979999999</v>
      </c>
      <c r="L893" s="4">
        <f t="shared" si="97"/>
        <v>0</v>
      </c>
    </row>
    <row r="894" spans="1:12" x14ac:dyDescent="0.25">
      <c r="A894" s="1">
        <v>42417</v>
      </c>
      <c r="B894">
        <v>5882.8500979999999</v>
      </c>
      <c r="C894">
        <v>5912.8999020000001</v>
      </c>
      <c r="D894">
        <v>5864.3500979999999</v>
      </c>
      <c r="E894">
        <v>5884.7001950000003</v>
      </c>
      <c r="F894" s="4">
        <f t="shared" si="92"/>
        <v>5729.1000979999999</v>
      </c>
      <c r="G894" s="4">
        <f t="shared" si="93"/>
        <v>5884.7001950000003</v>
      </c>
      <c r="H894" s="4">
        <f t="shared" si="94"/>
        <v>0</v>
      </c>
      <c r="I894" s="4">
        <f t="shared" si="91"/>
        <v>-1</v>
      </c>
      <c r="J894" s="11">
        <f t="shared" si="95"/>
        <v>0</v>
      </c>
      <c r="K894" s="6">
        <f t="shared" si="96"/>
        <v>5729.1000979999999</v>
      </c>
      <c r="L894" s="4">
        <f t="shared" si="97"/>
        <v>0</v>
      </c>
    </row>
    <row r="895" spans="1:12" x14ac:dyDescent="0.25">
      <c r="A895" s="1">
        <v>42418</v>
      </c>
      <c r="B895">
        <v>5859.6000979999999</v>
      </c>
      <c r="C895">
        <v>5906.6000979999999</v>
      </c>
      <c r="D895">
        <v>5857</v>
      </c>
      <c r="E895">
        <v>5874.5</v>
      </c>
      <c r="F895" s="4">
        <f t="shared" si="92"/>
        <v>5729.1000979999999</v>
      </c>
      <c r="G895" s="4">
        <f t="shared" si="93"/>
        <v>5884.7001950000003</v>
      </c>
      <c r="H895" s="4">
        <f t="shared" si="94"/>
        <v>0</v>
      </c>
      <c r="I895" s="4">
        <f t="shared" si="91"/>
        <v>-1</v>
      </c>
      <c r="J895" s="11">
        <f t="shared" si="95"/>
        <v>0</v>
      </c>
      <c r="K895" s="6">
        <f t="shared" si="96"/>
        <v>5729.1000979999999</v>
      </c>
      <c r="L895" s="4">
        <f t="shared" si="97"/>
        <v>0</v>
      </c>
    </row>
    <row r="896" spans="1:12" x14ac:dyDescent="0.25">
      <c r="A896" s="1">
        <v>42419</v>
      </c>
      <c r="B896">
        <v>5876.8500979999999</v>
      </c>
      <c r="C896">
        <v>5893.2001950000003</v>
      </c>
      <c r="D896">
        <v>5791.5498049999997</v>
      </c>
      <c r="E896">
        <v>5868.3999020000001</v>
      </c>
      <c r="F896" s="4">
        <f t="shared" si="92"/>
        <v>5740.75</v>
      </c>
      <c r="G896" s="4">
        <f t="shared" si="93"/>
        <v>5884.7001950000003</v>
      </c>
      <c r="H896" s="4">
        <f t="shared" si="94"/>
        <v>0</v>
      </c>
      <c r="I896" s="4">
        <f t="shared" si="91"/>
        <v>-1</v>
      </c>
      <c r="J896" s="11">
        <f t="shared" si="95"/>
        <v>0</v>
      </c>
      <c r="K896" s="6">
        <f t="shared" si="96"/>
        <v>5729.1000979999999</v>
      </c>
      <c r="L896" s="4">
        <f t="shared" si="97"/>
        <v>0</v>
      </c>
    </row>
    <row r="897" spans="1:12" x14ac:dyDescent="0.25">
      <c r="A897" s="1">
        <v>42422</v>
      </c>
      <c r="B897">
        <v>5884.2001950000003</v>
      </c>
      <c r="C897">
        <v>5892.3500979999999</v>
      </c>
      <c r="D897">
        <v>5819.9501950000003</v>
      </c>
      <c r="E897">
        <v>5833.8999020000001</v>
      </c>
      <c r="F897" s="4">
        <f t="shared" si="92"/>
        <v>5833.8999020000001</v>
      </c>
      <c r="G897" s="4">
        <f t="shared" si="93"/>
        <v>5884.7001950000003</v>
      </c>
      <c r="H897" s="4">
        <f t="shared" si="94"/>
        <v>0</v>
      </c>
      <c r="I897" s="4">
        <f t="shared" si="91"/>
        <v>-1</v>
      </c>
      <c r="J897" s="11">
        <f t="shared" si="95"/>
        <v>0</v>
      </c>
      <c r="K897" s="6">
        <f t="shared" si="96"/>
        <v>5729.1000979999999</v>
      </c>
      <c r="L897" s="4">
        <f t="shared" si="97"/>
        <v>0</v>
      </c>
    </row>
    <row r="898" spans="1:12" x14ac:dyDescent="0.25">
      <c r="A898" s="1">
        <v>42423</v>
      </c>
      <c r="B898">
        <v>5851.3500979999999</v>
      </c>
      <c r="C898">
        <v>5856.3999020000001</v>
      </c>
      <c r="D898">
        <v>5776.9501950000003</v>
      </c>
      <c r="E898">
        <v>5785.4501950000003</v>
      </c>
      <c r="F898" s="4">
        <f t="shared" si="92"/>
        <v>5785.4501950000003</v>
      </c>
      <c r="G898" s="4">
        <f t="shared" si="93"/>
        <v>5884.7001950000003</v>
      </c>
      <c r="H898" s="4" t="str">
        <f t="shared" si="94"/>
        <v>SELL</v>
      </c>
      <c r="I898" s="4">
        <f t="shared" si="91"/>
        <v>-1</v>
      </c>
      <c r="J898" s="11">
        <f t="shared" si="95"/>
        <v>0</v>
      </c>
      <c r="K898" s="6">
        <f t="shared" si="96"/>
        <v>5729.1000979999999</v>
      </c>
      <c r="L898" s="4">
        <f t="shared" si="97"/>
        <v>0</v>
      </c>
    </row>
    <row r="899" spans="1:12" x14ac:dyDescent="0.25">
      <c r="A899" s="1">
        <v>42424</v>
      </c>
      <c r="B899">
        <v>5782.5</v>
      </c>
      <c r="C899">
        <v>5804.2998049999997</v>
      </c>
      <c r="D899">
        <v>5706.0498049999997</v>
      </c>
      <c r="E899">
        <v>5749.5</v>
      </c>
      <c r="F899" s="4">
        <f t="shared" si="92"/>
        <v>5749.5</v>
      </c>
      <c r="G899" s="4">
        <f t="shared" si="93"/>
        <v>5874.5</v>
      </c>
      <c r="H899" s="4" t="str">
        <f t="shared" si="94"/>
        <v>SELL</v>
      </c>
      <c r="I899" s="4">
        <f t="shared" si="91"/>
        <v>-1</v>
      </c>
      <c r="J899" s="11">
        <f t="shared" si="95"/>
        <v>0</v>
      </c>
      <c r="K899" s="6">
        <f t="shared" si="96"/>
        <v>5729.1000979999999</v>
      </c>
      <c r="L899" s="4">
        <f t="shared" si="97"/>
        <v>0</v>
      </c>
    </row>
    <row r="900" spans="1:12" x14ac:dyDescent="0.25">
      <c r="A900" s="1">
        <v>42425</v>
      </c>
      <c r="B900">
        <v>5766.8999020000001</v>
      </c>
      <c r="C900">
        <v>5775.25</v>
      </c>
      <c r="D900">
        <v>5687.7001950000003</v>
      </c>
      <c r="E900">
        <v>5701.2998049999997</v>
      </c>
      <c r="F900" s="4">
        <f t="shared" si="92"/>
        <v>5701.2998049999997</v>
      </c>
      <c r="G900" s="4">
        <f t="shared" si="93"/>
        <v>5868.3999020000001</v>
      </c>
      <c r="H900" s="4" t="str">
        <f t="shared" si="94"/>
        <v>SELL</v>
      </c>
      <c r="I900" s="4">
        <f t="shared" si="91"/>
        <v>-1</v>
      </c>
      <c r="J900" s="11">
        <f t="shared" si="95"/>
        <v>0</v>
      </c>
      <c r="K900" s="6">
        <f t="shared" si="96"/>
        <v>5729.1000979999999</v>
      </c>
      <c r="L900" s="4">
        <f t="shared" si="97"/>
        <v>0</v>
      </c>
    </row>
    <row r="901" spans="1:12" x14ac:dyDescent="0.25">
      <c r="A901" s="1">
        <v>42426</v>
      </c>
      <c r="B901">
        <v>5689.7001950000003</v>
      </c>
      <c r="C901">
        <v>5710.7998049999997</v>
      </c>
      <c r="D901">
        <v>5554.8500979999999</v>
      </c>
      <c r="E901">
        <v>5565.25</v>
      </c>
      <c r="F901" s="4">
        <f t="shared" si="92"/>
        <v>5565.25</v>
      </c>
      <c r="G901" s="4">
        <f t="shared" si="93"/>
        <v>5833.8999020000001</v>
      </c>
      <c r="H901" s="4" t="str">
        <f t="shared" si="94"/>
        <v>SELL</v>
      </c>
      <c r="I901" s="4">
        <f t="shared" si="91"/>
        <v>-1</v>
      </c>
      <c r="J901" s="11">
        <f t="shared" si="95"/>
        <v>0</v>
      </c>
      <c r="K901" s="6">
        <f t="shared" si="96"/>
        <v>5729.1000979999999</v>
      </c>
      <c r="L901" s="4">
        <f t="shared" si="97"/>
        <v>0</v>
      </c>
    </row>
    <row r="902" spans="1:12" x14ac:dyDescent="0.25">
      <c r="A902" s="1">
        <v>42429</v>
      </c>
      <c r="B902">
        <v>5567.7001950000003</v>
      </c>
      <c r="C902">
        <v>5578.7998049999997</v>
      </c>
      <c r="D902">
        <v>5503</v>
      </c>
      <c r="E902">
        <v>5537.1499020000001</v>
      </c>
      <c r="F902" s="4">
        <f t="shared" si="92"/>
        <v>5537.1499020000001</v>
      </c>
      <c r="G902" s="4">
        <f t="shared" si="93"/>
        <v>5785.4501950000003</v>
      </c>
      <c r="H902" s="4" t="str">
        <f t="shared" si="94"/>
        <v>SELL</v>
      </c>
      <c r="I902" s="4">
        <f t="shared" ref="I902:I965" si="98">IF(AND(H902="BUY",I901&lt;&gt;1),1,IF(AND(H902="SELL",I901&lt;&gt;-1),-1,I901))</f>
        <v>-1</v>
      </c>
      <c r="J902" s="11">
        <f t="shared" si="95"/>
        <v>0</v>
      </c>
      <c r="K902" s="6">
        <f t="shared" si="96"/>
        <v>5729.1000979999999</v>
      </c>
      <c r="L902" s="4">
        <f t="shared" si="97"/>
        <v>0</v>
      </c>
    </row>
    <row r="903" spans="1:12" x14ac:dyDescent="0.25">
      <c r="A903" s="1">
        <v>42430</v>
      </c>
      <c r="B903">
        <v>5531.6000979999999</v>
      </c>
      <c r="C903">
        <v>5560.2998049999997</v>
      </c>
      <c r="D903">
        <v>5443.6499020000001</v>
      </c>
      <c r="E903">
        <v>5459.8500979999999</v>
      </c>
      <c r="F903" s="4">
        <f t="shared" ref="F903:F966" si="99">MIN(E899:E903)</f>
        <v>5459.8500979999999</v>
      </c>
      <c r="G903" s="4">
        <f t="shared" ref="G903:G966" si="100">MAX(E899:E903)</f>
        <v>5749.5</v>
      </c>
      <c r="H903" s="4" t="str">
        <f t="shared" ref="H903:H966" si="101">IF(E903&gt;G902,"BUY",IF(E903&lt;F902,"SELL",0))</f>
        <v>SELL</v>
      </c>
      <c r="I903" s="4">
        <f t="shared" si="98"/>
        <v>-1</v>
      </c>
      <c r="J903" s="11">
        <f t="shared" ref="J903:J966" si="102">IF(I903&lt;&gt;I902,H903,0)</f>
        <v>0</v>
      </c>
      <c r="K903" s="6">
        <f t="shared" ref="K903:K966" si="103">IF(J903&lt;&gt;0,E903,K902)</f>
        <v>5729.1000979999999</v>
      </c>
      <c r="L903" s="4">
        <f t="shared" si="97"/>
        <v>0</v>
      </c>
    </row>
    <row r="904" spans="1:12" x14ac:dyDescent="0.25">
      <c r="A904" s="1">
        <v>42431</v>
      </c>
      <c r="B904">
        <v>5477.6499020000001</v>
      </c>
      <c r="C904">
        <v>5564.3999020000001</v>
      </c>
      <c r="D904">
        <v>5472.4501950000003</v>
      </c>
      <c r="E904">
        <v>5551.4501950000003</v>
      </c>
      <c r="F904" s="4">
        <f t="shared" si="99"/>
        <v>5459.8500979999999</v>
      </c>
      <c r="G904" s="4">
        <f t="shared" si="100"/>
        <v>5701.2998049999997</v>
      </c>
      <c r="H904" s="4">
        <f t="shared" si="101"/>
        <v>0</v>
      </c>
      <c r="I904" s="4">
        <f t="shared" si="98"/>
        <v>-1</v>
      </c>
      <c r="J904" s="11">
        <f t="shared" si="102"/>
        <v>0</v>
      </c>
      <c r="K904" s="6">
        <f t="shared" si="103"/>
        <v>5729.1000979999999</v>
      </c>
      <c r="L904" s="4">
        <f t="shared" ref="L904:L967" si="104">IF(J904="BUY",(K903-K904)/K903,IF(J904="SELL",(K905-K903)/K903,0))</f>
        <v>0</v>
      </c>
    </row>
    <row r="905" spans="1:12" x14ac:dyDescent="0.25">
      <c r="A905" s="1">
        <v>42432</v>
      </c>
      <c r="B905">
        <v>5575.2001950000003</v>
      </c>
      <c r="C905">
        <v>5586.0498049999997</v>
      </c>
      <c r="D905">
        <v>5502.3999020000001</v>
      </c>
      <c r="E905">
        <v>5551.1000979999999</v>
      </c>
      <c r="F905" s="4">
        <f t="shared" si="99"/>
        <v>5459.8500979999999</v>
      </c>
      <c r="G905" s="4">
        <f t="shared" si="100"/>
        <v>5565.25</v>
      </c>
      <c r="H905" s="4">
        <f t="shared" si="101"/>
        <v>0</v>
      </c>
      <c r="I905" s="4">
        <f t="shared" si="98"/>
        <v>-1</v>
      </c>
      <c r="J905" s="11">
        <f t="shared" si="102"/>
        <v>0</v>
      </c>
      <c r="K905" s="6">
        <f t="shared" si="103"/>
        <v>5729.1000979999999</v>
      </c>
      <c r="L905" s="4">
        <f t="shared" si="104"/>
        <v>0</v>
      </c>
    </row>
    <row r="906" spans="1:12" x14ac:dyDescent="0.25">
      <c r="A906" s="1">
        <v>42433</v>
      </c>
      <c r="B906">
        <v>5555.5498049999997</v>
      </c>
      <c r="C906">
        <v>5592.8999020000001</v>
      </c>
      <c r="D906">
        <v>5514.5498049999997</v>
      </c>
      <c r="E906">
        <v>5541.25</v>
      </c>
      <c r="F906" s="4">
        <f t="shared" si="99"/>
        <v>5459.8500979999999</v>
      </c>
      <c r="G906" s="4">
        <f t="shared" si="100"/>
        <v>5551.4501950000003</v>
      </c>
      <c r="H906" s="4">
        <f t="shared" si="101"/>
        <v>0</v>
      </c>
      <c r="I906" s="4">
        <f t="shared" si="98"/>
        <v>-1</v>
      </c>
      <c r="J906" s="11">
        <f t="shared" si="102"/>
        <v>0</v>
      </c>
      <c r="K906" s="6">
        <f t="shared" si="103"/>
        <v>5729.1000979999999</v>
      </c>
      <c r="L906" s="4">
        <f t="shared" si="104"/>
        <v>0</v>
      </c>
    </row>
    <row r="907" spans="1:12" x14ac:dyDescent="0.25">
      <c r="A907" s="1">
        <v>42436</v>
      </c>
      <c r="B907">
        <v>5547.2001950000003</v>
      </c>
      <c r="C907">
        <v>5574.7001950000003</v>
      </c>
      <c r="D907">
        <v>5525</v>
      </c>
      <c r="E907">
        <v>5565.0498049999997</v>
      </c>
      <c r="F907" s="4">
        <f t="shared" si="99"/>
        <v>5459.8500979999999</v>
      </c>
      <c r="G907" s="4">
        <f t="shared" si="100"/>
        <v>5565.0498049999997</v>
      </c>
      <c r="H907" s="4" t="str">
        <f t="shared" si="101"/>
        <v>BUY</v>
      </c>
      <c r="I907" s="4">
        <f t="shared" si="98"/>
        <v>1</v>
      </c>
      <c r="J907" s="11" t="str">
        <f t="shared" si="102"/>
        <v>BUY</v>
      </c>
      <c r="K907" s="6">
        <f t="shared" si="103"/>
        <v>5565.0498049999997</v>
      </c>
      <c r="L907" s="4">
        <f t="shared" si="104"/>
        <v>2.8634565672411513E-2</v>
      </c>
    </row>
    <row r="908" spans="1:12" x14ac:dyDescent="0.25">
      <c r="A908" s="1">
        <v>42437</v>
      </c>
      <c r="B908">
        <v>5537.7998049999997</v>
      </c>
      <c r="C908">
        <v>5572.5</v>
      </c>
      <c r="D908">
        <v>5476.2998049999997</v>
      </c>
      <c r="E908">
        <v>5486.1499020000001</v>
      </c>
      <c r="F908" s="4">
        <f t="shared" si="99"/>
        <v>5486.1499020000001</v>
      </c>
      <c r="G908" s="4">
        <f t="shared" si="100"/>
        <v>5565.0498049999997</v>
      </c>
      <c r="H908" s="4">
        <f t="shared" si="101"/>
        <v>0</v>
      </c>
      <c r="I908" s="4">
        <f t="shared" si="98"/>
        <v>1</v>
      </c>
      <c r="J908" s="11">
        <f t="shared" si="102"/>
        <v>0</v>
      </c>
      <c r="K908" s="6">
        <f t="shared" si="103"/>
        <v>5565.0498049999997</v>
      </c>
      <c r="L908" s="4">
        <f t="shared" si="104"/>
        <v>0</v>
      </c>
    </row>
    <row r="909" spans="1:12" x14ac:dyDescent="0.25">
      <c r="A909" s="1">
        <v>42438</v>
      </c>
      <c r="B909">
        <v>5492.3500979999999</v>
      </c>
      <c r="C909">
        <v>5605</v>
      </c>
      <c r="D909">
        <v>5472.1499020000001</v>
      </c>
      <c r="E909">
        <v>5544.75</v>
      </c>
      <c r="F909" s="4">
        <f t="shared" si="99"/>
        <v>5486.1499020000001</v>
      </c>
      <c r="G909" s="4">
        <f t="shared" si="100"/>
        <v>5565.0498049999997</v>
      </c>
      <c r="H909" s="4">
        <f t="shared" si="101"/>
        <v>0</v>
      </c>
      <c r="I909" s="4">
        <f t="shared" si="98"/>
        <v>1</v>
      </c>
      <c r="J909" s="11">
        <f t="shared" si="102"/>
        <v>0</v>
      </c>
      <c r="K909" s="6">
        <f t="shared" si="103"/>
        <v>5565.0498049999997</v>
      </c>
      <c r="L909" s="4">
        <f t="shared" si="104"/>
        <v>0</v>
      </c>
    </row>
    <row r="910" spans="1:12" x14ac:dyDescent="0.25">
      <c r="A910" s="1">
        <v>42439</v>
      </c>
      <c r="B910">
        <v>5541.7001950000003</v>
      </c>
      <c r="C910">
        <v>5541.7998049999997</v>
      </c>
      <c r="D910">
        <v>5487.6499020000001</v>
      </c>
      <c r="E910">
        <v>5499</v>
      </c>
      <c r="F910" s="4">
        <f t="shared" si="99"/>
        <v>5486.1499020000001</v>
      </c>
      <c r="G910" s="4">
        <f t="shared" si="100"/>
        <v>5565.0498049999997</v>
      </c>
      <c r="H910" s="4">
        <f t="shared" si="101"/>
        <v>0</v>
      </c>
      <c r="I910" s="4">
        <f t="shared" si="98"/>
        <v>1</v>
      </c>
      <c r="J910" s="11">
        <f t="shared" si="102"/>
        <v>0</v>
      </c>
      <c r="K910" s="6">
        <f t="shared" si="103"/>
        <v>5565.0498049999997</v>
      </c>
      <c r="L910" s="4">
        <f t="shared" si="104"/>
        <v>0</v>
      </c>
    </row>
    <row r="911" spans="1:12" x14ac:dyDescent="0.25">
      <c r="A911" s="1">
        <v>42440</v>
      </c>
      <c r="B911">
        <v>5496.1000979999999</v>
      </c>
      <c r="C911">
        <v>5523.8500979999999</v>
      </c>
      <c r="D911">
        <v>5421.0498049999997</v>
      </c>
      <c r="E911">
        <v>5438.9501950000003</v>
      </c>
      <c r="F911" s="4">
        <f t="shared" si="99"/>
        <v>5438.9501950000003</v>
      </c>
      <c r="G911" s="4">
        <f t="shared" si="100"/>
        <v>5565.0498049999997</v>
      </c>
      <c r="H911" s="4" t="str">
        <f t="shared" si="101"/>
        <v>SELL</v>
      </c>
      <c r="I911" s="4">
        <f t="shared" si="98"/>
        <v>-1</v>
      </c>
      <c r="J911" s="11" t="str">
        <f t="shared" si="102"/>
        <v>SELL</v>
      </c>
      <c r="K911" s="6">
        <f t="shared" si="103"/>
        <v>5438.9501950000003</v>
      </c>
      <c r="L911" s="4">
        <f t="shared" si="104"/>
        <v>-2.2659206012263049E-2</v>
      </c>
    </row>
    <row r="912" spans="1:12" x14ac:dyDescent="0.25">
      <c r="A912" s="1">
        <v>42443</v>
      </c>
      <c r="B912">
        <v>5448.2001950000003</v>
      </c>
      <c r="C912">
        <v>5460.5</v>
      </c>
      <c r="D912">
        <v>5401.25</v>
      </c>
      <c r="E912">
        <v>5420.6000979999999</v>
      </c>
      <c r="F912" s="4">
        <f t="shared" si="99"/>
        <v>5420.6000979999999</v>
      </c>
      <c r="G912" s="4">
        <f t="shared" si="100"/>
        <v>5544.75</v>
      </c>
      <c r="H912" s="4" t="str">
        <f t="shared" si="101"/>
        <v>SELL</v>
      </c>
      <c r="I912" s="4">
        <f t="shared" si="98"/>
        <v>-1</v>
      </c>
      <c r="J912" s="11">
        <f t="shared" si="102"/>
        <v>0</v>
      </c>
      <c r="K912" s="6">
        <f t="shared" si="103"/>
        <v>5438.9501950000003</v>
      </c>
      <c r="L912" s="4">
        <f t="shared" si="104"/>
        <v>0</v>
      </c>
    </row>
    <row r="913" spans="1:12" x14ac:dyDescent="0.25">
      <c r="A913" s="1">
        <v>42444</v>
      </c>
      <c r="B913">
        <v>5448.1499020000001</v>
      </c>
      <c r="C913">
        <v>5452.6000979999999</v>
      </c>
      <c r="D913">
        <v>5411.25</v>
      </c>
      <c r="E913">
        <v>5428.1000979999999</v>
      </c>
      <c r="F913" s="4">
        <f t="shared" si="99"/>
        <v>5420.6000979999999</v>
      </c>
      <c r="G913" s="4">
        <f t="shared" si="100"/>
        <v>5544.75</v>
      </c>
      <c r="H913" s="4">
        <f t="shared" si="101"/>
        <v>0</v>
      </c>
      <c r="I913" s="4">
        <f t="shared" si="98"/>
        <v>-1</v>
      </c>
      <c r="J913" s="11">
        <f t="shared" si="102"/>
        <v>0</v>
      </c>
      <c r="K913" s="6">
        <f t="shared" si="103"/>
        <v>5438.9501950000003</v>
      </c>
      <c r="L913" s="4">
        <f t="shared" si="104"/>
        <v>0</v>
      </c>
    </row>
    <row r="914" spans="1:12" x14ac:dyDescent="0.25">
      <c r="A914" s="1">
        <v>42445</v>
      </c>
      <c r="B914">
        <v>5450.6499020000001</v>
      </c>
      <c r="C914">
        <v>5517.5498049999997</v>
      </c>
      <c r="D914">
        <v>5432.75</v>
      </c>
      <c r="E914">
        <v>5486.3500979999999</v>
      </c>
      <c r="F914" s="4">
        <f t="shared" si="99"/>
        <v>5420.6000979999999</v>
      </c>
      <c r="G914" s="4">
        <f t="shared" si="100"/>
        <v>5499</v>
      </c>
      <c r="H914" s="4">
        <f t="shared" si="101"/>
        <v>0</v>
      </c>
      <c r="I914" s="4">
        <f t="shared" si="98"/>
        <v>-1</v>
      </c>
      <c r="J914" s="11">
        <f t="shared" si="102"/>
        <v>0</v>
      </c>
      <c r="K914" s="6">
        <f t="shared" si="103"/>
        <v>5438.9501950000003</v>
      </c>
      <c r="L914" s="4">
        <f t="shared" si="104"/>
        <v>0</v>
      </c>
    </row>
    <row r="915" spans="1:12" x14ac:dyDescent="0.25">
      <c r="A915" s="1">
        <v>42446</v>
      </c>
      <c r="B915">
        <v>5456.7001950000003</v>
      </c>
      <c r="C915">
        <v>5456.7001950000003</v>
      </c>
      <c r="D915">
        <v>5373</v>
      </c>
      <c r="E915">
        <v>5386.5498049999997</v>
      </c>
      <c r="F915" s="4">
        <f t="shared" si="99"/>
        <v>5386.5498049999997</v>
      </c>
      <c r="G915" s="4">
        <f t="shared" si="100"/>
        <v>5486.3500979999999</v>
      </c>
      <c r="H915" s="4" t="str">
        <f t="shared" si="101"/>
        <v>SELL</v>
      </c>
      <c r="I915" s="4">
        <f t="shared" si="98"/>
        <v>-1</v>
      </c>
      <c r="J915" s="11">
        <f t="shared" si="102"/>
        <v>0</v>
      </c>
      <c r="K915" s="6">
        <f t="shared" si="103"/>
        <v>5438.9501950000003</v>
      </c>
      <c r="L915" s="4">
        <f t="shared" si="104"/>
        <v>0</v>
      </c>
    </row>
    <row r="916" spans="1:12" x14ac:dyDescent="0.25">
      <c r="A916" s="1">
        <v>42447</v>
      </c>
      <c r="B916">
        <v>5385.1000979999999</v>
      </c>
      <c r="C916">
        <v>5422.6000979999999</v>
      </c>
      <c r="D916">
        <v>5367.4501950000003</v>
      </c>
      <c r="E916">
        <v>5394.8500979999999</v>
      </c>
      <c r="F916" s="4">
        <f t="shared" si="99"/>
        <v>5386.5498049999997</v>
      </c>
      <c r="G916" s="4">
        <f t="shared" si="100"/>
        <v>5486.3500979999999</v>
      </c>
      <c r="H916" s="4">
        <f t="shared" si="101"/>
        <v>0</v>
      </c>
      <c r="I916" s="4">
        <f t="shared" si="98"/>
        <v>-1</v>
      </c>
      <c r="J916" s="11">
        <f t="shared" si="102"/>
        <v>0</v>
      </c>
      <c r="K916" s="6">
        <f t="shared" si="103"/>
        <v>5438.9501950000003</v>
      </c>
      <c r="L916" s="4">
        <f t="shared" si="104"/>
        <v>0</v>
      </c>
    </row>
    <row r="917" spans="1:12" x14ac:dyDescent="0.25">
      <c r="A917" s="1">
        <v>42450</v>
      </c>
      <c r="B917">
        <v>5389.1000979999999</v>
      </c>
      <c r="C917">
        <v>5389.1000979999999</v>
      </c>
      <c r="D917">
        <v>5328.7001950000003</v>
      </c>
      <c r="E917">
        <v>5348.9501950000003</v>
      </c>
      <c r="F917" s="4">
        <f t="shared" si="99"/>
        <v>5348.9501950000003</v>
      </c>
      <c r="G917" s="4">
        <f t="shared" si="100"/>
        <v>5486.3500979999999</v>
      </c>
      <c r="H917" s="4" t="str">
        <f t="shared" si="101"/>
        <v>SELL</v>
      </c>
      <c r="I917" s="4">
        <f t="shared" si="98"/>
        <v>-1</v>
      </c>
      <c r="J917" s="11">
        <f t="shared" si="102"/>
        <v>0</v>
      </c>
      <c r="K917" s="6">
        <f t="shared" si="103"/>
        <v>5438.9501950000003</v>
      </c>
      <c r="L917" s="4">
        <f t="shared" si="104"/>
        <v>0</v>
      </c>
    </row>
    <row r="918" spans="1:12" x14ac:dyDescent="0.25">
      <c r="A918" s="1">
        <v>42451</v>
      </c>
      <c r="B918">
        <v>5372.75</v>
      </c>
      <c r="C918">
        <v>5422.2001950000003</v>
      </c>
      <c r="D918">
        <v>5356.3500979999999</v>
      </c>
      <c r="E918">
        <v>5412.3500979999999</v>
      </c>
      <c r="F918" s="4">
        <f t="shared" si="99"/>
        <v>5348.9501950000003</v>
      </c>
      <c r="G918" s="4">
        <f t="shared" si="100"/>
        <v>5486.3500979999999</v>
      </c>
      <c r="H918" s="4">
        <f t="shared" si="101"/>
        <v>0</v>
      </c>
      <c r="I918" s="4">
        <f t="shared" si="98"/>
        <v>-1</v>
      </c>
      <c r="J918" s="11">
        <f t="shared" si="102"/>
        <v>0</v>
      </c>
      <c r="K918" s="6">
        <f t="shared" si="103"/>
        <v>5438.9501950000003</v>
      </c>
      <c r="L918" s="4">
        <f t="shared" si="104"/>
        <v>0</v>
      </c>
    </row>
    <row r="919" spans="1:12" x14ac:dyDescent="0.25">
      <c r="A919" s="1">
        <v>42452</v>
      </c>
      <c r="B919">
        <v>5413.7001950000003</v>
      </c>
      <c r="C919">
        <v>5485.7998049999997</v>
      </c>
      <c r="D919">
        <v>5413.6000979999999</v>
      </c>
      <c r="E919">
        <v>5476.1000979999999</v>
      </c>
      <c r="F919" s="4">
        <f t="shared" si="99"/>
        <v>5348.9501950000003</v>
      </c>
      <c r="G919" s="4">
        <f t="shared" si="100"/>
        <v>5476.1000979999999</v>
      </c>
      <c r="H919" s="4">
        <f t="shared" si="101"/>
        <v>0</v>
      </c>
      <c r="I919" s="4">
        <f t="shared" si="98"/>
        <v>-1</v>
      </c>
      <c r="J919" s="11">
        <f t="shared" si="102"/>
        <v>0</v>
      </c>
      <c r="K919" s="6">
        <f t="shared" si="103"/>
        <v>5438.9501950000003</v>
      </c>
      <c r="L919" s="4">
        <f t="shared" si="104"/>
        <v>0</v>
      </c>
    </row>
    <row r="920" spans="1:12" x14ac:dyDescent="0.25">
      <c r="A920" s="1">
        <v>42453</v>
      </c>
      <c r="B920">
        <v>5493.75</v>
      </c>
      <c r="C920">
        <v>5509.2998049999997</v>
      </c>
      <c r="D920">
        <v>5458.6000979999999</v>
      </c>
      <c r="E920">
        <v>5473.1000979999999</v>
      </c>
      <c r="F920" s="4">
        <f t="shared" si="99"/>
        <v>5348.9501950000003</v>
      </c>
      <c r="G920" s="4">
        <f t="shared" si="100"/>
        <v>5476.1000979999999</v>
      </c>
      <c r="H920" s="4">
        <f t="shared" si="101"/>
        <v>0</v>
      </c>
      <c r="I920" s="4">
        <f t="shared" si="98"/>
        <v>-1</v>
      </c>
      <c r="J920" s="11">
        <f t="shared" si="102"/>
        <v>0</v>
      </c>
      <c r="K920" s="6">
        <f t="shared" si="103"/>
        <v>5438.9501950000003</v>
      </c>
      <c r="L920" s="4">
        <f t="shared" si="104"/>
        <v>0</v>
      </c>
    </row>
    <row r="921" spans="1:12" x14ac:dyDescent="0.25">
      <c r="A921" s="1">
        <v>42454</v>
      </c>
      <c r="B921">
        <v>5561.0498049999997</v>
      </c>
      <c r="C921">
        <v>5597.3500979999999</v>
      </c>
      <c r="D921">
        <v>5559.4501950000003</v>
      </c>
      <c r="E921">
        <v>5592</v>
      </c>
      <c r="F921" s="4">
        <f t="shared" si="99"/>
        <v>5348.9501950000003</v>
      </c>
      <c r="G921" s="4">
        <f t="shared" si="100"/>
        <v>5592</v>
      </c>
      <c r="H921" s="4" t="str">
        <f t="shared" si="101"/>
        <v>BUY</v>
      </c>
      <c r="I921" s="4">
        <f t="shared" si="98"/>
        <v>1</v>
      </c>
      <c r="J921" s="11" t="str">
        <f t="shared" si="102"/>
        <v>BUY</v>
      </c>
      <c r="K921" s="6">
        <f t="shared" si="103"/>
        <v>5592</v>
      </c>
      <c r="L921" s="4">
        <f t="shared" si="104"/>
        <v>-2.81395856760552E-2</v>
      </c>
    </row>
    <row r="922" spans="1:12" x14ac:dyDescent="0.25">
      <c r="A922" s="1">
        <v>42457</v>
      </c>
      <c r="B922">
        <v>5529.8999020000001</v>
      </c>
      <c r="C922">
        <v>5568.2001950000003</v>
      </c>
      <c r="D922">
        <v>5521.9501950000003</v>
      </c>
      <c r="E922">
        <v>5550.3500979999999</v>
      </c>
      <c r="F922" s="4">
        <f t="shared" si="99"/>
        <v>5412.3500979999999</v>
      </c>
      <c r="G922" s="4">
        <f t="shared" si="100"/>
        <v>5592</v>
      </c>
      <c r="H922" s="4">
        <f t="shared" si="101"/>
        <v>0</v>
      </c>
      <c r="I922" s="4">
        <f t="shared" si="98"/>
        <v>1</v>
      </c>
      <c r="J922" s="11">
        <f t="shared" si="102"/>
        <v>0</v>
      </c>
      <c r="K922" s="6">
        <f t="shared" si="103"/>
        <v>5592</v>
      </c>
      <c r="L922" s="4">
        <f t="shared" si="104"/>
        <v>0</v>
      </c>
    </row>
    <row r="923" spans="1:12" x14ac:dyDescent="0.25">
      <c r="A923" s="1">
        <v>42458</v>
      </c>
      <c r="B923">
        <v>5565.7001950000003</v>
      </c>
      <c r="C923">
        <v>5604.9501950000003</v>
      </c>
      <c r="D923">
        <v>5507.2001950000003</v>
      </c>
      <c r="E923">
        <v>5516.75</v>
      </c>
      <c r="F923" s="4">
        <f t="shared" si="99"/>
        <v>5473.1000979999999</v>
      </c>
      <c r="G923" s="4">
        <f t="shared" si="100"/>
        <v>5592</v>
      </c>
      <c r="H923" s="4">
        <f t="shared" si="101"/>
        <v>0</v>
      </c>
      <c r="I923" s="4">
        <f t="shared" si="98"/>
        <v>1</v>
      </c>
      <c r="J923" s="11">
        <f t="shared" si="102"/>
        <v>0</v>
      </c>
      <c r="K923" s="6">
        <f t="shared" si="103"/>
        <v>5592</v>
      </c>
      <c r="L923" s="4">
        <f t="shared" si="104"/>
        <v>0</v>
      </c>
    </row>
    <row r="924" spans="1:12" x14ac:dyDescent="0.25">
      <c r="A924" s="1">
        <v>42459</v>
      </c>
      <c r="B924">
        <v>5504.2998049999997</v>
      </c>
      <c r="C924">
        <v>5542.6499020000001</v>
      </c>
      <c r="D924">
        <v>5479.8500979999999</v>
      </c>
      <c r="E924">
        <v>5532.0498049999997</v>
      </c>
      <c r="F924" s="4">
        <f t="shared" si="99"/>
        <v>5473.1000979999999</v>
      </c>
      <c r="G924" s="4">
        <f t="shared" si="100"/>
        <v>5592</v>
      </c>
      <c r="H924" s="4">
        <f t="shared" si="101"/>
        <v>0</v>
      </c>
      <c r="I924" s="4">
        <f t="shared" si="98"/>
        <v>1</v>
      </c>
      <c r="J924" s="11">
        <f t="shared" si="102"/>
        <v>0</v>
      </c>
      <c r="K924" s="6">
        <f t="shared" si="103"/>
        <v>5592</v>
      </c>
      <c r="L924" s="4">
        <f t="shared" si="104"/>
        <v>0</v>
      </c>
    </row>
    <row r="925" spans="1:12" x14ac:dyDescent="0.25">
      <c r="A925" s="1">
        <v>42460</v>
      </c>
      <c r="B925">
        <v>5509.1499020000001</v>
      </c>
      <c r="C925">
        <v>5570.1000979999999</v>
      </c>
      <c r="D925">
        <v>5507.7998049999997</v>
      </c>
      <c r="E925">
        <v>5556.1499020000001</v>
      </c>
      <c r="F925" s="4">
        <f t="shared" si="99"/>
        <v>5516.75</v>
      </c>
      <c r="G925" s="4">
        <f t="shared" si="100"/>
        <v>5592</v>
      </c>
      <c r="H925" s="4">
        <f t="shared" si="101"/>
        <v>0</v>
      </c>
      <c r="I925" s="4">
        <f t="shared" si="98"/>
        <v>1</v>
      </c>
      <c r="J925" s="11">
        <f t="shared" si="102"/>
        <v>0</v>
      </c>
      <c r="K925" s="6">
        <f t="shared" si="103"/>
        <v>5592</v>
      </c>
      <c r="L925" s="4">
        <f t="shared" si="104"/>
        <v>0</v>
      </c>
    </row>
    <row r="926" spans="1:12" x14ac:dyDescent="0.25">
      <c r="A926" s="1">
        <v>42461</v>
      </c>
      <c r="B926">
        <v>5535.25</v>
      </c>
      <c r="C926">
        <v>5556.6000979999999</v>
      </c>
      <c r="D926">
        <v>5514.8999020000001</v>
      </c>
      <c r="E926">
        <v>5526.8500979999999</v>
      </c>
      <c r="F926" s="4">
        <f t="shared" si="99"/>
        <v>5516.75</v>
      </c>
      <c r="G926" s="4">
        <f t="shared" si="100"/>
        <v>5556.1499020000001</v>
      </c>
      <c r="H926" s="4">
        <f t="shared" si="101"/>
        <v>0</v>
      </c>
      <c r="I926" s="4">
        <f t="shared" si="98"/>
        <v>1</v>
      </c>
      <c r="J926" s="11">
        <f t="shared" si="102"/>
        <v>0</v>
      </c>
      <c r="K926" s="6">
        <f t="shared" si="103"/>
        <v>5592</v>
      </c>
      <c r="L926" s="4">
        <f t="shared" si="104"/>
        <v>0</v>
      </c>
    </row>
    <row r="927" spans="1:12" x14ac:dyDescent="0.25">
      <c r="A927" s="1">
        <v>42464</v>
      </c>
      <c r="B927">
        <v>5523.5498049999997</v>
      </c>
      <c r="C927">
        <v>5540.1000979999999</v>
      </c>
      <c r="D927">
        <v>5502.0498049999997</v>
      </c>
      <c r="E927">
        <v>5521.0498049999997</v>
      </c>
      <c r="F927" s="4">
        <f t="shared" si="99"/>
        <v>5516.75</v>
      </c>
      <c r="G927" s="4">
        <f t="shared" si="100"/>
        <v>5556.1499020000001</v>
      </c>
      <c r="H927" s="4">
        <f t="shared" si="101"/>
        <v>0</v>
      </c>
      <c r="I927" s="4">
        <f t="shared" si="98"/>
        <v>1</v>
      </c>
      <c r="J927" s="11">
        <f t="shared" si="102"/>
        <v>0</v>
      </c>
      <c r="K927" s="6">
        <f t="shared" si="103"/>
        <v>5592</v>
      </c>
      <c r="L927" s="4">
        <f t="shared" si="104"/>
        <v>0</v>
      </c>
    </row>
    <row r="928" spans="1:12" x14ac:dyDescent="0.25">
      <c r="A928" s="1">
        <v>42465</v>
      </c>
      <c r="B928">
        <v>5518.0498049999997</v>
      </c>
      <c r="C928">
        <v>5521.4501950000003</v>
      </c>
      <c r="D928">
        <v>5457.4501950000003</v>
      </c>
      <c r="E928">
        <v>5485.7998049999997</v>
      </c>
      <c r="F928" s="4">
        <f t="shared" si="99"/>
        <v>5485.7998049999997</v>
      </c>
      <c r="G928" s="4">
        <f t="shared" si="100"/>
        <v>5556.1499020000001</v>
      </c>
      <c r="H928" s="4" t="str">
        <f t="shared" si="101"/>
        <v>SELL</v>
      </c>
      <c r="I928" s="4">
        <f t="shared" si="98"/>
        <v>-1</v>
      </c>
      <c r="J928" s="11" t="str">
        <f t="shared" si="102"/>
        <v>SELL</v>
      </c>
      <c r="K928" s="6">
        <f t="shared" si="103"/>
        <v>5485.7998049999997</v>
      </c>
      <c r="L928" s="4">
        <f t="shared" si="104"/>
        <v>-1.8991451180257572E-2</v>
      </c>
    </row>
    <row r="929" spans="1:12" x14ac:dyDescent="0.25">
      <c r="A929" s="1">
        <v>42466</v>
      </c>
      <c r="B929">
        <v>5469.8500979999999</v>
      </c>
      <c r="C929">
        <v>5496.7001950000003</v>
      </c>
      <c r="D929">
        <v>5436.9501950000003</v>
      </c>
      <c r="E929">
        <v>5482.7998049999997</v>
      </c>
      <c r="F929" s="4">
        <f t="shared" si="99"/>
        <v>5482.7998049999997</v>
      </c>
      <c r="G929" s="4">
        <f t="shared" si="100"/>
        <v>5556.1499020000001</v>
      </c>
      <c r="H929" s="4" t="str">
        <f t="shared" si="101"/>
        <v>SELL</v>
      </c>
      <c r="I929" s="4">
        <f t="shared" si="98"/>
        <v>-1</v>
      </c>
      <c r="J929" s="11">
        <f t="shared" si="102"/>
        <v>0</v>
      </c>
      <c r="K929" s="6">
        <f t="shared" si="103"/>
        <v>5485.7998049999997</v>
      </c>
      <c r="L929" s="4">
        <f t="shared" si="104"/>
        <v>0</v>
      </c>
    </row>
    <row r="930" spans="1:12" x14ac:dyDescent="0.25">
      <c r="A930" s="1">
        <v>42467</v>
      </c>
      <c r="B930">
        <v>5485.6000979999999</v>
      </c>
      <c r="C930">
        <v>5520.1499020000001</v>
      </c>
      <c r="D930">
        <v>5484.2001950000003</v>
      </c>
      <c r="E930">
        <v>5500.5</v>
      </c>
      <c r="F930" s="4">
        <f t="shared" si="99"/>
        <v>5482.7998049999997</v>
      </c>
      <c r="G930" s="4">
        <f t="shared" si="100"/>
        <v>5526.8500979999999</v>
      </c>
      <c r="H930" s="4">
        <f t="shared" si="101"/>
        <v>0</v>
      </c>
      <c r="I930" s="4">
        <f t="shared" si="98"/>
        <v>-1</v>
      </c>
      <c r="J930" s="11">
        <f t="shared" si="102"/>
        <v>0</v>
      </c>
      <c r="K930" s="6">
        <f t="shared" si="103"/>
        <v>5485.7998049999997</v>
      </c>
      <c r="L930" s="4">
        <f t="shared" si="104"/>
        <v>0</v>
      </c>
    </row>
    <row r="931" spans="1:12" x14ac:dyDescent="0.25">
      <c r="A931" s="1">
        <v>42468</v>
      </c>
      <c r="B931">
        <v>5494.4501950000003</v>
      </c>
      <c r="C931">
        <v>5499.3500979999999</v>
      </c>
      <c r="D931">
        <v>5438.9501950000003</v>
      </c>
      <c r="E931">
        <v>5447.5</v>
      </c>
      <c r="F931" s="4">
        <f t="shared" si="99"/>
        <v>5447.5</v>
      </c>
      <c r="G931" s="4">
        <f t="shared" si="100"/>
        <v>5521.0498049999997</v>
      </c>
      <c r="H931" s="4" t="str">
        <f t="shared" si="101"/>
        <v>SELL</v>
      </c>
      <c r="I931" s="4">
        <f t="shared" si="98"/>
        <v>-1</v>
      </c>
      <c r="J931" s="11">
        <f t="shared" si="102"/>
        <v>0</v>
      </c>
      <c r="K931" s="6">
        <f t="shared" si="103"/>
        <v>5485.7998049999997</v>
      </c>
      <c r="L931" s="4">
        <f t="shared" si="104"/>
        <v>0</v>
      </c>
    </row>
    <row r="932" spans="1:12" x14ac:dyDescent="0.25">
      <c r="A932" s="1">
        <v>42471</v>
      </c>
      <c r="B932">
        <v>5419.6499020000001</v>
      </c>
      <c r="C932">
        <v>5447.5</v>
      </c>
      <c r="D932">
        <v>5389.7998049999997</v>
      </c>
      <c r="E932">
        <v>5396.75</v>
      </c>
      <c r="F932" s="4">
        <f t="shared" si="99"/>
        <v>5396.75</v>
      </c>
      <c r="G932" s="4">
        <f t="shared" si="100"/>
        <v>5500.5</v>
      </c>
      <c r="H932" s="4" t="str">
        <f t="shared" si="101"/>
        <v>SELL</v>
      </c>
      <c r="I932" s="4">
        <f t="shared" si="98"/>
        <v>-1</v>
      </c>
      <c r="J932" s="11">
        <f t="shared" si="102"/>
        <v>0</v>
      </c>
      <c r="K932" s="6">
        <f t="shared" si="103"/>
        <v>5485.7998049999997</v>
      </c>
      <c r="L932" s="4">
        <f t="shared" si="104"/>
        <v>0</v>
      </c>
    </row>
    <row r="933" spans="1:12" x14ac:dyDescent="0.25">
      <c r="A933" s="1">
        <v>42472</v>
      </c>
      <c r="B933">
        <v>5412.5</v>
      </c>
      <c r="C933">
        <v>5421.1499020000001</v>
      </c>
      <c r="D933">
        <v>5355.8500979999999</v>
      </c>
      <c r="E933">
        <v>5366.3999020000001</v>
      </c>
      <c r="F933" s="4">
        <f t="shared" si="99"/>
        <v>5366.3999020000001</v>
      </c>
      <c r="G933" s="4">
        <f t="shared" si="100"/>
        <v>5500.5</v>
      </c>
      <c r="H933" s="4" t="str">
        <f t="shared" si="101"/>
        <v>SELL</v>
      </c>
      <c r="I933" s="4">
        <f t="shared" si="98"/>
        <v>-1</v>
      </c>
      <c r="J933" s="11">
        <f t="shared" si="102"/>
        <v>0</v>
      </c>
      <c r="K933" s="6">
        <f t="shared" si="103"/>
        <v>5485.7998049999997</v>
      </c>
      <c r="L933" s="4">
        <f t="shared" si="104"/>
        <v>0</v>
      </c>
    </row>
    <row r="934" spans="1:12" x14ac:dyDescent="0.25">
      <c r="A934" s="1">
        <v>42473</v>
      </c>
      <c r="B934">
        <v>5372.2001950000003</v>
      </c>
      <c r="C934">
        <v>5377.3999020000001</v>
      </c>
      <c r="D934">
        <v>5195.8999020000001</v>
      </c>
      <c r="E934">
        <v>5257.8999020000001</v>
      </c>
      <c r="F934" s="4">
        <f t="shared" si="99"/>
        <v>5257.8999020000001</v>
      </c>
      <c r="G934" s="4">
        <f t="shared" si="100"/>
        <v>5500.5</v>
      </c>
      <c r="H934" s="4" t="str">
        <f t="shared" si="101"/>
        <v>SELL</v>
      </c>
      <c r="I934" s="4">
        <f t="shared" si="98"/>
        <v>-1</v>
      </c>
      <c r="J934" s="11">
        <f t="shared" si="102"/>
        <v>0</v>
      </c>
      <c r="K934" s="6">
        <f t="shared" si="103"/>
        <v>5485.7998049999997</v>
      </c>
      <c r="L934" s="4">
        <f t="shared" si="104"/>
        <v>0</v>
      </c>
    </row>
    <row r="935" spans="1:12" x14ac:dyDescent="0.25">
      <c r="A935" s="1">
        <v>42474</v>
      </c>
      <c r="B935">
        <v>5280.7998049999997</v>
      </c>
      <c r="C935">
        <v>5322.4501950000003</v>
      </c>
      <c r="D935">
        <v>5257</v>
      </c>
      <c r="E935">
        <v>5275.8500979999999</v>
      </c>
      <c r="F935" s="4">
        <f t="shared" si="99"/>
        <v>5257.8999020000001</v>
      </c>
      <c r="G935" s="4">
        <f t="shared" si="100"/>
        <v>5447.5</v>
      </c>
      <c r="H935" s="4">
        <f t="shared" si="101"/>
        <v>0</v>
      </c>
      <c r="I935" s="4">
        <f t="shared" si="98"/>
        <v>-1</v>
      </c>
      <c r="J935" s="11">
        <f t="shared" si="102"/>
        <v>0</v>
      </c>
      <c r="K935" s="6">
        <f t="shared" si="103"/>
        <v>5485.7998049999997</v>
      </c>
      <c r="L935" s="4">
        <f t="shared" si="104"/>
        <v>0</v>
      </c>
    </row>
    <row r="936" spans="1:12" x14ac:dyDescent="0.25">
      <c r="A936" s="1">
        <v>42475</v>
      </c>
      <c r="B936">
        <v>5304.6499020000001</v>
      </c>
      <c r="C936">
        <v>5310.5</v>
      </c>
      <c r="D936">
        <v>5262.5</v>
      </c>
      <c r="E936">
        <v>5278.2998049999997</v>
      </c>
      <c r="F936" s="4">
        <f t="shared" si="99"/>
        <v>5257.8999020000001</v>
      </c>
      <c r="G936" s="4">
        <f t="shared" si="100"/>
        <v>5396.75</v>
      </c>
      <c r="H936" s="4">
        <f t="shared" si="101"/>
        <v>0</v>
      </c>
      <c r="I936" s="4">
        <f t="shared" si="98"/>
        <v>-1</v>
      </c>
      <c r="J936" s="11">
        <f t="shared" si="102"/>
        <v>0</v>
      </c>
      <c r="K936" s="6">
        <f t="shared" si="103"/>
        <v>5485.7998049999997</v>
      </c>
      <c r="L936" s="4">
        <f t="shared" si="104"/>
        <v>0</v>
      </c>
    </row>
    <row r="937" spans="1:12" x14ac:dyDescent="0.25">
      <c r="A937" s="1">
        <v>42478</v>
      </c>
      <c r="B937">
        <v>5269.1000979999999</v>
      </c>
      <c r="C937">
        <v>5330.6000979999999</v>
      </c>
      <c r="D937">
        <v>5252.25</v>
      </c>
      <c r="E937">
        <v>5320</v>
      </c>
      <c r="F937" s="4">
        <f t="shared" si="99"/>
        <v>5257.8999020000001</v>
      </c>
      <c r="G937" s="4">
        <f t="shared" si="100"/>
        <v>5366.3999020000001</v>
      </c>
      <c r="H937" s="4">
        <f t="shared" si="101"/>
        <v>0</v>
      </c>
      <c r="I937" s="4">
        <f t="shared" si="98"/>
        <v>-1</v>
      </c>
      <c r="J937" s="11">
        <f t="shared" si="102"/>
        <v>0</v>
      </c>
      <c r="K937" s="6">
        <f t="shared" si="103"/>
        <v>5485.7998049999997</v>
      </c>
      <c r="L937" s="4">
        <f t="shared" si="104"/>
        <v>0</v>
      </c>
    </row>
    <row r="938" spans="1:12" x14ac:dyDescent="0.25">
      <c r="A938" s="1">
        <v>42479</v>
      </c>
      <c r="B938">
        <v>5343.3999020000001</v>
      </c>
      <c r="C938">
        <v>5477.8500979999999</v>
      </c>
      <c r="D938">
        <v>5343.3999020000001</v>
      </c>
      <c r="E938">
        <v>5471.25</v>
      </c>
      <c r="F938" s="4">
        <f t="shared" si="99"/>
        <v>5257.8999020000001</v>
      </c>
      <c r="G938" s="4">
        <f t="shared" si="100"/>
        <v>5471.25</v>
      </c>
      <c r="H938" s="4" t="str">
        <f t="shared" si="101"/>
        <v>BUY</v>
      </c>
      <c r="I938" s="4">
        <f t="shared" si="98"/>
        <v>1</v>
      </c>
      <c r="J938" s="11" t="str">
        <f t="shared" si="102"/>
        <v>BUY</v>
      </c>
      <c r="K938" s="6">
        <f t="shared" si="103"/>
        <v>5471.25</v>
      </c>
      <c r="L938" s="4">
        <f t="shared" si="104"/>
        <v>2.6522668557351142E-3</v>
      </c>
    </row>
    <row r="939" spans="1:12" x14ac:dyDescent="0.25">
      <c r="A939" s="1">
        <v>42480</v>
      </c>
      <c r="B939">
        <v>5441.2001950000003</v>
      </c>
      <c r="C939">
        <v>5552.6499020000001</v>
      </c>
      <c r="D939">
        <v>5434.25</v>
      </c>
      <c r="E939">
        <v>5526.6000979999999</v>
      </c>
      <c r="F939" s="4">
        <f t="shared" si="99"/>
        <v>5275.8500979999999</v>
      </c>
      <c r="G939" s="4">
        <f t="shared" si="100"/>
        <v>5526.6000979999999</v>
      </c>
      <c r="H939" s="4" t="str">
        <f t="shared" si="101"/>
        <v>BUY</v>
      </c>
      <c r="I939" s="4">
        <f t="shared" si="98"/>
        <v>1</v>
      </c>
      <c r="J939" s="11">
        <f t="shared" si="102"/>
        <v>0</v>
      </c>
      <c r="K939" s="6">
        <f t="shared" si="103"/>
        <v>5471.25</v>
      </c>
      <c r="L939" s="4">
        <f t="shared" si="104"/>
        <v>0</v>
      </c>
    </row>
    <row r="940" spans="1:12" x14ac:dyDescent="0.25">
      <c r="A940" s="1">
        <v>42481</v>
      </c>
      <c r="B940">
        <v>5548.8500979999999</v>
      </c>
      <c r="C940">
        <v>5558.2998049999997</v>
      </c>
      <c r="D940">
        <v>5496.3500979999999</v>
      </c>
      <c r="E940">
        <v>5545.2998049999997</v>
      </c>
      <c r="F940" s="4">
        <f t="shared" si="99"/>
        <v>5278.2998049999997</v>
      </c>
      <c r="G940" s="4">
        <f t="shared" si="100"/>
        <v>5545.2998049999997</v>
      </c>
      <c r="H940" s="4" t="str">
        <f t="shared" si="101"/>
        <v>BUY</v>
      </c>
      <c r="I940" s="4">
        <f t="shared" si="98"/>
        <v>1</v>
      </c>
      <c r="J940" s="11">
        <f t="shared" si="102"/>
        <v>0</v>
      </c>
      <c r="K940" s="6">
        <f t="shared" si="103"/>
        <v>5471.25</v>
      </c>
      <c r="L940" s="4">
        <f t="shared" si="104"/>
        <v>0</v>
      </c>
    </row>
    <row r="941" spans="1:12" x14ac:dyDescent="0.25">
      <c r="A941" s="1">
        <v>42482</v>
      </c>
      <c r="B941">
        <v>5566.5</v>
      </c>
      <c r="C941">
        <v>5608.6499020000001</v>
      </c>
      <c r="D941">
        <v>5566.5</v>
      </c>
      <c r="E941">
        <v>5600.4501950000003</v>
      </c>
      <c r="F941" s="4">
        <f t="shared" si="99"/>
        <v>5320</v>
      </c>
      <c r="G941" s="4">
        <f t="shared" si="100"/>
        <v>5600.4501950000003</v>
      </c>
      <c r="H941" s="4" t="str">
        <f t="shared" si="101"/>
        <v>BUY</v>
      </c>
      <c r="I941" s="4">
        <f t="shared" si="98"/>
        <v>1</v>
      </c>
      <c r="J941" s="11">
        <f t="shared" si="102"/>
        <v>0</v>
      </c>
      <c r="K941" s="6">
        <f t="shared" si="103"/>
        <v>5471.25</v>
      </c>
      <c r="L941" s="4">
        <f t="shared" si="104"/>
        <v>0</v>
      </c>
    </row>
    <row r="942" spans="1:12" x14ac:dyDescent="0.25">
      <c r="A942" s="1">
        <v>42485</v>
      </c>
      <c r="B942">
        <v>5614.5</v>
      </c>
      <c r="C942">
        <v>5657.8999020000001</v>
      </c>
      <c r="D942">
        <v>5606.1000979999999</v>
      </c>
      <c r="E942">
        <v>5647.3999020000001</v>
      </c>
      <c r="F942" s="4">
        <f t="shared" si="99"/>
        <v>5471.25</v>
      </c>
      <c r="G942" s="4">
        <f t="shared" si="100"/>
        <v>5647.3999020000001</v>
      </c>
      <c r="H942" s="4" t="str">
        <f t="shared" si="101"/>
        <v>BUY</v>
      </c>
      <c r="I942" s="4">
        <f t="shared" si="98"/>
        <v>1</v>
      </c>
      <c r="J942" s="11">
        <f t="shared" si="102"/>
        <v>0</v>
      </c>
      <c r="K942" s="6">
        <f t="shared" si="103"/>
        <v>5471.25</v>
      </c>
      <c r="L942" s="4">
        <f t="shared" si="104"/>
        <v>0</v>
      </c>
    </row>
    <row r="943" spans="1:12" x14ac:dyDescent="0.25">
      <c r="A943" s="1">
        <v>42486</v>
      </c>
      <c r="B943">
        <v>5705.75</v>
      </c>
      <c r="C943">
        <v>5705.7998049999997</v>
      </c>
      <c r="D943">
        <v>5609.75</v>
      </c>
      <c r="E943">
        <v>5627.2001950000003</v>
      </c>
      <c r="F943" s="4">
        <f t="shared" si="99"/>
        <v>5526.6000979999999</v>
      </c>
      <c r="G943" s="4">
        <f t="shared" si="100"/>
        <v>5647.3999020000001</v>
      </c>
      <c r="H943" s="4">
        <f t="shared" si="101"/>
        <v>0</v>
      </c>
      <c r="I943" s="4">
        <f t="shared" si="98"/>
        <v>1</v>
      </c>
      <c r="J943" s="11">
        <f t="shared" si="102"/>
        <v>0</v>
      </c>
      <c r="K943" s="6">
        <f t="shared" si="103"/>
        <v>5471.25</v>
      </c>
      <c r="L943" s="4">
        <f t="shared" si="104"/>
        <v>0</v>
      </c>
    </row>
    <row r="944" spans="1:12" x14ac:dyDescent="0.25">
      <c r="A944" s="1">
        <v>42487</v>
      </c>
      <c r="B944">
        <v>5679.5498049999997</v>
      </c>
      <c r="C944">
        <v>5679.6499020000001</v>
      </c>
      <c r="D944">
        <v>5633.1000979999999</v>
      </c>
      <c r="E944">
        <v>5650.5</v>
      </c>
      <c r="F944" s="4">
        <f t="shared" si="99"/>
        <v>5545.2998049999997</v>
      </c>
      <c r="G944" s="4">
        <f t="shared" si="100"/>
        <v>5650.5</v>
      </c>
      <c r="H944" s="4" t="str">
        <f t="shared" si="101"/>
        <v>BUY</v>
      </c>
      <c r="I944" s="4">
        <f t="shared" si="98"/>
        <v>1</v>
      </c>
      <c r="J944" s="11">
        <f t="shared" si="102"/>
        <v>0</v>
      </c>
      <c r="K944" s="6">
        <f t="shared" si="103"/>
        <v>5471.25</v>
      </c>
      <c r="L944" s="4">
        <f t="shared" si="104"/>
        <v>0</v>
      </c>
    </row>
    <row r="945" spans="1:12" x14ac:dyDescent="0.25">
      <c r="A945" s="1">
        <v>42488</v>
      </c>
      <c r="B945">
        <v>5659.8500979999999</v>
      </c>
      <c r="C945">
        <v>5659.8500979999999</v>
      </c>
      <c r="D945">
        <v>5612.2998049999997</v>
      </c>
      <c r="E945">
        <v>5632.1000979999999</v>
      </c>
      <c r="F945" s="4">
        <f t="shared" si="99"/>
        <v>5600.4501950000003</v>
      </c>
      <c r="G945" s="4">
        <f t="shared" si="100"/>
        <v>5650.5</v>
      </c>
      <c r="H945" s="4">
        <f t="shared" si="101"/>
        <v>0</v>
      </c>
      <c r="I945" s="4">
        <f t="shared" si="98"/>
        <v>1</v>
      </c>
      <c r="J945" s="11">
        <f t="shared" si="102"/>
        <v>0</v>
      </c>
      <c r="K945" s="6">
        <f t="shared" si="103"/>
        <v>5471.25</v>
      </c>
      <c r="L945" s="4">
        <f t="shared" si="104"/>
        <v>0</v>
      </c>
    </row>
    <row r="946" spans="1:12" x14ac:dyDescent="0.25">
      <c r="A946" s="1">
        <v>42489</v>
      </c>
      <c r="B946">
        <v>5622.7001950000003</v>
      </c>
      <c r="C946">
        <v>5655.3999020000001</v>
      </c>
      <c r="D946">
        <v>5610.75</v>
      </c>
      <c r="E946">
        <v>5625.4501950000003</v>
      </c>
      <c r="F946" s="4">
        <f t="shared" si="99"/>
        <v>5625.4501950000003</v>
      </c>
      <c r="G946" s="4">
        <f t="shared" si="100"/>
        <v>5650.5</v>
      </c>
      <c r="H946" s="4">
        <f t="shared" si="101"/>
        <v>0</v>
      </c>
      <c r="I946" s="4">
        <f t="shared" si="98"/>
        <v>1</v>
      </c>
      <c r="J946" s="11">
        <f t="shared" si="102"/>
        <v>0</v>
      </c>
      <c r="K946" s="6">
        <f t="shared" si="103"/>
        <v>5471.25</v>
      </c>
      <c r="L946" s="4">
        <f t="shared" si="104"/>
        <v>0</v>
      </c>
    </row>
    <row r="947" spans="1:12" x14ac:dyDescent="0.25">
      <c r="A947" s="1">
        <v>42492</v>
      </c>
      <c r="B947">
        <v>5633.3500979999999</v>
      </c>
      <c r="C947">
        <v>5737.1499020000001</v>
      </c>
      <c r="D947">
        <v>5632.9501950000003</v>
      </c>
      <c r="E947">
        <v>5728.9501950000003</v>
      </c>
      <c r="F947" s="4">
        <f t="shared" si="99"/>
        <v>5625.4501950000003</v>
      </c>
      <c r="G947" s="4">
        <f t="shared" si="100"/>
        <v>5728.9501950000003</v>
      </c>
      <c r="H947" s="4" t="str">
        <f t="shared" si="101"/>
        <v>BUY</v>
      </c>
      <c r="I947" s="4">
        <f t="shared" si="98"/>
        <v>1</v>
      </c>
      <c r="J947" s="11">
        <f t="shared" si="102"/>
        <v>0</v>
      </c>
      <c r="K947" s="6">
        <f t="shared" si="103"/>
        <v>5471.25</v>
      </c>
      <c r="L947" s="4">
        <f t="shared" si="104"/>
        <v>0</v>
      </c>
    </row>
    <row r="948" spans="1:12" x14ac:dyDescent="0.25">
      <c r="A948" s="1">
        <v>42493</v>
      </c>
      <c r="B948">
        <v>5734.6499020000001</v>
      </c>
      <c r="C948">
        <v>5740.3999020000001</v>
      </c>
      <c r="D948">
        <v>5651.0498049999997</v>
      </c>
      <c r="E948">
        <v>5660.6499020000001</v>
      </c>
      <c r="F948" s="4">
        <f t="shared" si="99"/>
        <v>5625.4501950000003</v>
      </c>
      <c r="G948" s="4">
        <f t="shared" si="100"/>
        <v>5728.9501950000003</v>
      </c>
      <c r="H948" s="4">
        <f t="shared" si="101"/>
        <v>0</v>
      </c>
      <c r="I948" s="4">
        <f t="shared" si="98"/>
        <v>1</v>
      </c>
      <c r="J948" s="11">
        <f t="shared" si="102"/>
        <v>0</v>
      </c>
      <c r="K948" s="6">
        <f t="shared" si="103"/>
        <v>5471.25</v>
      </c>
      <c r="L948" s="4">
        <f t="shared" si="104"/>
        <v>0</v>
      </c>
    </row>
    <row r="949" spans="1:12" x14ac:dyDescent="0.25">
      <c r="A949" s="1">
        <v>42494</v>
      </c>
      <c r="B949">
        <v>5648.0498049999997</v>
      </c>
      <c r="C949">
        <v>5652.8999020000001</v>
      </c>
      <c r="D949">
        <v>5601.7001950000003</v>
      </c>
      <c r="E949">
        <v>5616.1000979999999</v>
      </c>
      <c r="F949" s="4">
        <f t="shared" si="99"/>
        <v>5616.1000979999999</v>
      </c>
      <c r="G949" s="4">
        <f t="shared" si="100"/>
        <v>5728.9501950000003</v>
      </c>
      <c r="H949" s="4" t="str">
        <f t="shared" si="101"/>
        <v>SELL</v>
      </c>
      <c r="I949" s="4">
        <f t="shared" si="98"/>
        <v>-1</v>
      </c>
      <c r="J949" s="11" t="str">
        <f t="shared" si="102"/>
        <v>SELL</v>
      </c>
      <c r="K949" s="6">
        <f t="shared" si="103"/>
        <v>5616.1000979999999</v>
      </c>
      <c r="L949" s="4">
        <f t="shared" si="104"/>
        <v>2.6474772309801213E-2</v>
      </c>
    </row>
    <row r="950" spans="1:12" x14ac:dyDescent="0.25">
      <c r="A950" s="1">
        <v>42495</v>
      </c>
      <c r="B950">
        <v>5556.8999020000001</v>
      </c>
      <c r="C950">
        <v>5580.25</v>
      </c>
      <c r="D950">
        <v>5496.9501950000003</v>
      </c>
      <c r="E950">
        <v>5526.1499020000001</v>
      </c>
      <c r="F950" s="4">
        <f t="shared" si="99"/>
        <v>5526.1499020000001</v>
      </c>
      <c r="G950" s="4">
        <f t="shared" si="100"/>
        <v>5728.9501950000003</v>
      </c>
      <c r="H950" s="4" t="str">
        <f t="shared" si="101"/>
        <v>SELL</v>
      </c>
      <c r="I950" s="4">
        <f t="shared" si="98"/>
        <v>-1</v>
      </c>
      <c r="J950" s="11">
        <f t="shared" si="102"/>
        <v>0</v>
      </c>
      <c r="K950" s="6">
        <f t="shared" si="103"/>
        <v>5616.1000979999999</v>
      </c>
      <c r="L950" s="4">
        <f t="shared" si="104"/>
        <v>0</v>
      </c>
    </row>
    <row r="951" spans="1:12" x14ac:dyDescent="0.25">
      <c r="A951" s="1">
        <v>42496</v>
      </c>
      <c r="B951">
        <v>5542.0498049999997</v>
      </c>
      <c r="C951">
        <v>5596.1499020000001</v>
      </c>
      <c r="D951">
        <v>5541.3999020000001</v>
      </c>
      <c r="E951">
        <v>5585.4501950000003</v>
      </c>
      <c r="F951" s="4">
        <f t="shared" si="99"/>
        <v>5526.1499020000001</v>
      </c>
      <c r="G951" s="4">
        <f t="shared" si="100"/>
        <v>5728.9501950000003</v>
      </c>
      <c r="H951" s="4">
        <f t="shared" si="101"/>
        <v>0</v>
      </c>
      <c r="I951" s="4">
        <f t="shared" si="98"/>
        <v>-1</v>
      </c>
      <c r="J951" s="11">
        <f t="shared" si="102"/>
        <v>0</v>
      </c>
      <c r="K951" s="6">
        <f t="shared" si="103"/>
        <v>5616.1000979999999</v>
      </c>
      <c r="L951" s="4">
        <f t="shared" si="104"/>
        <v>0</v>
      </c>
    </row>
    <row r="952" spans="1:12" x14ac:dyDescent="0.25">
      <c r="A952" s="1">
        <v>42499</v>
      </c>
      <c r="B952">
        <v>5512.2998049999997</v>
      </c>
      <c r="C952">
        <v>5512.2998049999997</v>
      </c>
      <c r="D952">
        <v>5512.2998049999997</v>
      </c>
      <c r="E952">
        <v>5512.2998049999997</v>
      </c>
      <c r="F952" s="4">
        <f t="shared" si="99"/>
        <v>5512.2998049999997</v>
      </c>
      <c r="G952" s="4">
        <f t="shared" si="100"/>
        <v>5660.6499020000001</v>
      </c>
      <c r="H952" s="4" t="str">
        <f t="shared" si="101"/>
        <v>SELL</v>
      </c>
      <c r="I952" s="4">
        <f t="shared" si="98"/>
        <v>-1</v>
      </c>
      <c r="J952" s="11">
        <f t="shared" si="102"/>
        <v>0</v>
      </c>
      <c r="K952" s="6">
        <f t="shared" si="103"/>
        <v>5616.1000979999999</v>
      </c>
      <c r="L952" s="4">
        <f t="shared" si="104"/>
        <v>0</v>
      </c>
    </row>
    <row r="953" spans="1:12" x14ac:dyDescent="0.25">
      <c r="A953" s="1">
        <v>42500</v>
      </c>
      <c r="B953">
        <v>5602.9501950000003</v>
      </c>
      <c r="C953">
        <v>5631.7001950000003</v>
      </c>
      <c r="D953">
        <v>5562.75</v>
      </c>
      <c r="E953">
        <v>5581.1000979999999</v>
      </c>
      <c r="F953" s="4">
        <f t="shared" si="99"/>
        <v>5512.2998049999997</v>
      </c>
      <c r="G953" s="4">
        <f t="shared" si="100"/>
        <v>5616.1000979999999</v>
      </c>
      <c r="H953" s="4">
        <f t="shared" si="101"/>
        <v>0</v>
      </c>
      <c r="I953" s="4">
        <f t="shared" si="98"/>
        <v>-1</v>
      </c>
      <c r="J953" s="11">
        <f t="shared" si="102"/>
        <v>0</v>
      </c>
      <c r="K953" s="6">
        <f t="shared" si="103"/>
        <v>5616.1000979999999</v>
      </c>
      <c r="L953" s="4">
        <f t="shared" si="104"/>
        <v>0</v>
      </c>
    </row>
    <row r="954" spans="1:12" x14ac:dyDescent="0.25">
      <c r="A954" s="1">
        <v>42501</v>
      </c>
      <c r="B954">
        <v>5581.75</v>
      </c>
      <c r="C954">
        <v>5596.6000979999999</v>
      </c>
      <c r="D954">
        <v>5550.9501950000003</v>
      </c>
      <c r="E954">
        <v>5567.0498049999997</v>
      </c>
      <c r="F954" s="4">
        <f t="shared" si="99"/>
        <v>5512.2998049999997</v>
      </c>
      <c r="G954" s="4">
        <f t="shared" si="100"/>
        <v>5585.4501950000003</v>
      </c>
      <c r="H954" s="4">
        <f t="shared" si="101"/>
        <v>0</v>
      </c>
      <c r="I954" s="4">
        <f t="shared" si="98"/>
        <v>-1</v>
      </c>
      <c r="J954" s="11">
        <f t="shared" si="102"/>
        <v>0</v>
      </c>
      <c r="K954" s="6">
        <f t="shared" si="103"/>
        <v>5616.1000979999999</v>
      </c>
      <c r="L954" s="4">
        <f t="shared" si="104"/>
        <v>0</v>
      </c>
    </row>
    <row r="955" spans="1:12" x14ac:dyDescent="0.25">
      <c r="A955" s="1">
        <v>42502</v>
      </c>
      <c r="B955">
        <v>5569.8500979999999</v>
      </c>
      <c r="C955">
        <v>5627.6499020000001</v>
      </c>
      <c r="D955">
        <v>5557.2001950000003</v>
      </c>
      <c r="E955">
        <v>5613.5498049999997</v>
      </c>
      <c r="F955" s="4">
        <f t="shared" si="99"/>
        <v>5512.2998049999997</v>
      </c>
      <c r="G955" s="4">
        <f t="shared" si="100"/>
        <v>5613.5498049999997</v>
      </c>
      <c r="H955" s="4" t="str">
        <f t="shared" si="101"/>
        <v>BUY</v>
      </c>
      <c r="I955" s="4">
        <f t="shared" si="98"/>
        <v>1</v>
      </c>
      <c r="J955" s="11" t="str">
        <f t="shared" si="102"/>
        <v>BUY</v>
      </c>
      <c r="K955" s="6">
        <f t="shared" si="103"/>
        <v>5613.5498049999997</v>
      </c>
      <c r="L955" s="4">
        <f t="shared" si="104"/>
        <v>4.5410390760457523E-4</v>
      </c>
    </row>
    <row r="956" spans="1:12" x14ac:dyDescent="0.25">
      <c r="A956" s="1">
        <v>42503</v>
      </c>
      <c r="B956">
        <v>5642.0498049999997</v>
      </c>
      <c r="C956">
        <v>5645.3999020000001</v>
      </c>
      <c r="D956">
        <v>5555.1000979999999</v>
      </c>
      <c r="E956">
        <v>5567.0498049999997</v>
      </c>
      <c r="F956" s="4">
        <f t="shared" si="99"/>
        <v>5512.2998049999997</v>
      </c>
      <c r="G956" s="4">
        <f t="shared" si="100"/>
        <v>5613.5498049999997</v>
      </c>
      <c r="H956" s="4">
        <f t="shared" si="101"/>
        <v>0</v>
      </c>
      <c r="I956" s="4">
        <f t="shared" si="98"/>
        <v>1</v>
      </c>
      <c r="J956" s="11">
        <f t="shared" si="102"/>
        <v>0</v>
      </c>
      <c r="K956" s="6">
        <f t="shared" si="103"/>
        <v>5613.5498049999997</v>
      </c>
      <c r="L956" s="4">
        <f t="shared" si="104"/>
        <v>0</v>
      </c>
    </row>
    <row r="957" spans="1:12" x14ac:dyDescent="0.25">
      <c r="A957" s="1">
        <v>42506</v>
      </c>
      <c r="B957">
        <v>5554.6000979999999</v>
      </c>
      <c r="C957">
        <v>5578.8999020000001</v>
      </c>
      <c r="D957">
        <v>5532.7001950000003</v>
      </c>
      <c r="E957">
        <v>5541.6000979999999</v>
      </c>
      <c r="F957" s="4">
        <f t="shared" si="99"/>
        <v>5541.6000979999999</v>
      </c>
      <c r="G957" s="4">
        <f t="shared" si="100"/>
        <v>5613.5498049999997</v>
      </c>
      <c r="H957" s="4">
        <f t="shared" si="101"/>
        <v>0</v>
      </c>
      <c r="I957" s="4">
        <f t="shared" si="98"/>
        <v>1</v>
      </c>
      <c r="J957" s="11">
        <f t="shared" si="102"/>
        <v>0</v>
      </c>
      <c r="K957" s="6">
        <f t="shared" si="103"/>
        <v>5613.5498049999997</v>
      </c>
      <c r="L957" s="4">
        <f t="shared" si="104"/>
        <v>0</v>
      </c>
    </row>
    <row r="958" spans="1:12" x14ac:dyDescent="0.25">
      <c r="A958" s="1">
        <v>42507</v>
      </c>
      <c r="B958">
        <v>5576.9501950000003</v>
      </c>
      <c r="C958">
        <v>5642.2001950000003</v>
      </c>
      <c r="D958">
        <v>5567.1000979999999</v>
      </c>
      <c r="E958">
        <v>5633.9501950000003</v>
      </c>
      <c r="F958" s="4">
        <f t="shared" si="99"/>
        <v>5541.6000979999999</v>
      </c>
      <c r="G958" s="4">
        <f t="shared" si="100"/>
        <v>5633.9501950000003</v>
      </c>
      <c r="H958" s="4" t="str">
        <f t="shared" si="101"/>
        <v>BUY</v>
      </c>
      <c r="I958" s="4">
        <f t="shared" si="98"/>
        <v>1</v>
      </c>
      <c r="J958" s="11">
        <f t="shared" si="102"/>
        <v>0</v>
      </c>
      <c r="K958" s="6">
        <f t="shared" si="103"/>
        <v>5613.5498049999997</v>
      </c>
      <c r="L958" s="4">
        <f t="shared" si="104"/>
        <v>0</v>
      </c>
    </row>
    <row r="959" spans="1:12" x14ac:dyDescent="0.25">
      <c r="A959" s="1">
        <v>42508</v>
      </c>
      <c r="B959">
        <v>5633.7998049999997</v>
      </c>
      <c r="C959">
        <v>5700.5498049999997</v>
      </c>
      <c r="D959">
        <v>5616.7001950000003</v>
      </c>
      <c r="E959">
        <v>5680.2998049999997</v>
      </c>
      <c r="F959" s="4">
        <f t="shared" si="99"/>
        <v>5541.6000979999999</v>
      </c>
      <c r="G959" s="4">
        <f t="shared" si="100"/>
        <v>5680.2998049999997</v>
      </c>
      <c r="H959" s="4" t="str">
        <f t="shared" si="101"/>
        <v>BUY</v>
      </c>
      <c r="I959" s="4">
        <f t="shared" si="98"/>
        <v>1</v>
      </c>
      <c r="J959" s="11">
        <f t="shared" si="102"/>
        <v>0</v>
      </c>
      <c r="K959" s="6">
        <f t="shared" si="103"/>
        <v>5613.5498049999997</v>
      </c>
      <c r="L959" s="4">
        <f t="shared" si="104"/>
        <v>0</v>
      </c>
    </row>
    <row r="960" spans="1:12" x14ac:dyDescent="0.25">
      <c r="A960" s="1">
        <v>42509</v>
      </c>
      <c r="B960">
        <v>5688.4501950000003</v>
      </c>
      <c r="C960">
        <v>5702.25</v>
      </c>
      <c r="D960">
        <v>5560.1499020000001</v>
      </c>
      <c r="E960">
        <v>5574.8500979999999</v>
      </c>
      <c r="F960" s="4">
        <f t="shared" si="99"/>
        <v>5541.6000979999999</v>
      </c>
      <c r="G960" s="4">
        <f t="shared" si="100"/>
        <v>5680.2998049999997</v>
      </c>
      <c r="H960" s="4">
        <f t="shared" si="101"/>
        <v>0</v>
      </c>
      <c r="I960" s="4">
        <f t="shared" si="98"/>
        <v>1</v>
      </c>
      <c r="J960" s="11">
        <f t="shared" si="102"/>
        <v>0</v>
      </c>
      <c r="K960" s="6">
        <f t="shared" si="103"/>
        <v>5613.5498049999997</v>
      </c>
      <c r="L960" s="4">
        <f t="shared" si="104"/>
        <v>0</v>
      </c>
    </row>
    <row r="961" spans="1:12" x14ac:dyDescent="0.25">
      <c r="A961" s="1">
        <v>42510</v>
      </c>
      <c r="B961">
        <v>5588.5498049999997</v>
      </c>
      <c r="C961">
        <v>5591.7001950000003</v>
      </c>
      <c r="D961">
        <v>5521.5</v>
      </c>
      <c r="E961">
        <v>5546.7998049999997</v>
      </c>
      <c r="F961" s="4">
        <f t="shared" si="99"/>
        <v>5541.6000979999999</v>
      </c>
      <c r="G961" s="4">
        <f t="shared" si="100"/>
        <v>5680.2998049999997</v>
      </c>
      <c r="H961" s="4">
        <f t="shared" si="101"/>
        <v>0</v>
      </c>
      <c r="I961" s="4">
        <f t="shared" si="98"/>
        <v>1</v>
      </c>
      <c r="J961" s="11">
        <f t="shared" si="102"/>
        <v>0</v>
      </c>
      <c r="K961" s="6">
        <f t="shared" si="103"/>
        <v>5613.5498049999997</v>
      </c>
      <c r="L961" s="4">
        <f t="shared" si="104"/>
        <v>0</v>
      </c>
    </row>
    <row r="962" spans="1:12" x14ac:dyDescent="0.25">
      <c r="A962" s="1">
        <v>42513</v>
      </c>
      <c r="B962">
        <v>5492.3999020000001</v>
      </c>
      <c r="C962">
        <v>5512.1000979999999</v>
      </c>
      <c r="D962">
        <v>5475.6499020000001</v>
      </c>
      <c r="E962">
        <v>5487.75</v>
      </c>
      <c r="F962" s="4">
        <f t="shared" si="99"/>
        <v>5487.75</v>
      </c>
      <c r="G962" s="4">
        <f t="shared" si="100"/>
        <v>5680.2998049999997</v>
      </c>
      <c r="H962" s="4" t="str">
        <f t="shared" si="101"/>
        <v>SELL</v>
      </c>
      <c r="I962" s="4">
        <f t="shared" si="98"/>
        <v>-1</v>
      </c>
      <c r="J962" s="11" t="str">
        <f t="shared" si="102"/>
        <v>SELL</v>
      </c>
      <c r="K962" s="6">
        <f t="shared" si="103"/>
        <v>5487.75</v>
      </c>
      <c r="L962" s="4">
        <f t="shared" si="104"/>
        <v>-2.241002741045417E-2</v>
      </c>
    </row>
    <row r="963" spans="1:12" x14ac:dyDescent="0.25">
      <c r="A963" s="1">
        <v>42514</v>
      </c>
      <c r="B963">
        <v>5479</v>
      </c>
      <c r="C963">
        <v>5520.2998049999997</v>
      </c>
      <c r="D963">
        <v>5453.9501950000003</v>
      </c>
      <c r="E963">
        <v>5482</v>
      </c>
      <c r="F963" s="4">
        <f t="shared" si="99"/>
        <v>5482</v>
      </c>
      <c r="G963" s="4">
        <f t="shared" si="100"/>
        <v>5680.2998049999997</v>
      </c>
      <c r="H963" s="4" t="str">
        <f t="shared" si="101"/>
        <v>SELL</v>
      </c>
      <c r="I963" s="4">
        <f t="shared" si="98"/>
        <v>-1</v>
      </c>
      <c r="J963" s="11">
        <f t="shared" si="102"/>
        <v>0</v>
      </c>
      <c r="K963" s="6">
        <f t="shared" si="103"/>
        <v>5487.75</v>
      </c>
      <c r="L963" s="4">
        <f t="shared" si="104"/>
        <v>0</v>
      </c>
    </row>
    <row r="964" spans="1:12" x14ac:dyDescent="0.25">
      <c r="A964" s="1">
        <v>42515</v>
      </c>
      <c r="B964">
        <v>5527.5</v>
      </c>
      <c r="C964">
        <v>5551.8999020000001</v>
      </c>
      <c r="D964">
        <v>5486.4501950000003</v>
      </c>
      <c r="E964">
        <v>5516.7998049999997</v>
      </c>
      <c r="F964" s="4">
        <f t="shared" si="99"/>
        <v>5482</v>
      </c>
      <c r="G964" s="4">
        <f t="shared" si="100"/>
        <v>5574.8500979999999</v>
      </c>
      <c r="H964" s="4">
        <f t="shared" si="101"/>
        <v>0</v>
      </c>
      <c r="I964" s="4">
        <f t="shared" si="98"/>
        <v>-1</v>
      </c>
      <c r="J964" s="11">
        <f t="shared" si="102"/>
        <v>0</v>
      </c>
      <c r="K964" s="6">
        <f t="shared" si="103"/>
        <v>5487.75</v>
      </c>
      <c r="L964" s="4">
        <f t="shared" si="104"/>
        <v>0</v>
      </c>
    </row>
    <row r="965" spans="1:12" x14ac:dyDescent="0.25">
      <c r="A965" s="1">
        <v>42516</v>
      </c>
      <c r="B965">
        <v>5493.2001950000003</v>
      </c>
      <c r="C965">
        <v>5496.2998049999997</v>
      </c>
      <c r="D965">
        <v>5433.6499020000001</v>
      </c>
      <c r="E965">
        <v>5456.5498049999997</v>
      </c>
      <c r="F965" s="4">
        <f t="shared" si="99"/>
        <v>5456.5498049999997</v>
      </c>
      <c r="G965" s="4">
        <f t="shared" si="100"/>
        <v>5546.7998049999997</v>
      </c>
      <c r="H965" s="4" t="str">
        <f t="shared" si="101"/>
        <v>SELL</v>
      </c>
      <c r="I965" s="4">
        <f t="shared" si="98"/>
        <v>-1</v>
      </c>
      <c r="J965" s="11">
        <f t="shared" si="102"/>
        <v>0</v>
      </c>
      <c r="K965" s="6">
        <f t="shared" si="103"/>
        <v>5487.75</v>
      </c>
      <c r="L965" s="4">
        <f t="shared" si="104"/>
        <v>0</v>
      </c>
    </row>
    <row r="966" spans="1:12" x14ac:dyDescent="0.25">
      <c r="A966" s="1">
        <v>42517</v>
      </c>
      <c r="B966">
        <v>5402</v>
      </c>
      <c r="C966">
        <v>5422.6000979999999</v>
      </c>
      <c r="D966">
        <v>5378.8500979999999</v>
      </c>
      <c r="E966">
        <v>5404.7998049999997</v>
      </c>
      <c r="F966" s="4">
        <f t="shared" si="99"/>
        <v>5404.7998049999997</v>
      </c>
      <c r="G966" s="4">
        <f t="shared" si="100"/>
        <v>5516.7998049999997</v>
      </c>
      <c r="H966" s="4" t="str">
        <f t="shared" si="101"/>
        <v>SELL</v>
      </c>
      <c r="I966" s="4">
        <f t="shared" ref="I966:I1029" si="105">IF(AND(H966="BUY",I965&lt;&gt;1),1,IF(AND(H966="SELL",I965&lt;&gt;-1),-1,I965))</f>
        <v>-1</v>
      </c>
      <c r="J966" s="11">
        <f t="shared" si="102"/>
        <v>0</v>
      </c>
      <c r="K966" s="6">
        <f t="shared" si="103"/>
        <v>5487.75</v>
      </c>
      <c r="L966" s="4">
        <f t="shared" si="104"/>
        <v>0</v>
      </c>
    </row>
    <row r="967" spans="1:12" x14ac:dyDescent="0.25">
      <c r="A967" s="1">
        <v>42520</v>
      </c>
      <c r="B967">
        <v>5412.3999020000001</v>
      </c>
      <c r="C967">
        <v>5434.5</v>
      </c>
      <c r="D967">
        <v>5323.1499020000001</v>
      </c>
      <c r="E967">
        <v>5331.7998049999997</v>
      </c>
      <c r="F967" s="4">
        <f t="shared" ref="F967:F1030" si="106">MIN(E963:E967)</f>
        <v>5331.7998049999997</v>
      </c>
      <c r="G967" s="4">
        <f t="shared" ref="G967:G1030" si="107">MAX(E963:E967)</f>
        <v>5516.7998049999997</v>
      </c>
      <c r="H967" s="4" t="str">
        <f t="shared" ref="H967:H1030" si="108">IF(E967&gt;G966,"BUY",IF(E967&lt;F966,"SELL",0))</f>
        <v>SELL</v>
      </c>
      <c r="I967" s="4">
        <f t="shared" si="105"/>
        <v>-1</v>
      </c>
      <c r="J967" s="11">
        <f t="shared" ref="J967:J1030" si="109">IF(I967&lt;&gt;I966,H967,0)</f>
        <v>0</v>
      </c>
      <c r="K967" s="6">
        <f t="shared" ref="K967:K1030" si="110">IF(J967&lt;&gt;0,E967,K966)</f>
        <v>5487.75</v>
      </c>
      <c r="L967" s="4">
        <f t="shared" si="104"/>
        <v>0</v>
      </c>
    </row>
    <row r="968" spans="1:12" x14ac:dyDescent="0.25">
      <c r="A968" s="1">
        <v>42521</v>
      </c>
      <c r="B968">
        <v>5204.3500979999999</v>
      </c>
      <c r="C968">
        <v>5229.6499020000001</v>
      </c>
      <c r="D968">
        <v>5116.4501950000003</v>
      </c>
      <c r="E968">
        <v>5211.25</v>
      </c>
      <c r="F968" s="4">
        <f t="shared" si="106"/>
        <v>5211.25</v>
      </c>
      <c r="G968" s="4">
        <f t="shared" si="107"/>
        <v>5516.7998049999997</v>
      </c>
      <c r="H968" s="4" t="str">
        <f t="shared" si="108"/>
        <v>SELL</v>
      </c>
      <c r="I968" s="4">
        <f t="shared" si="105"/>
        <v>-1</v>
      </c>
      <c r="J968" s="11">
        <f t="shared" si="109"/>
        <v>0</v>
      </c>
      <c r="K968" s="6">
        <f t="shared" si="110"/>
        <v>5487.75</v>
      </c>
      <c r="L968" s="4">
        <f t="shared" ref="L968:L1031" si="111">IF(J968="BUY",(K967-K968)/K967,IF(J968="SELL",(K969-K967)/K967,0))</f>
        <v>0</v>
      </c>
    </row>
    <row r="969" spans="1:12" x14ac:dyDescent="0.25">
      <c r="A969" s="1">
        <v>42522</v>
      </c>
      <c r="B969">
        <v>5083.8500979999999</v>
      </c>
      <c r="C969">
        <v>5204.2001950000003</v>
      </c>
      <c r="D969">
        <v>5054.0498049999997</v>
      </c>
      <c r="E969">
        <v>5118.5</v>
      </c>
      <c r="F969" s="4">
        <f t="shared" si="106"/>
        <v>5118.5</v>
      </c>
      <c r="G969" s="4">
        <f t="shared" si="107"/>
        <v>5456.5498049999997</v>
      </c>
      <c r="H969" s="4" t="str">
        <f t="shared" si="108"/>
        <v>SELL</v>
      </c>
      <c r="I969" s="4">
        <f t="shared" si="105"/>
        <v>-1</v>
      </c>
      <c r="J969" s="11">
        <f t="shared" si="109"/>
        <v>0</v>
      </c>
      <c r="K969" s="6">
        <f t="shared" si="110"/>
        <v>5487.75</v>
      </c>
      <c r="L969" s="4">
        <f t="shared" si="111"/>
        <v>0</v>
      </c>
    </row>
    <row r="970" spans="1:12" x14ac:dyDescent="0.25">
      <c r="A970" s="1">
        <v>42523</v>
      </c>
      <c r="B970">
        <v>4947.8999020000001</v>
      </c>
      <c r="C970">
        <v>5167</v>
      </c>
      <c r="D970">
        <v>4946.4501950000003</v>
      </c>
      <c r="E970">
        <v>5072.8500979999999</v>
      </c>
      <c r="F970" s="4">
        <f t="shared" si="106"/>
        <v>5072.8500979999999</v>
      </c>
      <c r="G970" s="4">
        <f t="shared" si="107"/>
        <v>5404.7998049999997</v>
      </c>
      <c r="H970" s="4" t="str">
        <f t="shared" si="108"/>
        <v>SELL</v>
      </c>
      <c r="I970" s="4">
        <f t="shared" si="105"/>
        <v>-1</v>
      </c>
      <c r="J970" s="11">
        <f t="shared" si="109"/>
        <v>0</v>
      </c>
      <c r="K970" s="6">
        <f t="shared" si="110"/>
        <v>5487.75</v>
      </c>
      <c r="L970" s="4">
        <f t="shared" si="111"/>
        <v>0</v>
      </c>
    </row>
    <row r="971" spans="1:12" x14ac:dyDescent="0.25">
      <c r="A971" s="1">
        <v>42524</v>
      </c>
      <c r="B971">
        <v>5196.5498049999997</v>
      </c>
      <c r="C971">
        <v>5197.9501950000003</v>
      </c>
      <c r="D971">
        <v>5123.3500979999999</v>
      </c>
      <c r="E971">
        <v>5161</v>
      </c>
      <c r="F971" s="4">
        <f t="shared" si="106"/>
        <v>5072.8500979999999</v>
      </c>
      <c r="G971" s="4">
        <f t="shared" si="107"/>
        <v>5331.7998049999997</v>
      </c>
      <c r="H971" s="4">
        <f t="shared" si="108"/>
        <v>0</v>
      </c>
      <c r="I971" s="4">
        <f t="shared" si="105"/>
        <v>-1</v>
      </c>
      <c r="J971" s="11">
        <f t="shared" si="109"/>
        <v>0</v>
      </c>
      <c r="K971" s="6">
        <f t="shared" si="110"/>
        <v>5487.75</v>
      </c>
      <c r="L971" s="4">
        <f t="shared" si="111"/>
        <v>0</v>
      </c>
    </row>
    <row r="972" spans="1:12" x14ac:dyDescent="0.25">
      <c r="A972" s="1">
        <v>42527</v>
      </c>
      <c r="B972">
        <v>5128</v>
      </c>
      <c r="C972">
        <v>5184.9501950000003</v>
      </c>
      <c r="D972">
        <v>5121</v>
      </c>
      <c r="E972">
        <v>5138.2998049999997</v>
      </c>
      <c r="F972" s="4">
        <f t="shared" si="106"/>
        <v>5072.8500979999999</v>
      </c>
      <c r="G972" s="4">
        <f t="shared" si="107"/>
        <v>5211.25</v>
      </c>
      <c r="H972" s="4">
        <f t="shared" si="108"/>
        <v>0</v>
      </c>
      <c r="I972" s="4">
        <f t="shared" si="105"/>
        <v>-1</v>
      </c>
      <c r="J972" s="11">
        <f t="shared" si="109"/>
        <v>0</v>
      </c>
      <c r="K972" s="6">
        <f t="shared" si="110"/>
        <v>5487.75</v>
      </c>
      <c r="L972" s="4">
        <f t="shared" si="111"/>
        <v>0</v>
      </c>
    </row>
    <row r="973" spans="1:12" x14ac:dyDescent="0.25">
      <c r="A973" s="1">
        <v>42528</v>
      </c>
      <c r="B973">
        <v>5194.3999020000001</v>
      </c>
      <c r="C973">
        <v>5194.4501950000003</v>
      </c>
      <c r="D973">
        <v>5053.3500979999999</v>
      </c>
      <c r="E973">
        <v>5072.9501950000003</v>
      </c>
      <c r="F973" s="4">
        <f t="shared" si="106"/>
        <v>5072.8500979999999</v>
      </c>
      <c r="G973" s="4">
        <f t="shared" si="107"/>
        <v>5161</v>
      </c>
      <c r="H973" s="4">
        <f t="shared" si="108"/>
        <v>0</v>
      </c>
      <c r="I973" s="4">
        <f t="shared" si="105"/>
        <v>-1</v>
      </c>
      <c r="J973" s="11">
        <f t="shared" si="109"/>
        <v>0</v>
      </c>
      <c r="K973" s="6">
        <f t="shared" si="110"/>
        <v>5487.75</v>
      </c>
      <c r="L973" s="4">
        <f t="shared" si="111"/>
        <v>0</v>
      </c>
    </row>
    <row r="974" spans="1:12" x14ac:dyDescent="0.25">
      <c r="A974" s="1">
        <v>42529</v>
      </c>
      <c r="B974">
        <v>5072.9501950000003</v>
      </c>
      <c r="C974">
        <v>5072.9501950000003</v>
      </c>
      <c r="D974">
        <v>5072.9501950000003</v>
      </c>
      <c r="E974">
        <v>5072.9501950000003</v>
      </c>
      <c r="F974" s="4">
        <f t="shared" si="106"/>
        <v>5072.8500979999999</v>
      </c>
      <c r="G974" s="4">
        <f t="shared" si="107"/>
        <v>5161</v>
      </c>
      <c r="H974" s="4">
        <f t="shared" si="108"/>
        <v>0</v>
      </c>
      <c r="I974" s="4">
        <f t="shared" si="105"/>
        <v>-1</v>
      </c>
      <c r="J974" s="11">
        <f t="shared" si="109"/>
        <v>0</v>
      </c>
      <c r="K974" s="6">
        <f t="shared" si="110"/>
        <v>5487.75</v>
      </c>
      <c r="L974" s="4">
        <f t="shared" si="111"/>
        <v>0</v>
      </c>
    </row>
    <row r="975" spans="1:12" x14ac:dyDescent="0.25">
      <c r="A975" s="1">
        <v>42530</v>
      </c>
      <c r="B975">
        <v>5125.75</v>
      </c>
      <c r="C975">
        <v>5132.2001950000003</v>
      </c>
      <c r="D975">
        <v>5015.3999020000001</v>
      </c>
      <c r="E975">
        <v>5035.7998049999997</v>
      </c>
      <c r="F975" s="4">
        <f t="shared" si="106"/>
        <v>5035.7998049999997</v>
      </c>
      <c r="G975" s="4">
        <f t="shared" si="107"/>
        <v>5161</v>
      </c>
      <c r="H975" s="4" t="str">
        <f t="shared" si="108"/>
        <v>SELL</v>
      </c>
      <c r="I975" s="4">
        <f t="shared" si="105"/>
        <v>-1</v>
      </c>
      <c r="J975" s="11">
        <f t="shared" si="109"/>
        <v>0</v>
      </c>
      <c r="K975" s="6">
        <f t="shared" si="110"/>
        <v>5487.75</v>
      </c>
      <c r="L975" s="4">
        <f t="shared" si="111"/>
        <v>0</v>
      </c>
    </row>
    <row r="976" spans="1:12" x14ac:dyDescent="0.25">
      <c r="A976" s="1">
        <v>42531</v>
      </c>
      <c r="B976">
        <v>5030.2998049999997</v>
      </c>
      <c r="C976">
        <v>5112.1499020000001</v>
      </c>
      <c r="D976">
        <v>5017.25</v>
      </c>
      <c r="E976">
        <v>5056.6000979999999</v>
      </c>
      <c r="F976" s="4">
        <f t="shared" si="106"/>
        <v>5035.7998049999997</v>
      </c>
      <c r="G976" s="4">
        <f t="shared" si="107"/>
        <v>5138.2998049999997</v>
      </c>
      <c r="H976" s="4">
        <f t="shared" si="108"/>
        <v>0</v>
      </c>
      <c r="I976" s="4">
        <f t="shared" si="105"/>
        <v>-1</v>
      </c>
      <c r="J976" s="11">
        <f t="shared" si="109"/>
        <v>0</v>
      </c>
      <c r="K976" s="6">
        <f t="shared" si="110"/>
        <v>5487.75</v>
      </c>
      <c r="L976" s="4">
        <f t="shared" si="111"/>
        <v>0</v>
      </c>
    </row>
    <row r="977" spans="1:12" x14ac:dyDescent="0.25">
      <c r="A977" s="1">
        <v>42534</v>
      </c>
      <c r="B977">
        <v>5077.9501950000003</v>
      </c>
      <c r="C977">
        <v>5078.6000979999999</v>
      </c>
      <c r="D977">
        <v>4932.1499020000001</v>
      </c>
      <c r="E977">
        <v>4944.1499020000001</v>
      </c>
      <c r="F977" s="4">
        <f t="shared" si="106"/>
        <v>4944.1499020000001</v>
      </c>
      <c r="G977" s="4">
        <f t="shared" si="107"/>
        <v>5072.9501950000003</v>
      </c>
      <c r="H977" s="4" t="str">
        <f t="shared" si="108"/>
        <v>SELL</v>
      </c>
      <c r="I977" s="4">
        <f t="shared" si="105"/>
        <v>-1</v>
      </c>
      <c r="J977" s="11">
        <f t="shared" si="109"/>
        <v>0</v>
      </c>
      <c r="K977" s="6">
        <f t="shared" si="110"/>
        <v>5487.75</v>
      </c>
      <c r="L977" s="4">
        <f t="shared" si="111"/>
        <v>0</v>
      </c>
    </row>
    <row r="978" spans="1:12" x14ac:dyDescent="0.25">
      <c r="A978" s="1">
        <v>42535</v>
      </c>
      <c r="B978">
        <v>4859.2998049999997</v>
      </c>
      <c r="C978">
        <v>4893.6000979999999</v>
      </c>
      <c r="D978">
        <v>4796.1000979999999</v>
      </c>
      <c r="E978">
        <v>4845.6499020000001</v>
      </c>
      <c r="F978" s="4">
        <f t="shared" si="106"/>
        <v>4845.6499020000001</v>
      </c>
      <c r="G978" s="4">
        <f t="shared" si="107"/>
        <v>5072.9501950000003</v>
      </c>
      <c r="H978" s="4" t="str">
        <f t="shared" si="108"/>
        <v>SELL</v>
      </c>
      <c r="I978" s="4">
        <f t="shared" si="105"/>
        <v>-1</v>
      </c>
      <c r="J978" s="11">
        <f t="shared" si="109"/>
        <v>0</v>
      </c>
      <c r="K978" s="6">
        <f t="shared" si="110"/>
        <v>5487.75</v>
      </c>
      <c r="L978" s="4">
        <f t="shared" si="111"/>
        <v>0</v>
      </c>
    </row>
    <row r="979" spans="1:12" x14ac:dyDescent="0.25">
      <c r="A979" s="1">
        <v>42536</v>
      </c>
      <c r="B979">
        <v>4843.7001950000003</v>
      </c>
      <c r="C979">
        <v>4910.0498049999997</v>
      </c>
      <c r="D979">
        <v>4808.75</v>
      </c>
      <c r="E979">
        <v>4898.7998049999997</v>
      </c>
      <c r="F979" s="4">
        <f t="shared" si="106"/>
        <v>4845.6499020000001</v>
      </c>
      <c r="G979" s="4">
        <f t="shared" si="107"/>
        <v>5056.6000979999999</v>
      </c>
      <c r="H979" s="4">
        <f t="shared" si="108"/>
        <v>0</v>
      </c>
      <c r="I979" s="4">
        <f t="shared" si="105"/>
        <v>-1</v>
      </c>
      <c r="J979" s="11">
        <f t="shared" si="109"/>
        <v>0</v>
      </c>
      <c r="K979" s="6">
        <f t="shared" si="110"/>
        <v>5487.75</v>
      </c>
      <c r="L979" s="4">
        <f t="shared" si="111"/>
        <v>0</v>
      </c>
    </row>
    <row r="980" spans="1:12" x14ac:dyDescent="0.25">
      <c r="A980" s="1">
        <v>42537</v>
      </c>
      <c r="B980">
        <v>4925.1499020000001</v>
      </c>
      <c r="C980">
        <v>4965.7998049999997</v>
      </c>
      <c r="D980">
        <v>4863.7998049999997</v>
      </c>
      <c r="E980">
        <v>4948.8999020000001</v>
      </c>
      <c r="F980" s="4">
        <f t="shared" si="106"/>
        <v>4845.6499020000001</v>
      </c>
      <c r="G980" s="4">
        <f t="shared" si="107"/>
        <v>5056.6000979999999</v>
      </c>
      <c r="H980" s="4">
        <f t="shared" si="108"/>
        <v>0</v>
      </c>
      <c r="I980" s="4">
        <f t="shared" si="105"/>
        <v>-1</v>
      </c>
      <c r="J980" s="11">
        <f t="shared" si="109"/>
        <v>0</v>
      </c>
      <c r="K980" s="6">
        <f t="shared" si="110"/>
        <v>5487.75</v>
      </c>
      <c r="L980" s="4">
        <f t="shared" si="111"/>
        <v>0</v>
      </c>
    </row>
    <row r="981" spans="1:12" x14ac:dyDescent="0.25">
      <c r="A981" s="1">
        <v>42538</v>
      </c>
      <c r="B981">
        <v>4934.3500979999999</v>
      </c>
      <c r="C981">
        <v>4962.3999020000001</v>
      </c>
      <c r="D981">
        <v>4875.2998049999997</v>
      </c>
      <c r="E981">
        <v>4888.8999020000001</v>
      </c>
      <c r="F981" s="4">
        <f t="shared" si="106"/>
        <v>4845.6499020000001</v>
      </c>
      <c r="G981" s="4">
        <f t="shared" si="107"/>
        <v>4948.8999020000001</v>
      </c>
      <c r="H981" s="4">
        <f t="shared" si="108"/>
        <v>0</v>
      </c>
      <c r="I981" s="4">
        <f t="shared" si="105"/>
        <v>-1</v>
      </c>
      <c r="J981" s="11">
        <f t="shared" si="109"/>
        <v>0</v>
      </c>
      <c r="K981" s="6">
        <f t="shared" si="110"/>
        <v>5487.75</v>
      </c>
      <c r="L981" s="4">
        <f t="shared" si="111"/>
        <v>0</v>
      </c>
    </row>
    <row r="982" spans="1:12" x14ac:dyDescent="0.25">
      <c r="A982" s="1">
        <v>42541</v>
      </c>
      <c r="B982">
        <v>4914.6499020000001</v>
      </c>
      <c r="C982">
        <v>4915.8500979999999</v>
      </c>
      <c r="D982">
        <v>4825.0498049999997</v>
      </c>
      <c r="E982">
        <v>4839.6000979999999</v>
      </c>
      <c r="F982" s="4">
        <f t="shared" si="106"/>
        <v>4839.6000979999999</v>
      </c>
      <c r="G982" s="4">
        <f t="shared" si="107"/>
        <v>4948.8999020000001</v>
      </c>
      <c r="H982" s="4" t="str">
        <f t="shared" si="108"/>
        <v>SELL</v>
      </c>
      <c r="I982" s="4">
        <f t="shared" si="105"/>
        <v>-1</v>
      </c>
      <c r="J982" s="11">
        <f t="shared" si="109"/>
        <v>0</v>
      </c>
      <c r="K982" s="6">
        <f t="shared" si="110"/>
        <v>5487.75</v>
      </c>
      <c r="L982" s="4">
        <f t="shared" si="111"/>
        <v>0</v>
      </c>
    </row>
    <row r="983" spans="1:12" x14ac:dyDescent="0.25">
      <c r="A983" s="1">
        <v>42542</v>
      </c>
      <c r="B983">
        <v>4839.25</v>
      </c>
      <c r="C983">
        <v>4872</v>
      </c>
      <c r="D983">
        <v>4720</v>
      </c>
      <c r="E983">
        <v>4747.7998049999997</v>
      </c>
      <c r="F983" s="4">
        <f t="shared" si="106"/>
        <v>4747.7998049999997</v>
      </c>
      <c r="G983" s="4">
        <f t="shared" si="107"/>
        <v>4948.8999020000001</v>
      </c>
      <c r="H983" s="4" t="str">
        <f t="shared" si="108"/>
        <v>SELL</v>
      </c>
      <c r="I983" s="4">
        <f t="shared" si="105"/>
        <v>-1</v>
      </c>
      <c r="J983" s="11">
        <f t="shared" si="109"/>
        <v>0</v>
      </c>
      <c r="K983" s="6">
        <f t="shared" si="110"/>
        <v>5487.75</v>
      </c>
      <c r="L983" s="4">
        <f t="shared" si="111"/>
        <v>0</v>
      </c>
    </row>
    <row r="984" spans="1:12" x14ac:dyDescent="0.25">
      <c r="A984" s="1">
        <v>42543</v>
      </c>
      <c r="B984">
        <v>4806.2001950000003</v>
      </c>
      <c r="C984">
        <v>4934.3999020000001</v>
      </c>
      <c r="D984">
        <v>4806.0498049999997</v>
      </c>
      <c r="E984">
        <v>4919.6000979999999</v>
      </c>
      <c r="F984" s="4">
        <f t="shared" si="106"/>
        <v>4747.7998049999997</v>
      </c>
      <c r="G984" s="4">
        <f t="shared" si="107"/>
        <v>4948.8999020000001</v>
      </c>
      <c r="H984" s="4">
        <f t="shared" si="108"/>
        <v>0</v>
      </c>
      <c r="I984" s="4">
        <f t="shared" si="105"/>
        <v>-1</v>
      </c>
      <c r="J984" s="11">
        <f t="shared" si="109"/>
        <v>0</v>
      </c>
      <c r="K984" s="6">
        <f t="shared" si="110"/>
        <v>5487.75</v>
      </c>
      <c r="L984" s="4">
        <f t="shared" si="111"/>
        <v>0</v>
      </c>
    </row>
    <row r="985" spans="1:12" x14ac:dyDescent="0.25">
      <c r="A985" s="1">
        <v>42544</v>
      </c>
      <c r="B985">
        <v>4973.25</v>
      </c>
      <c r="C985">
        <v>5016.25</v>
      </c>
      <c r="D985">
        <v>4927.5498049999997</v>
      </c>
      <c r="E985">
        <v>5001</v>
      </c>
      <c r="F985" s="4">
        <f t="shared" si="106"/>
        <v>4747.7998049999997</v>
      </c>
      <c r="G985" s="4">
        <f t="shared" si="107"/>
        <v>5001</v>
      </c>
      <c r="H985" s="4" t="str">
        <f t="shared" si="108"/>
        <v>BUY</v>
      </c>
      <c r="I985" s="4">
        <f t="shared" si="105"/>
        <v>1</v>
      </c>
      <c r="J985" s="11" t="str">
        <f t="shared" si="109"/>
        <v>BUY</v>
      </c>
      <c r="K985" s="6">
        <f t="shared" si="110"/>
        <v>5001</v>
      </c>
      <c r="L985" s="4">
        <f t="shared" si="111"/>
        <v>8.8697553642203095E-2</v>
      </c>
    </row>
    <row r="986" spans="1:12" x14ac:dyDescent="0.25">
      <c r="A986" s="1">
        <v>42545</v>
      </c>
      <c r="B986">
        <v>5001</v>
      </c>
      <c r="C986">
        <v>5001</v>
      </c>
      <c r="D986">
        <v>5001</v>
      </c>
      <c r="E986">
        <v>5001</v>
      </c>
      <c r="F986" s="4">
        <f t="shared" si="106"/>
        <v>4747.7998049999997</v>
      </c>
      <c r="G986" s="4">
        <f t="shared" si="107"/>
        <v>5001</v>
      </c>
      <c r="H986" s="4">
        <f t="shared" si="108"/>
        <v>0</v>
      </c>
      <c r="I986" s="4">
        <f t="shared" si="105"/>
        <v>1</v>
      </c>
      <c r="J986" s="11">
        <f t="shared" si="109"/>
        <v>0</v>
      </c>
      <c r="K986" s="6">
        <f t="shared" si="110"/>
        <v>5001</v>
      </c>
      <c r="L986" s="4">
        <f t="shared" si="111"/>
        <v>0</v>
      </c>
    </row>
    <row r="987" spans="1:12" x14ac:dyDescent="0.25">
      <c r="A987" s="1">
        <v>42548</v>
      </c>
      <c r="B987">
        <v>5001</v>
      </c>
      <c r="C987">
        <v>5001</v>
      </c>
      <c r="D987">
        <v>5001</v>
      </c>
      <c r="E987">
        <v>5001</v>
      </c>
      <c r="F987" s="4">
        <f t="shared" si="106"/>
        <v>4747.7998049999997</v>
      </c>
      <c r="G987" s="4">
        <f t="shared" si="107"/>
        <v>5001</v>
      </c>
      <c r="H987" s="4">
        <f t="shared" si="108"/>
        <v>0</v>
      </c>
      <c r="I987" s="4">
        <f t="shared" si="105"/>
        <v>1</v>
      </c>
      <c r="J987" s="11">
        <f t="shared" si="109"/>
        <v>0</v>
      </c>
      <c r="K987" s="6">
        <f t="shared" si="110"/>
        <v>5001</v>
      </c>
      <c r="L987" s="4">
        <f t="shared" si="111"/>
        <v>0</v>
      </c>
    </row>
    <row r="988" spans="1:12" x14ac:dyDescent="0.25">
      <c r="A988" s="1">
        <v>42549</v>
      </c>
      <c r="B988">
        <v>5109.7998049999997</v>
      </c>
      <c r="C988">
        <v>5113.7001950000003</v>
      </c>
      <c r="D988">
        <v>4993.3500979999999</v>
      </c>
      <c r="E988">
        <v>5040</v>
      </c>
      <c r="F988" s="4">
        <f t="shared" si="106"/>
        <v>4919.6000979999999</v>
      </c>
      <c r="G988" s="4">
        <f t="shared" si="107"/>
        <v>5040</v>
      </c>
      <c r="H988" s="4" t="str">
        <f t="shared" si="108"/>
        <v>BUY</v>
      </c>
      <c r="I988" s="4">
        <f t="shared" si="105"/>
        <v>1</v>
      </c>
      <c r="J988" s="11">
        <f t="shared" si="109"/>
        <v>0</v>
      </c>
      <c r="K988" s="6">
        <f t="shared" si="110"/>
        <v>5001</v>
      </c>
      <c r="L988" s="4">
        <f t="shared" si="111"/>
        <v>0</v>
      </c>
    </row>
    <row r="989" spans="1:12" x14ac:dyDescent="0.25">
      <c r="A989" s="1">
        <v>42550</v>
      </c>
      <c r="B989">
        <v>4998.8999020000001</v>
      </c>
      <c r="C989">
        <v>5030.2998049999997</v>
      </c>
      <c r="D989">
        <v>4964.4501950000003</v>
      </c>
      <c r="E989">
        <v>5017.2001950000003</v>
      </c>
      <c r="F989" s="4">
        <f t="shared" si="106"/>
        <v>5001</v>
      </c>
      <c r="G989" s="4">
        <f t="shared" si="107"/>
        <v>5040</v>
      </c>
      <c r="H989" s="4">
        <f t="shared" si="108"/>
        <v>0</v>
      </c>
      <c r="I989" s="4">
        <f t="shared" si="105"/>
        <v>1</v>
      </c>
      <c r="J989" s="11">
        <f t="shared" si="109"/>
        <v>0</v>
      </c>
      <c r="K989" s="6">
        <f t="shared" si="110"/>
        <v>5001</v>
      </c>
      <c r="L989" s="4">
        <f t="shared" si="111"/>
        <v>0</v>
      </c>
    </row>
    <row r="990" spans="1:12" x14ac:dyDescent="0.25">
      <c r="A990" s="1">
        <v>42551</v>
      </c>
      <c r="B990">
        <v>4993.3500979999999</v>
      </c>
      <c r="C990">
        <v>5072.8999020000001</v>
      </c>
      <c r="D990">
        <v>4942.8999020000001</v>
      </c>
      <c r="E990">
        <v>5064.2998049999997</v>
      </c>
      <c r="F990" s="4">
        <f t="shared" si="106"/>
        <v>5001</v>
      </c>
      <c r="G990" s="4">
        <f t="shared" si="107"/>
        <v>5064.2998049999997</v>
      </c>
      <c r="H990" s="4" t="str">
        <f t="shared" si="108"/>
        <v>BUY</v>
      </c>
      <c r="I990" s="4">
        <f t="shared" si="105"/>
        <v>1</v>
      </c>
      <c r="J990" s="11">
        <f t="shared" si="109"/>
        <v>0</v>
      </c>
      <c r="K990" s="6">
        <f t="shared" si="110"/>
        <v>5001</v>
      </c>
      <c r="L990" s="4">
        <f t="shared" si="111"/>
        <v>0</v>
      </c>
    </row>
    <row r="991" spans="1:12" x14ac:dyDescent="0.25">
      <c r="A991" s="1">
        <v>42552</v>
      </c>
      <c r="B991">
        <v>5080.1499020000001</v>
      </c>
      <c r="C991">
        <v>5154.5</v>
      </c>
      <c r="D991">
        <v>5076.2998049999997</v>
      </c>
      <c r="E991">
        <v>5124.6499020000001</v>
      </c>
      <c r="F991" s="4">
        <f t="shared" si="106"/>
        <v>5001</v>
      </c>
      <c r="G991" s="4">
        <f t="shared" si="107"/>
        <v>5124.6499020000001</v>
      </c>
      <c r="H991" s="4" t="str">
        <f t="shared" si="108"/>
        <v>BUY</v>
      </c>
      <c r="I991" s="4">
        <f t="shared" si="105"/>
        <v>1</v>
      </c>
      <c r="J991" s="11">
        <f t="shared" si="109"/>
        <v>0</v>
      </c>
      <c r="K991" s="6">
        <f t="shared" si="110"/>
        <v>5001</v>
      </c>
      <c r="L991" s="4">
        <f t="shared" si="111"/>
        <v>0</v>
      </c>
    </row>
    <row r="992" spans="1:12" x14ac:dyDescent="0.25">
      <c r="A992" s="1">
        <v>42555</v>
      </c>
      <c r="B992">
        <v>5139.2001950000003</v>
      </c>
      <c r="C992">
        <v>5169.25</v>
      </c>
      <c r="D992">
        <v>5098.25</v>
      </c>
      <c r="E992">
        <v>5153.25</v>
      </c>
      <c r="F992" s="4">
        <f t="shared" si="106"/>
        <v>5017.2001950000003</v>
      </c>
      <c r="G992" s="4">
        <f t="shared" si="107"/>
        <v>5153.25</v>
      </c>
      <c r="H992" s="4" t="str">
        <f t="shared" si="108"/>
        <v>BUY</v>
      </c>
      <c r="I992" s="4">
        <f t="shared" si="105"/>
        <v>1</v>
      </c>
      <c r="J992" s="11">
        <f t="shared" si="109"/>
        <v>0</v>
      </c>
      <c r="K992" s="6">
        <f t="shared" si="110"/>
        <v>5001</v>
      </c>
      <c r="L992" s="4">
        <f t="shared" si="111"/>
        <v>0</v>
      </c>
    </row>
    <row r="993" spans="1:12" x14ac:dyDescent="0.25">
      <c r="A993" s="1">
        <v>42556</v>
      </c>
      <c r="B993">
        <v>5161.2998049999997</v>
      </c>
      <c r="C993">
        <v>5163.75</v>
      </c>
      <c r="D993">
        <v>5046.7998049999997</v>
      </c>
      <c r="E993">
        <v>5059.4501950000003</v>
      </c>
      <c r="F993" s="4">
        <f t="shared" si="106"/>
        <v>5017.2001950000003</v>
      </c>
      <c r="G993" s="4">
        <f t="shared" si="107"/>
        <v>5153.25</v>
      </c>
      <c r="H993" s="4">
        <f t="shared" si="108"/>
        <v>0</v>
      </c>
      <c r="I993" s="4">
        <f t="shared" si="105"/>
        <v>1</v>
      </c>
      <c r="J993" s="11">
        <f t="shared" si="109"/>
        <v>0</v>
      </c>
      <c r="K993" s="6">
        <f t="shared" si="110"/>
        <v>5001</v>
      </c>
      <c r="L993" s="4">
        <f t="shared" si="111"/>
        <v>0</v>
      </c>
    </row>
    <row r="994" spans="1:12" x14ac:dyDescent="0.25">
      <c r="A994" s="1">
        <v>42557</v>
      </c>
      <c r="B994">
        <v>4981.7001950000003</v>
      </c>
      <c r="C994">
        <v>4985.6000979999999</v>
      </c>
      <c r="D994">
        <v>4911.25</v>
      </c>
      <c r="E994">
        <v>4946.7998049999997</v>
      </c>
      <c r="F994" s="4">
        <f t="shared" si="106"/>
        <v>4946.7998049999997</v>
      </c>
      <c r="G994" s="4">
        <f t="shared" si="107"/>
        <v>5153.25</v>
      </c>
      <c r="H994" s="4" t="str">
        <f t="shared" si="108"/>
        <v>SELL</v>
      </c>
      <c r="I994" s="4">
        <f t="shared" si="105"/>
        <v>-1</v>
      </c>
      <c r="J994" s="11" t="str">
        <f t="shared" si="109"/>
        <v>SELL</v>
      </c>
      <c r="K994" s="6">
        <f t="shared" si="110"/>
        <v>4946.7998049999997</v>
      </c>
      <c r="L994" s="4">
        <f t="shared" si="111"/>
        <v>-1.0837871425714928E-2</v>
      </c>
    </row>
    <row r="995" spans="1:12" x14ac:dyDescent="0.25">
      <c r="A995" s="1">
        <v>42558</v>
      </c>
      <c r="B995">
        <v>4977.7998049999997</v>
      </c>
      <c r="C995">
        <v>5030.1499020000001</v>
      </c>
      <c r="D995">
        <v>4911.0498049999997</v>
      </c>
      <c r="E995">
        <v>4940.9501950000003</v>
      </c>
      <c r="F995" s="4">
        <f t="shared" si="106"/>
        <v>4940.9501950000003</v>
      </c>
      <c r="G995" s="4">
        <f t="shared" si="107"/>
        <v>5153.25</v>
      </c>
      <c r="H995" s="4" t="str">
        <f t="shared" si="108"/>
        <v>SELL</v>
      </c>
      <c r="I995" s="4">
        <f t="shared" si="105"/>
        <v>-1</v>
      </c>
      <c r="J995" s="11">
        <f t="shared" si="109"/>
        <v>0</v>
      </c>
      <c r="K995" s="6">
        <f t="shared" si="110"/>
        <v>4946.7998049999997</v>
      </c>
      <c r="L995" s="4">
        <f t="shared" si="111"/>
        <v>0</v>
      </c>
    </row>
    <row r="996" spans="1:12" x14ac:dyDescent="0.25">
      <c r="A996" s="1">
        <v>42559</v>
      </c>
      <c r="B996">
        <v>4965.0498049999997</v>
      </c>
      <c r="C996">
        <v>5026.1499020000001</v>
      </c>
      <c r="D996">
        <v>4917.3999020000001</v>
      </c>
      <c r="E996">
        <v>5012.5498049999997</v>
      </c>
      <c r="F996" s="4">
        <f t="shared" si="106"/>
        <v>4940.9501950000003</v>
      </c>
      <c r="G996" s="4">
        <f t="shared" si="107"/>
        <v>5153.25</v>
      </c>
      <c r="H996" s="4">
        <f t="shared" si="108"/>
        <v>0</v>
      </c>
      <c r="I996" s="4">
        <f t="shared" si="105"/>
        <v>-1</v>
      </c>
      <c r="J996" s="11">
        <f t="shared" si="109"/>
        <v>0</v>
      </c>
      <c r="K996" s="6">
        <f t="shared" si="110"/>
        <v>4946.7998049999997</v>
      </c>
      <c r="L996" s="4">
        <f t="shared" si="111"/>
        <v>0</v>
      </c>
    </row>
    <row r="997" spans="1:12" x14ac:dyDescent="0.25">
      <c r="A997" s="1">
        <v>42562</v>
      </c>
      <c r="B997">
        <v>5062.3500979999999</v>
      </c>
      <c r="C997">
        <v>5091.4501950000003</v>
      </c>
      <c r="D997">
        <v>4967.4501950000003</v>
      </c>
      <c r="E997">
        <v>5075.7001950000003</v>
      </c>
      <c r="F997" s="4">
        <f t="shared" si="106"/>
        <v>4940.9501950000003</v>
      </c>
      <c r="G997" s="4">
        <f t="shared" si="107"/>
        <v>5075.7001950000003</v>
      </c>
      <c r="H997" s="4">
        <f t="shared" si="108"/>
        <v>0</v>
      </c>
      <c r="I997" s="4">
        <f t="shared" si="105"/>
        <v>-1</v>
      </c>
      <c r="J997" s="11">
        <f t="shared" si="109"/>
        <v>0</v>
      </c>
      <c r="K997" s="6">
        <f t="shared" si="110"/>
        <v>4946.7998049999997</v>
      </c>
      <c r="L997" s="4">
        <f t="shared" si="111"/>
        <v>0</v>
      </c>
    </row>
    <row r="998" spans="1:12" x14ac:dyDescent="0.25">
      <c r="A998" s="1">
        <v>42563</v>
      </c>
      <c r="B998">
        <v>5123.3500979999999</v>
      </c>
      <c r="C998">
        <v>5143.6000979999999</v>
      </c>
      <c r="D998">
        <v>5068.1000979999999</v>
      </c>
      <c r="E998">
        <v>5084.25</v>
      </c>
      <c r="F998" s="4">
        <f t="shared" si="106"/>
        <v>4940.9501950000003</v>
      </c>
      <c r="G998" s="4">
        <f t="shared" si="107"/>
        <v>5084.25</v>
      </c>
      <c r="H998" s="4" t="str">
        <f t="shared" si="108"/>
        <v>BUY</v>
      </c>
      <c r="I998" s="4">
        <f t="shared" si="105"/>
        <v>1</v>
      </c>
      <c r="J998" s="11" t="str">
        <f t="shared" si="109"/>
        <v>BUY</v>
      </c>
      <c r="K998" s="6">
        <f t="shared" si="110"/>
        <v>5084.25</v>
      </c>
      <c r="L998" s="4">
        <f t="shared" si="111"/>
        <v>-2.7785679715817881E-2</v>
      </c>
    </row>
    <row r="999" spans="1:12" x14ac:dyDescent="0.25">
      <c r="A999" s="1">
        <v>42564</v>
      </c>
      <c r="B999">
        <v>5068.3999020000001</v>
      </c>
      <c r="C999">
        <v>5068.3999020000001</v>
      </c>
      <c r="D999">
        <v>5019.25</v>
      </c>
      <c r="E999">
        <v>5031.9501950000003</v>
      </c>
      <c r="F999" s="4">
        <f t="shared" si="106"/>
        <v>4940.9501950000003</v>
      </c>
      <c r="G999" s="4">
        <f t="shared" si="107"/>
        <v>5084.25</v>
      </c>
      <c r="H999" s="4">
        <f t="shared" si="108"/>
        <v>0</v>
      </c>
      <c r="I999" s="4">
        <f t="shared" si="105"/>
        <v>1</v>
      </c>
      <c r="J999" s="11">
        <f t="shared" si="109"/>
        <v>0</v>
      </c>
      <c r="K999" s="6">
        <f t="shared" si="110"/>
        <v>5084.25</v>
      </c>
      <c r="L999" s="4">
        <f t="shared" si="111"/>
        <v>0</v>
      </c>
    </row>
    <row r="1000" spans="1:12" x14ac:dyDescent="0.25">
      <c r="A1000" s="1">
        <v>42565</v>
      </c>
      <c r="B1000">
        <v>5042.5498049999997</v>
      </c>
      <c r="C1000">
        <v>5149.8999020000001</v>
      </c>
      <c r="D1000">
        <v>5035.25</v>
      </c>
      <c r="E1000">
        <v>5140.2001950000003</v>
      </c>
      <c r="F1000" s="4">
        <f t="shared" si="106"/>
        <v>5012.5498049999997</v>
      </c>
      <c r="G1000" s="4">
        <f t="shared" si="107"/>
        <v>5140.2001950000003</v>
      </c>
      <c r="H1000" s="4" t="str">
        <f t="shared" si="108"/>
        <v>BUY</v>
      </c>
      <c r="I1000" s="4">
        <f t="shared" si="105"/>
        <v>1</v>
      </c>
      <c r="J1000" s="11">
        <f t="shared" si="109"/>
        <v>0</v>
      </c>
      <c r="K1000" s="6">
        <f t="shared" si="110"/>
        <v>5084.25</v>
      </c>
      <c r="L1000" s="4">
        <f t="shared" si="111"/>
        <v>0</v>
      </c>
    </row>
    <row r="1001" spans="1:12" x14ac:dyDescent="0.25">
      <c r="A1001" s="1">
        <v>42566</v>
      </c>
      <c r="B1001">
        <v>5153.75</v>
      </c>
      <c r="C1001">
        <v>5168.3999020000001</v>
      </c>
      <c r="D1001">
        <v>5109.8500979999999</v>
      </c>
      <c r="E1001">
        <v>5133.25</v>
      </c>
      <c r="F1001" s="4">
        <f t="shared" si="106"/>
        <v>5031.9501950000003</v>
      </c>
      <c r="G1001" s="4">
        <f t="shared" si="107"/>
        <v>5140.2001950000003</v>
      </c>
      <c r="H1001" s="4">
        <f t="shared" si="108"/>
        <v>0</v>
      </c>
      <c r="I1001" s="4">
        <f t="shared" si="105"/>
        <v>1</v>
      </c>
      <c r="J1001" s="11">
        <f t="shared" si="109"/>
        <v>0</v>
      </c>
      <c r="K1001" s="6">
        <f t="shared" si="110"/>
        <v>5084.25</v>
      </c>
      <c r="L1001" s="4">
        <f t="shared" si="111"/>
        <v>0</v>
      </c>
    </row>
    <row r="1002" spans="1:12" x14ac:dyDescent="0.25">
      <c r="A1002" s="1">
        <v>42569</v>
      </c>
      <c r="B1002">
        <v>5054.4501950000003</v>
      </c>
      <c r="C1002">
        <v>5059.8500979999999</v>
      </c>
      <c r="D1002">
        <v>4907.75</v>
      </c>
      <c r="E1002">
        <v>4923.6499020000001</v>
      </c>
      <c r="F1002" s="4">
        <f t="shared" si="106"/>
        <v>4923.6499020000001</v>
      </c>
      <c r="G1002" s="4">
        <f t="shared" si="107"/>
        <v>5140.2001950000003</v>
      </c>
      <c r="H1002" s="4" t="str">
        <f t="shared" si="108"/>
        <v>SELL</v>
      </c>
      <c r="I1002" s="4">
        <f t="shared" si="105"/>
        <v>-1</v>
      </c>
      <c r="J1002" s="11" t="str">
        <f t="shared" si="109"/>
        <v>SELL</v>
      </c>
      <c r="K1002" s="6">
        <f t="shared" si="110"/>
        <v>4923.6499020000001</v>
      </c>
      <c r="L1002" s="4">
        <f t="shared" si="111"/>
        <v>-3.1587765747160323E-2</v>
      </c>
    </row>
    <row r="1003" spans="1:12" x14ac:dyDescent="0.25">
      <c r="A1003" s="1">
        <v>42570</v>
      </c>
      <c r="B1003">
        <v>4873.75</v>
      </c>
      <c r="C1003">
        <v>4930.25</v>
      </c>
      <c r="D1003">
        <v>4829.6000979999999</v>
      </c>
      <c r="E1003">
        <v>4867.75</v>
      </c>
      <c r="F1003" s="4">
        <f t="shared" si="106"/>
        <v>4867.75</v>
      </c>
      <c r="G1003" s="4">
        <f t="shared" si="107"/>
        <v>5140.2001950000003</v>
      </c>
      <c r="H1003" s="4" t="str">
        <f t="shared" si="108"/>
        <v>SELL</v>
      </c>
      <c r="I1003" s="4">
        <f t="shared" si="105"/>
        <v>-1</v>
      </c>
      <c r="J1003" s="11">
        <f t="shared" si="109"/>
        <v>0</v>
      </c>
      <c r="K1003" s="6">
        <f t="shared" si="110"/>
        <v>4923.6499020000001</v>
      </c>
      <c r="L1003" s="4">
        <f t="shared" si="111"/>
        <v>0</v>
      </c>
    </row>
    <row r="1004" spans="1:12" x14ac:dyDescent="0.25">
      <c r="A1004" s="1">
        <v>42571</v>
      </c>
      <c r="B1004">
        <v>4878.6000979999999</v>
      </c>
      <c r="C1004">
        <v>4879.7998049999997</v>
      </c>
      <c r="D1004">
        <v>4758.8500979999999</v>
      </c>
      <c r="E1004">
        <v>4835.3999020000001</v>
      </c>
      <c r="F1004" s="4">
        <f t="shared" si="106"/>
        <v>4835.3999020000001</v>
      </c>
      <c r="G1004" s="4">
        <f t="shared" si="107"/>
        <v>5140.2001950000003</v>
      </c>
      <c r="H1004" s="4" t="str">
        <f t="shared" si="108"/>
        <v>SELL</v>
      </c>
      <c r="I1004" s="4">
        <f t="shared" si="105"/>
        <v>-1</v>
      </c>
      <c r="J1004" s="11">
        <f t="shared" si="109"/>
        <v>0</v>
      </c>
      <c r="K1004" s="6">
        <f t="shared" si="110"/>
        <v>4923.6499020000001</v>
      </c>
      <c r="L1004" s="4">
        <f t="shared" si="111"/>
        <v>0</v>
      </c>
    </row>
    <row r="1005" spans="1:12" x14ac:dyDescent="0.25">
      <c r="A1005" s="1">
        <v>42572</v>
      </c>
      <c r="B1005">
        <v>4905.1499020000001</v>
      </c>
      <c r="C1005">
        <v>4982.9501950000003</v>
      </c>
      <c r="D1005">
        <v>4905.1499020000001</v>
      </c>
      <c r="E1005">
        <v>4971.25</v>
      </c>
      <c r="F1005" s="4">
        <f t="shared" si="106"/>
        <v>4835.3999020000001</v>
      </c>
      <c r="G1005" s="4">
        <f t="shared" si="107"/>
        <v>5133.25</v>
      </c>
      <c r="H1005" s="4">
        <f t="shared" si="108"/>
        <v>0</v>
      </c>
      <c r="I1005" s="4">
        <f t="shared" si="105"/>
        <v>-1</v>
      </c>
      <c r="J1005" s="11">
        <f t="shared" si="109"/>
        <v>0</v>
      </c>
      <c r="K1005" s="6">
        <f t="shared" si="110"/>
        <v>4923.6499020000001</v>
      </c>
      <c r="L1005" s="4">
        <f t="shared" si="111"/>
        <v>0</v>
      </c>
    </row>
    <row r="1006" spans="1:12" x14ac:dyDescent="0.25">
      <c r="A1006" s="1">
        <v>42573</v>
      </c>
      <c r="B1006">
        <v>5005.5</v>
      </c>
      <c r="C1006">
        <v>5006.0498049999997</v>
      </c>
      <c r="D1006">
        <v>4918.4501950000003</v>
      </c>
      <c r="E1006">
        <v>4945.8999020000001</v>
      </c>
      <c r="F1006" s="4">
        <f t="shared" si="106"/>
        <v>4835.3999020000001</v>
      </c>
      <c r="G1006" s="4">
        <f t="shared" si="107"/>
        <v>4971.25</v>
      </c>
      <c r="H1006" s="4">
        <f t="shared" si="108"/>
        <v>0</v>
      </c>
      <c r="I1006" s="4">
        <f t="shared" si="105"/>
        <v>-1</v>
      </c>
      <c r="J1006" s="11">
        <f t="shared" si="109"/>
        <v>0</v>
      </c>
      <c r="K1006" s="6">
        <f t="shared" si="110"/>
        <v>4923.6499020000001</v>
      </c>
      <c r="L1006" s="4">
        <f t="shared" si="111"/>
        <v>0</v>
      </c>
    </row>
    <row r="1007" spans="1:12" x14ac:dyDescent="0.25">
      <c r="A1007" s="1">
        <v>42576</v>
      </c>
      <c r="B1007">
        <v>4924.2001950000003</v>
      </c>
      <c r="C1007">
        <v>5034.25</v>
      </c>
      <c r="D1007">
        <v>4906</v>
      </c>
      <c r="E1007">
        <v>5015.4501950000003</v>
      </c>
      <c r="F1007" s="4">
        <f t="shared" si="106"/>
        <v>4835.3999020000001</v>
      </c>
      <c r="G1007" s="4">
        <f t="shared" si="107"/>
        <v>5015.4501950000003</v>
      </c>
      <c r="H1007" s="4" t="str">
        <f t="shared" si="108"/>
        <v>BUY</v>
      </c>
      <c r="I1007" s="4">
        <f t="shared" si="105"/>
        <v>1</v>
      </c>
      <c r="J1007" s="11" t="str">
        <f t="shared" si="109"/>
        <v>BUY</v>
      </c>
      <c r="K1007" s="6">
        <f t="shared" si="110"/>
        <v>5015.4501950000003</v>
      </c>
      <c r="L1007" s="4">
        <f t="shared" si="111"/>
        <v>-1.8644764519652527E-2</v>
      </c>
    </row>
    <row r="1008" spans="1:12" x14ac:dyDescent="0.25">
      <c r="A1008" s="1">
        <v>42577</v>
      </c>
      <c r="B1008">
        <v>4990.1499020000001</v>
      </c>
      <c r="C1008">
        <v>5025.5498049999997</v>
      </c>
      <c r="D1008">
        <v>4924.2998049999997</v>
      </c>
      <c r="E1008">
        <v>4943.25</v>
      </c>
      <c r="F1008" s="4">
        <f t="shared" si="106"/>
        <v>4835.3999020000001</v>
      </c>
      <c r="G1008" s="4">
        <f t="shared" si="107"/>
        <v>5015.4501950000003</v>
      </c>
      <c r="H1008" s="4">
        <f t="shared" si="108"/>
        <v>0</v>
      </c>
      <c r="I1008" s="4">
        <f t="shared" si="105"/>
        <v>1</v>
      </c>
      <c r="J1008" s="11">
        <f t="shared" si="109"/>
        <v>0</v>
      </c>
      <c r="K1008" s="6">
        <f t="shared" si="110"/>
        <v>5015.4501950000003</v>
      </c>
      <c r="L1008" s="4">
        <f t="shared" si="111"/>
        <v>0</v>
      </c>
    </row>
    <row r="1009" spans="1:12" x14ac:dyDescent="0.25">
      <c r="A1009" s="1">
        <v>42578</v>
      </c>
      <c r="B1009">
        <v>4874.3999020000001</v>
      </c>
      <c r="C1009">
        <v>4879.1499020000001</v>
      </c>
      <c r="D1009">
        <v>4823.8999020000001</v>
      </c>
      <c r="E1009">
        <v>4849.5</v>
      </c>
      <c r="F1009" s="4">
        <f t="shared" si="106"/>
        <v>4849.5</v>
      </c>
      <c r="G1009" s="4">
        <f t="shared" si="107"/>
        <v>5015.4501950000003</v>
      </c>
      <c r="H1009" s="4">
        <f t="shared" si="108"/>
        <v>0</v>
      </c>
      <c r="I1009" s="4">
        <f t="shared" si="105"/>
        <v>1</v>
      </c>
      <c r="J1009" s="11">
        <f t="shared" si="109"/>
        <v>0</v>
      </c>
      <c r="K1009" s="6">
        <f t="shared" si="110"/>
        <v>5015.4501950000003</v>
      </c>
      <c r="L1009" s="4">
        <f t="shared" si="111"/>
        <v>0</v>
      </c>
    </row>
    <row r="1010" spans="1:12" x14ac:dyDescent="0.25">
      <c r="A1010" s="1">
        <v>42579</v>
      </c>
      <c r="B1010">
        <v>4823.5</v>
      </c>
      <c r="C1010">
        <v>4869.75</v>
      </c>
      <c r="D1010">
        <v>4728.2998049999997</v>
      </c>
      <c r="E1010">
        <v>4772.1499020000001</v>
      </c>
      <c r="F1010" s="4">
        <f t="shared" si="106"/>
        <v>4772.1499020000001</v>
      </c>
      <c r="G1010" s="4">
        <f t="shared" si="107"/>
        <v>5015.4501950000003</v>
      </c>
      <c r="H1010" s="4" t="str">
        <f t="shared" si="108"/>
        <v>SELL</v>
      </c>
      <c r="I1010" s="4">
        <f t="shared" si="105"/>
        <v>-1</v>
      </c>
      <c r="J1010" s="11" t="str">
        <f t="shared" si="109"/>
        <v>SELL</v>
      </c>
      <c r="K1010" s="6">
        <f t="shared" si="110"/>
        <v>4772.1499020000001</v>
      </c>
      <c r="L1010" s="4">
        <f t="shared" si="111"/>
        <v>-4.8510160312737437E-2</v>
      </c>
    </row>
    <row r="1011" spans="1:12" x14ac:dyDescent="0.25">
      <c r="A1011" s="1">
        <v>42580</v>
      </c>
      <c r="B1011">
        <v>4791.2998049999997</v>
      </c>
      <c r="C1011">
        <v>4827.7998049999997</v>
      </c>
      <c r="D1011">
        <v>4741</v>
      </c>
      <c r="E1011">
        <v>4751.2998049999997</v>
      </c>
      <c r="F1011" s="4">
        <f t="shared" si="106"/>
        <v>4751.2998049999997</v>
      </c>
      <c r="G1011" s="4">
        <f t="shared" si="107"/>
        <v>5015.4501950000003</v>
      </c>
      <c r="H1011" s="4" t="str">
        <f t="shared" si="108"/>
        <v>SELL</v>
      </c>
      <c r="I1011" s="4">
        <f t="shared" si="105"/>
        <v>-1</v>
      </c>
      <c r="J1011" s="11">
        <f t="shared" si="109"/>
        <v>0</v>
      </c>
      <c r="K1011" s="6">
        <f t="shared" si="110"/>
        <v>4772.1499020000001</v>
      </c>
      <c r="L1011" s="4">
        <f t="shared" si="111"/>
        <v>0</v>
      </c>
    </row>
    <row r="1012" spans="1:12" x14ac:dyDescent="0.25">
      <c r="A1012" s="1">
        <v>42583</v>
      </c>
      <c r="B1012">
        <v>4751.2998049999997</v>
      </c>
      <c r="C1012">
        <v>4751.2998049999997</v>
      </c>
      <c r="D1012">
        <v>4751.2998049999997</v>
      </c>
      <c r="E1012">
        <v>4751.2998049999997</v>
      </c>
      <c r="F1012" s="4">
        <f t="shared" si="106"/>
        <v>4751.2998049999997</v>
      </c>
      <c r="G1012" s="4">
        <f t="shared" si="107"/>
        <v>4943.25</v>
      </c>
      <c r="H1012" s="4">
        <f t="shared" si="108"/>
        <v>0</v>
      </c>
      <c r="I1012" s="4">
        <f t="shared" si="105"/>
        <v>-1</v>
      </c>
      <c r="J1012" s="11">
        <f t="shared" si="109"/>
        <v>0</v>
      </c>
      <c r="K1012" s="6">
        <f t="shared" si="110"/>
        <v>4772.1499020000001</v>
      </c>
      <c r="L1012" s="4">
        <f t="shared" si="111"/>
        <v>0</v>
      </c>
    </row>
    <row r="1013" spans="1:12" x14ac:dyDescent="0.25">
      <c r="A1013" s="1">
        <v>42584</v>
      </c>
      <c r="B1013">
        <v>4883.6499020000001</v>
      </c>
      <c r="C1013">
        <v>4922.6000979999999</v>
      </c>
      <c r="D1013">
        <v>4861.2001950000003</v>
      </c>
      <c r="E1013">
        <v>4888.0498049999997</v>
      </c>
      <c r="F1013" s="4">
        <f t="shared" si="106"/>
        <v>4751.2998049999997</v>
      </c>
      <c r="G1013" s="4">
        <f t="shared" si="107"/>
        <v>4888.0498049999997</v>
      </c>
      <c r="H1013" s="4">
        <f t="shared" si="108"/>
        <v>0</v>
      </c>
      <c r="I1013" s="4">
        <f t="shared" si="105"/>
        <v>-1</v>
      </c>
      <c r="J1013" s="11">
        <f t="shared" si="109"/>
        <v>0</v>
      </c>
      <c r="K1013" s="6">
        <f t="shared" si="110"/>
        <v>4772.1499020000001</v>
      </c>
      <c r="L1013" s="4">
        <f t="shared" si="111"/>
        <v>0</v>
      </c>
    </row>
    <row r="1014" spans="1:12" x14ac:dyDescent="0.25">
      <c r="A1014" s="1">
        <v>42585</v>
      </c>
      <c r="B1014">
        <v>4886.8500979999999</v>
      </c>
      <c r="C1014">
        <v>4991.1499020000001</v>
      </c>
      <c r="D1014">
        <v>4882.0498049999997</v>
      </c>
      <c r="E1014">
        <v>4979.6000979999999</v>
      </c>
      <c r="F1014" s="4">
        <f t="shared" si="106"/>
        <v>4751.2998049999997</v>
      </c>
      <c r="G1014" s="4">
        <f t="shared" si="107"/>
        <v>4979.6000979999999</v>
      </c>
      <c r="H1014" s="4" t="str">
        <f t="shared" si="108"/>
        <v>BUY</v>
      </c>
      <c r="I1014" s="4">
        <f t="shared" si="105"/>
        <v>1</v>
      </c>
      <c r="J1014" s="11" t="str">
        <f t="shared" si="109"/>
        <v>BUY</v>
      </c>
      <c r="K1014" s="6">
        <f t="shared" si="110"/>
        <v>4979.6000979999999</v>
      </c>
      <c r="L1014" s="4">
        <f t="shared" si="111"/>
        <v>-4.3471014167651721E-2</v>
      </c>
    </row>
    <row r="1015" spans="1:12" x14ac:dyDescent="0.25">
      <c r="A1015" s="1">
        <v>42586</v>
      </c>
      <c r="B1015">
        <v>5019.8999020000001</v>
      </c>
      <c r="C1015">
        <v>5045.1000979999999</v>
      </c>
      <c r="D1015">
        <v>4964</v>
      </c>
      <c r="E1015">
        <v>4974.3500979999999</v>
      </c>
      <c r="F1015" s="4">
        <f t="shared" si="106"/>
        <v>4751.2998049999997</v>
      </c>
      <c r="G1015" s="4">
        <f t="shared" si="107"/>
        <v>4979.6000979999999</v>
      </c>
      <c r="H1015" s="4">
        <f t="shared" si="108"/>
        <v>0</v>
      </c>
      <c r="I1015" s="4">
        <f t="shared" si="105"/>
        <v>1</v>
      </c>
      <c r="J1015" s="11">
        <f t="shared" si="109"/>
        <v>0</v>
      </c>
      <c r="K1015" s="6">
        <f t="shared" si="110"/>
        <v>4979.6000979999999</v>
      </c>
      <c r="L1015" s="4">
        <f t="shared" si="111"/>
        <v>0</v>
      </c>
    </row>
    <row r="1016" spans="1:12" x14ac:dyDescent="0.25">
      <c r="A1016" s="1">
        <v>42587</v>
      </c>
      <c r="B1016">
        <v>5011.2001950000003</v>
      </c>
      <c r="C1016">
        <v>5109.7998049999997</v>
      </c>
      <c r="D1016">
        <v>4997.6499020000001</v>
      </c>
      <c r="E1016">
        <v>5099.3999020000001</v>
      </c>
      <c r="F1016" s="4">
        <f t="shared" si="106"/>
        <v>4751.2998049999997</v>
      </c>
      <c r="G1016" s="4">
        <f t="shared" si="107"/>
        <v>5099.3999020000001</v>
      </c>
      <c r="H1016" s="4" t="str">
        <f t="shared" si="108"/>
        <v>BUY</v>
      </c>
      <c r="I1016" s="4">
        <f t="shared" si="105"/>
        <v>1</v>
      </c>
      <c r="J1016" s="11">
        <f t="shared" si="109"/>
        <v>0</v>
      </c>
      <c r="K1016" s="6">
        <f t="shared" si="110"/>
        <v>4979.6000979999999</v>
      </c>
      <c r="L1016" s="4">
        <f t="shared" si="111"/>
        <v>0</v>
      </c>
    </row>
    <row r="1017" spans="1:12" x14ac:dyDescent="0.25">
      <c r="A1017" s="1">
        <v>42590</v>
      </c>
      <c r="B1017">
        <v>5130.7998049999997</v>
      </c>
      <c r="C1017">
        <v>5136.9501950000003</v>
      </c>
      <c r="D1017">
        <v>5067.6499020000001</v>
      </c>
      <c r="E1017">
        <v>5077.8500979999999</v>
      </c>
      <c r="F1017" s="4">
        <f t="shared" si="106"/>
        <v>4888.0498049999997</v>
      </c>
      <c r="G1017" s="4">
        <f t="shared" si="107"/>
        <v>5099.3999020000001</v>
      </c>
      <c r="H1017" s="4">
        <f t="shared" si="108"/>
        <v>0</v>
      </c>
      <c r="I1017" s="4">
        <f t="shared" si="105"/>
        <v>1</v>
      </c>
      <c r="J1017" s="11">
        <f t="shared" si="109"/>
        <v>0</v>
      </c>
      <c r="K1017" s="6">
        <f t="shared" si="110"/>
        <v>4979.6000979999999</v>
      </c>
      <c r="L1017" s="4">
        <f t="shared" si="111"/>
        <v>0</v>
      </c>
    </row>
    <row r="1018" spans="1:12" x14ac:dyDescent="0.25">
      <c r="A1018" s="1">
        <v>42591</v>
      </c>
      <c r="B1018">
        <v>5057.3500979999999</v>
      </c>
      <c r="C1018">
        <v>5141.3999020000001</v>
      </c>
      <c r="D1018">
        <v>5056.6000979999999</v>
      </c>
      <c r="E1018">
        <v>5132.2998049999997</v>
      </c>
      <c r="F1018" s="4">
        <f t="shared" si="106"/>
        <v>4974.3500979999999</v>
      </c>
      <c r="G1018" s="4">
        <f t="shared" si="107"/>
        <v>5132.2998049999997</v>
      </c>
      <c r="H1018" s="4" t="str">
        <f t="shared" si="108"/>
        <v>BUY</v>
      </c>
      <c r="I1018" s="4">
        <f t="shared" si="105"/>
        <v>1</v>
      </c>
      <c r="J1018" s="11">
        <f t="shared" si="109"/>
        <v>0</v>
      </c>
      <c r="K1018" s="6">
        <f t="shared" si="110"/>
        <v>4979.6000979999999</v>
      </c>
      <c r="L1018" s="4">
        <f t="shared" si="111"/>
        <v>0</v>
      </c>
    </row>
    <row r="1019" spans="1:12" x14ac:dyDescent="0.25">
      <c r="A1019" s="1">
        <v>42592</v>
      </c>
      <c r="B1019">
        <v>5156.2001950000003</v>
      </c>
      <c r="C1019">
        <v>5160.2001950000003</v>
      </c>
      <c r="D1019">
        <v>5084.5</v>
      </c>
      <c r="E1019">
        <v>5118.25</v>
      </c>
      <c r="F1019" s="4">
        <f t="shared" si="106"/>
        <v>4974.3500979999999</v>
      </c>
      <c r="G1019" s="4">
        <f t="shared" si="107"/>
        <v>5132.2998049999997</v>
      </c>
      <c r="H1019" s="4">
        <f t="shared" si="108"/>
        <v>0</v>
      </c>
      <c r="I1019" s="4">
        <f t="shared" si="105"/>
        <v>1</v>
      </c>
      <c r="J1019" s="11">
        <f t="shared" si="109"/>
        <v>0</v>
      </c>
      <c r="K1019" s="6">
        <f t="shared" si="110"/>
        <v>4979.6000979999999</v>
      </c>
      <c r="L1019" s="4">
        <f t="shared" si="111"/>
        <v>0</v>
      </c>
    </row>
    <row r="1020" spans="1:12" x14ac:dyDescent="0.25">
      <c r="A1020" s="1">
        <v>42593</v>
      </c>
      <c r="B1020">
        <v>5049.4501950000003</v>
      </c>
      <c r="C1020">
        <v>5057.5</v>
      </c>
      <c r="D1020">
        <v>5011.0498049999997</v>
      </c>
      <c r="E1020">
        <v>5037.5</v>
      </c>
      <c r="F1020" s="4">
        <f t="shared" si="106"/>
        <v>5037.5</v>
      </c>
      <c r="G1020" s="4">
        <f t="shared" si="107"/>
        <v>5132.2998049999997</v>
      </c>
      <c r="H1020" s="4">
        <f t="shared" si="108"/>
        <v>0</v>
      </c>
      <c r="I1020" s="4">
        <f t="shared" si="105"/>
        <v>1</v>
      </c>
      <c r="J1020" s="11">
        <f t="shared" si="109"/>
        <v>0</v>
      </c>
      <c r="K1020" s="6">
        <f t="shared" si="110"/>
        <v>4979.6000979999999</v>
      </c>
      <c r="L1020" s="4">
        <f t="shared" si="111"/>
        <v>0</v>
      </c>
    </row>
    <row r="1021" spans="1:12" x14ac:dyDescent="0.25">
      <c r="A1021" s="1">
        <v>42594</v>
      </c>
      <c r="B1021">
        <v>5080.4501950000003</v>
      </c>
      <c r="C1021">
        <v>5148.0498049999997</v>
      </c>
      <c r="D1021">
        <v>5075.2998049999997</v>
      </c>
      <c r="E1021">
        <v>5139.1499020000001</v>
      </c>
      <c r="F1021" s="4">
        <f t="shared" si="106"/>
        <v>5037.5</v>
      </c>
      <c r="G1021" s="4">
        <f t="shared" si="107"/>
        <v>5139.1499020000001</v>
      </c>
      <c r="H1021" s="4" t="str">
        <f t="shared" si="108"/>
        <v>BUY</v>
      </c>
      <c r="I1021" s="4">
        <f t="shared" si="105"/>
        <v>1</v>
      </c>
      <c r="J1021" s="11">
        <f t="shared" si="109"/>
        <v>0</v>
      </c>
      <c r="K1021" s="6">
        <f t="shared" si="110"/>
        <v>4979.6000979999999</v>
      </c>
      <c r="L1021" s="4">
        <f t="shared" si="111"/>
        <v>0</v>
      </c>
    </row>
    <row r="1022" spans="1:12" x14ac:dyDescent="0.25">
      <c r="A1022" s="1">
        <v>42597</v>
      </c>
      <c r="B1022">
        <v>5086.5498049999997</v>
      </c>
      <c r="C1022">
        <v>5099</v>
      </c>
      <c r="D1022">
        <v>5033.9501950000003</v>
      </c>
      <c r="E1022">
        <v>5091.8999020000001</v>
      </c>
      <c r="F1022" s="4">
        <f t="shared" si="106"/>
        <v>5037.5</v>
      </c>
      <c r="G1022" s="4">
        <f t="shared" si="107"/>
        <v>5139.1499020000001</v>
      </c>
      <c r="H1022" s="4">
        <f t="shared" si="108"/>
        <v>0</v>
      </c>
      <c r="I1022" s="4">
        <f t="shared" si="105"/>
        <v>1</v>
      </c>
      <c r="J1022" s="11">
        <f t="shared" si="109"/>
        <v>0</v>
      </c>
      <c r="K1022" s="6">
        <f t="shared" si="110"/>
        <v>4979.6000979999999</v>
      </c>
      <c r="L1022" s="4">
        <f t="shared" si="111"/>
        <v>0</v>
      </c>
    </row>
    <row r="1023" spans="1:12" x14ac:dyDescent="0.25">
      <c r="A1023" s="1">
        <v>42598</v>
      </c>
      <c r="B1023">
        <v>5106.6000979999999</v>
      </c>
      <c r="C1023">
        <v>5120.75</v>
      </c>
      <c r="D1023">
        <v>5037.9501950000003</v>
      </c>
      <c r="E1023">
        <v>5049.9501950000003</v>
      </c>
      <c r="F1023" s="4">
        <f t="shared" si="106"/>
        <v>5037.5</v>
      </c>
      <c r="G1023" s="4">
        <f t="shared" si="107"/>
        <v>5139.1499020000001</v>
      </c>
      <c r="H1023" s="4">
        <f t="shared" si="108"/>
        <v>0</v>
      </c>
      <c r="I1023" s="4">
        <f t="shared" si="105"/>
        <v>1</v>
      </c>
      <c r="J1023" s="11">
        <f t="shared" si="109"/>
        <v>0</v>
      </c>
      <c r="K1023" s="6">
        <f t="shared" si="110"/>
        <v>4979.6000979999999</v>
      </c>
      <c r="L1023" s="4">
        <f t="shared" si="111"/>
        <v>0</v>
      </c>
    </row>
    <row r="1024" spans="1:12" x14ac:dyDescent="0.25">
      <c r="A1024" s="1">
        <v>42599</v>
      </c>
      <c r="B1024">
        <v>5114.7001950000003</v>
      </c>
      <c r="C1024">
        <v>5145.6499020000001</v>
      </c>
      <c r="D1024">
        <v>5084.75</v>
      </c>
      <c r="E1024">
        <v>5098.3500979999999</v>
      </c>
      <c r="F1024" s="4">
        <f t="shared" si="106"/>
        <v>5037.5</v>
      </c>
      <c r="G1024" s="4">
        <f t="shared" si="107"/>
        <v>5139.1499020000001</v>
      </c>
      <c r="H1024" s="4">
        <f t="shared" si="108"/>
        <v>0</v>
      </c>
      <c r="I1024" s="4">
        <f t="shared" si="105"/>
        <v>1</v>
      </c>
      <c r="J1024" s="11">
        <f t="shared" si="109"/>
        <v>0</v>
      </c>
      <c r="K1024" s="6">
        <f t="shared" si="110"/>
        <v>4979.6000979999999</v>
      </c>
      <c r="L1024" s="4">
        <f t="shared" si="111"/>
        <v>0</v>
      </c>
    </row>
    <row r="1025" spans="1:12" x14ac:dyDescent="0.25">
      <c r="A1025" s="1">
        <v>42600</v>
      </c>
      <c r="B1025">
        <v>5137.8999020000001</v>
      </c>
      <c r="C1025">
        <v>5211</v>
      </c>
      <c r="D1025">
        <v>5085.5498049999997</v>
      </c>
      <c r="E1025">
        <v>5191.6000979999999</v>
      </c>
      <c r="F1025" s="4">
        <f t="shared" si="106"/>
        <v>5049.9501950000003</v>
      </c>
      <c r="G1025" s="4">
        <f t="shared" si="107"/>
        <v>5191.6000979999999</v>
      </c>
      <c r="H1025" s="4" t="str">
        <f t="shared" si="108"/>
        <v>BUY</v>
      </c>
      <c r="I1025" s="4">
        <f t="shared" si="105"/>
        <v>1</v>
      </c>
      <c r="J1025" s="11">
        <f t="shared" si="109"/>
        <v>0</v>
      </c>
      <c r="K1025" s="6">
        <f t="shared" si="110"/>
        <v>4979.6000979999999</v>
      </c>
      <c r="L1025" s="4">
        <f t="shared" si="111"/>
        <v>0</v>
      </c>
    </row>
    <row r="1026" spans="1:12" x14ac:dyDescent="0.25">
      <c r="A1026" s="1">
        <v>42601</v>
      </c>
      <c r="B1026">
        <v>5214.9501950000003</v>
      </c>
      <c r="C1026">
        <v>5219.25</v>
      </c>
      <c r="D1026">
        <v>5196.1499020000001</v>
      </c>
      <c r="E1026">
        <v>5201.7998049999997</v>
      </c>
      <c r="F1026" s="4">
        <f t="shared" si="106"/>
        <v>5049.9501950000003</v>
      </c>
      <c r="G1026" s="4">
        <f t="shared" si="107"/>
        <v>5201.7998049999997</v>
      </c>
      <c r="H1026" s="4" t="str">
        <f t="shared" si="108"/>
        <v>BUY</v>
      </c>
      <c r="I1026" s="4">
        <f t="shared" si="105"/>
        <v>1</v>
      </c>
      <c r="J1026" s="11">
        <f t="shared" si="109"/>
        <v>0</v>
      </c>
      <c r="K1026" s="6">
        <f t="shared" si="110"/>
        <v>4979.6000979999999</v>
      </c>
      <c r="L1026" s="4">
        <f t="shared" si="111"/>
        <v>0</v>
      </c>
    </row>
    <row r="1027" spans="1:12" x14ac:dyDescent="0.25">
      <c r="A1027" s="1">
        <v>42604</v>
      </c>
      <c r="B1027">
        <v>5201.7998049999997</v>
      </c>
      <c r="C1027">
        <v>5201.7998049999997</v>
      </c>
      <c r="D1027">
        <v>5201.7998049999997</v>
      </c>
      <c r="E1027">
        <v>5201.7998049999997</v>
      </c>
      <c r="F1027" s="4">
        <f t="shared" si="106"/>
        <v>5049.9501950000003</v>
      </c>
      <c r="G1027" s="4">
        <f t="shared" si="107"/>
        <v>5201.7998049999997</v>
      </c>
      <c r="H1027" s="4">
        <f t="shared" si="108"/>
        <v>0</v>
      </c>
      <c r="I1027" s="4">
        <f t="shared" si="105"/>
        <v>1</v>
      </c>
      <c r="J1027" s="11">
        <f t="shared" si="109"/>
        <v>0</v>
      </c>
      <c r="K1027" s="6">
        <f t="shared" si="110"/>
        <v>4979.6000979999999</v>
      </c>
      <c r="L1027" s="4">
        <f t="shared" si="111"/>
        <v>0</v>
      </c>
    </row>
    <row r="1028" spans="1:12" x14ac:dyDescent="0.25">
      <c r="A1028" s="1">
        <v>42605</v>
      </c>
      <c r="B1028">
        <v>5341.8999020000001</v>
      </c>
      <c r="C1028">
        <v>5399.7001950000003</v>
      </c>
      <c r="D1028">
        <v>5322.7998049999997</v>
      </c>
      <c r="E1028">
        <v>5360.7001950000003</v>
      </c>
      <c r="F1028" s="4">
        <f t="shared" si="106"/>
        <v>5098.3500979999999</v>
      </c>
      <c r="G1028" s="4">
        <f t="shared" si="107"/>
        <v>5360.7001950000003</v>
      </c>
      <c r="H1028" s="4" t="str">
        <f t="shared" si="108"/>
        <v>BUY</v>
      </c>
      <c r="I1028" s="4">
        <f t="shared" si="105"/>
        <v>1</v>
      </c>
      <c r="J1028" s="11">
        <f t="shared" si="109"/>
        <v>0</v>
      </c>
      <c r="K1028" s="6">
        <f t="shared" si="110"/>
        <v>4979.6000979999999</v>
      </c>
      <c r="L1028" s="4">
        <f t="shared" si="111"/>
        <v>0</v>
      </c>
    </row>
    <row r="1029" spans="1:12" x14ac:dyDescent="0.25">
      <c r="A1029" s="1">
        <v>42606</v>
      </c>
      <c r="B1029">
        <v>5358.8999020000001</v>
      </c>
      <c r="C1029">
        <v>5360.25</v>
      </c>
      <c r="D1029">
        <v>5314.6000979999999</v>
      </c>
      <c r="E1029">
        <v>5326.6000979999999</v>
      </c>
      <c r="F1029" s="4">
        <f t="shared" si="106"/>
        <v>5191.6000979999999</v>
      </c>
      <c r="G1029" s="4">
        <f t="shared" si="107"/>
        <v>5360.7001950000003</v>
      </c>
      <c r="H1029" s="4">
        <f t="shared" si="108"/>
        <v>0</v>
      </c>
      <c r="I1029" s="4">
        <f t="shared" si="105"/>
        <v>1</v>
      </c>
      <c r="J1029" s="11">
        <f t="shared" si="109"/>
        <v>0</v>
      </c>
      <c r="K1029" s="6">
        <f t="shared" si="110"/>
        <v>4979.6000979999999</v>
      </c>
      <c r="L1029" s="4">
        <f t="shared" si="111"/>
        <v>0</v>
      </c>
    </row>
    <row r="1030" spans="1:12" x14ac:dyDescent="0.25">
      <c r="A1030" s="1">
        <v>42607</v>
      </c>
      <c r="B1030">
        <v>5278.6000979999999</v>
      </c>
      <c r="C1030">
        <v>5310.8500979999999</v>
      </c>
      <c r="D1030">
        <v>5238.2998049999997</v>
      </c>
      <c r="E1030">
        <v>5257.9501950000003</v>
      </c>
      <c r="F1030" s="4">
        <f t="shared" si="106"/>
        <v>5201.7998049999997</v>
      </c>
      <c r="G1030" s="4">
        <f t="shared" si="107"/>
        <v>5360.7001950000003</v>
      </c>
      <c r="H1030" s="4">
        <f t="shared" si="108"/>
        <v>0</v>
      </c>
      <c r="I1030" s="4">
        <f t="shared" ref="I1030:I1093" si="112">IF(AND(H1030="BUY",I1029&lt;&gt;1),1,IF(AND(H1030="SELL",I1029&lt;&gt;-1),-1,I1029))</f>
        <v>1</v>
      </c>
      <c r="J1030" s="11">
        <f t="shared" si="109"/>
        <v>0</v>
      </c>
      <c r="K1030" s="6">
        <f t="shared" si="110"/>
        <v>4979.6000979999999</v>
      </c>
      <c r="L1030" s="4">
        <f t="shared" si="111"/>
        <v>0</v>
      </c>
    </row>
    <row r="1031" spans="1:12" x14ac:dyDescent="0.25">
      <c r="A1031" s="1">
        <v>42608</v>
      </c>
      <c r="B1031">
        <v>5216.75</v>
      </c>
      <c r="C1031">
        <v>5300.1000979999999</v>
      </c>
      <c r="D1031">
        <v>5204.9501950000003</v>
      </c>
      <c r="E1031">
        <v>5258.4501950000003</v>
      </c>
      <c r="F1031" s="4">
        <f t="shared" ref="F1031:F1094" si="113">MIN(E1027:E1031)</f>
        <v>5201.7998049999997</v>
      </c>
      <c r="G1031" s="4">
        <f t="shared" ref="G1031:G1094" si="114">MAX(E1027:E1031)</f>
        <v>5360.7001950000003</v>
      </c>
      <c r="H1031" s="4">
        <f t="shared" ref="H1031:H1094" si="115">IF(E1031&gt;G1030,"BUY",IF(E1031&lt;F1030,"SELL",0))</f>
        <v>0</v>
      </c>
      <c r="I1031" s="4">
        <f t="shared" si="112"/>
        <v>1</v>
      </c>
      <c r="J1031" s="11">
        <f t="shared" ref="J1031:J1094" si="116">IF(I1031&lt;&gt;I1030,H1031,0)</f>
        <v>0</v>
      </c>
      <c r="K1031" s="6">
        <f t="shared" ref="K1031:K1094" si="117">IF(J1031&lt;&gt;0,E1031,K1030)</f>
        <v>4979.6000979999999</v>
      </c>
      <c r="L1031" s="4">
        <f t="shared" si="111"/>
        <v>0</v>
      </c>
    </row>
    <row r="1032" spans="1:12" x14ac:dyDescent="0.25">
      <c r="A1032" s="1">
        <v>42611</v>
      </c>
      <c r="B1032">
        <v>5241.5498049999997</v>
      </c>
      <c r="C1032">
        <v>5281.6000979999999</v>
      </c>
      <c r="D1032">
        <v>5201.8500979999999</v>
      </c>
      <c r="E1032">
        <v>5265.75</v>
      </c>
      <c r="F1032" s="4">
        <f t="shared" si="113"/>
        <v>5257.9501950000003</v>
      </c>
      <c r="G1032" s="4">
        <f t="shared" si="114"/>
        <v>5360.7001950000003</v>
      </c>
      <c r="H1032" s="4">
        <f t="shared" si="115"/>
        <v>0</v>
      </c>
      <c r="I1032" s="4">
        <f t="shared" si="112"/>
        <v>1</v>
      </c>
      <c r="J1032" s="11">
        <f t="shared" si="116"/>
        <v>0</v>
      </c>
      <c r="K1032" s="6">
        <f t="shared" si="117"/>
        <v>4979.6000979999999</v>
      </c>
      <c r="L1032" s="4">
        <f t="shared" ref="L1032:L1095" si="118">IF(J1032="BUY",(K1031-K1032)/K1031,IF(J1032="SELL",(K1033-K1031)/K1031,0))</f>
        <v>0</v>
      </c>
    </row>
    <row r="1033" spans="1:12" x14ac:dyDescent="0.25">
      <c r="A1033" s="1">
        <v>42612</v>
      </c>
      <c r="B1033">
        <v>5325.3999020000001</v>
      </c>
      <c r="C1033">
        <v>5326.4501950000003</v>
      </c>
      <c r="D1033">
        <v>5256.7998049999997</v>
      </c>
      <c r="E1033">
        <v>5284.2001950000003</v>
      </c>
      <c r="F1033" s="4">
        <f t="shared" si="113"/>
        <v>5257.9501950000003</v>
      </c>
      <c r="G1033" s="4">
        <f t="shared" si="114"/>
        <v>5326.6000979999999</v>
      </c>
      <c r="H1033" s="4">
        <f t="shared" si="115"/>
        <v>0</v>
      </c>
      <c r="I1033" s="4">
        <f t="shared" si="112"/>
        <v>1</v>
      </c>
      <c r="J1033" s="11">
        <f t="shared" si="116"/>
        <v>0</v>
      </c>
      <c r="K1033" s="6">
        <f t="shared" si="117"/>
        <v>4979.6000979999999</v>
      </c>
      <c r="L1033" s="4">
        <f t="shared" si="118"/>
        <v>0</v>
      </c>
    </row>
    <row r="1034" spans="1:12" x14ac:dyDescent="0.25">
      <c r="A1034" s="1">
        <v>42613</v>
      </c>
      <c r="B1034">
        <v>5284.2001950000003</v>
      </c>
      <c r="C1034">
        <v>5284.2001950000003</v>
      </c>
      <c r="D1034">
        <v>5284.2001950000003</v>
      </c>
      <c r="E1034">
        <v>5284.2001950000003</v>
      </c>
      <c r="F1034" s="4">
        <f t="shared" si="113"/>
        <v>5257.9501950000003</v>
      </c>
      <c r="G1034" s="4">
        <f t="shared" si="114"/>
        <v>5284.2001950000003</v>
      </c>
      <c r="H1034" s="4">
        <f t="shared" si="115"/>
        <v>0</v>
      </c>
      <c r="I1034" s="4">
        <f t="shared" si="112"/>
        <v>1</v>
      </c>
      <c r="J1034" s="11">
        <f t="shared" si="116"/>
        <v>0</v>
      </c>
      <c r="K1034" s="6">
        <f t="shared" si="117"/>
        <v>4979.6000979999999</v>
      </c>
      <c r="L1034" s="4">
        <f t="shared" si="118"/>
        <v>0</v>
      </c>
    </row>
    <row r="1035" spans="1:12" x14ac:dyDescent="0.25">
      <c r="A1035" s="1">
        <v>42614</v>
      </c>
      <c r="B1035">
        <v>5292.25</v>
      </c>
      <c r="C1035">
        <v>5304.25</v>
      </c>
      <c r="D1035">
        <v>5252</v>
      </c>
      <c r="E1035">
        <v>5289.3500979999999</v>
      </c>
      <c r="F1035" s="4">
        <f t="shared" si="113"/>
        <v>5258.4501950000003</v>
      </c>
      <c r="G1035" s="4">
        <f t="shared" si="114"/>
        <v>5289.3500979999999</v>
      </c>
      <c r="H1035" s="4" t="str">
        <f t="shared" si="115"/>
        <v>BUY</v>
      </c>
      <c r="I1035" s="4">
        <f t="shared" si="112"/>
        <v>1</v>
      </c>
      <c r="J1035" s="11">
        <f t="shared" si="116"/>
        <v>0</v>
      </c>
      <c r="K1035" s="6">
        <f t="shared" si="117"/>
        <v>4979.6000979999999</v>
      </c>
      <c r="L1035" s="4">
        <f t="shared" si="118"/>
        <v>0</v>
      </c>
    </row>
    <row r="1036" spans="1:12" x14ac:dyDescent="0.25">
      <c r="A1036" s="1">
        <v>42615</v>
      </c>
      <c r="B1036">
        <v>5309.7001950000003</v>
      </c>
      <c r="C1036">
        <v>5317.5</v>
      </c>
      <c r="D1036">
        <v>5211.75</v>
      </c>
      <c r="E1036">
        <v>5221.0498049999997</v>
      </c>
      <c r="F1036" s="4">
        <f t="shared" si="113"/>
        <v>5221.0498049999997</v>
      </c>
      <c r="G1036" s="4">
        <f t="shared" si="114"/>
        <v>5289.3500979999999</v>
      </c>
      <c r="H1036" s="4" t="str">
        <f t="shared" si="115"/>
        <v>SELL</v>
      </c>
      <c r="I1036" s="4">
        <f t="shared" si="112"/>
        <v>-1</v>
      </c>
      <c r="J1036" s="11" t="str">
        <f t="shared" si="116"/>
        <v>SELL</v>
      </c>
      <c r="K1036" s="6">
        <f t="shared" si="117"/>
        <v>5221.0498049999997</v>
      </c>
      <c r="L1036" s="4">
        <f t="shared" si="118"/>
        <v>4.8487770553497921E-2</v>
      </c>
    </row>
    <row r="1037" spans="1:12" x14ac:dyDescent="0.25">
      <c r="A1037" s="1">
        <v>42618</v>
      </c>
      <c r="B1037">
        <v>5221.0498049999997</v>
      </c>
      <c r="C1037">
        <v>5221.0498049999997</v>
      </c>
      <c r="D1037">
        <v>5221.0498049999997</v>
      </c>
      <c r="E1037">
        <v>5221.0498049999997</v>
      </c>
      <c r="F1037" s="4">
        <f t="shared" si="113"/>
        <v>5221.0498049999997</v>
      </c>
      <c r="G1037" s="4">
        <f t="shared" si="114"/>
        <v>5289.3500979999999</v>
      </c>
      <c r="H1037" s="4">
        <f t="shared" si="115"/>
        <v>0</v>
      </c>
      <c r="I1037" s="4">
        <f t="shared" si="112"/>
        <v>-1</v>
      </c>
      <c r="J1037" s="11">
        <f t="shared" si="116"/>
        <v>0</v>
      </c>
      <c r="K1037" s="6">
        <f t="shared" si="117"/>
        <v>5221.0498049999997</v>
      </c>
      <c r="L1037" s="4">
        <f t="shared" si="118"/>
        <v>0</v>
      </c>
    </row>
    <row r="1038" spans="1:12" x14ac:dyDescent="0.25">
      <c r="A1038" s="1">
        <v>42619</v>
      </c>
      <c r="B1038">
        <v>5159.75</v>
      </c>
      <c r="C1038">
        <v>5198.6000979999999</v>
      </c>
      <c r="D1038">
        <v>5142.25</v>
      </c>
      <c r="E1038">
        <v>5168.8500979999999</v>
      </c>
      <c r="F1038" s="4">
        <f t="shared" si="113"/>
        <v>5168.8500979999999</v>
      </c>
      <c r="G1038" s="4">
        <f t="shared" si="114"/>
        <v>5289.3500979999999</v>
      </c>
      <c r="H1038" s="4" t="str">
        <f t="shared" si="115"/>
        <v>SELL</v>
      </c>
      <c r="I1038" s="4">
        <f t="shared" si="112"/>
        <v>-1</v>
      </c>
      <c r="J1038" s="11">
        <f t="shared" si="116"/>
        <v>0</v>
      </c>
      <c r="K1038" s="6">
        <f t="shared" si="117"/>
        <v>5221.0498049999997</v>
      </c>
      <c r="L1038" s="4">
        <f t="shared" si="118"/>
        <v>0</v>
      </c>
    </row>
    <row r="1039" spans="1:12" x14ac:dyDescent="0.25">
      <c r="A1039" s="1">
        <v>42620</v>
      </c>
      <c r="B1039">
        <v>5217.3500979999999</v>
      </c>
      <c r="C1039">
        <v>5228.8999020000001</v>
      </c>
      <c r="D1039">
        <v>5140.5498049999997</v>
      </c>
      <c r="E1039">
        <v>5148.3500979999999</v>
      </c>
      <c r="F1039" s="4">
        <f t="shared" si="113"/>
        <v>5148.3500979999999</v>
      </c>
      <c r="G1039" s="4">
        <f t="shared" si="114"/>
        <v>5289.3500979999999</v>
      </c>
      <c r="H1039" s="4" t="str">
        <f t="shared" si="115"/>
        <v>SELL</v>
      </c>
      <c r="I1039" s="4">
        <f t="shared" si="112"/>
        <v>-1</v>
      </c>
      <c r="J1039" s="11">
        <f t="shared" si="116"/>
        <v>0</v>
      </c>
      <c r="K1039" s="6">
        <f t="shared" si="117"/>
        <v>5221.0498049999997</v>
      </c>
      <c r="L1039" s="4">
        <f t="shared" si="118"/>
        <v>0</v>
      </c>
    </row>
    <row r="1040" spans="1:12" x14ac:dyDescent="0.25">
      <c r="A1040" s="1">
        <v>42621</v>
      </c>
      <c r="B1040">
        <v>5131.2001950000003</v>
      </c>
      <c r="C1040">
        <v>5158.75</v>
      </c>
      <c r="D1040">
        <v>5052.8500979999999</v>
      </c>
      <c r="E1040">
        <v>5068.5</v>
      </c>
      <c r="F1040" s="4">
        <f t="shared" si="113"/>
        <v>5068.5</v>
      </c>
      <c r="G1040" s="4">
        <f t="shared" si="114"/>
        <v>5221.0498049999997</v>
      </c>
      <c r="H1040" s="4" t="str">
        <f t="shared" si="115"/>
        <v>SELL</v>
      </c>
      <c r="I1040" s="4">
        <f t="shared" si="112"/>
        <v>-1</v>
      </c>
      <c r="J1040" s="11">
        <f t="shared" si="116"/>
        <v>0</v>
      </c>
      <c r="K1040" s="6">
        <f t="shared" si="117"/>
        <v>5221.0498049999997</v>
      </c>
      <c r="L1040" s="4">
        <f t="shared" si="118"/>
        <v>0</v>
      </c>
    </row>
    <row r="1041" spans="1:12" x14ac:dyDescent="0.25">
      <c r="A1041" s="1">
        <v>42622</v>
      </c>
      <c r="B1041">
        <v>5059.1000979999999</v>
      </c>
      <c r="C1041">
        <v>5065.2001950000003</v>
      </c>
      <c r="D1041">
        <v>4989.5</v>
      </c>
      <c r="E1041">
        <v>5030.4501950000003</v>
      </c>
      <c r="F1041" s="4">
        <f t="shared" si="113"/>
        <v>5030.4501950000003</v>
      </c>
      <c r="G1041" s="4">
        <f t="shared" si="114"/>
        <v>5221.0498049999997</v>
      </c>
      <c r="H1041" s="4" t="str">
        <f t="shared" si="115"/>
        <v>SELL</v>
      </c>
      <c r="I1041" s="4">
        <f t="shared" si="112"/>
        <v>-1</v>
      </c>
      <c r="J1041" s="11">
        <f t="shared" si="116"/>
        <v>0</v>
      </c>
      <c r="K1041" s="6">
        <f t="shared" si="117"/>
        <v>5221.0498049999997</v>
      </c>
      <c r="L1041" s="4">
        <f t="shared" si="118"/>
        <v>0</v>
      </c>
    </row>
    <row r="1042" spans="1:12" x14ac:dyDescent="0.25">
      <c r="A1042" s="1">
        <v>42625</v>
      </c>
      <c r="B1042">
        <v>5027.1000979999999</v>
      </c>
      <c r="C1042">
        <v>5036.7998049999997</v>
      </c>
      <c r="D1042">
        <v>4919.4501950000003</v>
      </c>
      <c r="E1042">
        <v>4934.75</v>
      </c>
      <c r="F1042" s="4">
        <f t="shared" si="113"/>
        <v>4934.75</v>
      </c>
      <c r="G1042" s="4">
        <f t="shared" si="114"/>
        <v>5168.8500979999999</v>
      </c>
      <c r="H1042" s="4" t="str">
        <f t="shared" si="115"/>
        <v>SELL</v>
      </c>
      <c r="I1042" s="4">
        <f t="shared" si="112"/>
        <v>-1</v>
      </c>
      <c r="J1042" s="11">
        <f t="shared" si="116"/>
        <v>0</v>
      </c>
      <c r="K1042" s="6">
        <f t="shared" si="117"/>
        <v>5221.0498049999997</v>
      </c>
      <c r="L1042" s="4">
        <f t="shared" si="118"/>
        <v>0</v>
      </c>
    </row>
    <row r="1043" spans="1:12" x14ac:dyDescent="0.25">
      <c r="A1043" s="1">
        <v>42626</v>
      </c>
      <c r="B1043">
        <v>4899.1499020000001</v>
      </c>
      <c r="C1043">
        <v>4915.8999020000001</v>
      </c>
      <c r="D1043">
        <v>4837.9501950000003</v>
      </c>
      <c r="E1043">
        <v>4905.7998049999997</v>
      </c>
      <c r="F1043" s="4">
        <f t="shared" si="113"/>
        <v>4905.7998049999997</v>
      </c>
      <c r="G1043" s="4">
        <f t="shared" si="114"/>
        <v>5148.3500979999999</v>
      </c>
      <c r="H1043" s="4" t="str">
        <f t="shared" si="115"/>
        <v>SELL</v>
      </c>
      <c r="I1043" s="4">
        <f t="shared" si="112"/>
        <v>-1</v>
      </c>
      <c r="J1043" s="11">
        <f t="shared" si="116"/>
        <v>0</v>
      </c>
      <c r="K1043" s="6">
        <f t="shared" si="117"/>
        <v>5221.0498049999997</v>
      </c>
      <c r="L1043" s="4">
        <f t="shared" si="118"/>
        <v>0</v>
      </c>
    </row>
    <row r="1044" spans="1:12" x14ac:dyDescent="0.25">
      <c r="A1044" s="1">
        <v>42627</v>
      </c>
      <c r="B1044">
        <v>4873.7998049999997</v>
      </c>
      <c r="C1044">
        <v>4873.7998049999997</v>
      </c>
      <c r="D1044">
        <v>4764.7998049999997</v>
      </c>
      <c r="E1044">
        <v>4778.3500979999999</v>
      </c>
      <c r="F1044" s="4">
        <f t="shared" si="113"/>
        <v>4778.3500979999999</v>
      </c>
      <c r="G1044" s="4">
        <f t="shared" si="114"/>
        <v>5068.5</v>
      </c>
      <c r="H1044" s="4" t="str">
        <f t="shared" si="115"/>
        <v>SELL</v>
      </c>
      <c r="I1044" s="4">
        <f t="shared" si="112"/>
        <v>-1</v>
      </c>
      <c r="J1044" s="11">
        <f t="shared" si="116"/>
        <v>0</v>
      </c>
      <c r="K1044" s="6">
        <f t="shared" si="117"/>
        <v>5221.0498049999997</v>
      </c>
      <c r="L1044" s="4">
        <f t="shared" si="118"/>
        <v>0</v>
      </c>
    </row>
    <row r="1045" spans="1:12" x14ac:dyDescent="0.25">
      <c r="A1045" s="1">
        <v>42628</v>
      </c>
      <c r="B1045">
        <v>4794.8500979999999</v>
      </c>
      <c r="C1045">
        <v>4854</v>
      </c>
      <c r="D1045">
        <v>4782.5498049999997</v>
      </c>
      <c r="E1045">
        <v>4812.3500979999999</v>
      </c>
      <c r="F1045" s="4">
        <f t="shared" si="113"/>
        <v>4778.3500979999999</v>
      </c>
      <c r="G1045" s="4">
        <f t="shared" si="114"/>
        <v>5030.4501950000003</v>
      </c>
      <c r="H1045" s="4">
        <f t="shared" si="115"/>
        <v>0</v>
      </c>
      <c r="I1045" s="4">
        <f t="shared" si="112"/>
        <v>-1</v>
      </c>
      <c r="J1045" s="11">
        <f t="shared" si="116"/>
        <v>0</v>
      </c>
      <c r="K1045" s="6">
        <f t="shared" si="117"/>
        <v>5221.0498049999997</v>
      </c>
      <c r="L1045" s="4">
        <f t="shared" si="118"/>
        <v>0</v>
      </c>
    </row>
    <row r="1046" spans="1:12" x14ac:dyDescent="0.25">
      <c r="A1046" s="1">
        <v>42629</v>
      </c>
      <c r="B1046">
        <v>4779.5</v>
      </c>
      <c r="C1046">
        <v>4779.5</v>
      </c>
      <c r="D1046">
        <v>4640.9501950000003</v>
      </c>
      <c r="E1046">
        <v>4706.4501950000003</v>
      </c>
      <c r="F1046" s="4">
        <f t="shared" si="113"/>
        <v>4706.4501950000003</v>
      </c>
      <c r="G1046" s="4">
        <f t="shared" si="114"/>
        <v>4934.75</v>
      </c>
      <c r="H1046" s="4" t="str">
        <f t="shared" si="115"/>
        <v>SELL</v>
      </c>
      <c r="I1046" s="4">
        <f t="shared" si="112"/>
        <v>-1</v>
      </c>
      <c r="J1046" s="11">
        <f t="shared" si="116"/>
        <v>0</v>
      </c>
      <c r="K1046" s="6">
        <f t="shared" si="117"/>
        <v>5221.0498049999997</v>
      </c>
      <c r="L1046" s="4">
        <f t="shared" si="118"/>
        <v>0</v>
      </c>
    </row>
    <row r="1047" spans="1:12" x14ac:dyDescent="0.25">
      <c r="A1047" s="1">
        <v>42632</v>
      </c>
      <c r="B1047">
        <v>4731.2998049999997</v>
      </c>
      <c r="C1047">
        <v>4767.2998049999997</v>
      </c>
      <c r="D1047">
        <v>4693.1000979999999</v>
      </c>
      <c r="E1047">
        <v>4710.0498049999997</v>
      </c>
      <c r="F1047" s="4">
        <f t="shared" si="113"/>
        <v>4706.4501950000003</v>
      </c>
      <c r="G1047" s="4">
        <f t="shared" si="114"/>
        <v>4905.7998049999997</v>
      </c>
      <c r="H1047" s="4">
        <f t="shared" si="115"/>
        <v>0</v>
      </c>
      <c r="I1047" s="4">
        <f t="shared" si="112"/>
        <v>-1</v>
      </c>
      <c r="J1047" s="11">
        <f t="shared" si="116"/>
        <v>0</v>
      </c>
      <c r="K1047" s="6">
        <f t="shared" si="117"/>
        <v>5221.0498049999997</v>
      </c>
      <c r="L1047" s="4">
        <f t="shared" si="118"/>
        <v>0</v>
      </c>
    </row>
    <row r="1048" spans="1:12" x14ac:dyDescent="0.25">
      <c r="A1048" s="1">
        <v>42633</v>
      </c>
      <c r="B1048">
        <v>4769.2998049999997</v>
      </c>
      <c r="C1048">
        <v>4859.1000979999999</v>
      </c>
      <c r="D1048">
        <v>4766.3999020000001</v>
      </c>
      <c r="E1048">
        <v>4851.2998049999997</v>
      </c>
      <c r="F1048" s="4">
        <f t="shared" si="113"/>
        <v>4706.4501950000003</v>
      </c>
      <c r="G1048" s="4">
        <f t="shared" si="114"/>
        <v>4851.2998049999997</v>
      </c>
      <c r="H1048" s="4">
        <f t="shared" si="115"/>
        <v>0</v>
      </c>
      <c r="I1048" s="4">
        <f t="shared" si="112"/>
        <v>-1</v>
      </c>
      <c r="J1048" s="11">
        <f t="shared" si="116"/>
        <v>0</v>
      </c>
      <c r="K1048" s="6">
        <f t="shared" si="117"/>
        <v>5221.0498049999997</v>
      </c>
      <c r="L1048" s="4">
        <f t="shared" si="118"/>
        <v>0</v>
      </c>
    </row>
    <row r="1049" spans="1:12" x14ac:dyDescent="0.25">
      <c r="A1049" s="1">
        <v>42634</v>
      </c>
      <c r="B1049">
        <v>4864.2001950000003</v>
      </c>
      <c r="C1049">
        <v>4866.1000979999999</v>
      </c>
      <c r="D1049">
        <v>4787.1000979999999</v>
      </c>
      <c r="E1049">
        <v>4805.1000979999999</v>
      </c>
      <c r="F1049" s="4">
        <f t="shared" si="113"/>
        <v>4706.4501950000003</v>
      </c>
      <c r="G1049" s="4">
        <f t="shared" si="114"/>
        <v>4851.2998049999997</v>
      </c>
      <c r="H1049" s="4">
        <f t="shared" si="115"/>
        <v>0</v>
      </c>
      <c r="I1049" s="4">
        <f t="shared" si="112"/>
        <v>-1</v>
      </c>
      <c r="J1049" s="11">
        <f t="shared" si="116"/>
        <v>0</v>
      </c>
      <c r="K1049" s="6">
        <f t="shared" si="117"/>
        <v>5221.0498049999997</v>
      </c>
      <c r="L1049" s="4">
        <f t="shared" si="118"/>
        <v>0</v>
      </c>
    </row>
    <row r="1050" spans="1:12" x14ac:dyDescent="0.25">
      <c r="A1050" s="1">
        <v>42635</v>
      </c>
      <c r="B1050">
        <v>4766.1499020000001</v>
      </c>
      <c r="C1050">
        <v>4851.5498049999997</v>
      </c>
      <c r="D1050">
        <v>4754.7998049999997</v>
      </c>
      <c r="E1050">
        <v>4832.0498049999997</v>
      </c>
      <c r="F1050" s="4">
        <f t="shared" si="113"/>
        <v>4706.4501950000003</v>
      </c>
      <c r="G1050" s="4">
        <f t="shared" si="114"/>
        <v>4851.2998049999997</v>
      </c>
      <c r="H1050" s="4">
        <f t="shared" si="115"/>
        <v>0</v>
      </c>
      <c r="I1050" s="4">
        <f t="shared" si="112"/>
        <v>-1</v>
      </c>
      <c r="J1050" s="11">
        <f t="shared" si="116"/>
        <v>0</v>
      </c>
      <c r="K1050" s="6">
        <f t="shared" si="117"/>
        <v>5221.0498049999997</v>
      </c>
      <c r="L1050" s="4">
        <f t="shared" si="118"/>
        <v>0</v>
      </c>
    </row>
    <row r="1051" spans="1:12" x14ac:dyDescent="0.25">
      <c r="A1051" s="1">
        <v>42636</v>
      </c>
      <c r="B1051">
        <v>4970.8500979999999</v>
      </c>
      <c r="C1051">
        <v>5011.8999020000001</v>
      </c>
      <c r="D1051">
        <v>4916.7001950000003</v>
      </c>
      <c r="E1051">
        <v>4936.8500979999999</v>
      </c>
      <c r="F1051" s="4">
        <f t="shared" si="113"/>
        <v>4710.0498049999997</v>
      </c>
      <c r="G1051" s="4">
        <f t="shared" si="114"/>
        <v>4936.8500979999999</v>
      </c>
      <c r="H1051" s="4" t="str">
        <f t="shared" si="115"/>
        <v>BUY</v>
      </c>
      <c r="I1051" s="4">
        <f t="shared" si="112"/>
        <v>1</v>
      </c>
      <c r="J1051" s="11" t="str">
        <f t="shared" si="116"/>
        <v>BUY</v>
      </c>
      <c r="K1051" s="6">
        <f t="shared" si="117"/>
        <v>4936.8500979999999</v>
      </c>
      <c r="L1051" s="4">
        <f t="shared" si="118"/>
        <v>5.4433441092217233E-2</v>
      </c>
    </row>
    <row r="1052" spans="1:12" x14ac:dyDescent="0.25">
      <c r="A1052" s="1">
        <v>42639</v>
      </c>
      <c r="B1052">
        <v>4940.8500979999999</v>
      </c>
      <c r="C1052">
        <v>5062.5498049999997</v>
      </c>
      <c r="D1052">
        <v>4918.3999020000001</v>
      </c>
      <c r="E1052">
        <v>5050.1499020000001</v>
      </c>
      <c r="F1052" s="4">
        <f t="shared" si="113"/>
        <v>4805.1000979999999</v>
      </c>
      <c r="G1052" s="4">
        <f t="shared" si="114"/>
        <v>5050.1499020000001</v>
      </c>
      <c r="H1052" s="4" t="str">
        <f t="shared" si="115"/>
        <v>BUY</v>
      </c>
      <c r="I1052" s="4">
        <f t="shared" si="112"/>
        <v>1</v>
      </c>
      <c r="J1052" s="11">
        <f t="shared" si="116"/>
        <v>0</v>
      </c>
      <c r="K1052" s="6">
        <f t="shared" si="117"/>
        <v>4936.8500979999999</v>
      </c>
      <c r="L1052" s="4">
        <f t="shared" si="118"/>
        <v>0</v>
      </c>
    </row>
    <row r="1053" spans="1:12" x14ac:dyDescent="0.25">
      <c r="A1053" s="1">
        <v>42640</v>
      </c>
      <c r="B1053">
        <v>5036.5</v>
      </c>
      <c r="C1053">
        <v>5055.3999020000001</v>
      </c>
      <c r="D1053">
        <v>5002.5498049999997</v>
      </c>
      <c r="E1053">
        <v>5039.1499020000001</v>
      </c>
      <c r="F1053" s="4">
        <f t="shared" si="113"/>
        <v>4805.1000979999999</v>
      </c>
      <c r="G1053" s="4">
        <f t="shared" si="114"/>
        <v>5050.1499020000001</v>
      </c>
      <c r="H1053" s="4">
        <f t="shared" si="115"/>
        <v>0</v>
      </c>
      <c r="I1053" s="4">
        <f t="shared" si="112"/>
        <v>1</v>
      </c>
      <c r="J1053" s="11">
        <f t="shared" si="116"/>
        <v>0</v>
      </c>
      <c r="K1053" s="6">
        <f t="shared" si="117"/>
        <v>4936.8500979999999</v>
      </c>
      <c r="L1053" s="4">
        <f t="shared" si="118"/>
        <v>0</v>
      </c>
    </row>
    <row r="1054" spans="1:12" x14ac:dyDescent="0.25">
      <c r="A1054" s="1">
        <v>42641</v>
      </c>
      <c r="B1054">
        <v>5039.1499020000001</v>
      </c>
      <c r="C1054">
        <v>5039.1499020000001</v>
      </c>
      <c r="D1054">
        <v>5039.1499020000001</v>
      </c>
      <c r="E1054">
        <v>5039.1499020000001</v>
      </c>
      <c r="F1054" s="4">
        <f t="shared" si="113"/>
        <v>4832.0498049999997</v>
      </c>
      <c r="G1054" s="4">
        <f t="shared" si="114"/>
        <v>5050.1499020000001</v>
      </c>
      <c r="H1054" s="4">
        <f t="shared" si="115"/>
        <v>0</v>
      </c>
      <c r="I1054" s="4">
        <f t="shared" si="112"/>
        <v>1</v>
      </c>
      <c r="J1054" s="11">
        <f t="shared" si="116"/>
        <v>0</v>
      </c>
      <c r="K1054" s="6">
        <f t="shared" si="117"/>
        <v>4936.8500979999999</v>
      </c>
      <c r="L1054" s="4">
        <f t="shared" si="118"/>
        <v>0</v>
      </c>
    </row>
    <row r="1055" spans="1:12" x14ac:dyDescent="0.25">
      <c r="A1055" s="1">
        <v>42642</v>
      </c>
      <c r="B1055">
        <v>5050.1000979999999</v>
      </c>
      <c r="C1055">
        <v>5099.25</v>
      </c>
      <c r="D1055">
        <v>5032.25</v>
      </c>
      <c r="E1055">
        <v>5062.6000979999999</v>
      </c>
      <c r="F1055" s="4">
        <f t="shared" si="113"/>
        <v>4936.8500979999999</v>
      </c>
      <c r="G1055" s="4">
        <f t="shared" si="114"/>
        <v>5062.6000979999999</v>
      </c>
      <c r="H1055" s="4" t="str">
        <f t="shared" si="115"/>
        <v>BUY</v>
      </c>
      <c r="I1055" s="4">
        <f t="shared" si="112"/>
        <v>1</v>
      </c>
      <c r="J1055" s="11">
        <f t="shared" si="116"/>
        <v>0</v>
      </c>
      <c r="K1055" s="6">
        <f t="shared" si="117"/>
        <v>4936.8500979999999</v>
      </c>
      <c r="L1055" s="4">
        <f t="shared" si="118"/>
        <v>0</v>
      </c>
    </row>
    <row r="1056" spans="1:12" x14ac:dyDescent="0.25">
      <c r="A1056" s="1">
        <v>42643</v>
      </c>
      <c r="B1056">
        <v>5037.3999020000001</v>
      </c>
      <c r="C1056">
        <v>5049.0498049999997</v>
      </c>
      <c r="D1056">
        <v>4921.4501950000003</v>
      </c>
      <c r="E1056">
        <v>4943.6499020000001</v>
      </c>
      <c r="F1056" s="4">
        <f t="shared" si="113"/>
        <v>4943.6499020000001</v>
      </c>
      <c r="G1056" s="4">
        <f t="shared" si="114"/>
        <v>5062.6000979999999</v>
      </c>
      <c r="H1056" s="4">
        <f t="shared" si="115"/>
        <v>0</v>
      </c>
      <c r="I1056" s="4">
        <f t="shared" si="112"/>
        <v>1</v>
      </c>
      <c r="J1056" s="11">
        <f t="shared" si="116"/>
        <v>0</v>
      </c>
      <c r="K1056" s="6">
        <f t="shared" si="117"/>
        <v>4936.8500979999999</v>
      </c>
      <c r="L1056" s="4">
        <f t="shared" si="118"/>
        <v>0</v>
      </c>
    </row>
    <row r="1057" spans="1:12" x14ac:dyDescent="0.25">
      <c r="A1057" s="1">
        <v>42646</v>
      </c>
      <c r="B1057">
        <v>4870.75</v>
      </c>
      <c r="C1057">
        <v>4918.3500979999999</v>
      </c>
      <c r="D1057">
        <v>4841.75</v>
      </c>
      <c r="E1057">
        <v>4866.7001950000003</v>
      </c>
      <c r="F1057" s="4">
        <f t="shared" si="113"/>
        <v>4866.7001950000003</v>
      </c>
      <c r="G1057" s="4">
        <f t="shared" si="114"/>
        <v>5062.6000979999999</v>
      </c>
      <c r="H1057" s="4" t="str">
        <f t="shared" si="115"/>
        <v>SELL</v>
      </c>
      <c r="I1057" s="4">
        <f t="shared" si="112"/>
        <v>-1</v>
      </c>
      <c r="J1057" s="11" t="str">
        <f t="shared" si="116"/>
        <v>SELL</v>
      </c>
      <c r="K1057" s="6">
        <f t="shared" si="117"/>
        <v>4866.7001950000003</v>
      </c>
      <c r="L1057" s="4">
        <f t="shared" si="118"/>
        <v>-1.4209445619671222E-2</v>
      </c>
    </row>
    <row r="1058" spans="1:12" x14ac:dyDescent="0.25">
      <c r="A1058" s="1">
        <v>42647</v>
      </c>
      <c r="B1058">
        <v>4906.8500979999999</v>
      </c>
      <c r="C1058">
        <v>4910.25</v>
      </c>
      <c r="D1058">
        <v>4755.5498049999997</v>
      </c>
      <c r="E1058">
        <v>4764.6000979999999</v>
      </c>
      <c r="F1058" s="4">
        <f t="shared" si="113"/>
        <v>4764.6000979999999</v>
      </c>
      <c r="G1058" s="4">
        <f t="shared" si="114"/>
        <v>5062.6000979999999</v>
      </c>
      <c r="H1058" s="4" t="str">
        <f t="shared" si="115"/>
        <v>SELL</v>
      </c>
      <c r="I1058" s="4">
        <f t="shared" si="112"/>
        <v>-1</v>
      </c>
      <c r="J1058" s="11">
        <f t="shared" si="116"/>
        <v>0</v>
      </c>
      <c r="K1058" s="6">
        <f t="shared" si="117"/>
        <v>4866.7001950000003</v>
      </c>
      <c r="L1058" s="4">
        <f t="shared" si="118"/>
        <v>0</v>
      </c>
    </row>
    <row r="1059" spans="1:12" x14ac:dyDescent="0.25">
      <c r="A1059" s="1">
        <v>42648</v>
      </c>
      <c r="B1059">
        <v>4733.6000979999999</v>
      </c>
      <c r="C1059">
        <v>4824.7001950000003</v>
      </c>
      <c r="D1059">
        <v>4728.5</v>
      </c>
      <c r="E1059">
        <v>4800.6000979999999</v>
      </c>
      <c r="F1059" s="4">
        <f t="shared" si="113"/>
        <v>4764.6000979999999</v>
      </c>
      <c r="G1059" s="4">
        <f t="shared" si="114"/>
        <v>5062.6000979999999</v>
      </c>
      <c r="H1059" s="4">
        <f t="shared" si="115"/>
        <v>0</v>
      </c>
      <c r="I1059" s="4">
        <f t="shared" si="112"/>
        <v>-1</v>
      </c>
      <c r="J1059" s="11">
        <f t="shared" si="116"/>
        <v>0</v>
      </c>
      <c r="K1059" s="6">
        <f t="shared" si="117"/>
        <v>4866.7001950000003</v>
      </c>
      <c r="L1059" s="4">
        <f t="shared" si="118"/>
        <v>0</v>
      </c>
    </row>
    <row r="1060" spans="1:12" x14ac:dyDescent="0.25">
      <c r="A1060" s="1">
        <v>42649</v>
      </c>
      <c r="B1060">
        <v>4788.7001950000003</v>
      </c>
      <c r="C1060">
        <v>4839.5498049999997</v>
      </c>
      <c r="D1060">
        <v>4750.3999020000001</v>
      </c>
      <c r="E1060">
        <v>4763.25</v>
      </c>
      <c r="F1060" s="4">
        <f t="shared" si="113"/>
        <v>4763.25</v>
      </c>
      <c r="G1060" s="4">
        <f t="shared" si="114"/>
        <v>4943.6499020000001</v>
      </c>
      <c r="H1060" s="4" t="str">
        <f t="shared" si="115"/>
        <v>SELL</v>
      </c>
      <c r="I1060" s="4">
        <f t="shared" si="112"/>
        <v>-1</v>
      </c>
      <c r="J1060" s="11">
        <f t="shared" si="116"/>
        <v>0</v>
      </c>
      <c r="K1060" s="6">
        <f t="shared" si="117"/>
        <v>4866.7001950000003</v>
      </c>
      <c r="L1060" s="4">
        <f t="shared" si="118"/>
        <v>0</v>
      </c>
    </row>
    <row r="1061" spans="1:12" x14ac:dyDescent="0.25">
      <c r="A1061" s="1">
        <v>42650</v>
      </c>
      <c r="B1061">
        <v>4712.7998049999997</v>
      </c>
      <c r="C1061">
        <v>4768.6499020000001</v>
      </c>
      <c r="D1061">
        <v>4673.8500979999999</v>
      </c>
      <c r="E1061">
        <v>4746.3500979999999</v>
      </c>
      <c r="F1061" s="4">
        <f t="shared" si="113"/>
        <v>4746.3500979999999</v>
      </c>
      <c r="G1061" s="4">
        <f t="shared" si="114"/>
        <v>4866.7001950000003</v>
      </c>
      <c r="H1061" s="4" t="str">
        <f t="shared" si="115"/>
        <v>SELL</v>
      </c>
      <c r="I1061" s="4">
        <f t="shared" si="112"/>
        <v>-1</v>
      </c>
      <c r="J1061" s="11">
        <f t="shared" si="116"/>
        <v>0</v>
      </c>
      <c r="K1061" s="6">
        <f t="shared" si="117"/>
        <v>4866.7001950000003</v>
      </c>
      <c r="L1061" s="4">
        <f t="shared" si="118"/>
        <v>0</v>
      </c>
    </row>
    <row r="1062" spans="1:12" x14ac:dyDescent="0.25">
      <c r="A1062" s="1">
        <v>42653</v>
      </c>
      <c r="B1062">
        <v>4752.5</v>
      </c>
      <c r="C1062">
        <v>4818.8500979999999</v>
      </c>
      <c r="D1062">
        <v>4628.2001950000003</v>
      </c>
      <c r="E1062">
        <v>4651.6000979999999</v>
      </c>
      <c r="F1062" s="4">
        <f t="shared" si="113"/>
        <v>4651.6000979999999</v>
      </c>
      <c r="G1062" s="4">
        <f t="shared" si="114"/>
        <v>4800.6000979999999</v>
      </c>
      <c r="H1062" s="4" t="str">
        <f t="shared" si="115"/>
        <v>SELL</v>
      </c>
      <c r="I1062" s="4">
        <f t="shared" si="112"/>
        <v>-1</v>
      </c>
      <c r="J1062" s="11">
        <f t="shared" si="116"/>
        <v>0</v>
      </c>
      <c r="K1062" s="6">
        <f t="shared" si="117"/>
        <v>4866.7001950000003</v>
      </c>
      <c r="L1062" s="4">
        <f t="shared" si="118"/>
        <v>0</v>
      </c>
    </row>
    <row r="1063" spans="1:12" x14ac:dyDescent="0.25">
      <c r="A1063" s="1">
        <v>42654</v>
      </c>
      <c r="B1063">
        <v>4623.1499020000001</v>
      </c>
      <c r="C1063">
        <v>4623.1499020000001</v>
      </c>
      <c r="D1063">
        <v>4555.8999020000001</v>
      </c>
      <c r="E1063">
        <v>4613.1000979999999</v>
      </c>
      <c r="F1063" s="4">
        <f t="shared" si="113"/>
        <v>4613.1000979999999</v>
      </c>
      <c r="G1063" s="4">
        <f t="shared" si="114"/>
        <v>4800.6000979999999</v>
      </c>
      <c r="H1063" s="4" t="str">
        <f t="shared" si="115"/>
        <v>SELL</v>
      </c>
      <c r="I1063" s="4">
        <f t="shared" si="112"/>
        <v>-1</v>
      </c>
      <c r="J1063" s="11">
        <f t="shared" si="116"/>
        <v>0</v>
      </c>
      <c r="K1063" s="6">
        <f t="shared" si="117"/>
        <v>4866.7001950000003</v>
      </c>
      <c r="L1063" s="4">
        <f t="shared" si="118"/>
        <v>0</v>
      </c>
    </row>
    <row r="1064" spans="1:12" x14ac:dyDescent="0.25">
      <c r="A1064" s="1">
        <v>42655</v>
      </c>
      <c r="B1064">
        <v>4635.7998049999997</v>
      </c>
      <c r="C1064">
        <v>4637.25</v>
      </c>
      <c r="D1064">
        <v>4531.1499020000001</v>
      </c>
      <c r="E1064">
        <v>4544.2001950000003</v>
      </c>
      <c r="F1064" s="4">
        <f t="shared" si="113"/>
        <v>4544.2001950000003</v>
      </c>
      <c r="G1064" s="4">
        <f t="shared" si="114"/>
        <v>4763.25</v>
      </c>
      <c r="H1064" s="4" t="str">
        <f t="shared" si="115"/>
        <v>SELL</v>
      </c>
      <c r="I1064" s="4">
        <f t="shared" si="112"/>
        <v>-1</v>
      </c>
      <c r="J1064" s="11">
        <f t="shared" si="116"/>
        <v>0</v>
      </c>
      <c r="K1064" s="6">
        <f t="shared" si="117"/>
        <v>4866.7001950000003</v>
      </c>
      <c r="L1064" s="4">
        <f t="shared" si="118"/>
        <v>0</v>
      </c>
    </row>
    <row r="1065" spans="1:12" x14ac:dyDescent="0.25">
      <c r="A1065" s="1">
        <v>42656</v>
      </c>
      <c r="B1065">
        <v>4636.4501950000003</v>
      </c>
      <c r="C1065">
        <v>4707.3500979999999</v>
      </c>
      <c r="D1065">
        <v>4601.9501950000003</v>
      </c>
      <c r="E1065">
        <v>4693.1499020000001</v>
      </c>
      <c r="F1065" s="4">
        <f t="shared" si="113"/>
        <v>4544.2001950000003</v>
      </c>
      <c r="G1065" s="4">
        <f t="shared" si="114"/>
        <v>4746.3500979999999</v>
      </c>
      <c r="H1065" s="4">
        <f t="shared" si="115"/>
        <v>0</v>
      </c>
      <c r="I1065" s="4">
        <f t="shared" si="112"/>
        <v>-1</v>
      </c>
      <c r="J1065" s="11">
        <f t="shared" si="116"/>
        <v>0</v>
      </c>
      <c r="K1065" s="6">
        <f t="shared" si="117"/>
        <v>4866.7001950000003</v>
      </c>
      <c r="L1065" s="4">
        <f t="shared" si="118"/>
        <v>0</v>
      </c>
    </row>
    <row r="1066" spans="1:12" x14ac:dyDescent="0.25">
      <c r="A1066" s="1">
        <v>42657</v>
      </c>
      <c r="B1066">
        <v>4636.8999020000001</v>
      </c>
      <c r="C1066">
        <v>4740.6000979999999</v>
      </c>
      <c r="D1066">
        <v>4632.9501950000003</v>
      </c>
      <c r="E1066">
        <v>4733.8500979999999</v>
      </c>
      <c r="F1066" s="4">
        <f t="shared" si="113"/>
        <v>4544.2001950000003</v>
      </c>
      <c r="G1066" s="4">
        <f t="shared" si="114"/>
        <v>4733.8500979999999</v>
      </c>
      <c r="H1066" s="4">
        <f t="shared" si="115"/>
        <v>0</v>
      </c>
      <c r="I1066" s="4">
        <f t="shared" si="112"/>
        <v>-1</v>
      </c>
      <c r="J1066" s="11">
        <f t="shared" si="116"/>
        <v>0</v>
      </c>
      <c r="K1066" s="6">
        <f t="shared" si="117"/>
        <v>4866.7001950000003</v>
      </c>
      <c r="L1066" s="4">
        <f t="shared" si="118"/>
        <v>0</v>
      </c>
    </row>
    <row r="1067" spans="1:12" x14ac:dyDescent="0.25">
      <c r="A1067" s="1">
        <v>42660</v>
      </c>
      <c r="B1067">
        <v>4763.2001950000003</v>
      </c>
      <c r="C1067">
        <v>4763.4501950000003</v>
      </c>
      <c r="D1067">
        <v>4693.2001950000003</v>
      </c>
      <c r="E1067">
        <v>4714</v>
      </c>
      <c r="F1067" s="4">
        <f t="shared" si="113"/>
        <v>4544.2001950000003</v>
      </c>
      <c r="G1067" s="4">
        <f t="shared" si="114"/>
        <v>4733.8500979999999</v>
      </c>
      <c r="H1067" s="4">
        <f t="shared" si="115"/>
        <v>0</v>
      </c>
      <c r="I1067" s="4">
        <f t="shared" si="112"/>
        <v>-1</v>
      </c>
      <c r="J1067" s="11">
        <f t="shared" si="116"/>
        <v>0</v>
      </c>
      <c r="K1067" s="6">
        <f t="shared" si="117"/>
        <v>4866.7001950000003</v>
      </c>
      <c r="L1067" s="4">
        <f t="shared" si="118"/>
        <v>0</v>
      </c>
    </row>
    <row r="1068" spans="1:12" x14ac:dyDescent="0.25">
      <c r="A1068" s="1">
        <v>42661</v>
      </c>
      <c r="B1068">
        <v>4780.2001950000003</v>
      </c>
      <c r="C1068">
        <v>4800.5</v>
      </c>
      <c r="D1068">
        <v>4723.6499020000001</v>
      </c>
      <c r="E1068">
        <v>4750.5</v>
      </c>
      <c r="F1068" s="4">
        <f t="shared" si="113"/>
        <v>4544.2001950000003</v>
      </c>
      <c r="G1068" s="4">
        <f t="shared" si="114"/>
        <v>4750.5</v>
      </c>
      <c r="H1068" s="4" t="str">
        <f t="shared" si="115"/>
        <v>BUY</v>
      </c>
      <c r="I1068" s="4">
        <f t="shared" si="112"/>
        <v>1</v>
      </c>
      <c r="J1068" s="11" t="str">
        <f t="shared" si="116"/>
        <v>BUY</v>
      </c>
      <c r="K1068" s="6">
        <f t="shared" si="117"/>
        <v>4750.5</v>
      </c>
      <c r="L1068" s="4">
        <f t="shared" si="118"/>
        <v>2.3876587902288141E-2</v>
      </c>
    </row>
    <row r="1069" spans="1:12" x14ac:dyDescent="0.25">
      <c r="A1069" s="1">
        <v>42662</v>
      </c>
      <c r="B1069">
        <v>4756.2001950000003</v>
      </c>
      <c r="C1069">
        <v>4756.2001950000003</v>
      </c>
      <c r="D1069">
        <v>4685.6499020000001</v>
      </c>
      <c r="E1069">
        <v>4705.7998049999997</v>
      </c>
      <c r="F1069" s="4">
        <f t="shared" si="113"/>
        <v>4693.1499020000001</v>
      </c>
      <c r="G1069" s="4">
        <f t="shared" si="114"/>
        <v>4750.5</v>
      </c>
      <c r="H1069" s="4">
        <f t="shared" si="115"/>
        <v>0</v>
      </c>
      <c r="I1069" s="4">
        <f t="shared" si="112"/>
        <v>1</v>
      </c>
      <c r="J1069" s="11">
        <f t="shared" si="116"/>
        <v>0</v>
      </c>
      <c r="K1069" s="6">
        <f t="shared" si="117"/>
        <v>4750.5</v>
      </c>
      <c r="L1069" s="4">
        <f t="shared" si="118"/>
        <v>0</v>
      </c>
    </row>
    <row r="1070" spans="1:12" x14ac:dyDescent="0.25">
      <c r="A1070" s="1">
        <v>42663</v>
      </c>
      <c r="B1070">
        <v>4681.1499020000001</v>
      </c>
      <c r="C1070">
        <v>4701.7998049999997</v>
      </c>
      <c r="D1070">
        <v>4639.0498049999997</v>
      </c>
      <c r="E1070">
        <v>4646.25</v>
      </c>
      <c r="F1070" s="4">
        <f t="shared" si="113"/>
        <v>4646.25</v>
      </c>
      <c r="G1070" s="4">
        <f t="shared" si="114"/>
        <v>4750.5</v>
      </c>
      <c r="H1070" s="4" t="str">
        <f t="shared" si="115"/>
        <v>SELL</v>
      </c>
      <c r="I1070" s="4">
        <f t="shared" si="112"/>
        <v>-1</v>
      </c>
      <c r="J1070" s="11" t="str">
        <f t="shared" si="116"/>
        <v>SELL</v>
      </c>
      <c r="K1070" s="6">
        <f t="shared" si="117"/>
        <v>4646.25</v>
      </c>
      <c r="L1070" s="4">
        <f t="shared" si="118"/>
        <v>-2.1945058414903695E-2</v>
      </c>
    </row>
    <row r="1071" spans="1:12" x14ac:dyDescent="0.25">
      <c r="A1071" s="1">
        <v>42664</v>
      </c>
      <c r="B1071">
        <v>4659.9501950000003</v>
      </c>
      <c r="C1071">
        <v>4690.4501950000003</v>
      </c>
      <c r="D1071">
        <v>4608.8999020000001</v>
      </c>
      <c r="E1071">
        <v>4624.2998049999997</v>
      </c>
      <c r="F1071" s="4">
        <f t="shared" si="113"/>
        <v>4624.2998049999997</v>
      </c>
      <c r="G1071" s="4">
        <f t="shared" si="114"/>
        <v>4750.5</v>
      </c>
      <c r="H1071" s="4" t="str">
        <f t="shared" si="115"/>
        <v>SELL</v>
      </c>
      <c r="I1071" s="4">
        <f t="shared" si="112"/>
        <v>-1</v>
      </c>
      <c r="J1071" s="11">
        <f t="shared" si="116"/>
        <v>0</v>
      </c>
      <c r="K1071" s="6">
        <f t="shared" si="117"/>
        <v>4646.25</v>
      </c>
      <c r="L1071" s="4">
        <f t="shared" si="118"/>
        <v>0</v>
      </c>
    </row>
    <row r="1072" spans="1:12" x14ac:dyDescent="0.25">
      <c r="A1072" s="1">
        <v>42667</v>
      </c>
      <c r="B1072">
        <v>4675.7998049999997</v>
      </c>
      <c r="C1072">
        <v>4773.1000979999999</v>
      </c>
      <c r="D1072">
        <v>4675.7998049999997</v>
      </c>
      <c r="E1072">
        <v>4765.2998049999997</v>
      </c>
      <c r="F1072" s="4">
        <f t="shared" si="113"/>
        <v>4624.2998049999997</v>
      </c>
      <c r="G1072" s="4">
        <f t="shared" si="114"/>
        <v>4765.2998049999997</v>
      </c>
      <c r="H1072" s="4" t="str">
        <f t="shared" si="115"/>
        <v>BUY</v>
      </c>
      <c r="I1072" s="4">
        <f t="shared" si="112"/>
        <v>1</v>
      </c>
      <c r="J1072" s="11" t="str">
        <f t="shared" si="116"/>
        <v>BUY</v>
      </c>
      <c r="K1072" s="6">
        <f t="shared" si="117"/>
        <v>4765.2998049999997</v>
      </c>
      <c r="L1072" s="4">
        <f t="shared" si="118"/>
        <v>-2.5622772128060189E-2</v>
      </c>
    </row>
    <row r="1073" spans="1:12" x14ac:dyDescent="0.25">
      <c r="A1073" s="1">
        <v>42668</v>
      </c>
      <c r="B1073">
        <v>4774.9501950000003</v>
      </c>
      <c r="C1073">
        <v>4782.8500979999999</v>
      </c>
      <c r="D1073">
        <v>4728.8500979999999</v>
      </c>
      <c r="E1073">
        <v>4749.6499020000001</v>
      </c>
      <c r="F1073" s="4">
        <f t="shared" si="113"/>
        <v>4624.2998049999997</v>
      </c>
      <c r="G1073" s="4">
        <f t="shared" si="114"/>
        <v>4765.2998049999997</v>
      </c>
      <c r="H1073" s="4">
        <f t="shared" si="115"/>
        <v>0</v>
      </c>
      <c r="I1073" s="4">
        <f t="shared" si="112"/>
        <v>1</v>
      </c>
      <c r="J1073" s="11">
        <f t="shared" si="116"/>
        <v>0</v>
      </c>
      <c r="K1073" s="6">
        <f t="shared" si="117"/>
        <v>4765.2998049999997</v>
      </c>
      <c r="L1073" s="4">
        <f t="shared" si="118"/>
        <v>0</v>
      </c>
    </row>
    <row r="1074" spans="1:12" x14ac:dyDescent="0.25">
      <c r="A1074" s="1">
        <v>42669</v>
      </c>
      <c r="B1074">
        <v>4749</v>
      </c>
      <c r="C1074">
        <v>4779.7998049999997</v>
      </c>
      <c r="D1074">
        <v>4730.1499020000001</v>
      </c>
      <c r="E1074">
        <v>4749.9501950000003</v>
      </c>
      <c r="F1074" s="4">
        <f t="shared" si="113"/>
        <v>4624.2998049999997</v>
      </c>
      <c r="G1074" s="4">
        <f t="shared" si="114"/>
        <v>4765.2998049999997</v>
      </c>
      <c r="H1074" s="4">
        <f t="shared" si="115"/>
        <v>0</v>
      </c>
      <c r="I1074" s="4">
        <f t="shared" si="112"/>
        <v>1</v>
      </c>
      <c r="J1074" s="11">
        <f t="shared" si="116"/>
        <v>0</v>
      </c>
      <c r="K1074" s="6">
        <f t="shared" si="117"/>
        <v>4765.2998049999997</v>
      </c>
      <c r="L1074" s="4">
        <f t="shared" si="118"/>
        <v>0</v>
      </c>
    </row>
    <row r="1075" spans="1:12" x14ac:dyDescent="0.25">
      <c r="A1075" s="1">
        <v>42670</v>
      </c>
      <c r="B1075">
        <v>4724.1499020000001</v>
      </c>
      <c r="C1075">
        <v>4794.8999020000001</v>
      </c>
      <c r="D1075">
        <v>4686.8500979999999</v>
      </c>
      <c r="E1075">
        <v>4754.1000979999999</v>
      </c>
      <c r="F1075" s="4">
        <f t="shared" si="113"/>
        <v>4624.2998049999997</v>
      </c>
      <c r="G1075" s="4">
        <f t="shared" si="114"/>
        <v>4765.2998049999997</v>
      </c>
      <c r="H1075" s="4">
        <f t="shared" si="115"/>
        <v>0</v>
      </c>
      <c r="I1075" s="4">
        <f t="shared" si="112"/>
        <v>1</v>
      </c>
      <c r="J1075" s="11">
        <f t="shared" si="116"/>
        <v>0</v>
      </c>
      <c r="K1075" s="6">
        <f t="shared" si="117"/>
        <v>4765.2998049999997</v>
      </c>
      <c r="L1075" s="4">
        <f t="shared" si="118"/>
        <v>0</v>
      </c>
    </row>
    <row r="1076" spans="1:12" x14ac:dyDescent="0.25">
      <c r="A1076" s="1">
        <v>42671</v>
      </c>
      <c r="B1076">
        <v>4747.5498049999997</v>
      </c>
      <c r="C1076">
        <v>4758.7001950000003</v>
      </c>
      <c r="D1076">
        <v>4695.4501950000003</v>
      </c>
      <c r="E1076">
        <v>4742.7998049999997</v>
      </c>
      <c r="F1076" s="4">
        <f t="shared" si="113"/>
        <v>4742.7998049999997</v>
      </c>
      <c r="G1076" s="4">
        <f t="shared" si="114"/>
        <v>4765.2998049999997</v>
      </c>
      <c r="H1076" s="4">
        <f t="shared" si="115"/>
        <v>0</v>
      </c>
      <c r="I1076" s="4">
        <f t="shared" si="112"/>
        <v>1</v>
      </c>
      <c r="J1076" s="11">
        <f t="shared" si="116"/>
        <v>0</v>
      </c>
      <c r="K1076" s="6">
        <f t="shared" si="117"/>
        <v>4765.2998049999997</v>
      </c>
      <c r="L1076" s="4">
        <f t="shared" si="118"/>
        <v>0</v>
      </c>
    </row>
    <row r="1077" spans="1:12" x14ac:dyDescent="0.25">
      <c r="A1077" s="1">
        <v>42674</v>
      </c>
      <c r="B1077">
        <v>4771.8500979999999</v>
      </c>
      <c r="C1077">
        <v>4855.8999020000001</v>
      </c>
      <c r="D1077">
        <v>4768.25</v>
      </c>
      <c r="E1077">
        <v>4849.5498049999997</v>
      </c>
      <c r="F1077" s="4">
        <f t="shared" si="113"/>
        <v>4742.7998049999997</v>
      </c>
      <c r="G1077" s="4">
        <f t="shared" si="114"/>
        <v>4849.5498049999997</v>
      </c>
      <c r="H1077" s="4" t="str">
        <f t="shared" si="115"/>
        <v>BUY</v>
      </c>
      <c r="I1077" s="4">
        <f t="shared" si="112"/>
        <v>1</v>
      </c>
      <c r="J1077" s="11">
        <f t="shared" si="116"/>
        <v>0</v>
      </c>
      <c r="K1077" s="6">
        <f t="shared" si="117"/>
        <v>4765.2998049999997</v>
      </c>
      <c r="L1077" s="4">
        <f t="shared" si="118"/>
        <v>0</v>
      </c>
    </row>
    <row r="1078" spans="1:12" x14ac:dyDescent="0.25">
      <c r="A1078" s="1">
        <v>42675</v>
      </c>
      <c r="B1078">
        <v>4863.1499020000001</v>
      </c>
      <c r="C1078">
        <v>4877.2001950000003</v>
      </c>
      <c r="D1078">
        <v>4841.6000979999999</v>
      </c>
      <c r="E1078">
        <v>4860.9501950000003</v>
      </c>
      <c r="F1078" s="4">
        <f t="shared" si="113"/>
        <v>4742.7998049999997</v>
      </c>
      <c r="G1078" s="4">
        <f t="shared" si="114"/>
        <v>4860.9501950000003</v>
      </c>
      <c r="H1078" s="4" t="str">
        <f t="shared" si="115"/>
        <v>BUY</v>
      </c>
      <c r="I1078" s="4">
        <f t="shared" si="112"/>
        <v>1</v>
      </c>
      <c r="J1078" s="11">
        <f t="shared" si="116"/>
        <v>0</v>
      </c>
      <c r="K1078" s="6">
        <f t="shared" si="117"/>
        <v>4765.2998049999997</v>
      </c>
      <c r="L1078" s="4">
        <f t="shared" si="118"/>
        <v>0</v>
      </c>
    </row>
    <row r="1079" spans="1:12" x14ac:dyDescent="0.25">
      <c r="A1079" s="1">
        <v>42676</v>
      </c>
      <c r="B1079">
        <v>4840.9501950000003</v>
      </c>
      <c r="C1079">
        <v>4869.2001950000003</v>
      </c>
      <c r="D1079">
        <v>4803.8999020000001</v>
      </c>
      <c r="E1079">
        <v>4831.25</v>
      </c>
      <c r="F1079" s="4">
        <f t="shared" si="113"/>
        <v>4742.7998049999997</v>
      </c>
      <c r="G1079" s="4">
        <f t="shared" si="114"/>
        <v>4860.9501950000003</v>
      </c>
      <c r="H1079" s="4">
        <f t="shared" si="115"/>
        <v>0</v>
      </c>
      <c r="I1079" s="4">
        <f t="shared" si="112"/>
        <v>1</v>
      </c>
      <c r="J1079" s="11">
        <f t="shared" si="116"/>
        <v>0</v>
      </c>
      <c r="K1079" s="6">
        <f t="shared" si="117"/>
        <v>4765.2998049999997</v>
      </c>
      <c r="L1079" s="4">
        <f t="shared" si="118"/>
        <v>0</v>
      </c>
    </row>
    <row r="1080" spans="1:12" x14ac:dyDescent="0.25">
      <c r="A1080" s="1">
        <v>42677</v>
      </c>
      <c r="B1080">
        <v>4861.9501950000003</v>
      </c>
      <c r="C1080">
        <v>4898.8500979999999</v>
      </c>
      <c r="D1080">
        <v>4834.2001950000003</v>
      </c>
      <c r="E1080">
        <v>4866</v>
      </c>
      <c r="F1080" s="4">
        <f t="shared" si="113"/>
        <v>4742.7998049999997</v>
      </c>
      <c r="G1080" s="4">
        <f t="shared" si="114"/>
        <v>4866</v>
      </c>
      <c r="H1080" s="4" t="str">
        <f t="shared" si="115"/>
        <v>BUY</v>
      </c>
      <c r="I1080" s="4">
        <f t="shared" si="112"/>
        <v>1</v>
      </c>
      <c r="J1080" s="11">
        <f t="shared" si="116"/>
        <v>0</v>
      </c>
      <c r="K1080" s="6">
        <f t="shared" si="117"/>
        <v>4765.2998049999997</v>
      </c>
      <c r="L1080" s="4">
        <f t="shared" si="118"/>
        <v>0</v>
      </c>
    </row>
    <row r="1081" spans="1:12" x14ac:dyDescent="0.25">
      <c r="A1081" s="1">
        <v>42678</v>
      </c>
      <c r="B1081">
        <v>4844</v>
      </c>
      <c r="C1081">
        <v>4880.7998049999997</v>
      </c>
      <c r="D1081">
        <v>4827.0498049999997</v>
      </c>
      <c r="E1081">
        <v>4873.8999020000001</v>
      </c>
      <c r="F1081" s="4">
        <f t="shared" si="113"/>
        <v>4831.25</v>
      </c>
      <c r="G1081" s="4">
        <f t="shared" si="114"/>
        <v>4873.8999020000001</v>
      </c>
      <c r="H1081" s="4" t="str">
        <f t="shared" si="115"/>
        <v>BUY</v>
      </c>
      <c r="I1081" s="4">
        <f t="shared" si="112"/>
        <v>1</v>
      </c>
      <c r="J1081" s="11">
        <f t="shared" si="116"/>
        <v>0</v>
      </c>
      <c r="K1081" s="6">
        <f t="shared" si="117"/>
        <v>4765.2998049999997</v>
      </c>
      <c r="L1081" s="4">
        <f t="shared" si="118"/>
        <v>0</v>
      </c>
    </row>
    <row r="1082" spans="1:12" x14ac:dyDescent="0.25">
      <c r="A1082" s="1">
        <v>42681</v>
      </c>
      <c r="B1082">
        <v>4904.5</v>
      </c>
      <c r="C1082">
        <v>4975.5498049999997</v>
      </c>
      <c r="D1082">
        <v>4904</v>
      </c>
      <c r="E1082">
        <v>4967.2998049999997</v>
      </c>
      <c r="F1082" s="4">
        <f t="shared" si="113"/>
        <v>4831.25</v>
      </c>
      <c r="G1082" s="4">
        <f t="shared" si="114"/>
        <v>4967.2998049999997</v>
      </c>
      <c r="H1082" s="4" t="str">
        <f t="shared" si="115"/>
        <v>BUY</v>
      </c>
      <c r="I1082" s="4">
        <f t="shared" si="112"/>
        <v>1</v>
      </c>
      <c r="J1082" s="11">
        <f t="shared" si="116"/>
        <v>0</v>
      </c>
      <c r="K1082" s="6">
        <f t="shared" si="117"/>
        <v>4765.2998049999997</v>
      </c>
      <c r="L1082" s="4">
        <f t="shared" si="118"/>
        <v>0</v>
      </c>
    </row>
    <row r="1083" spans="1:12" x14ac:dyDescent="0.25">
      <c r="A1083" s="1">
        <v>42682</v>
      </c>
      <c r="B1083">
        <v>4977.75</v>
      </c>
      <c r="C1083">
        <v>4980.6499020000001</v>
      </c>
      <c r="D1083">
        <v>4931.0498049999997</v>
      </c>
      <c r="E1083">
        <v>4955.7998049999997</v>
      </c>
      <c r="F1083" s="4">
        <f t="shared" si="113"/>
        <v>4831.25</v>
      </c>
      <c r="G1083" s="4">
        <f t="shared" si="114"/>
        <v>4967.2998049999997</v>
      </c>
      <c r="H1083" s="4">
        <f t="shared" si="115"/>
        <v>0</v>
      </c>
      <c r="I1083" s="4">
        <f t="shared" si="112"/>
        <v>1</v>
      </c>
      <c r="J1083" s="11">
        <f t="shared" si="116"/>
        <v>0</v>
      </c>
      <c r="K1083" s="6">
        <f t="shared" si="117"/>
        <v>4765.2998049999997</v>
      </c>
      <c r="L1083" s="4">
        <f t="shared" si="118"/>
        <v>0</v>
      </c>
    </row>
    <row r="1084" spans="1:12" x14ac:dyDescent="0.25">
      <c r="A1084" s="1">
        <v>42683</v>
      </c>
      <c r="B1084">
        <v>4995</v>
      </c>
      <c r="C1084">
        <v>5023.7998049999997</v>
      </c>
      <c r="D1084">
        <v>4991.3999020000001</v>
      </c>
      <c r="E1084">
        <v>5018.3999020000001</v>
      </c>
      <c r="F1084" s="4">
        <f t="shared" si="113"/>
        <v>4866</v>
      </c>
      <c r="G1084" s="4">
        <f t="shared" si="114"/>
        <v>5018.3999020000001</v>
      </c>
      <c r="H1084" s="4" t="str">
        <f t="shared" si="115"/>
        <v>BUY</v>
      </c>
      <c r="I1084" s="4">
        <f t="shared" si="112"/>
        <v>1</v>
      </c>
      <c r="J1084" s="11">
        <f t="shared" si="116"/>
        <v>0</v>
      </c>
      <c r="K1084" s="6">
        <f t="shared" si="117"/>
        <v>4765.2998049999997</v>
      </c>
      <c r="L1084" s="4">
        <f t="shared" si="118"/>
        <v>0</v>
      </c>
    </row>
    <row r="1085" spans="1:12" x14ac:dyDescent="0.25">
      <c r="A1085" s="1">
        <v>42684</v>
      </c>
      <c r="B1085">
        <v>5044.8500979999999</v>
      </c>
      <c r="C1085">
        <v>5064.1499020000001</v>
      </c>
      <c r="D1085">
        <v>5004.2998049999997</v>
      </c>
      <c r="E1085">
        <v>5048.6000979999999</v>
      </c>
      <c r="F1085" s="4">
        <f t="shared" si="113"/>
        <v>4873.8999020000001</v>
      </c>
      <c r="G1085" s="4">
        <f t="shared" si="114"/>
        <v>5048.6000979999999</v>
      </c>
      <c r="H1085" s="4" t="str">
        <f t="shared" si="115"/>
        <v>BUY</v>
      </c>
      <c r="I1085" s="4">
        <f t="shared" si="112"/>
        <v>1</v>
      </c>
      <c r="J1085" s="11">
        <f t="shared" si="116"/>
        <v>0</v>
      </c>
      <c r="K1085" s="6">
        <f t="shared" si="117"/>
        <v>4765.2998049999997</v>
      </c>
      <c r="L1085" s="4">
        <f t="shared" si="118"/>
        <v>0</v>
      </c>
    </row>
    <row r="1086" spans="1:12" x14ac:dyDescent="0.25">
      <c r="A1086" s="1">
        <v>42685</v>
      </c>
      <c r="B1086">
        <v>5025.3500979999999</v>
      </c>
      <c r="C1086">
        <v>5059.5498049999997</v>
      </c>
      <c r="D1086">
        <v>5021.3500979999999</v>
      </c>
      <c r="E1086">
        <v>5046.25</v>
      </c>
      <c r="F1086" s="4">
        <f t="shared" si="113"/>
        <v>4955.7998049999997</v>
      </c>
      <c r="G1086" s="4">
        <f t="shared" si="114"/>
        <v>5048.6000979999999</v>
      </c>
      <c r="H1086" s="4">
        <f t="shared" si="115"/>
        <v>0</v>
      </c>
      <c r="I1086" s="4">
        <f t="shared" si="112"/>
        <v>1</v>
      </c>
      <c r="J1086" s="11">
        <f t="shared" si="116"/>
        <v>0</v>
      </c>
      <c r="K1086" s="6">
        <f t="shared" si="117"/>
        <v>4765.2998049999997</v>
      </c>
      <c r="L1086" s="4">
        <f t="shared" si="118"/>
        <v>0</v>
      </c>
    </row>
    <row r="1087" spans="1:12" x14ac:dyDescent="0.25">
      <c r="A1087" s="1">
        <v>42688</v>
      </c>
      <c r="B1087">
        <v>5064.7998049999997</v>
      </c>
      <c r="C1087">
        <v>5141.0498049999997</v>
      </c>
      <c r="D1087">
        <v>5049.7998049999997</v>
      </c>
      <c r="E1087">
        <v>5127.3500979999999</v>
      </c>
      <c r="F1087" s="4">
        <f t="shared" si="113"/>
        <v>4955.7998049999997</v>
      </c>
      <c r="G1087" s="4">
        <f t="shared" si="114"/>
        <v>5127.3500979999999</v>
      </c>
      <c r="H1087" s="4" t="str">
        <f t="shared" si="115"/>
        <v>BUY</v>
      </c>
      <c r="I1087" s="4">
        <f t="shared" si="112"/>
        <v>1</v>
      </c>
      <c r="J1087" s="11">
        <f t="shared" si="116"/>
        <v>0</v>
      </c>
      <c r="K1087" s="6">
        <f t="shared" si="117"/>
        <v>4765.2998049999997</v>
      </c>
      <c r="L1087" s="4">
        <f t="shared" si="118"/>
        <v>0</v>
      </c>
    </row>
    <row r="1088" spans="1:12" x14ac:dyDescent="0.25">
      <c r="A1088" s="1">
        <v>42689</v>
      </c>
      <c r="B1088">
        <v>5151.5</v>
      </c>
      <c r="C1088">
        <v>5174.1499020000001</v>
      </c>
      <c r="D1088">
        <v>5130.25</v>
      </c>
      <c r="E1088">
        <v>5158.2998049999997</v>
      </c>
      <c r="F1088" s="4">
        <f t="shared" si="113"/>
        <v>5018.3999020000001</v>
      </c>
      <c r="G1088" s="4">
        <f t="shared" si="114"/>
        <v>5158.2998049999997</v>
      </c>
      <c r="H1088" s="4" t="str">
        <f t="shared" si="115"/>
        <v>BUY</v>
      </c>
      <c r="I1088" s="4">
        <f t="shared" si="112"/>
        <v>1</v>
      </c>
      <c r="J1088" s="11">
        <f t="shared" si="116"/>
        <v>0</v>
      </c>
      <c r="K1088" s="6">
        <f t="shared" si="117"/>
        <v>4765.2998049999997</v>
      </c>
      <c r="L1088" s="4">
        <f t="shared" si="118"/>
        <v>0</v>
      </c>
    </row>
    <row r="1089" spans="1:12" x14ac:dyDescent="0.25">
      <c r="A1089" s="1">
        <v>42690</v>
      </c>
      <c r="B1089">
        <v>5158.2998049999997</v>
      </c>
      <c r="C1089">
        <v>5158.2998049999997</v>
      </c>
      <c r="D1089">
        <v>5158.2998049999997</v>
      </c>
      <c r="E1089">
        <v>5158.2998049999997</v>
      </c>
      <c r="F1089" s="4">
        <f t="shared" si="113"/>
        <v>5046.25</v>
      </c>
      <c r="G1089" s="4">
        <f t="shared" si="114"/>
        <v>5158.2998049999997</v>
      </c>
      <c r="H1089" s="4">
        <f t="shared" si="115"/>
        <v>0</v>
      </c>
      <c r="I1089" s="4">
        <f t="shared" si="112"/>
        <v>1</v>
      </c>
      <c r="J1089" s="11">
        <f t="shared" si="116"/>
        <v>0</v>
      </c>
      <c r="K1089" s="6">
        <f t="shared" si="117"/>
        <v>4765.2998049999997</v>
      </c>
      <c r="L1089" s="4">
        <f t="shared" si="118"/>
        <v>0</v>
      </c>
    </row>
    <row r="1090" spans="1:12" x14ac:dyDescent="0.25">
      <c r="A1090" s="1">
        <v>42691</v>
      </c>
      <c r="B1090">
        <v>5216.75</v>
      </c>
      <c r="C1090">
        <v>5217</v>
      </c>
      <c r="D1090">
        <v>5162.3999020000001</v>
      </c>
      <c r="E1090">
        <v>5204.7001950000003</v>
      </c>
      <c r="F1090" s="4">
        <f t="shared" si="113"/>
        <v>5046.25</v>
      </c>
      <c r="G1090" s="4">
        <f t="shared" si="114"/>
        <v>5204.7001950000003</v>
      </c>
      <c r="H1090" s="4" t="str">
        <f t="shared" si="115"/>
        <v>BUY</v>
      </c>
      <c r="I1090" s="4">
        <f t="shared" si="112"/>
        <v>1</v>
      </c>
      <c r="J1090" s="11">
        <f t="shared" si="116"/>
        <v>0</v>
      </c>
      <c r="K1090" s="6">
        <f t="shared" si="117"/>
        <v>4765.2998049999997</v>
      </c>
      <c r="L1090" s="4">
        <f t="shared" si="118"/>
        <v>0</v>
      </c>
    </row>
    <row r="1091" spans="1:12" x14ac:dyDescent="0.25">
      <c r="A1091" s="1">
        <v>42692</v>
      </c>
      <c r="B1091">
        <v>5163.5498049999997</v>
      </c>
      <c r="C1091">
        <v>5166.1499020000001</v>
      </c>
      <c r="D1091">
        <v>5076.7001950000003</v>
      </c>
      <c r="E1091">
        <v>5087.2998049999997</v>
      </c>
      <c r="F1091" s="4">
        <f t="shared" si="113"/>
        <v>5087.2998049999997</v>
      </c>
      <c r="G1091" s="4">
        <f t="shared" si="114"/>
        <v>5204.7001950000003</v>
      </c>
      <c r="H1091" s="4">
        <f t="shared" si="115"/>
        <v>0</v>
      </c>
      <c r="I1091" s="4">
        <f t="shared" si="112"/>
        <v>1</v>
      </c>
      <c r="J1091" s="11">
        <f t="shared" si="116"/>
        <v>0</v>
      </c>
      <c r="K1091" s="6">
        <f t="shared" si="117"/>
        <v>4765.2998049999997</v>
      </c>
      <c r="L1091" s="4">
        <f t="shared" si="118"/>
        <v>0</v>
      </c>
    </row>
    <row r="1092" spans="1:12" x14ac:dyDescent="0.25">
      <c r="A1092" s="1">
        <v>42695</v>
      </c>
      <c r="B1092">
        <v>5125.25</v>
      </c>
      <c r="C1092">
        <v>5215.3999020000001</v>
      </c>
      <c r="D1092">
        <v>5120.1499020000001</v>
      </c>
      <c r="E1092">
        <v>5199.25</v>
      </c>
      <c r="F1092" s="4">
        <f t="shared" si="113"/>
        <v>5087.2998049999997</v>
      </c>
      <c r="G1092" s="4">
        <f t="shared" si="114"/>
        <v>5204.7001950000003</v>
      </c>
      <c r="H1092" s="4">
        <f t="shared" si="115"/>
        <v>0</v>
      </c>
      <c r="I1092" s="4">
        <f t="shared" si="112"/>
        <v>1</v>
      </c>
      <c r="J1092" s="11">
        <f t="shared" si="116"/>
        <v>0</v>
      </c>
      <c r="K1092" s="6">
        <f t="shared" si="117"/>
        <v>4765.2998049999997</v>
      </c>
      <c r="L1092" s="4">
        <f t="shared" si="118"/>
        <v>0</v>
      </c>
    </row>
    <row r="1093" spans="1:12" x14ac:dyDescent="0.25">
      <c r="A1093" s="1">
        <v>42696</v>
      </c>
      <c r="B1093">
        <v>5198.1499020000001</v>
      </c>
      <c r="C1093">
        <v>5244.6000979999999</v>
      </c>
      <c r="D1093">
        <v>5159</v>
      </c>
      <c r="E1093">
        <v>5235.7001950000003</v>
      </c>
      <c r="F1093" s="4">
        <f t="shared" si="113"/>
        <v>5087.2998049999997</v>
      </c>
      <c r="G1093" s="4">
        <f t="shared" si="114"/>
        <v>5235.7001950000003</v>
      </c>
      <c r="H1093" s="4" t="str">
        <f t="shared" si="115"/>
        <v>BUY</v>
      </c>
      <c r="I1093" s="4">
        <f t="shared" si="112"/>
        <v>1</v>
      </c>
      <c r="J1093" s="11">
        <f t="shared" si="116"/>
        <v>0</v>
      </c>
      <c r="K1093" s="6">
        <f t="shared" si="117"/>
        <v>4765.2998049999997</v>
      </c>
      <c r="L1093" s="4">
        <f t="shared" si="118"/>
        <v>0</v>
      </c>
    </row>
    <row r="1094" spans="1:12" x14ac:dyDescent="0.25">
      <c r="A1094" s="1">
        <v>42697</v>
      </c>
      <c r="B1094">
        <v>5272.1000979999999</v>
      </c>
      <c r="C1094">
        <v>5289.9501950000003</v>
      </c>
      <c r="D1094">
        <v>5225.75</v>
      </c>
      <c r="E1094">
        <v>5269.8999020000001</v>
      </c>
      <c r="F1094" s="4">
        <f t="shared" si="113"/>
        <v>5087.2998049999997</v>
      </c>
      <c r="G1094" s="4">
        <f t="shared" si="114"/>
        <v>5269.8999020000001</v>
      </c>
      <c r="H1094" s="4" t="str">
        <f t="shared" si="115"/>
        <v>BUY</v>
      </c>
      <c r="I1094" s="4">
        <f t="shared" ref="I1094:I1157" si="119">IF(AND(H1094="BUY",I1093&lt;&gt;1),1,IF(AND(H1094="SELL",I1093&lt;&gt;-1),-1,I1093))</f>
        <v>1</v>
      </c>
      <c r="J1094" s="11">
        <f t="shared" si="116"/>
        <v>0</v>
      </c>
      <c r="K1094" s="6">
        <f t="shared" si="117"/>
        <v>4765.2998049999997</v>
      </c>
      <c r="L1094" s="4">
        <f t="shared" si="118"/>
        <v>0</v>
      </c>
    </row>
    <row r="1095" spans="1:12" x14ac:dyDescent="0.25">
      <c r="A1095" s="1">
        <v>42698</v>
      </c>
      <c r="B1095">
        <v>5276.1000979999999</v>
      </c>
      <c r="C1095">
        <v>5334.8500979999999</v>
      </c>
      <c r="D1095">
        <v>5255.5498049999997</v>
      </c>
      <c r="E1095">
        <v>5325.8500979999999</v>
      </c>
      <c r="F1095" s="4">
        <f t="shared" ref="F1095:F1158" si="120">MIN(E1091:E1095)</f>
        <v>5087.2998049999997</v>
      </c>
      <c r="G1095" s="4">
        <f t="shared" ref="G1095:G1158" si="121">MAX(E1091:E1095)</f>
        <v>5325.8500979999999</v>
      </c>
      <c r="H1095" s="4" t="str">
        <f t="shared" ref="H1095:H1158" si="122">IF(E1095&gt;G1094,"BUY",IF(E1095&lt;F1094,"SELL",0))</f>
        <v>BUY</v>
      </c>
      <c r="I1095" s="4">
        <f t="shared" si="119"/>
        <v>1</v>
      </c>
      <c r="J1095" s="11">
        <f t="shared" ref="J1095:J1158" si="123">IF(I1095&lt;&gt;I1094,H1095,0)</f>
        <v>0</v>
      </c>
      <c r="K1095" s="6">
        <f t="shared" ref="K1095:K1158" si="124">IF(J1095&lt;&gt;0,E1095,K1094)</f>
        <v>4765.2998049999997</v>
      </c>
      <c r="L1095" s="4">
        <f t="shared" si="118"/>
        <v>0</v>
      </c>
    </row>
    <row r="1096" spans="1:12" x14ac:dyDescent="0.25">
      <c r="A1096" s="1">
        <v>42699</v>
      </c>
      <c r="B1096">
        <v>5379.4501950000003</v>
      </c>
      <c r="C1096">
        <v>5390.0498049999997</v>
      </c>
      <c r="D1096">
        <v>5327.25</v>
      </c>
      <c r="E1096">
        <v>5361.6499020000001</v>
      </c>
      <c r="F1096" s="4">
        <f t="shared" si="120"/>
        <v>5199.25</v>
      </c>
      <c r="G1096" s="4">
        <f t="shared" si="121"/>
        <v>5361.6499020000001</v>
      </c>
      <c r="H1096" s="4" t="str">
        <f t="shared" si="122"/>
        <v>BUY</v>
      </c>
      <c r="I1096" s="4">
        <f t="shared" si="119"/>
        <v>1</v>
      </c>
      <c r="J1096" s="11">
        <f t="shared" si="123"/>
        <v>0</v>
      </c>
      <c r="K1096" s="6">
        <f t="shared" si="124"/>
        <v>4765.2998049999997</v>
      </c>
      <c r="L1096" s="4">
        <f t="shared" ref="L1096:L1159" si="125">IF(J1096="BUY",(K1095-K1096)/K1095,IF(J1096="SELL",(K1097-K1095)/K1095,0))</f>
        <v>0</v>
      </c>
    </row>
    <row r="1097" spans="1:12" x14ac:dyDescent="0.25">
      <c r="A1097" s="1">
        <v>42702</v>
      </c>
      <c r="B1097">
        <v>5412.9501950000003</v>
      </c>
      <c r="C1097">
        <v>5413.3500979999999</v>
      </c>
      <c r="D1097">
        <v>5322.9501950000003</v>
      </c>
      <c r="E1097">
        <v>5335.1499020000001</v>
      </c>
      <c r="F1097" s="4">
        <f t="shared" si="120"/>
        <v>5235.7001950000003</v>
      </c>
      <c r="G1097" s="4">
        <f t="shared" si="121"/>
        <v>5361.6499020000001</v>
      </c>
      <c r="H1097" s="4">
        <f t="shared" si="122"/>
        <v>0</v>
      </c>
      <c r="I1097" s="4">
        <f t="shared" si="119"/>
        <v>1</v>
      </c>
      <c r="J1097" s="11">
        <f t="shared" si="123"/>
        <v>0</v>
      </c>
      <c r="K1097" s="6">
        <f t="shared" si="124"/>
        <v>4765.2998049999997</v>
      </c>
      <c r="L1097" s="4">
        <f t="shared" si="125"/>
        <v>0</v>
      </c>
    </row>
    <row r="1098" spans="1:12" x14ac:dyDescent="0.25">
      <c r="A1098" s="1">
        <v>42703</v>
      </c>
      <c r="B1098">
        <v>5343.7998049999997</v>
      </c>
      <c r="C1098">
        <v>5396.8999020000001</v>
      </c>
      <c r="D1098">
        <v>5325.2001950000003</v>
      </c>
      <c r="E1098">
        <v>5368.1499020000001</v>
      </c>
      <c r="F1098" s="4">
        <f t="shared" si="120"/>
        <v>5269.8999020000001</v>
      </c>
      <c r="G1098" s="4">
        <f t="shared" si="121"/>
        <v>5368.1499020000001</v>
      </c>
      <c r="H1098" s="4" t="str">
        <f t="shared" si="122"/>
        <v>BUY</v>
      </c>
      <c r="I1098" s="4">
        <f t="shared" si="119"/>
        <v>1</v>
      </c>
      <c r="J1098" s="11">
        <f t="shared" si="123"/>
        <v>0</v>
      </c>
      <c r="K1098" s="6">
        <f t="shared" si="124"/>
        <v>4765.2998049999997</v>
      </c>
      <c r="L1098" s="4">
        <f t="shared" si="125"/>
        <v>0</v>
      </c>
    </row>
    <row r="1099" spans="1:12" x14ac:dyDescent="0.25">
      <c r="A1099" s="1">
        <v>42704</v>
      </c>
      <c r="B1099">
        <v>5343.0498049999997</v>
      </c>
      <c r="C1099">
        <v>5423.3999020000001</v>
      </c>
      <c r="D1099">
        <v>5338.8999020000001</v>
      </c>
      <c r="E1099">
        <v>5412.3500979999999</v>
      </c>
      <c r="F1099" s="4">
        <f t="shared" si="120"/>
        <v>5325.8500979999999</v>
      </c>
      <c r="G1099" s="4">
        <f t="shared" si="121"/>
        <v>5412.3500979999999</v>
      </c>
      <c r="H1099" s="4" t="str">
        <f t="shared" si="122"/>
        <v>BUY</v>
      </c>
      <c r="I1099" s="4">
        <f t="shared" si="119"/>
        <v>1</v>
      </c>
      <c r="J1099" s="11">
        <f t="shared" si="123"/>
        <v>0</v>
      </c>
      <c r="K1099" s="6">
        <f t="shared" si="124"/>
        <v>4765.2998049999997</v>
      </c>
      <c r="L1099" s="4">
        <f t="shared" si="125"/>
        <v>0</v>
      </c>
    </row>
    <row r="1100" spans="1:12" x14ac:dyDescent="0.25">
      <c r="A1100" s="1">
        <v>42705</v>
      </c>
      <c r="B1100">
        <v>5399.7998049999997</v>
      </c>
      <c r="C1100">
        <v>5427.75</v>
      </c>
      <c r="D1100">
        <v>5341.0498049999997</v>
      </c>
      <c r="E1100">
        <v>5381.6000979999999</v>
      </c>
      <c r="F1100" s="4">
        <f t="shared" si="120"/>
        <v>5335.1499020000001</v>
      </c>
      <c r="G1100" s="4">
        <f t="shared" si="121"/>
        <v>5412.3500979999999</v>
      </c>
      <c r="H1100" s="4">
        <f t="shared" si="122"/>
        <v>0</v>
      </c>
      <c r="I1100" s="4">
        <f t="shared" si="119"/>
        <v>1</v>
      </c>
      <c r="J1100" s="11">
        <f t="shared" si="123"/>
        <v>0</v>
      </c>
      <c r="K1100" s="6">
        <f t="shared" si="124"/>
        <v>4765.2998049999997</v>
      </c>
      <c r="L1100" s="4">
        <f t="shared" si="125"/>
        <v>0</v>
      </c>
    </row>
    <row r="1101" spans="1:12" x14ac:dyDescent="0.25">
      <c r="A1101" s="1">
        <v>42706</v>
      </c>
      <c r="B1101">
        <v>5382.1000979999999</v>
      </c>
      <c r="C1101">
        <v>5421.0498049999997</v>
      </c>
      <c r="D1101">
        <v>5351.3999020000001</v>
      </c>
      <c r="E1101">
        <v>5390.2001950000003</v>
      </c>
      <c r="F1101" s="4">
        <f t="shared" si="120"/>
        <v>5335.1499020000001</v>
      </c>
      <c r="G1101" s="4">
        <f t="shared" si="121"/>
        <v>5412.3500979999999</v>
      </c>
      <c r="H1101" s="4">
        <f t="shared" si="122"/>
        <v>0</v>
      </c>
      <c r="I1101" s="4">
        <f t="shared" si="119"/>
        <v>1</v>
      </c>
      <c r="J1101" s="11">
        <f t="shared" si="123"/>
        <v>0</v>
      </c>
      <c r="K1101" s="6">
        <f t="shared" si="124"/>
        <v>4765.2998049999997</v>
      </c>
      <c r="L1101" s="4">
        <f t="shared" si="125"/>
        <v>0</v>
      </c>
    </row>
    <row r="1102" spans="1:12" x14ac:dyDescent="0.25">
      <c r="A1102" s="1">
        <v>42709</v>
      </c>
      <c r="B1102">
        <v>5380.7998049999997</v>
      </c>
      <c r="C1102">
        <v>5428.0498049999997</v>
      </c>
      <c r="D1102">
        <v>5377.9501950000003</v>
      </c>
      <c r="E1102">
        <v>5416.0498049999997</v>
      </c>
      <c r="F1102" s="4">
        <f t="shared" si="120"/>
        <v>5368.1499020000001</v>
      </c>
      <c r="G1102" s="4">
        <f t="shared" si="121"/>
        <v>5416.0498049999997</v>
      </c>
      <c r="H1102" s="4" t="str">
        <f t="shared" si="122"/>
        <v>BUY</v>
      </c>
      <c r="I1102" s="4">
        <f t="shared" si="119"/>
        <v>1</v>
      </c>
      <c r="J1102" s="11">
        <f t="shared" si="123"/>
        <v>0</v>
      </c>
      <c r="K1102" s="6">
        <f t="shared" si="124"/>
        <v>4765.2998049999997</v>
      </c>
      <c r="L1102" s="4">
        <f t="shared" si="125"/>
        <v>0</v>
      </c>
    </row>
    <row r="1103" spans="1:12" x14ac:dyDescent="0.25">
      <c r="A1103" s="1">
        <v>42710</v>
      </c>
      <c r="B1103">
        <v>5460.6000979999999</v>
      </c>
      <c r="C1103">
        <v>5542.1000979999999</v>
      </c>
      <c r="D1103">
        <v>5460.6000979999999</v>
      </c>
      <c r="E1103">
        <v>5531.9501950000003</v>
      </c>
      <c r="F1103" s="4">
        <f t="shared" si="120"/>
        <v>5381.6000979999999</v>
      </c>
      <c r="G1103" s="4">
        <f t="shared" si="121"/>
        <v>5531.9501950000003</v>
      </c>
      <c r="H1103" s="4" t="str">
        <f t="shared" si="122"/>
        <v>BUY</v>
      </c>
      <c r="I1103" s="4">
        <f t="shared" si="119"/>
        <v>1</v>
      </c>
      <c r="J1103" s="11">
        <f t="shared" si="123"/>
        <v>0</v>
      </c>
      <c r="K1103" s="6">
        <f t="shared" si="124"/>
        <v>4765.2998049999997</v>
      </c>
      <c r="L1103" s="4">
        <f t="shared" si="125"/>
        <v>0</v>
      </c>
    </row>
    <row r="1104" spans="1:12" x14ac:dyDescent="0.25">
      <c r="A1104" s="1">
        <v>42711</v>
      </c>
      <c r="B1104">
        <v>5513.75</v>
      </c>
      <c r="C1104">
        <v>5531.3999020000001</v>
      </c>
      <c r="D1104">
        <v>5483.75</v>
      </c>
      <c r="E1104">
        <v>5521.9501950000003</v>
      </c>
      <c r="F1104" s="4">
        <f t="shared" si="120"/>
        <v>5381.6000979999999</v>
      </c>
      <c r="G1104" s="4">
        <f t="shared" si="121"/>
        <v>5531.9501950000003</v>
      </c>
      <c r="H1104" s="4">
        <f t="shared" si="122"/>
        <v>0</v>
      </c>
      <c r="I1104" s="4">
        <f t="shared" si="119"/>
        <v>1</v>
      </c>
      <c r="J1104" s="11">
        <f t="shared" si="123"/>
        <v>0</v>
      </c>
      <c r="K1104" s="6">
        <f t="shared" si="124"/>
        <v>4765.2998049999997</v>
      </c>
      <c r="L1104" s="4">
        <f t="shared" si="125"/>
        <v>0</v>
      </c>
    </row>
    <row r="1105" spans="1:12" x14ac:dyDescent="0.25">
      <c r="A1105" s="1">
        <v>42712</v>
      </c>
      <c r="B1105">
        <v>5574.2001950000003</v>
      </c>
      <c r="C1105">
        <v>5606.7001950000003</v>
      </c>
      <c r="D1105">
        <v>5545.2001950000003</v>
      </c>
      <c r="E1105">
        <v>5564.2998049999997</v>
      </c>
      <c r="F1105" s="4">
        <f t="shared" si="120"/>
        <v>5390.2001950000003</v>
      </c>
      <c r="G1105" s="4">
        <f t="shared" si="121"/>
        <v>5564.2998049999997</v>
      </c>
      <c r="H1105" s="4" t="str">
        <f t="shared" si="122"/>
        <v>BUY</v>
      </c>
      <c r="I1105" s="4">
        <f t="shared" si="119"/>
        <v>1</v>
      </c>
      <c r="J1105" s="11">
        <f t="shared" si="123"/>
        <v>0</v>
      </c>
      <c r="K1105" s="6">
        <f t="shared" si="124"/>
        <v>4765.2998049999997</v>
      </c>
      <c r="L1105" s="4">
        <f t="shared" si="125"/>
        <v>0</v>
      </c>
    </row>
    <row r="1106" spans="1:12" x14ac:dyDescent="0.25">
      <c r="A1106" s="1">
        <v>42713</v>
      </c>
      <c r="B1106">
        <v>5561.8999020000001</v>
      </c>
      <c r="C1106">
        <v>5621.5</v>
      </c>
      <c r="D1106">
        <v>5561.75</v>
      </c>
      <c r="E1106">
        <v>5607.1499020000001</v>
      </c>
      <c r="F1106" s="4">
        <f t="shared" si="120"/>
        <v>5416.0498049999997</v>
      </c>
      <c r="G1106" s="4">
        <f t="shared" si="121"/>
        <v>5607.1499020000001</v>
      </c>
      <c r="H1106" s="4" t="str">
        <f t="shared" si="122"/>
        <v>BUY</v>
      </c>
      <c r="I1106" s="4">
        <f t="shared" si="119"/>
        <v>1</v>
      </c>
      <c r="J1106" s="11">
        <f t="shared" si="123"/>
        <v>0</v>
      </c>
      <c r="K1106" s="6">
        <f t="shared" si="124"/>
        <v>4765.2998049999997</v>
      </c>
      <c r="L1106" s="4">
        <f t="shared" si="125"/>
        <v>0</v>
      </c>
    </row>
    <row r="1107" spans="1:12" x14ac:dyDescent="0.25">
      <c r="A1107" s="1">
        <v>42716</v>
      </c>
      <c r="B1107">
        <v>5609.75</v>
      </c>
      <c r="C1107">
        <v>5629.9501950000003</v>
      </c>
      <c r="D1107">
        <v>5491.3500979999999</v>
      </c>
      <c r="E1107">
        <v>5505.3500979999999</v>
      </c>
      <c r="F1107" s="4">
        <f t="shared" si="120"/>
        <v>5505.3500979999999</v>
      </c>
      <c r="G1107" s="4">
        <f t="shared" si="121"/>
        <v>5607.1499020000001</v>
      </c>
      <c r="H1107" s="4">
        <f t="shared" si="122"/>
        <v>0</v>
      </c>
      <c r="I1107" s="4">
        <f t="shared" si="119"/>
        <v>1</v>
      </c>
      <c r="J1107" s="11">
        <f t="shared" si="123"/>
        <v>0</v>
      </c>
      <c r="K1107" s="6">
        <f t="shared" si="124"/>
        <v>4765.2998049999997</v>
      </c>
      <c r="L1107" s="4">
        <f t="shared" si="125"/>
        <v>0</v>
      </c>
    </row>
    <row r="1108" spans="1:12" x14ac:dyDescent="0.25">
      <c r="A1108" s="1">
        <v>42717</v>
      </c>
      <c r="B1108">
        <v>5490.0498049999997</v>
      </c>
      <c r="C1108">
        <v>5537.3999020000001</v>
      </c>
      <c r="D1108">
        <v>5460.7998049999997</v>
      </c>
      <c r="E1108">
        <v>5483.2998049999997</v>
      </c>
      <c r="F1108" s="4">
        <f t="shared" si="120"/>
        <v>5483.2998049999997</v>
      </c>
      <c r="G1108" s="4">
        <f t="shared" si="121"/>
        <v>5607.1499020000001</v>
      </c>
      <c r="H1108" s="4" t="str">
        <f t="shared" si="122"/>
        <v>SELL</v>
      </c>
      <c r="I1108" s="4">
        <f t="shared" si="119"/>
        <v>-1</v>
      </c>
      <c r="J1108" s="11" t="str">
        <f t="shared" si="123"/>
        <v>SELL</v>
      </c>
      <c r="K1108" s="6">
        <f t="shared" si="124"/>
        <v>5483.2998049999997</v>
      </c>
      <c r="L1108" s="4">
        <f t="shared" si="125"/>
        <v>0.15067257662290989</v>
      </c>
    </row>
    <row r="1109" spans="1:12" x14ac:dyDescent="0.25">
      <c r="A1109" s="1">
        <v>42718</v>
      </c>
      <c r="B1109">
        <v>5479.1499020000001</v>
      </c>
      <c r="C1109">
        <v>5521.3999020000001</v>
      </c>
      <c r="D1109">
        <v>5405.8999020000001</v>
      </c>
      <c r="E1109">
        <v>5429.2998049999997</v>
      </c>
      <c r="F1109" s="4">
        <f t="shared" si="120"/>
        <v>5429.2998049999997</v>
      </c>
      <c r="G1109" s="4">
        <f t="shared" si="121"/>
        <v>5607.1499020000001</v>
      </c>
      <c r="H1109" s="4" t="str">
        <f t="shared" si="122"/>
        <v>SELL</v>
      </c>
      <c r="I1109" s="4">
        <f t="shared" si="119"/>
        <v>-1</v>
      </c>
      <c r="J1109" s="11">
        <f t="shared" si="123"/>
        <v>0</v>
      </c>
      <c r="K1109" s="6">
        <f t="shared" si="124"/>
        <v>5483.2998049999997</v>
      </c>
      <c r="L1109" s="4">
        <f t="shared" si="125"/>
        <v>0</v>
      </c>
    </row>
    <row r="1110" spans="1:12" x14ac:dyDescent="0.25">
      <c r="A1110" s="1">
        <v>42719</v>
      </c>
      <c r="B1110">
        <v>5448.1000979999999</v>
      </c>
      <c r="C1110">
        <v>5449.7998049999997</v>
      </c>
      <c r="D1110">
        <v>5268.1499020000001</v>
      </c>
      <c r="E1110">
        <v>5281.2001950000003</v>
      </c>
      <c r="F1110" s="4">
        <f t="shared" si="120"/>
        <v>5281.2001950000003</v>
      </c>
      <c r="G1110" s="4">
        <f t="shared" si="121"/>
        <v>5607.1499020000001</v>
      </c>
      <c r="H1110" s="4" t="str">
        <f t="shared" si="122"/>
        <v>SELL</v>
      </c>
      <c r="I1110" s="4">
        <f t="shared" si="119"/>
        <v>-1</v>
      </c>
      <c r="J1110" s="11">
        <f t="shared" si="123"/>
        <v>0</v>
      </c>
      <c r="K1110" s="6">
        <f t="shared" si="124"/>
        <v>5483.2998049999997</v>
      </c>
      <c r="L1110" s="4">
        <f t="shared" si="125"/>
        <v>0</v>
      </c>
    </row>
    <row r="1111" spans="1:12" x14ac:dyDescent="0.25">
      <c r="A1111" s="1">
        <v>42720</v>
      </c>
      <c r="B1111">
        <v>5310.5</v>
      </c>
      <c r="C1111">
        <v>5391.1000979999999</v>
      </c>
      <c r="D1111">
        <v>5306.4501950000003</v>
      </c>
      <c r="E1111">
        <v>5375.5</v>
      </c>
      <c r="F1111" s="4">
        <f t="shared" si="120"/>
        <v>5281.2001950000003</v>
      </c>
      <c r="G1111" s="4">
        <f t="shared" si="121"/>
        <v>5505.3500979999999</v>
      </c>
      <c r="H1111" s="4">
        <f t="shared" si="122"/>
        <v>0</v>
      </c>
      <c r="I1111" s="4">
        <f t="shared" si="119"/>
        <v>-1</v>
      </c>
      <c r="J1111" s="11">
        <f t="shared" si="123"/>
        <v>0</v>
      </c>
      <c r="K1111" s="6">
        <f t="shared" si="124"/>
        <v>5483.2998049999997</v>
      </c>
      <c r="L1111" s="4">
        <f t="shared" si="125"/>
        <v>0</v>
      </c>
    </row>
    <row r="1112" spans="1:12" x14ac:dyDescent="0.25">
      <c r="A1112" s="1">
        <v>42723</v>
      </c>
      <c r="B1112">
        <v>5424.9501950000003</v>
      </c>
      <c r="C1112">
        <v>5458.7998049999997</v>
      </c>
      <c r="D1112">
        <v>5352.25</v>
      </c>
      <c r="E1112">
        <v>5385.2001950000003</v>
      </c>
      <c r="F1112" s="4">
        <f t="shared" si="120"/>
        <v>5281.2001950000003</v>
      </c>
      <c r="G1112" s="4">
        <f t="shared" si="121"/>
        <v>5483.2998049999997</v>
      </c>
      <c r="H1112" s="4">
        <f t="shared" si="122"/>
        <v>0</v>
      </c>
      <c r="I1112" s="4">
        <f t="shared" si="119"/>
        <v>-1</v>
      </c>
      <c r="J1112" s="11">
        <f t="shared" si="123"/>
        <v>0</v>
      </c>
      <c r="K1112" s="6">
        <f t="shared" si="124"/>
        <v>5483.2998049999997</v>
      </c>
      <c r="L1112" s="4">
        <f t="shared" si="125"/>
        <v>0</v>
      </c>
    </row>
    <row r="1113" spans="1:12" x14ac:dyDescent="0.25">
      <c r="A1113" s="1">
        <v>42724</v>
      </c>
      <c r="B1113">
        <v>5366</v>
      </c>
      <c r="C1113">
        <v>5372.4501950000003</v>
      </c>
      <c r="D1113">
        <v>5297.5</v>
      </c>
      <c r="E1113">
        <v>5339.75</v>
      </c>
      <c r="F1113" s="4">
        <f t="shared" si="120"/>
        <v>5281.2001950000003</v>
      </c>
      <c r="G1113" s="4">
        <f t="shared" si="121"/>
        <v>5429.2998049999997</v>
      </c>
      <c r="H1113" s="4">
        <f t="shared" si="122"/>
        <v>0</v>
      </c>
      <c r="I1113" s="4">
        <f t="shared" si="119"/>
        <v>-1</v>
      </c>
      <c r="J1113" s="11">
        <f t="shared" si="123"/>
        <v>0</v>
      </c>
      <c r="K1113" s="6">
        <f t="shared" si="124"/>
        <v>5483.2998049999997</v>
      </c>
      <c r="L1113" s="4">
        <f t="shared" si="125"/>
        <v>0</v>
      </c>
    </row>
    <row r="1114" spans="1:12" x14ac:dyDescent="0.25">
      <c r="A1114" s="1">
        <v>42725</v>
      </c>
      <c r="B1114">
        <v>5369.4501950000003</v>
      </c>
      <c r="C1114">
        <v>5392.5498049999997</v>
      </c>
      <c r="D1114">
        <v>5315.0498049999997</v>
      </c>
      <c r="E1114">
        <v>5359.3500979999999</v>
      </c>
      <c r="F1114" s="4">
        <f t="shared" si="120"/>
        <v>5281.2001950000003</v>
      </c>
      <c r="G1114" s="4">
        <f t="shared" si="121"/>
        <v>5385.2001950000003</v>
      </c>
      <c r="H1114" s="4">
        <f t="shared" si="122"/>
        <v>0</v>
      </c>
      <c r="I1114" s="4">
        <f t="shared" si="119"/>
        <v>-1</v>
      </c>
      <c r="J1114" s="11">
        <f t="shared" si="123"/>
        <v>0</v>
      </c>
      <c r="K1114" s="6">
        <f t="shared" si="124"/>
        <v>5483.2998049999997</v>
      </c>
      <c r="L1114" s="4">
        <f t="shared" si="125"/>
        <v>0</v>
      </c>
    </row>
    <row r="1115" spans="1:12" x14ac:dyDescent="0.25">
      <c r="A1115" s="1">
        <v>42726</v>
      </c>
      <c r="B1115">
        <v>5342.5498049999997</v>
      </c>
      <c r="C1115">
        <v>5344.5</v>
      </c>
      <c r="D1115">
        <v>5265.7001950000003</v>
      </c>
      <c r="E1115">
        <v>5280.3500979999999</v>
      </c>
      <c r="F1115" s="4">
        <f t="shared" si="120"/>
        <v>5280.3500979999999</v>
      </c>
      <c r="G1115" s="4">
        <f t="shared" si="121"/>
        <v>5385.2001950000003</v>
      </c>
      <c r="H1115" s="4" t="str">
        <f t="shared" si="122"/>
        <v>SELL</v>
      </c>
      <c r="I1115" s="4">
        <f t="shared" si="119"/>
        <v>-1</v>
      </c>
      <c r="J1115" s="11">
        <f t="shared" si="123"/>
        <v>0</v>
      </c>
      <c r="K1115" s="6">
        <f t="shared" si="124"/>
        <v>5483.2998049999997</v>
      </c>
      <c r="L1115" s="4">
        <f t="shared" si="125"/>
        <v>0</v>
      </c>
    </row>
    <row r="1116" spans="1:12" x14ac:dyDescent="0.25">
      <c r="A1116" s="1">
        <v>42727</v>
      </c>
      <c r="B1116">
        <v>5266</v>
      </c>
      <c r="C1116">
        <v>5382.0498049999997</v>
      </c>
      <c r="D1116">
        <v>5206.3999020000001</v>
      </c>
      <c r="E1116">
        <v>5222.3999020000001</v>
      </c>
      <c r="F1116" s="4">
        <f t="shared" si="120"/>
        <v>5222.3999020000001</v>
      </c>
      <c r="G1116" s="4">
        <f t="shared" si="121"/>
        <v>5385.2001950000003</v>
      </c>
      <c r="H1116" s="4" t="str">
        <f t="shared" si="122"/>
        <v>SELL</v>
      </c>
      <c r="I1116" s="4">
        <f t="shared" si="119"/>
        <v>-1</v>
      </c>
      <c r="J1116" s="11">
        <f t="shared" si="123"/>
        <v>0</v>
      </c>
      <c r="K1116" s="6">
        <f t="shared" si="124"/>
        <v>5483.2998049999997</v>
      </c>
      <c r="L1116" s="4">
        <f t="shared" si="125"/>
        <v>0</v>
      </c>
    </row>
    <row r="1117" spans="1:12" x14ac:dyDescent="0.25">
      <c r="A1117" s="1">
        <v>42730</v>
      </c>
      <c r="B1117">
        <v>5207.0498049999997</v>
      </c>
      <c r="C1117">
        <v>5243.8500979999999</v>
      </c>
      <c r="D1117">
        <v>5171.4501950000003</v>
      </c>
      <c r="E1117">
        <v>5220.4501950000003</v>
      </c>
      <c r="F1117" s="4">
        <f t="shared" si="120"/>
        <v>5220.4501950000003</v>
      </c>
      <c r="G1117" s="4">
        <f t="shared" si="121"/>
        <v>5359.3500979999999</v>
      </c>
      <c r="H1117" s="4" t="str">
        <f t="shared" si="122"/>
        <v>SELL</v>
      </c>
      <c r="I1117" s="4">
        <f t="shared" si="119"/>
        <v>-1</v>
      </c>
      <c r="J1117" s="11">
        <f t="shared" si="123"/>
        <v>0</v>
      </c>
      <c r="K1117" s="6">
        <f t="shared" si="124"/>
        <v>5483.2998049999997</v>
      </c>
      <c r="L1117" s="4">
        <f t="shared" si="125"/>
        <v>0</v>
      </c>
    </row>
    <row r="1118" spans="1:12" x14ac:dyDescent="0.25">
      <c r="A1118" s="1">
        <v>42731</v>
      </c>
      <c r="B1118">
        <v>5220.4501950000003</v>
      </c>
      <c r="C1118">
        <v>5220.4501950000003</v>
      </c>
      <c r="D1118">
        <v>5220.4501950000003</v>
      </c>
      <c r="E1118">
        <v>5220.4501950000003</v>
      </c>
      <c r="F1118" s="4">
        <f t="shared" si="120"/>
        <v>5220.4501950000003</v>
      </c>
      <c r="G1118" s="4">
        <f t="shared" si="121"/>
        <v>5359.3500979999999</v>
      </c>
      <c r="H1118" s="4">
        <f t="shared" si="122"/>
        <v>0</v>
      </c>
      <c r="I1118" s="4">
        <f t="shared" si="119"/>
        <v>-1</v>
      </c>
      <c r="J1118" s="11">
        <f t="shared" si="123"/>
        <v>0</v>
      </c>
      <c r="K1118" s="6">
        <f t="shared" si="124"/>
        <v>5483.2998049999997</v>
      </c>
      <c r="L1118" s="4">
        <f t="shared" si="125"/>
        <v>0</v>
      </c>
    </row>
    <row r="1119" spans="1:12" x14ac:dyDescent="0.25">
      <c r="A1119" s="1">
        <v>42732</v>
      </c>
      <c r="B1119">
        <v>5294.1000979999999</v>
      </c>
      <c r="C1119">
        <v>5342.2998049999997</v>
      </c>
      <c r="D1119">
        <v>5291.6000979999999</v>
      </c>
      <c r="E1119">
        <v>5333.5498049999997</v>
      </c>
      <c r="F1119" s="4">
        <f t="shared" si="120"/>
        <v>5220.4501950000003</v>
      </c>
      <c r="G1119" s="4">
        <f t="shared" si="121"/>
        <v>5333.5498049999997</v>
      </c>
      <c r="H1119" s="4">
        <f t="shared" si="122"/>
        <v>0</v>
      </c>
      <c r="I1119" s="4">
        <f t="shared" si="119"/>
        <v>-1</v>
      </c>
      <c r="J1119" s="11">
        <f t="shared" si="123"/>
        <v>0</v>
      </c>
      <c r="K1119" s="6">
        <f t="shared" si="124"/>
        <v>5483.2998049999997</v>
      </c>
      <c r="L1119" s="4">
        <f t="shared" si="125"/>
        <v>0</v>
      </c>
    </row>
    <row r="1120" spans="1:12" x14ac:dyDescent="0.25">
      <c r="A1120" s="1">
        <v>42733</v>
      </c>
      <c r="B1120">
        <v>5420.1000979999999</v>
      </c>
      <c r="C1120">
        <v>5421.8999020000001</v>
      </c>
      <c r="D1120">
        <v>5327.2998049999997</v>
      </c>
      <c r="E1120">
        <v>5359.5498049999997</v>
      </c>
      <c r="F1120" s="4">
        <f t="shared" si="120"/>
        <v>5220.4501950000003</v>
      </c>
      <c r="G1120" s="4">
        <f t="shared" si="121"/>
        <v>5359.5498049999997</v>
      </c>
      <c r="H1120" s="4" t="str">
        <f t="shared" si="122"/>
        <v>BUY</v>
      </c>
      <c r="I1120" s="4">
        <f t="shared" si="119"/>
        <v>1</v>
      </c>
      <c r="J1120" s="11" t="str">
        <f t="shared" si="123"/>
        <v>BUY</v>
      </c>
      <c r="K1120" s="6">
        <f t="shared" si="124"/>
        <v>5359.5498049999997</v>
      </c>
      <c r="L1120" s="4">
        <f t="shared" si="125"/>
        <v>2.2568527055033059E-2</v>
      </c>
    </row>
    <row r="1121" spans="1:12" x14ac:dyDescent="0.25">
      <c r="A1121" s="1">
        <v>42734</v>
      </c>
      <c r="B1121">
        <v>5391.0498049999997</v>
      </c>
      <c r="C1121">
        <v>5438.6499020000001</v>
      </c>
      <c r="D1121">
        <v>5390.7998049999997</v>
      </c>
      <c r="E1121">
        <v>5429.5</v>
      </c>
      <c r="F1121" s="4">
        <f t="shared" si="120"/>
        <v>5220.4501950000003</v>
      </c>
      <c r="G1121" s="4">
        <f t="shared" si="121"/>
        <v>5429.5</v>
      </c>
      <c r="H1121" s="4" t="str">
        <f t="shared" si="122"/>
        <v>BUY</v>
      </c>
      <c r="I1121" s="4">
        <f t="shared" si="119"/>
        <v>1</v>
      </c>
      <c r="J1121" s="11">
        <f t="shared" si="123"/>
        <v>0</v>
      </c>
      <c r="K1121" s="6">
        <f t="shared" si="124"/>
        <v>5359.5498049999997</v>
      </c>
      <c r="L1121" s="4">
        <f t="shared" si="125"/>
        <v>0</v>
      </c>
    </row>
    <row r="1122" spans="1:12" x14ac:dyDescent="0.25">
      <c r="A1122" s="1">
        <v>42737</v>
      </c>
      <c r="B1122">
        <v>5490.5498049999997</v>
      </c>
      <c r="C1122">
        <v>5499.3999020000001</v>
      </c>
      <c r="D1122">
        <v>5437.7998049999997</v>
      </c>
      <c r="E1122">
        <v>5463.8999020000001</v>
      </c>
      <c r="F1122" s="4">
        <f t="shared" si="120"/>
        <v>5220.4501950000003</v>
      </c>
      <c r="G1122" s="4">
        <f t="shared" si="121"/>
        <v>5463.8999020000001</v>
      </c>
      <c r="H1122" s="4" t="str">
        <f t="shared" si="122"/>
        <v>BUY</v>
      </c>
      <c r="I1122" s="4">
        <f t="shared" si="119"/>
        <v>1</v>
      </c>
      <c r="J1122" s="11">
        <f t="shared" si="123"/>
        <v>0</v>
      </c>
      <c r="K1122" s="6">
        <f t="shared" si="124"/>
        <v>5359.5498049999997</v>
      </c>
      <c r="L1122" s="4">
        <f t="shared" si="125"/>
        <v>0</v>
      </c>
    </row>
    <row r="1123" spans="1:12" x14ac:dyDescent="0.25">
      <c r="A1123" s="1">
        <v>42738</v>
      </c>
      <c r="B1123">
        <v>5462.5</v>
      </c>
      <c r="C1123">
        <v>5462.5</v>
      </c>
      <c r="D1123">
        <v>5362.2998049999997</v>
      </c>
      <c r="E1123">
        <v>5380.5</v>
      </c>
      <c r="F1123" s="4">
        <f t="shared" si="120"/>
        <v>5333.5498049999997</v>
      </c>
      <c r="G1123" s="4">
        <f t="shared" si="121"/>
        <v>5463.8999020000001</v>
      </c>
      <c r="H1123" s="4">
        <f t="shared" si="122"/>
        <v>0</v>
      </c>
      <c r="I1123" s="4">
        <f t="shared" si="119"/>
        <v>1</v>
      </c>
      <c r="J1123" s="11">
        <f t="shared" si="123"/>
        <v>0</v>
      </c>
      <c r="K1123" s="6">
        <f t="shared" si="124"/>
        <v>5359.5498049999997</v>
      </c>
      <c r="L1123" s="4">
        <f t="shared" si="125"/>
        <v>0</v>
      </c>
    </row>
    <row r="1124" spans="1:12" x14ac:dyDescent="0.25">
      <c r="A1124" s="1">
        <v>42739</v>
      </c>
      <c r="B1124">
        <v>5380.3500979999999</v>
      </c>
      <c r="C1124">
        <v>5445.6499020000001</v>
      </c>
      <c r="D1124">
        <v>5305</v>
      </c>
      <c r="E1124">
        <v>5317.8999020000001</v>
      </c>
      <c r="F1124" s="4">
        <f t="shared" si="120"/>
        <v>5317.8999020000001</v>
      </c>
      <c r="G1124" s="4">
        <f t="shared" si="121"/>
        <v>5463.8999020000001</v>
      </c>
      <c r="H1124" s="4" t="str">
        <f t="shared" si="122"/>
        <v>SELL</v>
      </c>
      <c r="I1124" s="4">
        <f t="shared" si="119"/>
        <v>-1</v>
      </c>
      <c r="J1124" s="11" t="str">
        <f t="shared" si="123"/>
        <v>SELL</v>
      </c>
      <c r="K1124" s="6">
        <f t="shared" si="124"/>
        <v>5317.8999020000001</v>
      </c>
      <c r="L1124" s="4">
        <f t="shared" si="125"/>
        <v>-7.7711570029900196E-3</v>
      </c>
    </row>
    <row r="1125" spans="1:12" x14ac:dyDescent="0.25">
      <c r="A1125" s="1">
        <v>42740</v>
      </c>
      <c r="B1125">
        <v>5337.3500979999999</v>
      </c>
      <c r="C1125">
        <v>5340.7001950000003</v>
      </c>
      <c r="D1125">
        <v>5238.5498049999997</v>
      </c>
      <c r="E1125">
        <v>5257.0498049999997</v>
      </c>
      <c r="F1125" s="4">
        <f t="shared" si="120"/>
        <v>5257.0498049999997</v>
      </c>
      <c r="G1125" s="4">
        <f t="shared" si="121"/>
        <v>5463.8999020000001</v>
      </c>
      <c r="H1125" s="4" t="str">
        <f t="shared" si="122"/>
        <v>SELL</v>
      </c>
      <c r="I1125" s="4">
        <f t="shared" si="119"/>
        <v>-1</v>
      </c>
      <c r="J1125" s="11">
        <f t="shared" si="123"/>
        <v>0</v>
      </c>
      <c r="K1125" s="6">
        <f t="shared" si="124"/>
        <v>5317.8999020000001</v>
      </c>
      <c r="L1125" s="4">
        <f t="shared" si="125"/>
        <v>0</v>
      </c>
    </row>
    <row r="1126" spans="1:12" x14ac:dyDescent="0.25">
      <c r="A1126" s="1">
        <v>42741</v>
      </c>
      <c r="B1126">
        <v>5257.1499020000001</v>
      </c>
      <c r="C1126">
        <v>5297.3500979999999</v>
      </c>
      <c r="D1126">
        <v>5233.25</v>
      </c>
      <c r="E1126">
        <v>5274.8500979999999</v>
      </c>
      <c r="F1126" s="4">
        <f t="shared" si="120"/>
        <v>5257.0498049999997</v>
      </c>
      <c r="G1126" s="4">
        <f t="shared" si="121"/>
        <v>5463.8999020000001</v>
      </c>
      <c r="H1126" s="4">
        <f t="shared" si="122"/>
        <v>0</v>
      </c>
      <c r="I1126" s="4">
        <f t="shared" si="119"/>
        <v>-1</v>
      </c>
      <c r="J1126" s="11">
        <f t="shared" si="123"/>
        <v>0</v>
      </c>
      <c r="K1126" s="6">
        <f t="shared" si="124"/>
        <v>5317.8999020000001</v>
      </c>
      <c r="L1126" s="4">
        <f t="shared" si="125"/>
        <v>0</v>
      </c>
    </row>
    <row r="1127" spans="1:12" x14ac:dyDescent="0.25">
      <c r="A1127" s="1">
        <v>42744</v>
      </c>
      <c r="B1127">
        <v>5267.2001950000003</v>
      </c>
      <c r="C1127">
        <v>5372.3500979999999</v>
      </c>
      <c r="D1127">
        <v>5256</v>
      </c>
      <c r="E1127">
        <v>5364.9501950000003</v>
      </c>
      <c r="F1127" s="4">
        <f t="shared" si="120"/>
        <v>5257.0498049999997</v>
      </c>
      <c r="G1127" s="4">
        <f t="shared" si="121"/>
        <v>5380.5</v>
      </c>
      <c r="H1127" s="4">
        <f t="shared" si="122"/>
        <v>0</v>
      </c>
      <c r="I1127" s="4">
        <f t="shared" si="119"/>
        <v>-1</v>
      </c>
      <c r="J1127" s="11">
        <f t="shared" si="123"/>
        <v>0</v>
      </c>
      <c r="K1127" s="6">
        <f t="shared" si="124"/>
        <v>5317.8999020000001</v>
      </c>
      <c r="L1127" s="4">
        <f t="shared" si="125"/>
        <v>0</v>
      </c>
    </row>
    <row r="1128" spans="1:12" x14ac:dyDescent="0.25">
      <c r="A1128" s="1">
        <v>42745</v>
      </c>
      <c r="B1128">
        <v>5361.1000979999999</v>
      </c>
      <c r="C1128">
        <v>5385.9501950000003</v>
      </c>
      <c r="D1128">
        <v>5205.6499020000001</v>
      </c>
      <c r="E1128">
        <v>5228.4501950000003</v>
      </c>
      <c r="F1128" s="4">
        <f t="shared" si="120"/>
        <v>5228.4501950000003</v>
      </c>
      <c r="G1128" s="4">
        <f t="shared" si="121"/>
        <v>5364.9501950000003</v>
      </c>
      <c r="H1128" s="4" t="str">
        <f t="shared" si="122"/>
        <v>SELL</v>
      </c>
      <c r="I1128" s="4">
        <f t="shared" si="119"/>
        <v>-1</v>
      </c>
      <c r="J1128" s="11">
        <f t="shared" si="123"/>
        <v>0</v>
      </c>
      <c r="K1128" s="6">
        <f t="shared" si="124"/>
        <v>5317.8999020000001</v>
      </c>
      <c r="L1128" s="4">
        <f t="shared" si="125"/>
        <v>0</v>
      </c>
    </row>
    <row r="1129" spans="1:12" x14ac:dyDescent="0.25">
      <c r="A1129" s="1">
        <v>42746</v>
      </c>
      <c r="B1129">
        <v>5255.6499020000001</v>
      </c>
      <c r="C1129">
        <v>5312</v>
      </c>
      <c r="D1129">
        <v>5220</v>
      </c>
      <c r="E1129">
        <v>5278.2001950000003</v>
      </c>
      <c r="F1129" s="4">
        <f t="shared" si="120"/>
        <v>5228.4501950000003</v>
      </c>
      <c r="G1129" s="4">
        <f t="shared" si="121"/>
        <v>5364.9501950000003</v>
      </c>
      <c r="H1129" s="4">
        <f t="shared" si="122"/>
        <v>0</v>
      </c>
      <c r="I1129" s="4">
        <f t="shared" si="119"/>
        <v>-1</v>
      </c>
      <c r="J1129" s="11">
        <f t="shared" si="123"/>
        <v>0</v>
      </c>
      <c r="K1129" s="6">
        <f t="shared" si="124"/>
        <v>5317.8999020000001</v>
      </c>
      <c r="L1129" s="4">
        <f t="shared" si="125"/>
        <v>0</v>
      </c>
    </row>
    <row r="1130" spans="1:12" x14ac:dyDescent="0.25">
      <c r="A1130" s="1">
        <v>42747</v>
      </c>
      <c r="B1130">
        <v>5274.3500979999999</v>
      </c>
      <c r="C1130">
        <v>5274.9501950000003</v>
      </c>
      <c r="D1130">
        <v>5174.8999020000001</v>
      </c>
      <c r="E1130">
        <v>5184.25</v>
      </c>
      <c r="F1130" s="4">
        <f t="shared" si="120"/>
        <v>5184.25</v>
      </c>
      <c r="G1130" s="4">
        <f t="shared" si="121"/>
        <v>5364.9501950000003</v>
      </c>
      <c r="H1130" s="4" t="str">
        <f t="shared" si="122"/>
        <v>SELL</v>
      </c>
      <c r="I1130" s="4">
        <f t="shared" si="119"/>
        <v>-1</v>
      </c>
      <c r="J1130" s="11">
        <f t="shared" si="123"/>
        <v>0</v>
      </c>
      <c r="K1130" s="6">
        <f t="shared" si="124"/>
        <v>5317.8999020000001</v>
      </c>
      <c r="L1130" s="4">
        <f t="shared" si="125"/>
        <v>0</v>
      </c>
    </row>
    <row r="1131" spans="1:12" x14ac:dyDescent="0.25">
      <c r="A1131" s="1">
        <v>42748</v>
      </c>
      <c r="B1131">
        <v>5242.9501950000003</v>
      </c>
      <c r="C1131">
        <v>5277.9501950000003</v>
      </c>
      <c r="D1131">
        <v>5184.6499020000001</v>
      </c>
      <c r="E1131">
        <v>5243.1499020000001</v>
      </c>
      <c r="F1131" s="4">
        <f t="shared" si="120"/>
        <v>5184.25</v>
      </c>
      <c r="G1131" s="4">
        <f t="shared" si="121"/>
        <v>5364.9501950000003</v>
      </c>
      <c r="H1131" s="4">
        <f t="shared" si="122"/>
        <v>0</v>
      </c>
      <c r="I1131" s="4">
        <f t="shared" si="119"/>
        <v>-1</v>
      </c>
      <c r="J1131" s="11">
        <f t="shared" si="123"/>
        <v>0</v>
      </c>
      <c r="K1131" s="6">
        <f t="shared" si="124"/>
        <v>5317.8999020000001</v>
      </c>
      <c r="L1131" s="4">
        <f t="shared" si="125"/>
        <v>0</v>
      </c>
    </row>
    <row r="1132" spans="1:12" x14ac:dyDescent="0.25">
      <c r="A1132" s="1">
        <v>42751</v>
      </c>
      <c r="B1132">
        <v>5231.7001950000003</v>
      </c>
      <c r="C1132">
        <v>5236.5498049999997</v>
      </c>
      <c r="D1132">
        <v>5169.6000979999999</v>
      </c>
      <c r="E1132">
        <v>5194.75</v>
      </c>
      <c r="F1132" s="4">
        <f t="shared" si="120"/>
        <v>5184.25</v>
      </c>
      <c r="G1132" s="4">
        <f t="shared" si="121"/>
        <v>5278.2001950000003</v>
      </c>
      <c r="H1132" s="4">
        <f t="shared" si="122"/>
        <v>0</v>
      </c>
      <c r="I1132" s="4">
        <f t="shared" si="119"/>
        <v>-1</v>
      </c>
      <c r="J1132" s="11">
        <f t="shared" si="123"/>
        <v>0</v>
      </c>
      <c r="K1132" s="6">
        <f t="shared" si="124"/>
        <v>5317.8999020000001</v>
      </c>
      <c r="L1132" s="4">
        <f t="shared" si="125"/>
        <v>0</v>
      </c>
    </row>
    <row r="1133" spans="1:12" x14ac:dyDescent="0.25">
      <c r="A1133" s="1">
        <v>42752</v>
      </c>
      <c r="B1133">
        <v>5145.9501950000003</v>
      </c>
      <c r="C1133">
        <v>5194.2998049999997</v>
      </c>
      <c r="D1133">
        <v>5135.9501950000003</v>
      </c>
      <c r="E1133">
        <v>5178.8500979999999</v>
      </c>
      <c r="F1133" s="4">
        <f t="shared" si="120"/>
        <v>5178.8500979999999</v>
      </c>
      <c r="G1133" s="4">
        <f t="shared" si="121"/>
        <v>5278.2001950000003</v>
      </c>
      <c r="H1133" s="4" t="str">
        <f t="shared" si="122"/>
        <v>SELL</v>
      </c>
      <c r="I1133" s="4">
        <f t="shared" si="119"/>
        <v>-1</v>
      </c>
      <c r="J1133" s="11">
        <f t="shared" si="123"/>
        <v>0</v>
      </c>
      <c r="K1133" s="6">
        <f t="shared" si="124"/>
        <v>5317.8999020000001</v>
      </c>
      <c r="L1133" s="4">
        <f t="shared" si="125"/>
        <v>0</v>
      </c>
    </row>
    <row r="1134" spans="1:12" x14ac:dyDescent="0.25">
      <c r="A1134" s="1">
        <v>42753</v>
      </c>
      <c r="B1134">
        <v>5206.6000979999999</v>
      </c>
      <c r="C1134">
        <v>5307.1000979999999</v>
      </c>
      <c r="D1134">
        <v>5203.6499020000001</v>
      </c>
      <c r="E1134">
        <v>5295.5498049999997</v>
      </c>
      <c r="F1134" s="4">
        <f t="shared" si="120"/>
        <v>5178.8500979999999</v>
      </c>
      <c r="G1134" s="4">
        <f t="shared" si="121"/>
        <v>5295.5498049999997</v>
      </c>
      <c r="H1134" s="4" t="str">
        <f t="shared" si="122"/>
        <v>BUY</v>
      </c>
      <c r="I1134" s="4">
        <f t="shared" si="119"/>
        <v>1</v>
      </c>
      <c r="J1134" s="11" t="str">
        <f t="shared" si="123"/>
        <v>BUY</v>
      </c>
      <c r="K1134" s="6">
        <f t="shared" si="124"/>
        <v>5295.5498049999997</v>
      </c>
      <c r="L1134" s="4">
        <f t="shared" si="125"/>
        <v>4.2028051320775802E-3</v>
      </c>
    </row>
    <row r="1135" spans="1:12" x14ac:dyDescent="0.25">
      <c r="A1135" s="1">
        <v>42754</v>
      </c>
      <c r="B1135">
        <v>5296.3500979999999</v>
      </c>
      <c r="C1135">
        <v>5331.5498049999997</v>
      </c>
      <c r="D1135">
        <v>5278.7998049999997</v>
      </c>
      <c r="E1135">
        <v>5317.8999020000001</v>
      </c>
      <c r="F1135" s="4">
        <f t="shared" si="120"/>
        <v>5178.8500979999999</v>
      </c>
      <c r="G1135" s="4">
        <f t="shared" si="121"/>
        <v>5317.8999020000001</v>
      </c>
      <c r="H1135" s="4" t="str">
        <f t="shared" si="122"/>
        <v>BUY</v>
      </c>
      <c r="I1135" s="4">
        <f t="shared" si="119"/>
        <v>1</v>
      </c>
      <c r="J1135" s="11">
        <f t="shared" si="123"/>
        <v>0</v>
      </c>
      <c r="K1135" s="6">
        <f t="shared" si="124"/>
        <v>5295.5498049999997</v>
      </c>
      <c r="L1135" s="4">
        <f t="shared" si="125"/>
        <v>0</v>
      </c>
    </row>
    <row r="1136" spans="1:12" x14ac:dyDescent="0.25">
      <c r="A1136" s="1">
        <v>42755</v>
      </c>
      <c r="B1136">
        <v>5353.2001950000003</v>
      </c>
      <c r="C1136">
        <v>5378.75</v>
      </c>
      <c r="D1136">
        <v>5344.4501950000003</v>
      </c>
      <c r="E1136">
        <v>5358.5</v>
      </c>
      <c r="F1136" s="4">
        <f t="shared" si="120"/>
        <v>5178.8500979999999</v>
      </c>
      <c r="G1136" s="4">
        <f t="shared" si="121"/>
        <v>5358.5</v>
      </c>
      <c r="H1136" s="4" t="str">
        <f t="shared" si="122"/>
        <v>BUY</v>
      </c>
      <c r="I1136" s="4">
        <f t="shared" si="119"/>
        <v>1</v>
      </c>
      <c r="J1136" s="11">
        <f t="shared" si="123"/>
        <v>0</v>
      </c>
      <c r="K1136" s="6">
        <f t="shared" si="124"/>
        <v>5295.5498049999997</v>
      </c>
      <c r="L1136" s="4">
        <f t="shared" si="125"/>
        <v>0</v>
      </c>
    </row>
    <row r="1137" spans="1:12" x14ac:dyDescent="0.25">
      <c r="A1137" s="1">
        <v>42758</v>
      </c>
      <c r="B1137">
        <v>5328.6499020000001</v>
      </c>
      <c r="C1137">
        <v>5338.3999020000001</v>
      </c>
      <c r="D1137">
        <v>5305.2998049999997</v>
      </c>
      <c r="E1137">
        <v>5322.8999020000001</v>
      </c>
      <c r="F1137" s="4">
        <f t="shared" si="120"/>
        <v>5178.8500979999999</v>
      </c>
      <c r="G1137" s="4">
        <f t="shared" si="121"/>
        <v>5358.5</v>
      </c>
      <c r="H1137" s="4">
        <f t="shared" si="122"/>
        <v>0</v>
      </c>
      <c r="I1137" s="4">
        <f t="shared" si="119"/>
        <v>1</v>
      </c>
      <c r="J1137" s="11">
        <f t="shared" si="123"/>
        <v>0</v>
      </c>
      <c r="K1137" s="6">
        <f t="shared" si="124"/>
        <v>5295.5498049999997</v>
      </c>
      <c r="L1137" s="4">
        <f t="shared" si="125"/>
        <v>0</v>
      </c>
    </row>
    <row r="1138" spans="1:12" x14ac:dyDescent="0.25">
      <c r="A1138" s="1">
        <v>42759</v>
      </c>
      <c r="B1138">
        <v>5322.8999020000001</v>
      </c>
      <c r="C1138">
        <v>5322.8999020000001</v>
      </c>
      <c r="D1138">
        <v>5322.8999020000001</v>
      </c>
      <c r="E1138">
        <v>5322.8999020000001</v>
      </c>
      <c r="F1138" s="4">
        <f t="shared" si="120"/>
        <v>5295.5498049999997</v>
      </c>
      <c r="G1138" s="4">
        <f t="shared" si="121"/>
        <v>5358.5</v>
      </c>
      <c r="H1138" s="4">
        <f t="shared" si="122"/>
        <v>0</v>
      </c>
      <c r="I1138" s="4">
        <f t="shared" si="119"/>
        <v>1</v>
      </c>
      <c r="J1138" s="11">
        <f t="shared" si="123"/>
        <v>0</v>
      </c>
      <c r="K1138" s="6">
        <f t="shared" si="124"/>
        <v>5295.5498049999997</v>
      </c>
      <c r="L1138" s="4">
        <f t="shared" si="125"/>
        <v>0</v>
      </c>
    </row>
    <row r="1139" spans="1:12" x14ac:dyDescent="0.25">
      <c r="A1139" s="1">
        <v>42760</v>
      </c>
      <c r="B1139">
        <v>5282.5</v>
      </c>
      <c r="C1139">
        <v>5287.8999020000001</v>
      </c>
      <c r="D1139">
        <v>5228</v>
      </c>
      <c r="E1139">
        <v>5234.3999020000001</v>
      </c>
      <c r="F1139" s="4">
        <f t="shared" si="120"/>
        <v>5234.3999020000001</v>
      </c>
      <c r="G1139" s="4">
        <f t="shared" si="121"/>
        <v>5358.5</v>
      </c>
      <c r="H1139" s="4" t="str">
        <f t="shared" si="122"/>
        <v>SELL</v>
      </c>
      <c r="I1139" s="4">
        <f t="shared" si="119"/>
        <v>-1</v>
      </c>
      <c r="J1139" s="11" t="str">
        <f t="shared" si="123"/>
        <v>SELL</v>
      </c>
      <c r="K1139" s="6">
        <f t="shared" si="124"/>
        <v>5234.3999020000001</v>
      </c>
      <c r="L1139" s="4">
        <f t="shared" si="125"/>
        <v>-1.1547413441803999E-2</v>
      </c>
    </row>
    <row r="1140" spans="1:12" x14ac:dyDescent="0.25">
      <c r="A1140" s="1">
        <v>42761</v>
      </c>
      <c r="B1140">
        <v>5254.1000979999999</v>
      </c>
      <c r="C1140">
        <v>5255.7998049999997</v>
      </c>
      <c r="D1140">
        <v>5211.8500979999999</v>
      </c>
      <c r="E1140">
        <v>5243.6000979999999</v>
      </c>
      <c r="F1140" s="4">
        <f t="shared" si="120"/>
        <v>5234.3999020000001</v>
      </c>
      <c r="G1140" s="4">
        <f t="shared" si="121"/>
        <v>5358.5</v>
      </c>
      <c r="H1140" s="4">
        <f t="shared" si="122"/>
        <v>0</v>
      </c>
      <c r="I1140" s="4">
        <f t="shared" si="119"/>
        <v>-1</v>
      </c>
      <c r="J1140" s="11">
        <f t="shared" si="123"/>
        <v>0</v>
      </c>
      <c r="K1140" s="6">
        <f t="shared" si="124"/>
        <v>5234.3999020000001</v>
      </c>
      <c r="L1140" s="4">
        <f t="shared" si="125"/>
        <v>0</v>
      </c>
    </row>
    <row r="1141" spans="1:12" x14ac:dyDescent="0.25">
      <c r="A1141" s="1">
        <v>42762</v>
      </c>
      <c r="B1141">
        <v>5209.4501950000003</v>
      </c>
      <c r="C1141">
        <v>5263.6499020000001</v>
      </c>
      <c r="D1141">
        <v>5190.7998049999997</v>
      </c>
      <c r="E1141">
        <v>5226.8500979999999</v>
      </c>
      <c r="F1141" s="4">
        <f t="shared" si="120"/>
        <v>5226.8500979999999</v>
      </c>
      <c r="G1141" s="4">
        <f t="shared" si="121"/>
        <v>5322.8999020000001</v>
      </c>
      <c r="H1141" s="4" t="str">
        <f t="shared" si="122"/>
        <v>SELL</v>
      </c>
      <c r="I1141" s="4">
        <f t="shared" si="119"/>
        <v>-1</v>
      </c>
      <c r="J1141" s="11">
        <f t="shared" si="123"/>
        <v>0</v>
      </c>
      <c r="K1141" s="6">
        <f t="shared" si="124"/>
        <v>5234.3999020000001</v>
      </c>
      <c r="L1141" s="4">
        <f t="shared" si="125"/>
        <v>0</v>
      </c>
    </row>
    <row r="1142" spans="1:12" x14ac:dyDescent="0.25">
      <c r="A1142" s="1">
        <v>42765</v>
      </c>
      <c r="B1142">
        <v>5246.75</v>
      </c>
      <c r="C1142">
        <v>5290.6000979999999</v>
      </c>
      <c r="D1142">
        <v>5246.75</v>
      </c>
      <c r="E1142">
        <v>5276.8500979999999</v>
      </c>
      <c r="F1142" s="4">
        <f t="shared" si="120"/>
        <v>5226.8500979999999</v>
      </c>
      <c r="G1142" s="4">
        <f t="shared" si="121"/>
        <v>5322.8999020000001</v>
      </c>
      <c r="H1142" s="4">
        <f t="shared" si="122"/>
        <v>0</v>
      </c>
      <c r="I1142" s="4">
        <f t="shared" si="119"/>
        <v>-1</v>
      </c>
      <c r="J1142" s="11">
        <f t="shared" si="123"/>
        <v>0</v>
      </c>
      <c r="K1142" s="6">
        <f t="shared" si="124"/>
        <v>5234.3999020000001</v>
      </c>
      <c r="L1142" s="4">
        <f t="shared" si="125"/>
        <v>0</v>
      </c>
    </row>
    <row r="1143" spans="1:12" x14ac:dyDescent="0.25">
      <c r="A1143" s="1">
        <v>42766</v>
      </c>
      <c r="B1143">
        <v>5255.7001950000003</v>
      </c>
      <c r="C1143">
        <v>5306.75</v>
      </c>
      <c r="D1143">
        <v>5185.3999020000001</v>
      </c>
      <c r="E1143">
        <v>5207.4501950000003</v>
      </c>
      <c r="F1143" s="4">
        <f t="shared" si="120"/>
        <v>5207.4501950000003</v>
      </c>
      <c r="G1143" s="4">
        <f t="shared" si="121"/>
        <v>5276.8500979999999</v>
      </c>
      <c r="H1143" s="4" t="str">
        <f t="shared" si="122"/>
        <v>SELL</v>
      </c>
      <c r="I1143" s="4">
        <f t="shared" si="119"/>
        <v>-1</v>
      </c>
      <c r="J1143" s="11">
        <f t="shared" si="123"/>
        <v>0</v>
      </c>
      <c r="K1143" s="6">
        <f t="shared" si="124"/>
        <v>5234.3999020000001</v>
      </c>
      <c r="L1143" s="4">
        <f t="shared" si="125"/>
        <v>0</v>
      </c>
    </row>
    <row r="1144" spans="1:12" x14ac:dyDescent="0.25">
      <c r="A1144" s="1">
        <v>42767</v>
      </c>
      <c r="B1144">
        <v>5190.6000979999999</v>
      </c>
      <c r="C1144">
        <v>5233.5</v>
      </c>
      <c r="D1144">
        <v>5183.5</v>
      </c>
      <c r="E1144">
        <v>5226.2001950000003</v>
      </c>
      <c r="F1144" s="4">
        <f t="shared" si="120"/>
        <v>5207.4501950000003</v>
      </c>
      <c r="G1144" s="4">
        <f t="shared" si="121"/>
        <v>5276.8500979999999</v>
      </c>
      <c r="H1144" s="4">
        <f t="shared" si="122"/>
        <v>0</v>
      </c>
      <c r="I1144" s="4">
        <f t="shared" si="119"/>
        <v>-1</v>
      </c>
      <c r="J1144" s="11">
        <f t="shared" si="123"/>
        <v>0</v>
      </c>
      <c r="K1144" s="6">
        <f t="shared" si="124"/>
        <v>5234.3999020000001</v>
      </c>
      <c r="L1144" s="4">
        <f t="shared" si="125"/>
        <v>0</v>
      </c>
    </row>
    <row r="1145" spans="1:12" x14ac:dyDescent="0.25">
      <c r="A1145" s="1">
        <v>42768</v>
      </c>
      <c r="B1145">
        <v>5266.6000979999999</v>
      </c>
      <c r="C1145">
        <v>5298.2001950000003</v>
      </c>
      <c r="D1145">
        <v>5208.3500979999999</v>
      </c>
      <c r="E1145">
        <v>5289.7001950000003</v>
      </c>
      <c r="F1145" s="4">
        <f t="shared" si="120"/>
        <v>5207.4501950000003</v>
      </c>
      <c r="G1145" s="4">
        <f t="shared" si="121"/>
        <v>5289.7001950000003</v>
      </c>
      <c r="H1145" s="4" t="str">
        <f t="shared" si="122"/>
        <v>BUY</v>
      </c>
      <c r="I1145" s="4">
        <f t="shared" si="119"/>
        <v>1</v>
      </c>
      <c r="J1145" s="11" t="str">
        <f t="shared" si="123"/>
        <v>BUY</v>
      </c>
      <c r="K1145" s="6">
        <f t="shared" si="124"/>
        <v>5289.7001950000003</v>
      </c>
      <c r="L1145" s="4">
        <f t="shared" si="125"/>
        <v>-1.056478183466087E-2</v>
      </c>
    </row>
    <row r="1146" spans="1:12" x14ac:dyDescent="0.25">
      <c r="A1146" s="1">
        <v>42769</v>
      </c>
      <c r="B1146">
        <v>5320.7001950000003</v>
      </c>
      <c r="C1146">
        <v>5342</v>
      </c>
      <c r="D1146">
        <v>5293.4501950000003</v>
      </c>
      <c r="E1146">
        <v>5300</v>
      </c>
      <c r="F1146" s="4">
        <f t="shared" si="120"/>
        <v>5207.4501950000003</v>
      </c>
      <c r="G1146" s="4">
        <f t="shared" si="121"/>
        <v>5300</v>
      </c>
      <c r="H1146" s="4" t="str">
        <f t="shared" si="122"/>
        <v>BUY</v>
      </c>
      <c r="I1146" s="4">
        <f t="shared" si="119"/>
        <v>1</v>
      </c>
      <c r="J1146" s="11">
        <f t="shared" si="123"/>
        <v>0</v>
      </c>
      <c r="K1146" s="6">
        <f t="shared" si="124"/>
        <v>5289.7001950000003</v>
      </c>
      <c r="L1146" s="4">
        <f t="shared" si="125"/>
        <v>0</v>
      </c>
    </row>
    <row r="1147" spans="1:12" x14ac:dyDescent="0.25">
      <c r="A1147" s="1">
        <v>42772</v>
      </c>
      <c r="B1147">
        <v>5320.6000979999999</v>
      </c>
      <c r="C1147">
        <v>5342.4501950000003</v>
      </c>
      <c r="D1147">
        <v>5291.2998049999997</v>
      </c>
      <c r="E1147">
        <v>5332.3999020000001</v>
      </c>
      <c r="F1147" s="4">
        <f t="shared" si="120"/>
        <v>5207.4501950000003</v>
      </c>
      <c r="G1147" s="4">
        <f t="shared" si="121"/>
        <v>5332.3999020000001</v>
      </c>
      <c r="H1147" s="4" t="str">
        <f t="shared" si="122"/>
        <v>BUY</v>
      </c>
      <c r="I1147" s="4">
        <f t="shared" si="119"/>
        <v>1</v>
      </c>
      <c r="J1147" s="11">
        <f t="shared" si="123"/>
        <v>0</v>
      </c>
      <c r="K1147" s="6">
        <f t="shared" si="124"/>
        <v>5289.7001950000003</v>
      </c>
      <c r="L1147" s="4">
        <f t="shared" si="125"/>
        <v>0</v>
      </c>
    </row>
    <row r="1148" spans="1:12" x14ac:dyDescent="0.25">
      <c r="A1148" s="1">
        <v>42773</v>
      </c>
      <c r="B1148">
        <v>5313.9501950000003</v>
      </c>
      <c r="C1148">
        <v>5336.1499020000001</v>
      </c>
      <c r="D1148">
        <v>5245.4501950000003</v>
      </c>
      <c r="E1148">
        <v>5290.8500979999999</v>
      </c>
      <c r="F1148" s="4">
        <f t="shared" si="120"/>
        <v>5226.2001950000003</v>
      </c>
      <c r="G1148" s="4">
        <f t="shared" si="121"/>
        <v>5332.3999020000001</v>
      </c>
      <c r="H1148" s="4">
        <f t="shared" si="122"/>
        <v>0</v>
      </c>
      <c r="I1148" s="4">
        <f t="shared" si="119"/>
        <v>1</v>
      </c>
      <c r="J1148" s="11">
        <f t="shared" si="123"/>
        <v>0</v>
      </c>
      <c r="K1148" s="6">
        <f t="shared" si="124"/>
        <v>5289.7001950000003</v>
      </c>
      <c r="L1148" s="4">
        <f t="shared" si="125"/>
        <v>0</v>
      </c>
    </row>
    <row r="1149" spans="1:12" x14ac:dyDescent="0.25">
      <c r="A1149" s="1">
        <v>42774</v>
      </c>
      <c r="B1149">
        <v>5277.3999020000001</v>
      </c>
      <c r="C1149">
        <v>5310.5498049999997</v>
      </c>
      <c r="D1149">
        <v>5187.1499020000001</v>
      </c>
      <c r="E1149">
        <v>5200.6000979999999</v>
      </c>
      <c r="F1149" s="4">
        <f t="shared" si="120"/>
        <v>5200.6000979999999</v>
      </c>
      <c r="G1149" s="4">
        <f t="shared" si="121"/>
        <v>5332.3999020000001</v>
      </c>
      <c r="H1149" s="4" t="str">
        <f t="shared" si="122"/>
        <v>SELL</v>
      </c>
      <c r="I1149" s="4">
        <f t="shared" si="119"/>
        <v>-1</v>
      </c>
      <c r="J1149" s="11" t="str">
        <f t="shared" si="123"/>
        <v>SELL</v>
      </c>
      <c r="K1149" s="6">
        <f t="shared" si="124"/>
        <v>5200.6000979999999</v>
      </c>
      <c r="L1149" s="4">
        <f t="shared" si="125"/>
        <v>-1.6844073145056655E-2</v>
      </c>
    </row>
    <row r="1150" spans="1:12" x14ac:dyDescent="0.25">
      <c r="A1150" s="1">
        <v>42775</v>
      </c>
      <c r="B1150">
        <v>5215.8999020000001</v>
      </c>
      <c r="C1150">
        <v>5232.3500979999999</v>
      </c>
      <c r="D1150">
        <v>5180.3500979999999</v>
      </c>
      <c r="E1150">
        <v>5222.6499020000001</v>
      </c>
      <c r="F1150" s="4">
        <f t="shared" si="120"/>
        <v>5200.6000979999999</v>
      </c>
      <c r="G1150" s="4">
        <f t="shared" si="121"/>
        <v>5332.3999020000001</v>
      </c>
      <c r="H1150" s="4">
        <f t="shared" si="122"/>
        <v>0</v>
      </c>
      <c r="I1150" s="4">
        <f t="shared" si="119"/>
        <v>-1</v>
      </c>
      <c r="J1150" s="11">
        <f t="shared" si="123"/>
        <v>0</v>
      </c>
      <c r="K1150" s="6">
        <f t="shared" si="124"/>
        <v>5200.6000979999999</v>
      </c>
      <c r="L1150" s="4">
        <f t="shared" si="125"/>
        <v>0</v>
      </c>
    </row>
    <row r="1151" spans="1:12" x14ac:dyDescent="0.25">
      <c r="A1151" s="1">
        <v>42776</v>
      </c>
      <c r="B1151">
        <v>5222.2001950000003</v>
      </c>
      <c r="C1151">
        <v>5236.1000979999999</v>
      </c>
      <c r="D1151">
        <v>5160.6499020000001</v>
      </c>
      <c r="E1151">
        <v>5202</v>
      </c>
      <c r="F1151" s="4">
        <f t="shared" si="120"/>
        <v>5200.6000979999999</v>
      </c>
      <c r="G1151" s="4">
        <f t="shared" si="121"/>
        <v>5332.3999020000001</v>
      </c>
      <c r="H1151" s="4">
        <f t="shared" si="122"/>
        <v>0</v>
      </c>
      <c r="I1151" s="4">
        <f t="shared" si="119"/>
        <v>-1</v>
      </c>
      <c r="J1151" s="11">
        <f t="shared" si="123"/>
        <v>0</v>
      </c>
      <c r="K1151" s="6">
        <f t="shared" si="124"/>
        <v>5200.6000979999999</v>
      </c>
      <c r="L1151" s="4">
        <f t="shared" si="125"/>
        <v>0</v>
      </c>
    </row>
    <row r="1152" spans="1:12" x14ac:dyDescent="0.25">
      <c r="A1152" s="1">
        <v>42779</v>
      </c>
      <c r="B1152">
        <v>5214.75</v>
      </c>
      <c r="C1152">
        <v>5215.6000979999999</v>
      </c>
      <c r="D1152">
        <v>5179.0498049999997</v>
      </c>
      <c r="E1152">
        <v>5189</v>
      </c>
      <c r="F1152" s="4">
        <f t="shared" si="120"/>
        <v>5189</v>
      </c>
      <c r="G1152" s="4">
        <f t="shared" si="121"/>
        <v>5290.8500979999999</v>
      </c>
      <c r="H1152" s="4" t="str">
        <f t="shared" si="122"/>
        <v>SELL</v>
      </c>
      <c r="I1152" s="4">
        <f t="shared" si="119"/>
        <v>-1</v>
      </c>
      <c r="J1152" s="11">
        <f t="shared" si="123"/>
        <v>0</v>
      </c>
      <c r="K1152" s="6">
        <f t="shared" si="124"/>
        <v>5200.6000979999999</v>
      </c>
      <c r="L1152" s="4">
        <f t="shared" si="125"/>
        <v>0</v>
      </c>
    </row>
    <row r="1153" spans="1:12" x14ac:dyDescent="0.25">
      <c r="A1153" s="1">
        <v>42780</v>
      </c>
      <c r="B1153">
        <v>5189</v>
      </c>
      <c r="C1153">
        <v>5223.0498049999997</v>
      </c>
      <c r="D1153">
        <v>5154.2998049999997</v>
      </c>
      <c r="E1153">
        <v>5190.6000979999999</v>
      </c>
      <c r="F1153" s="4">
        <f t="shared" si="120"/>
        <v>5189</v>
      </c>
      <c r="G1153" s="4">
        <f t="shared" si="121"/>
        <v>5222.6499020000001</v>
      </c>
      <c r="H1153" s="4">
        <f t="shared" si="122"/>
        <v>0</v>
      </c>
      <c r="I1153" s="4">
        <f t="shared" si="119"/>
        <v>-1</v>
      </c>
      <c r="J1153" s="11">
        <f t="shared" si="123"/>
        <v>0</v>
      </c>
      <c r="K1153" s="6">
        <f t="shared" si="124"/>
        <v>5200.6000979999999</v>
      </c>
      <c r="L1153" s="4">
        <f t="shared" si="125"/>
        <v>0</v>
      </c>
    </row>
    <row r="1154" spans="1:12" x14ac:dyDescent="0.25">
      <c r="A1154" s="1">
        <v>42781</v>
      </c>
      <c r="B1154">
        <v>5201.4501950000003</v>
      </c>
      <c r="C1154">
        <v>5262.1499020000001</v>
      </c>
      <c r="D1154">
        <v>5201.4501950000003</v>
      </c>
      <c r="E1154">
        <v>5248.1499020000001</v>
      </c>
      <c r="F1154" s="4">
        <f t="shared" si="120"/>
        <v>5189</v>
      </c>
      <c r="G1154" s="4">
        <f t="shared" si="121"/>
        <v>5248.1499020000001</v>
      </c>
      <c r="H1154" s="4" t="str">
        <f t="shared" si="122"/>
        <v>BUY</v>
      </c>
      <c r="I1154" s="4">
        <f t="shared" si="119"/>
        <v>1</v>
      </c>
      <c r="J1154" s="11" t="str">
        <f t="shared" si="123"/>
        <v>BUY</v>
      </c>
      <c r="K1154" s="6">
        <f t="shared" si="124"/>
        <v>5248.1499020000001</v>
      </c>
      <c r="L1154" s="4">
        <f t="shared" si="125"/>
        <v>-9.143137927157003E-3</v>
      </c>
    </row>
    <row r="1155" spans="1:12" x14ac:dyDescent="0.25">
      <c r="A1155" s="1">
        <v>42782</v>
      </c>
      <c r="B1155">
        <v>5248.1499020000001</v>
      </c>
      <c r="C1155">
        <v>5248.1499020000001</v>
      </c>
      <c r="D1155">
        <v>5248.1499020000001</v>
      </c>
      <c r="E1155">
        <v>5248.1499020000001</v>
      </c>
      <c r="F1155" s="4">
        <f t="shared" si="120"/>
        <v>5189</v>
      </c>
      <c r="G1155" s="4">
        <f t="shared" si="121"/>
        <v>5248.1499020000001</v>
      </c>
      <c r="H1155" s="4">
        <f t="shared" si="122"/>
        <v>0</v>
      </c>
      <c r="I1155" s="4">
        <f t="shared" si="119"/>
        <v>1</v>
      </c>
      <c r="J1155" s="11">
        <f t="shared" si="123"/>
        <v>0</v>
      </c>
      <c r="K1155" s="6">
        <f t="shared" si="124"/>
        <v>5248.1499020000001</v>
      </c>
      <c r="L1155" s="4">
        <f t="shared" si="125"/>
        <v>0</v>
      </c>
    </row>
    <row r="1156" spans="1:12" x14ac:dyDescent="0.25">
      <c r="A1156" s="1">
        <v>42783</v>
      </c>
      <c r="B1156">
        <v>5254.2998049999997</v>
      </c>
      <c r="C1156">
        <v>5279.6000979999999</v>
      </c>
      <c r="D1156">
        <v>5226.4501950000003</v>
      </c>
      <c r="E1156">
        <v>5239.1499020000001</v>
      </c>
      <c r="F1156" s="4">
        <f t="shared" si="120"/>
        <v>5189</v>
      </c>
      <c r="G1156" s="4">
        <f t="shared" si="121"/>
        <v>5248.1499020000001</v>
      </c>
      <c r="H1156" s="4">
        <f t="shared" si="122"/>
        <v>0</v>
      </c>
      <c r="I1156" s="4">
        <f t="shared" si="119"/>
        <v>1</v>
      </c>
      <c r="J1156" s="11">
        <f t="shared" si="123"/>
        <v>0</v>
      </c>
      <c r="K1156" s="6">
        <f t="shared" si="124"/>
        <v>5248.1499020000001</v>
      </c>
      <c r="L1156" s="4">
        <f t="shared" si="125"/>
        <v>0</v>
      </c>
    </row>
    <row r="1157" spans="1:12" x14ac:dyDescent="0.25">
      <c r="A1157" s="1">
        <v>42786</v>
      </c>
      <c r="B1157">
        <v>5211.2001950000003</v>
      </c>
      <c r="C1157">
        <v>5217.2998049999997</v>
      </c>
      <c r="D1157">
        <v>5180.6499020000001</v>
      </c>
      <c r="E1157">
        <v>5188.3999020000001</v>
      </c>
      <c r="F1157" s="4">
        <f t="shared" si="120"/>
        <v>5188.3999020000001</v>
      </c>
      <c r="G1157" s="4">
        <f t="shared" si="121"/>
        <v>5248.1499020000001</v>
      </c>
      <c r="H1157" s="4" t="str">
        <f t="shared" si="122"/>
        <v>SELL</v>
      </c>
      <c r="I1157" s="4">
        <f t="shared" si="119"/>
        <v>-1</v>
      </c>
      <c r="J1157" s="11" t="str">
        <f t="shared" si="123"/>
        <v>SELL</v>
      </c>
      <c r="K1157" s="6">
        <f t="shared" si="124"/>
        <v>5188.3999020000001</v>
      </c>
      <c r="L1157" s="4">
        <f t="shared" si="125"/>
        <v>-1.1384964438083232E-2</v>
      </c>
    </row>
    <row r="1158" spans="1:12" x14ac:dyDescent="0.25">
      <c r="A1158" s="1">
        <v>42787</v>
      </c>
      <c r="B1158">
        <v>5166.6499020000001</v>
      </c>
      <c r="C1158">
        <v>5177.2001950000003</v>
      </c>
      <c r="D1158">
        <v>5070.6000979999999</v>
      </c>
      <c r="E1158">
        <v>5086.8500979999999</v>
      </c>
      <c r="F1158" s="4">
        <f t="shared" si="120"/>
        <v>5086.8500979999999</v>
      </c>
      <c r="G1158" s="4">
        <f t="shared" si="121"/>
        <v>5248.1499020000001</v>
      </c>
      <c r="H1158" s="4" t="str">
        <f t="shared" si="122"/>
        <v>SELL</v>
      </c>
      <c r="I1158" s="4">
        <f t="shared" ref="I1158:I1221" si="126">IF(AND(H1158="BUY",I1157&lt;&gt;1),1,IF(AND(H1158="SELL",I1157&lt;&gt;-1),-1,I1157))</f>
        <v>-1</v>
      </c>
      <c r="J1158" s="11">
        <f t="shared" si="123"/>
        <v>0</v>
      </c>
      <c r="K1158" s="6">
        <f t="shared" si="124"/>
        <v>5188.3999020000001</v>
      </c>
      <c r="L1158" s="4">
        <f t="shared" si="125"/>
        <v>0</v>
      </c>
    </row>
    <row r="1159" spans="1:12" x14ac:dyDescent="0.25">
      <c r="A1159" s="1">
        <v>42788</v>
      </c>
      <c r="B1159">
        <v>5017.7998049999997</v>
      </c>
      <c r="C1159">
        <v>5124.75</v>
      </c>
      <c r="D1159">
        <v>4988</v>
      </c>
      <c r="E1159">
        <v>5114.1499020000001</v>
      </c>
      <c r="F1159" s="4">
        <f t="shared" ref="F1159:F1222" si="127">MIN(E1155:E1159)</f>
        <v>5086.8500979999999</v>
      </c>
      <c r="G1159" s="4">
        <f t="shared" ref="G1159:G1222" si="128">MAX(E1155:E1159)</f>
        <v>5248.1499020000001</v>
      </c>
      <c r="H1159" s="4">
        <f t="shared" ref="H1159:H1222" si="129">IF(E1159&gt;G1158,"BUY",IF(E1159&lt;F1158,"SELL",0))</f>
        <v>0</v>
      </c>
      <c r="I1159" s="4">
        <f t="shared" si="126"/>
        <v>-1</v>
      </c>
      <c r="J1159" s="11">
        <f t="shared" ref="J1159:J1222" si="130">IF(I1159&lt;&gt;I1158,H1159,0)</f>
        <v>0</v>
      </c>
      <c r="K1159" s="6">
        <f t="shared" ref="K1159:K1222" si="131">IF(J1159&lt;&gt;0,E1159,K1158)</f>
        <v>5188.3999020000001</v>
      </c>
      <c r="L1159" s="4">
        <f t="shared" si="125"/>
        <v>0</v>
      </c>
    </row>
    <row r="1160" spans="1:12" x14ac:dyDescent="0.25">
      <c r="A1160" s="1">
        <v>42789</v>
      </c>
      <c r="B1160">
        <v>5114.7001950000003</v>
      </c>
      <c r="C1160">
        <v>5119.9501950000003</v>
      </c>
      <c r="D1160">
        <v>4983.6000979999999</v>
      </c>
      <c r="E1160">
        <v>4999.9501950000003</v>
      </c>
      <c r="F1160" s="4">
        <f t="shared" si="127"/>
        <v>4999.9501950000003</v>
      </c>
      <c r="G1160" s="4">
        <f t="shared" si="128"/>
        <v>5239.1499020000001</v>
      </c>
      <c r="H1160" s="4" t="str">
        <f t="shared" si="129"/>
        <v>SELL</v>
      </c>
      <c r="I1160" s="4">
        <f t="shared" si="126"/>
        <v>-1</v>
      </c>
      <c r="J1160" s="11">
        <f t="shared" si="130"/>
        <v>0</v>
      </c>
      <c r="K1160" s="6">
        <f t="shared" si="131"/>
        <v>5188.3999020000001</v>
      </c>
      <c r="L1160" s="4">
        <f t="shared" ref="L1160:L1223" si="132">IF(J1160="BUY",(K1159-K1160)/K1159,IF(J1160="SELL",(K1161-K1159)/K1159,0))</f>
        <v>0</v>
      </c>
    </row>
    <row r="1161" spans="1:12" x14ac:dyDescent="0.25">
      <c r="A1161" s="1">
        <v>42790</v>
      </c>
      <c r="B1161">
        <v>4967.8999020000001</v>
      </c>
      <c r="C1161">
        <v>5016.25</v>
      </c>
      <c r="D1161">
        <v>4956.4501950000003</v>
      </c>
      <c r="E1161">
        <v>4974.7998049999997</v>
      </c>
      <c r="F1161" s="4">
        <f t="shared" si="127"/>
        <v>4974.7998049999997</v>
      </c>
      <c r="G1161" s="4">
        <f t="shared" si="128"/>
        <v>5188.3999020000001</v>
      </c>
      <c r="H1161" s="4" t="str">
        <f t="shared" si="129"/>
        <v>SELL</v>
      </c>
      <c r="I1161" s="4">
        <f t="shared" si="126"/>
        <v>-1</v>
      </c>
      <c r="J1161" s="11">
        <f t="shared" si="130"/>
        <v>0</v>
      </c>
      <c r="K1161" s="6">
        <f t="shared" si="131"/>
        <v>5188.3999020000001</v>
      </c>
      <c r="L1161" s="4">
        <f t="shared" si="132"/>
        <v>0</v>
      </c>
    </row>
    <row r="1162" spans="1:12" x14ac:dyDescent="0.25">
      <c r="A1162" s="1">
        <v>42793</v>
      </c>
      <c r="B1162">
        <v>4984.1499020000001</v>
      </c>
      <c r="C1162">
        <v>5039.2998049999997</v>
      </c>
      <c r="D1162">
        <v>4950.2998049999997</v>
      </c>
      <c r="E1162">
        <v>4965.7001950000003</v>
      </c>
      <c r="F1162" s="4">
        <f t="shared" si="127"/>
        <v>4965.7001950000003</v>
      </c>
      <c r="G1162" s="4">
        <f t="shared" si="128"/>
        <v>5114.1499020000001</v>
      </c>
      <c r="H1162" s="4" t="str">
        <f t="shared" si="129"/>
        <v>SELL</v>
      </c>
      <c r="I1162" s="4">
        <f t="shared" si="126"/>
        <v>-1</v>
      </c>
      <c r="J1162" s="11">
        <f t="shared" si="130"/>
        <v>0</v>
      </c>
      <c r="K1162" s="6">
        <f t="shared" si="131"/>
        <v>5188.3999020000001</v>
      </c>
      <c r="L1162" s="4">
        <f t="shared" si="132"/>
        <v>0</v>
      </c>
    </row>
    <row r="1163" spans="1:12" x14ac:dyDescent="0.25">
      <c r="A1163" s="1">
        <v>42794</v>
      </c>
      <c r="B1163">
        <v>4938.8500979999999</v>
      </c>
      <c r="C1163">
        <v>4976.25</v>
      </c>
      <c r="D1163">
        <v>4906.1499020000001</v>
      </c>
      <c r="E1163">
        <v>4928.8999020000001</v>
      </c>
      <c r="F1163" s="4">
        <f t="shared" si="127"/>
        <v>4928.8999020000001</v>
      </c>
      <c r="G1163" s="4">
        <f t="shared" si="128"/>
        <v>5114.1499020000001</v>
      </c>
      <c r="H1163" s="4" t="str">
        <f t="shared" si="129"/>
        <v>SELL</v>
      </c>
      <c r="I1163" s="4">
        <f t="shared" si="126"/>
        <v>-1</v>
      </c>
      <c r="J1163" s="11">
        <f t="shared" si="130"/>
        <v>0</v>
      </c>
      <c r="K1163" s="6">
        <f t="shared" si="131"/>
        <v>5188.3999020000001</v>
      </c>
      <c r="L1163" s="4">
        <f t="shared" si="132"/>
        <v>0</v>
      </c>
    </row>
    <row r="1164" spans="1:12" x14ac:dyDescent="0.25">
      <c r="A1164" s="1">
        <v>42795</v>
      </c>
      <c r="B1164">
        <v>4934.3500979999999</v>
      </c>
      <c r="C1164">
        <v>4957.2001950000003</v>
      </c>
      <c r="D1164">
        <v>4874.5</v>
      </c>
      <c r="E1164">
        <v>4907.7998049999997</v>
      </c>
      <c r="F1164" s="4">
        <f t="shared" si="127"/>
        <v>4907.7998049999997</v>
      </c>
      <c r="G1164" s="4">
        <f t="shared" si="128"/>
        <v>4999.9501950000003</v>
      </c>
      <c r="H1164" s="4" t="str">
        <f t="shared" si="129"/>
        <v>SELL</v>
      </c>
      <c r="I1164" s="4">
        <f t="shared" si="126"/>
        <v>-1</v>
      </c>
      <c r="J1164" s="11">
        <f t="shared" si="130"/>
        <v>0</v>
      </c>
      <c r="K1164" s="6">
        <f t="shared" si="131"/>
        <v>5188.3999020000001</v>
      </c>
      <c r="L1164" s="4">
        <f t="shared" si="132"/>
        <v>0</v>
      </c>
    </row>
    <row r="1165" spans="1:12" x14ac:dyDescent="0.25">
      <c r="A1165" s="1">
        <v>42796</v>
      </c>
      <c r="B1165">
        <v>4869.8500979999999</v>
      </c>
      <c r="C1165">
        <v>4955.2001950000003</v>
      </c>
      <c r="D1165">
        <v>4868.5498049999997</v>
      </c>
      <c r="E1165">
        <v>4942.7998049999997</v>
      </c>
      <c r="F1165" s="4">
        <f t="shared" si="127"/>
        <v>4907.7998049999997</v>
      </c>
      <c r="G1165" s="4">
        <f t="shared" si="128"/>
        <v>4974.7998049999997</v>
      </c>
      <c r="H1165" s="4">
        <f t="shared" si="129"/>
        <v>0</v>
      </c>
      <c r="I1165" s="4">
        <f t="shared" si="126"/>
        <v>-1</v>
      </c>
      <c r="J1165" s="11">
        <f t="shared" si="130"/>
        <v>0</v>
      </c>
      <c r="K1165" s="6">
        <f t="shared" si="131"/>
        <v>5188.3999020000001</v>
      </c>
      <c r="L1165" s="4">
        <f t="shared" si="132"/>
        <v>0</v>
      </c>
    </row>
    <row r="1166" spans="1:12" x14ac:dyDescent="0.25">
      <c r="A1166" s="1">
        <v>42797</v>
      </c>
      <c r="B1166">
        <v>4875.2998049999997</v>
      </c>
      <c r="C1166">
        <v>4882.25</v>
      </c>
      <c r="D1166">
        <v>4837.0498049999997</v>
      </c>
      <c r="E1166">
        <v>4858.25</v>
      </c>
      <c r="F1166" s="4">
        <f t="shared" si="127"/>
        <v>4858.25</v>
      </c>
      <c r="G1166" s="4">
        <f t="shared" si="128"/>
        <v>4965.7001950000003</v>
      </c>
      <c r="H1166" s="4" t="str">
        <f t="shared" si="129"/>
        <v>SELL</v>
      </c>
      <c r="I1166" s="4">
        <f t="shared" si="126"/>
        <v>-1</v>
      </c>
      <c r="J1166" s="11">
        <f t="shared" si="130"/>
        <v>0</v>
      </c>
      <c r="K1166" s="6">
        <f t="shared" si="131"/>
        <v>5188.3999020000001</v>
      </c>
      <c r="L1166" s="4">
        <f t="shared" si="132"/>
        <v>0</v>
      </c>
    </row>
    <row r="1167" spans="1:12" x14ac:dyDescent="0.25">
      <c r="A1167" s="1">
        <v>42800</v>
      </c>
      <c r="B1167">
        <v>4878.6000979999999</v>
      </c>
      <c r="C1167">
        <v>4922.25</v>
      </c>
      <c r="D1167">
        <v>4850.2001950000003</v>
      </c>
      <c r="E1167">
        <v>4870.2001950000003</v>
      </c>
      <c r="F1167" s="4">
        <f t="shared" si="127"/>
        <v>4858.25</v>
      </c>
      <c r="G1167" s="4">
        <f t="shared" si="128"/>
        <v>4942.7998049999997</v>
      </c>
      <c r="H1167" s="4">
        <f t="shared" si="129"/>
        <v>0</v>
      </c>
      <c r="I1167" s="4">
        <f t="shared" si="126"/>
        <v>-1</v>
      </c>
      <c r="J1167" s="11">
        <f t="shared" si="130"/>
        <v>0</v>
      </c>
      <c r="K1167" s="6">
        <f t="shared" si="131"/>
        <v>5188.3999020000001</v>
      </c>
      <c r="L1167" s="4">
        <f t="shared" si="132"/>
        <v>0</v>
      </c>
    </row>
    <row r="1168" spans="1:12" x14ac:dyDescent="0.25">
      <c r="A1168" s="1">
        <v>42801</v>
      </c>
      <c r="B1168">
        <v>4796.3999020000001</v>
      </c>
      <c r="C1168">
        <v>4908.5</v>
      </c>
      <c r="D1168">
        <v>4788.9501950000003</v>
      </c>
      <c r="E1168">
        <v>4891.4501950000003</v>
      </c>
      <c r="F1168" s="4">
        <f t="shared" si="127"/>
        <v>4858.25</v>
      </c>
      <c r="G1168" s="4">
        <f t="shared" si="128"/>
        <v>4942.7998049999997</v>
      </c>
      <c r="H1168" s="4">
        <f t="shared" si="129"/>
        <v>0</v>
      </c>
      <c r="I1168" s="4">
        <f t="shared" si="126"/>
        <v>-1</v>
      </c>
      <c r="J1168" s="11">
        <f t="shared" si="130"/>
        <v>0</v>
      </c>
      <c r="K1168" s="6">
        <f t="shared" si="131"/>
        <v>5188.3999020000001</v>
      </c>
      <c r="L1168" s="4">
        <f t="shared" si="132"/>
        <v>0</v>
      </c>
    </row>
    <row r="1169" spans="1:12" x14ac:dyDescent="0.25">
      <c r="A1169" s="1">
        <v>42802</v>
      </c>
      <c r="B1169">
        <v>4954.7001950000003</v>
      </c>
      <c r="C1169">
        <v>4956.3500979999999</v>
      </c>
      <c r="D1169">
        <v>4849.8999020000001</v>
      </c>
      <c r="E1169">
        <v>4860.5</v>
      </c>
      <c r="F1169" s="4">
        <f t="shared" si="127"/>
        <v>4858.25</v>
      </c>
      <c r="G1169" s="4">
        <f t="shared" si="128"/>
        <v>4942.7998049999997</v>
      </c>
      <c r="H1169" s="4">
        <f t="shared" si="129"/>
        <v>0</v>
      </c>
      <c r="I1169" s="4">
        <f t="shared" si="126"/>
        <v>-1</v>
      </c>
      <c r="J1169" s="11">
        <f t="shared" si="130"/>
        <v>0</v>
      </c>
      <c r="K1169" s="6">
        <f t="shared" si="131"/>
        <v>5188.3999020000001</v>
      </c>
      <c r="L1169" s="4">
        <f t="shared" si="132"/>
        <v>0</v>
      </c>
    </row>
    <row r="1170" spans="1:12" x14ac:dyDescent="0.25">
      <c r="A1170" s="1">
        <v>42803</v>
      </c>
      <c r="B1170">
        <v>4843</v>
      </c>
      <c r="C1170">
        <v>4853.75</v>
      </c>
      <c r="D1170">
        <v>4803.9501950000003</v>
      </c>
      <c r="E1170">
        <v>4835.6499020000001</v>
      </c>
      <c r="F1170" s="4">
        <f t="shared" si="127"/>
        <v>4835.6499020000001</v>
      </c>
      <c r="G1170" s="4">
        <f t="shared" si="128"/>
        <v>4891.4501950000003</v>
      </c>
      <c r="H1170" s="4" t="str">
        <f t="shared" si="129"/>
        <v>SELL</v>
      </c>
      <c r="I1170" s="4">
        <f t="shared" si="126"/>
        <v>-1</v>
      </c>
      <c r="J1170" s="11">
        <f t="shared" si="130"/>
        <v>0</v>
      </c>
      <c r="K1170" s="6">
        <f t="shared" si="131"/>
        <v>5188.3999020000001</v>
      </c>
      <c r="L1170" s="4">
        <f t="shared" si="132"/>
        <v>0</v>
      </c>
    </row>
    <row r="1171" spans="1:12" x14ac:dyDescent="0.25">
      <c r="A1171" s="1">
        <v>42804</v>
      </c>
      <c r="B1171">
        <v>4863.3999020000001</v>
      </c>
      <c r="C1171">
        <v>4931.8999020000001</v>
      </c>
      <c r="D1171">
        <v>4830.1499020000001</v>
      </c>
      <c r="E1171">
        <v>4921.3999020000001</v>
      </c>
      <c r="F1171" s="4">
        <f t="shared" si="127"/>
        <v>4835.6499020000001</v>
      </c>
      <c r="G1171" s="4">
        <f t="shared" si="128"/>
        <v>4921.3999020000001</v>
      </c>
      <c r="H1171" s="4" t="str">
        <f t="shared" si="129"/>
        <v>BUY</v>
      </c>
      <c r="I1171" s="4">
        <f t="shared" si="126"/>
        <v>1</v>
      </c>
      <c r="J1171" s="11" t="str">
        <f t="shared" si="130"/>
        <v>BUY</v>
      </c>
      <c r="K1171" s="6">
        <f t="shared" si="131"/>
        <v>4921.3999020000001</v>
      </c>
      <c r="L1171" s="4">
        <f t="shared" si="132"/>
        <v>5.146095232502762E-2</v>
      </c>
    </row>
    <row r="1172" spans="1:12" x14ac:dyDescent="0.25">
      <c r="A1172" s="1">
        <v>42807</v>
      </c>
      <c r="B1172">
        <v>4905.9501950000003</v>
      </c>
      <c r="C1172">
        <v>4935.7998049999997</v>
      </c>
      <c r="D1172">
        <v>4889.3500979999999</v>
      </c>
      <c r="E1172">
        <v>4920.3999020000001</v>
      </c>
      <c r="F1172" s="4">
        <f t="shared" si="127"/>
        <v>4835.6499020000001</v>
      </c>
      <c r="G1172" s="4">
        <f t="shared" si="128"/>
        <v>4921.3999020000001</v>
      </c>
      <c r="H1172" s="4">
        <f t="shared" si="129"/>
        <v>0</v>
      </c>
      <c r="I1172" s="4">
        <f t="shared" si="126"/>
        <v>1</v>
      </c>
      <c r="J1172" s="11">
        <f t="shared" si="130"/>
        <v>0</v>
      </c>
      <c r="K1172" s="6">
        <f t="shared" si="131"/>
        <v>4921.3999020000001</v>
      </c>
      <c r="L1172" s="4">
        <f t="shared" si="132"/>
        <v>0</v>
      </c>
    </row>
    <row r="1173" spans="1:12" x14ac:dyDescent="0.25">
      <c r="A1173" s="1">
        <v>42808</v>
      </c>
      <c r="B1173">
        <v>4931.7001950000003</v>
      </c>
      <c r="C1173">
        <v>4994.9501950000003</v>
      </c>
      <c r="D1173">
        <v>4931.2998049999997</v>
      </c>
      <c r="E1173">
        <v>4985.6499020000001</v>
      </c>
      <c r="F1173" s="4">
        <f t="shared" si="127"/>
        <v>4835.6499020000001</v>
      </c>
      <c r="G1173" s="4">
        <f t="shared" si="128"/>
        <v>4985.6499020000001</v>
      </c>
      <c r="H1173" s="4" t="str">
        <f t="shared" si="129"/>
        <v>BUY</v>
      </c>
      <c r="I1173" s="4">
        <f t="shared" si="126"/>
        <v>1</v>
      </c>
      <c r="J1173" s="11">
        <f t="shared" si="130"/>
        <v>0</v>
      </c>
      <c r="K1173" s="6">
        <f t="shared" si="131"/>
        <v>4921.3999020000001</v>
      </c>
      <c r="L1173" s="4">
        <f t="shared" si="132"/>
        <v>0</v>
      </c>
    </row>
    <row r="1174" spans="1:12" x14ac:dyDescent="0.25">
      <c r="A1174" s="1">
        <v>42809</v>
      </c>
      <c r="B1174">
        <v>5005.3500979999999</v>
      </c>
      <c r="C1174">
        <v>5020.1499020000001</v>
      </c>
      <c r="D1174">
        <v>4982.1499020000001</v>
      </c>
      <c r="E1174">
        <v>4990.1000979999999</v>
      </c>
      <c r="F1174" s="4">
        <f t="shared" si="127"/>
        <v>4835.6499020000001</v>
      </c>
      <c r="G1174" s="4">
        <f t="shared" si="128"/>
        <v>4990.1000979999999</v>
      </c>
      <c r="H1174" s="4" t="str">
        <f t="shared" si="129"/>
        <v>BUY</v>
      </c>
      <c r="I1174" s="4">
        <f t="shared" si="126"/>
        <v>1</v>
      </c>
      <c r="J1174" s="11">
        <f t="shared" si="130"/>
        <v>0</v>
      </c>
      <c r="K1174" s="6">
        <f t="shared" si="131"/>
        <v>4921.3999020000001</v>
      </c>
      <c r="L1174" s="4">
        <f t="shared" si="132"/>
        <v>0</v>
      </c>
    </row>
    <row r="1175" spans="1:12" x14ac:dyDescent="0.25">
      <c r="A1175" s="1">
        <v>42810</v>
      </c>
      <c r="B1175">
        <v>4964.25</v>
      </c>
      <c r="C1175">
        <v>4982.25</v>
      </c>
      <c r="D1175">
        <v>4944.8999020000001</v>
      </c>
      <c r="E1175">
        <v>4950.75</v>
      </c>
      <c r="F1175" s="4">
        <f t="shared" si="127"/>
        <v>4920.3999020000001</v>
      </c>
      <c r="G1175" s="4">
        <f t="shared" si="128"/>
        <v>4990.1000979999999</v>
      </c>
      <c r="H1175" s="4">
        <f t="shared" si="129"/>
        <v>0</v>
      </c>
      <c r="I1175" s="4">
        <f t="shared" si="126"/>
        <v>1</v>
      </c>
      <c r="J1175" s="11">
        <f t="shared" si="130"/>
        <v>0</v>
      </c>
      <c r="K1175" s="6">
        <f t="shared" si="131"/>
        <v>4921.3999020000001</v>
      </c>
      <c r="L1175" s="4">
        <f t="shared" si="132"/>
        <v>0</v>
      </c>
    </row>
    <row r="1176" spans="1:12" x14ac:dyDescent="0.25">
      <c r="A1176" s="1">
        <v>42811</v>
      </c>
      <c r="B1176">
        <v>4896.1000979999999</v>
      </c>
      <c r="C1176">
        <v>4924.25</v>
      </c>
      <c r="D1176">
        <v>4894.4501950000003</v>
      </c>
      <c r="E1176">
        <v>4924.25</v>
      </c>
      <c r="F1176" s="4">
        <f t="shared" si="127"/>
        <v>4920.3999020000001</v>
      </c>
      <c r="G1176" s="4">
        <f t="shared" si="128"/>
        <v>4990.1000979999999</v>
      </c>
      <c r="H1176" s="4">
        <f t="shared" si="129"/>
        <v>0</v>
      </c>
      <c r="I1176" s="4">
        <f t="shared" si="126"/>
        <v>1</v>
      </c>
      <c r="J1176" s="11">
        <f t="shared" si="130"/>
        <v>0</v>
      </c>
      <c r="K1176" s="6">
        <f t="shared" si="131"/>
        <v>4921.3999020000001</v>
      </c>
      <c r="L1176" s="4">
        <f t="shared" si="132"/>
        <v>0</v>
      </c>
    </row>
    <row r="1177" spans="1:12" x14ac:dyDescent="0.25">
      <c r="A1177" s="1">
        <v>42814</v>
      </c>
      <c r="B1177">
        <v>4910.8500979999999</v>
      </c>
      <c r="C1177">
        <v>4925</v>
      </c>
      <c r="D1177">
        <v>4831.75</v>
      </c>
      <c r="E1177">
        <v>4841.6000979999999</v>
      </c>
      <c r="F1177" s="4">
        <f t="shared" si="127"/>
        <v>4841.6000979999999</v>
      </c>
      <c r="G1177" s="4">
        <f t="shared" si="128"/>
        <v>4990.1000979999999</v>
      </c>
      <c r="H1177" s="4" t="str">
        <f t="shared" si="129"/>
        <v>SELL</v>
      </c>
      <c r="I1177" s="4">
        <f t="shared" si="126"/>
        <v>-1</v>
      </c>
      <c r="J1177" s="11" t="str">
        <f t="shared" si="130"/>
        <v>SELL</v>
      </c>
      <c r="K1177" s="6">
        <f t="shared" si="131"/>
        <v>4841.6000979999999</v>
      </c>
      <c r="L1177" s="4">
        <f t="shared" si="132"/>
        <v>-1.6214858696520579E-2</v>
      </c>
    </row>
    <row r="1178" spans="1:12" x14ac:dyDescent="0.25">
      <c r="A1178" s="1">
        <v>42815</v>
      </c>
      <c r="B1178">
        <v>4797.2998049999997</v>
      </c>
      <c r="C1178">
        <v>4858.2998049999997</v>
      </c>
      <c r="D1178">
        <v>4770.3500979999999</v>
      </c>
      <c r="E1178">
        <v>4848.1499020000001</v>
      </c>
      <c r="F1178" s="4">
        <f t="shared" si="127"/>
        <v>4841.6000979999999</v>
      </c>
      <c r="G1178" s="4">
        <f t="shared" si="128"/>
        <v>4990.1000979999999</v>
      </c>
      <c r="H1178" s="4">
        <f t="shared" si="129"/>
        <v>0</v>
      </c>
      <c r="I1178" s="4">
        <f t="shared" si="126"/>
        <v>-1</v>
      </c>
      <c r="J1178" s="11">
        <f t="shared" si="130"/>
        <v>0</v>
      </c>
      <c r="K1178" s="6">
        <f t="shared" si="131"/>
        <v>4841.6000979999999</v>
      </c>
      <c r="L1178" s="4">
        <f t="shared" si="132"/>
        <v>0</v>
      </c>
    </row>
    <row r="1179" spans="1:12" x14ac:dyDescent="0.25">
      <c r="A1179" s="1">
        <v>42816</v>
      </c>
      <c r="B1179">
        <v>4869.4501950000003</v>
      </c>
      <c r="C1179">
        <v>4898.9501950000003</v>
      </c>
      <c r="D1179">
        <v>4847.7001950000003</v>
      </c>
      <c r="E1179">
        <v>4863.2998049999997</v>
      </c>
      <c r="F1179" s="4">
        <f t="shared" si="127"/>
        <v>4841.6000979999999</v>
      </c>
      <c r="G1179" s="4">
        <f t="shared" si="128"/>
        <v>4950.75</v>
      </c>
      <c r="H1179" s="4">
        <f t="shared" si="129"/>
        <v>0</v>
      </c>
      <c r="I1179" s="4">
        <f t="shared" si="126"/>
        <v>-1</v>
      </c>
      <c r="J1179" s="11">
        <f t="shared" si="130"/>
        <v>0</v>
      </c>
      <c r="K1179" s="6">
        <f t="shared" si="131"/>
        <v>4841.6000979999999</v>
      </c>
      <c r="L1179" s="4">
        <f t="shared" si="132"/>
        <v>0</v>
      </c>
    </row>
    <row r="1180" spans="1:12" x14ac:dyDescent="0.25">
      <c r="A1180" s="1">
        <v>42817</v>
      </c>
      <c r="B1180">
        <v>4886.6499020000001</v>
      </c>
      <c r="C1180">
        <v>5010.4501950000003</v>
      </c>
      <c r="D1180">
        <v>4886.1499020000001</v>
      </c>
      <c r="E1180">
        <v>4997.1000979999999</v>
      </c>
      <c r="F1180" s="4">
        <f t="shared" si="127"/>
        <v>4841.6000979999999</v>
      </c>
      <c r="G1180" s="4">
        <f t="shared" si="128"/>
        <v>4997.1000979999999</v>
      </c>
      <c r="H1180" s="4" t="str">
        <f t="shared" si="129"/>
        <v>BUY</v>
      </c>
      <c r="I1180" s="4">
        <f t="shared" si="126"/>
        <v>1</v>
      </c>
      <c r="J1180" s="11" t="str">
        <f t="shared" si="130"/>
        <v>BUY</v>
      </c>
      <c r="K1180" s="6">
        <f t="shared" si="131"/>
        <v>4997.1000979999999</v>
      </c>
      <c r="L1180" s="4">
        <f t="shared" si="132"/>
        <v>-3.2117481174092626E-2</v>
      </c>
    </row>
    <row r="1181" spans="1:12" x14ac:dyDescent="0.25">
      <c r="A1181" s="1">
        <v>42818</v>
      </c>
      <c r="B1181">
        <v>5035.3500979999999</v>
      </c>
      <c r="C1181">
        <v>5059.6499020000001</v>
      </c>
      <c r="D1181">
        <v>5007.75</v>
      </c>
      <c r="E1181">
        <v>5049.6499020000001</v>
      </c>
      <c r="F1181" s="4">
        <f t="shared" si="127"/>
        <v>4841.6000979999999</v>
      </c>
      <c r="G1181" s="4">
        <f t="shared" si="128"/>
        <v>5049.6499020000001</v>
      </c>
      <c r="H1181" s="4" t="str">
        <f t="shared" si="129"/>
        <v>BUY</v>
      </c>
      <c r="I1181" s="4">
        <f t="shared" si="126"/>
        <v>1</v>
      </c>
      <c r="J1181" s="11">
        <f t="shared" si="130"/>
        <v>0</v>
      </c>
      <c r="K1181" s="6">
        <f t="shared" si="131"/>
        <v>4997.1000979999999</v>
      </c>
      <c r="L1181" s="4">
        <f t="shared" si="132"/>
        <v>0</v>
      </c>
    </row>
    <row r="1182" spans="1:12" x14ac:dyDescent="0.25">
      <c r="A1182" s="1">
        <v>42821</v>
      </c>
      <c r="B1182">
        <v>5044.25</v>
      </c>
      <c r="C1182">
        <v>5084.4501950000003</v>
      </c>
      <c r="D1182">
        <v>4994.7998049999997</v>
      </c>
      <c r="E1182">
        <v>5068.3500979999999</v>
      </c>
      <c r="F1182" s="4">
        <f t="shared" si="127"/>
        <v>4848.1499020000001</v>
      </c>
      <c r="G1182" s="4">
        <f t="shared" si="128"/>
        <v>5068.3500979999999</v>
      </c>
      <c r="H1182" s="4" t="str">
        <f t="shared" si="129"/>
        <v>BUY</v>
      </c>
      <c r="I1182" s="4">
        <f t="shared" si="126"/>
        <v>1</v>
      </c>
      <c r="J1182" s="11">
        <f t="shared" si="130"/>
        <v>0</v>
      </c>
      <c r="K1182" s="6">
        <f t="shared" si="131"/>
        <v>4997.1000979999999</v>
      </c>
      <c r="L1182" s="4">
        <f t="shared" si="132"/>
        <v>0</v>
      </c>
    </row>
    <row r="1183" spans="1:12" x14ac:dyDescent="0.25">
      <c r="A1183" s="1">
        <v>42822</v>
      </c>
      <c r="B1183">
        <v>5096.7001950000003</v>
      </c>
      <c r="C1183">
        <v>5124.4501950000003</v>
      </c>
      <c r="D1183">
        <v>5040.7001950000003</v>
      </c>
      <c r="E1183">
        <v>5054.1000979999999</v>
      </c>
      <c r="F1183" s="4">
        <f t="shared" si="127"/>
        <v>4863.2998049999997</v>
      </c>
      <c r="G1183" s="4">
        <f t="shared" si="128"/>
        <v>5068.3500979999999</v>
      </c>
      <c r="H1183" s="4">
        <f t="shared" si="129"/>
        <v>0</v>
      </c>
      <c r="I1183" s="4">
        <f t="shared" si="126"/>
        <v>1</v>
      </c>
      <c r="J1183" s="11">
        <f t="shared" si="130"/>
        <v>0</v>
      </c>
      <c r="K1183" s="6">
        <f t="shared" si="131"/>
        <v>4997.1000979999999</v>
      </c>
      <c r="L1183" s="4">
        <f t="shared" si="132"/>
        <v>0</v>
      </c>
    </row>
    <row r="1184" spans="1:12" x14ac:dyDescent="0.25">
      <c r="A1184" s="1">
        <v>42823</v>
      </c>
      <c r="B1184">
        <v>5015.5</v>
      </c>
      <c r="C1184">
        <v>5128.8999020000001</v>
      </c>
      <c r="D1184">
        <v>5015.1499020000001</v>
      </c>
      <c r="E1184">
        <v>5115.8999020000001</v>
      </c>
      <c r="F1184" s="4">
        <f t="shared" si="127"/>
        <v>4997.1000979999999</v>
      </c>
      <c r="G1184" s="4">
        <f t="shared" si="128"/>
        <v>5115.8999020000001</v>
      </c>
      <c r="H1184" s="4" t="str">
        <f t="shared" si="129"/>
        <v>BUY</v>
      </c>
      <c r="I1184" s="4">
        <f t="shared" si="126"/>
        <v>1</v>
      </c>
      <c r="J1184" s="11">
        <f t="shared" si="130"/>
        <v>0</v>
      </c>
      <c r="K1184" s="6">
        <f t="shared" si="131"/>
        <v>4997.1000979999999</v>
      </c>
      <c r="L1184" s="4">
        <f t="shared" si="132"/>
        <v>0</v>
      </c>
    </row>
    <row r="1185" spans="1:12" x14ac:dyDescent="0.25">
      <c r="A1185" s="1">
        <v>42824</v>
      </c>
      <c r="B1185">
        <v>5117.5498049999997</v>
      </c>
      <c r="C1185">
        <v>5144.8999020000001</v>
      </c>
      <c r="D1185">
        <v>5095.4501950000003</v>
      </c>
      <c r="E1185">
        <v>5121.4501950000003</v>
      </c>
      <c r="F1185" s="4">
        <f t="shared" si="127"/>
        <v>5049.6499020000001</v>
      </c>
      <c r="G1185" s="4">
        <f t="shared" si="128"/>
        <v>5121.4501950000003</v>
      </c>
      <c r="H1185" s="4" t="str">
        <f t="shared" si="129"/>
        <v>BUY</v>
      </c>
      <c r="I1185" s="4">
        <f t="shared" si="126"/>
        <v>1</v>
      </c>
      <c r="J1185" s="11">
        <f t="shared" si="130"/>
        <v>0</v>
      </c>
      <c r="K1185" s="6">
        <f t="shared" si="131"/>
        <v>4997.1000979999999</v>
      </c>
      <c r="L1185" s="4">
        <f t="shared" si="132"/>
        <v>0</v>
      </c>
    </row>
    <row r="1186" spans="1:12" x14ac:dyDescent="0.25">
      <c r="A1186" s="1">
        <v>42825</v>
      </c>
      <c r="B1186">
        <v>5105.1000979999999</v>
      </c>
      <c r="C1186">
        <v>5130</v>
      </c>
      <c r="D1186">
        <v>5047.6000979999999</v>
      </c>
      <c r="E1186">
        <v>5054.75</v>
      </c>
      <c r="F1186" s="4">
        <f t="shared" si="127"/>
        <v>5054.1000979999999</v>
      </c>
      <c r="G1186" s="4">
        <f t="shared" si="128"/>
        <v>5121.4501950000003</v>
      </c>
      <c r="H1186" s="4">
        <f t="shared" si="129"/>
        <v>0</v>
      </c>
      <c r="I1186" s="4">
        <f t="shared" si="126"/>
        <v>1</v>
      </c>
      <c r="J1186" s="11">
        <f t="shared" si="130"/>
        <v>0</v>
      </c>
      <c r="K1186" s="6">
        <f t="shared" si="131"/>
        <v>4997.1000979999999</v>
      </c>
      <c r="L1186" s="4">
        <f t="shared" si="132"/>
        <v>0</v>
      </c>
    </row>
    <row r="1187" spans="1:12" x14ac:dyDescent="0.25">
      <c r="A1187" s="1">
        <v>42828</v>
      </c>
      <c r="B1187">
        <v>5069.5498049999997</v>
      </c>
      <c r="C1187">
        <v>5146.2001950000003</v>
      </c>
      <c r="D1187">
        <v>5069.1499020000001</v>
      </c>
      <c r="E1187">
        <v>5139.0498049999997</v>
      </c>
      <c r="F1187" s="4">
        <f t="shared" si="127"/>
        <v>5054.1000979999999</v>
      </c>
      <c r="G1187" s="4">
        <f t="shared" si="128"/>
        <v>5139.0498049999997</v>
      </c>
      <c r="H1187" s="4" t="str">
        <f t="shared" si="129"/>
        <v>BUY</v>
      </c>
      <c r="I1187" s="4">
        <f t="shared" si="126"/>
        <v>1</v>
      </c>
      <c r="J1187" s="11">
        <f t="shared" si="130"/>
        <v>0</v>
      </c>
      <c r="K1187" s="6">
        <f t="shared" si="131"/>
        <v>4997.1000979999999</v>
      </c>
      <c r="L1187" s="4">
        <f t="shared" si="132"/>
        <v>0</v>
      </c>
    </row>
    <row r="1188" spans="1:12" x14ac:dyDescent="0.25">
      <c r="A1188" s="1">
        <v>42829</v>
      </c>
      <c r="B1188">
        <v>5174</v>
      </c>
      <c r="C1188">
        <v>5190.2001950000003</v>
      </c>
      <c r="D1188">
        <v>5041.7001950000003</v>
      </c>
      <c r="E1188">
        <v>5064.25</v>
      </c>
      <c r="F1188" s="4">
        <f t="shared" si="127"/>
        <v>5054.75</v>
      </c>
      <c r="G1188" s="4">
        <f t="shared" si="128"/>
        <v>5139.0498049999997</v>
      </c>
      <c r="H1188" s="4">
        <f t="shared" si="129"/>
        <v>0</v>
      </c>
      <c r="I1188" s="4">
        <f t="shared" si="126"/>
        <v>1</v>
      </c>
      <c r="J1188" s="11">
        <f t="shared" si="130"/>
        <v>0</v>
      </c>
      <c r="K1188" s="6">
        <f t="shared" si="131"/>
        <v>4997.1000979999999</v>
      </c>
      <c r="L1188" s="4">
        <f t="shared" si="132"/>
        <v>0</v>
      </c>
    </row>
    <row r="1189" spans="1:12" x14ac:dyDescent="0.25">
      <c r="A1189" s="1">
        <v>42830</v>
      </c>
      <c r="B1189">
        <v>5050.7998049999997</v>
      </c>
      <c r="C1189">
        <v>5113.6000979999999</v>
      </c>
      <c r="D1189">
        <v>5048.1000979999999</v>
      </c>
      <c r="E1189">
        <v>5103.8500979999999</v>
      </c>
      <c r="F1189" s="4">
        <f t="shared" si="127"/>
        <v>5054.75</v>
      </c>
      <c r="G1189" s="4">
        <f t="shared" si="128"/>
        <v>5139.0498049999997</v>
      </c>
      <c r="H1189" s="4">
        <f t="shared" si="129"/>
        <v>0</v>
      </c>
      <c r="I1189" s="4">
        <f t="shared" si="126"/>
        <v>1</v>
      </c>
      <c r="J1189" s="11">
        <f t="shared" si="130"/>
        <v>0</v>
      </c>
      <c r="K1189" s="6">
        <f t="shared" si="131"/>
        <v>4997.1000979999999</v>
      </c>
      <c r="L1189" s="4">
        <f t="shared" si="132"/>
        <v>0</v>
      </c>
    </row>
    <row r="1190" spans="1:12" x14ac:dyDescent="0.25">
      <c r="A1190" s="1">
        <v>42831</v>
      </c>
      <c r="B1190">
        <v>5114.5498049999997</v>
      </c>
      <c r="C1190">
        <v>5141.7001950000003</v>
      </c>
      <c r="D1190">
        <v>5100.7001950000003</v>
      </c>
      <c r="E1190">
        <v>5120.5498049999997</v>
      </c>
      <c r="F1190" s="4">
        <f t="shared" si="127"/>
        <v>5054.75</v>
      </c>
      <c r="G1190" s="4">
        <f t="shared" si="128"/>
        <v>5139.0498049999997</v>
      </c>
      <c r="H1190" s="4">
        <f t="shared" si="129"/>
        <v>0</v>
      </c>
      <c r="I1190" s="4">
        <f t="shared" si="126"/>
        <v>1</v>
      </c>
      <c r="J1190" s="11">
        <f t="shared" si="130"/>
        <v>0</v>
      </c>
      <c r="K1190" s="6">
        <f t="shared" si="131"/>
        <v>4997.1000979999999</v>
      </c>
      <c r="L1190" s="4">
        <f t="shared" si="132"/>
        <v>0</v>
      </c>
    </row>
    <row r="1191" spans="1:12" x14ac:dyDescent="0.25">
      <c r="A1191" s="1">
        <v>42832</v>
      </c>
      <c r="B1191">
        <v>5097.3500979999999</v>
      </c>
      <c r="C1191">
        <v>5170.3999020000001</v>
      </c>
      <c r="D1191">
        <v>5093.4501950000003</v>
      </c>
      <c r="E1191">
        <v>5165</v>
      </c>
      <c r="F1191" s="4">
        <f t="shared" si="127"/>
        <v>5064.25</v>
      </c>
      <c r="G1191" s="4">
        <f t="shared" si="128"/>
        <v>5165</v>
      </c>
      <c r="H1191" s="4" t="str">
        <f t="shared" si="129"/>
        <v>BUY</v>
      </c>
      <c r="I1191" s="4">
        <f t="shared" si="126"/>
        <v>1</v>
      </c>
      <c r="J1191" s="11">
        <f t="shared" si="130"/>
        <v>0</v>
      </c>
      <c r="K1191" s="6">
        <f t="shared" si="131"/>
        <v>4997.1000979999999</v>
      </c>
      <c r="L1191" s="4">
        <f t="shared" si="132"/>
        <v>0</v>
      </c>
    </row>
    <row r="1192" spans="1:12" x14ac:dyDescent="0.25">
      <c r="A1192" s="1">
        <v>42835</v>
      </c>
      <c r="B1192">
        <v>5101.75</v>
      </c>
      <c r="C1192">
        <v>5159.7998049999997</v>
      </c>
      <c r="D1192">
        <v>5094</v>
      </c>
      <c r="E1192">
        <v>5146.0498049999997</v>
      </c>
      <c r="F1192" s="4">
        <f t="shared" si="127"/>
        <v>5064.25</v>
      </c>
      <c r="G1192" s="4">
        <f t="shared" si="128"/>
        <v>5165</v>
      </c>
      <c r="H1192" s="4">
        <f t="shared" si="129"/>
        <v>0</v>
      </c>
      <c r="I1192" s="4">
        <f t="shared" si="126"/>
        <v>1</v>
      </c>
      <c r="J1192" s="11">
        <f t="shared" si="130"/>
        <v>0</v>
      </c>
      <c r="K1192" s="6">
        <f t="shared" si="131"/>
        <v>4997.1000979999999</v>
      </c>
      <c r="L1192" s="4">
        <f t="shared" si="132"/>
        <v>0</v>
      </c>
    </row>
    <row r="1193" spans="1:12" x14ac:dyDescent="0.25">
      <c r="A1193" s="1">
        <v>42836</v>
      </c>
      <c r="B1193">
        <v>5158.5</v>
      </c>
      <c r="C1193">
        <v>5194.6000979999999</v>
      </c>
      <c r="D1193">
        <v>5105.6499020000001</v>
      </c>
      <c r="E1193">
        <v>5114.6499020000001</v>
      </c>
      <c r="F1193" s="4">
        <f t="shared" si="127"/>
        <v>5103.8500979999999</v>
      </c>
      <c r="G1193" s="4">
        <f t="shared" si="128"/>
        <v>5165</v>
      </c>
      <c r="H1193" s="4">
        <f t="shared" si="129"/>
        <v>0</v>
      </c>
      <c r="I1193" s="4">
        <f t="shared" si="126"/>
        <v>1</v>
      </c>
      <c r="J1193" s="11">
        <f t="shared" si="130"/>
        <v>0</v>
      </c>
      <c r="K1193" s="6">
        <f t="shared" si="131"/>
        <v>4997.1000979999999</v>
      </c>
      <c r="L1193" s="4">
        <f t="shared" si="132"/>
        <v>0</v>
      </c>
    </row>
    <row r="1194" spans="1:12" x14ac:dyDescent="0.25">
      <c r="A1194" s="1">
        <v>42837</v>
      </c>
      <c r="B1194">
        <v>5107.4501950000003</v>
      </c>
      <c r="C1194">
        <v>5134.5498049999997</v>
      </c>
      <c r="D1194">
        <v>5095.5</v>
      </c>
      <c r="E1194">
        <v>5120.7998049999997</v>
      </c>
      <c r="F1194" s="4">
        <f t="shared" si="127"/>
        <v>5114.6499020000001</v>
      </c>
      <c r="G1194" s="4">
        <f t="shared" si="128"/>
        <v>5165</v>
      </c>
      <c r="H1194" s="4">
        <f t="shared" si="129"/>
        <v>0</v>
      </c>
      <c r="I1194" s="4">
        <f t="shared" si="126"/>
        <v>1</v>
      </c>
      <c r="J1194" s="11">
        <f t="shared" si="130"/>
        <v>0</v>
      </c>
      <c r="K1194" s="6">
        <f t="shared" si="131"/>
        <v>4997.1000979999999</v>
      </c>
      <c r="L1194" s="4">
        <f t="shared" si="132"/>
        <v>0</v>
      </c>
    </row>
    <row r="1195" spans="1:12" x14ac:dyDescent="0.25">
      <c r="A1195" s="1">
        <v>42838</v>
      </c>
      <c r="B1195">
        <v>5149.4501950000003</v>
      </c>
      <c r="C1195">
        <v>5160.1000979999999</v>
      </c>
      <c r="D1195">
        <v>5129.25</v>
      </c>
      <c r="E1195">
        <v>5141.8999020000001</v>
      </c>
      <c r="F1195" s="4">
        <f t="shared" si="127"/>
        <v>5114.6499020000001</v>
      </c>
      <c r="G1195" s="4">
        <f t="shared" si="128"/>
        <v>5165</v>
      </c>
      <c r="H1195" s="4">
        <f t="shared" si="129"/>
        <v>0</v>
      </c>
      <c r="I1195" s="4">
        <f t="shared" si="126"/>
        <v>1</v>
      </c>
      <c r="J1195" s="11">
        <f t="shared" si="130"/>
        <v>0</v>
      </c>
      <c r="K1195" s="6">
        <f t="shared" si="131"/>
        <v>4997.1000979999999</v>
      </c>
      <c r="L1195" s="4">
        <f t="shared" si="132"/>
        <v>0</v>
      </c>
    </row>
    <row r="1196" spans="1:12" x14ac:dyDescent="0.25">
      <c r="A1196" s="1">
        <v>42839</v>
      </c>
      <c r="B1196">
        <v>5148.9501950000003</v>
      </c>
      <c r="C1196">
        <v>5159.0498049999997</v>
      </c>
      <c r="D1196">
        <v>5125.2998049999997</v>
      </c>
      <c r="E1196">
        <v>5149.1499020000001</v>
      </c>
      <c r="F1196" s="4">
        <f t="shared" si="127"/>
        <v>5114.6499020000001</v>
      </c>
      <c r="G1196" s="4">
        <f t="shared" si="128"/>
        <v>5149.1499020000001</v>
      </c>
      <c r="H1196" s="4">
        <f t="shared" si="129"/>
        <v>0</v>
      </c>
      <c r="I1196" s="4">
        <f t="shared" si="126"/>
        <v>1</v>
      </c>
      <c r="J1196" s="11">
        <f t="shared" si="130"/>
        <v>0</v>
      </c>
      <c r="K1196" s="6">
        <f t="shared" si="131"/>
        <v>4997.1000979999999</v>
      </c>
      <c r="L1196" s="4">
        <f t="shared" si="132"/>
        <v>0</v>
      </c>
    </row>
    <row r="1197" spans="1:12" x14ac:dyDescent="0.25">
      <c r="A1197" s="1">
        <v>42842</v>
      </c>
      <c r="B1197">
        <v>5191.25</v>
      </c>
      <c r="C1197">
        <v>5286.25</v>
      </c>
      <c r="D1197">
        <v>5189</v>
      </c>
      <c r="E1197">
        <v>5278.8999020000001</v>
      </c>
      <c r="F1197" s="4">
        <f t="shared" si="127"/>
        <v>5114.6499020000001</v>
      </c>
      <c r="G1197" s="4">
        <f t="shared" si="128"/>
        <v>5278.8999020000001</v>
      </c>
      <c r="H1197" s="4" t="str">
        <f t="shared" si="129"/>
        <v>BUY</v>
      </c>
      <c r="I1197" s="4">
        <f t="shared" si="126"/>
        <v>1</v>
      </c>
      <c r="J1197" s="11">
        <f t="shared" si="130"/>
        <v>0</v>
      </c>
      <c r="K1197" s="6">
        <f t="shared" si="131"/>
        <v>4997.1000979999999</v>
      </c>
      <c r="L1197" s="4">
        <f t="shared" si="132"/>
        <v>0</v>
      </c>
    </row>
    <row r="1198" spans="1:12" x14ac:dyDescent="0.25">
      <c r="A1198" s="1">
        <v>42843</v>
      </c>
      <c r="B1198">
        <v>5283.8500979999999</v>
      </c>
      <c r="C1198">
        <v>5302.1499020000001</v>
      </c>
      <c r="D1198">
        <v>5263.3500979999999</v>
      </c>
      <c r="E1198">
        <v>5278.6000979999999</v>
      </c>
      <c r="F1198" s="4">
        <f t="shared" si="127"/>
        <v>5120.7998049999997</v>
      </c>
      <c r="G1198" s="4">
        <f t="shared" si="128"/>
        <v>5278.8999020000001</v>
      </c>
      <c r="H1198" s="4">
        <f t="shared" si="129"/>
        <v>0</v>
      </c>
      <c r="I1198" s="4">
        <f t="shared" si="126"/>
        <v>1</v>
      </c>
      <c r="J1198" s="11">
        <f t="shared" si="130"/>
        <v>0</v>
      </c>
      <c r="K1198" s="6">
        <f t="shared" si="131"/>
        <v>4997.1000979999999</v>
      </c>
      <c r="L1198" s="4">
        <f t="shared" si="132"/>
        <v>0</v>
      </c>
    </row>
    <row r="1199" spans="1:12" x14ac:dyDescent="0.25">
      <c r="A1199" s="1">
        <v>42844</v>
      </c>
      <c r="B1199">
        <v>5298.8500979999999</v>
      </c>
      <c r="C1199">
        <v>5317</v>
      </c>
      <c r="D1199">
        <v>5265.9501950000003</v>
      </c>
      <c r="E1199">
        <v>5287.9501950000003</v>
      </c>
      <c r="F1199" s="4">
        <f t="shared" si="127"/>
        <v>5141.8999020000001</v>
      </c>
      <c r="G1199" s="4">
        <f t="shared" si="128"/>
        <v>5287.9501950000003</v>
      </c>
      <c r="H1199" s="4" t="str">
        <f t="shared" si="129"/>
        <v>BUY</v>
      </c>
      <c r="I1199" s="4">
        <f t="shared" si="126"/>
        <v>1</v>
      </c>
      <c r="J1199" s="11">
        <f t="shared" si="130"/>
        <v>0</v>
      </c>
      <c r="K1199" s="6">
        <f t="shared" si="131"/>
        <v>4997.1000979999999</v>
      </c>
      <c r="L1199" s="4">
        <f t="shared" si="132"/>
        <v>0</v>
      </c>
    </row>
    <row r="1200" spans="1:12" x14ac:dyDescent="0.25">
      <c r="A1200" s="1">
        <v>42845</v>
      </c>
      <c r="B1200">
        <v>5310.3999020000001</v>
      </c>
      <c r="C1200">
        <v>5317.6499020000001</v>
      </c>
      <c r="D1200">
        <v>5273.2998049999997</v>
      </c>
      <c r="E1200">
        <v>5302.5498049999997</v>
      </c>
      <c r="F1200" s="4">
        <f t="shared" si="127"/>
        <v>5149.1499020000001</v>
      </c>
      <c r="G1200" s="4">
        <f t="shared" si="128"/>
        <v>5302.5498049999997</v>
      </c>
      <c r="H1200" s="4" t="str">
        <f t="shared" si="129"/>
        <v>BUY</v>
      </c>
      <c r="I1200" s="4">
        <f t="shared" si="126"/>
        <v>1</v>
      </c>
      <c r="J1200" s="11">
        <f t="shared" si="130"/>
        <v>0</v>
      </c>
      <c r="K1200" s="6">
        <f t="shared" si="131"/>
        <v>4997.1000979999999</v>
      </c>
      <c r="L1200" s="4">
        <f t="shared" si="132"/>
        <v>0</v>
      </c>
    </row>
    <row r="1201" spans="1:12" x14ac:dyDescent="0.25">
      <c r="A1201" s="1">
        <v>42846</v>
      </c>
      <c r="B1201">
        <v>5297.0498049999997</v>
      </c>
      <c r="C1201">
        <v>5333.6499020000001</v>
      </c>
      <c r="D1201">
        <v>5288.8500979999999</v>
      </c>
      <c r="E1201">
        <v>5327.2998049999997</v>
      </c>
      <c r="F1201" s="4">
        <f t="shared" si="127"/>
        <v>5278.6000979999999</v>
      </c>
      <c r="G1201" s="4">
        <f t="shared" si="128"/>
        <v>5327.2998049999997</v>
      </c>
      <c r="H1201" s="4" t="str">
        <f t="shared" si="129"/>
        <v>BUY</v>
      </c>
      <c r="I1201" s="4">
        <f t="shared" si="126"/>
        <v>1</v>
      </c>
      <c r="J1201" s="11">
        <f t="shared" si="130"/>
        <v>0</v>
      </c>
      <c r="K1201" s="6">
        <f t="shared" si="131"/>
        <v>4997.1000979999999</v>
      </c>
      <c r="L1201" s="4">
        <f t="shared" si="132"/>
        <v>0</v>
      </c>
    </row>
    <row r="1202" spans="1:12" x14ac:dyDescent="0.25">
      <c r="A1202" s="1">
        <v>42849</v>
      </c>
      <c r="B1202">
        <v>5324.7001950000003</v>
      </c>
      <c r="C1202">
        <v>5327.2001950000003</v>
      </c>
      <c r="D1202">
        <v>5287.75</v>
      </c>
      <c r="E1202">
        <v>5316.9501950000003</v>
      </c>
      <c r="F1202" s="4">
        <f t="shared" si="127"/>
        <v>5278.6000979999999</v>
      </c>
      <c r="G1202" s="4">
        <f t="shared" si="128"/>
        <v>5327.2998049999997</v>
      </c>
      <c r="H1202" s="4">
        <f t="shared" si="129"/>
        <v>0</v>
      </c>
      <c r="I1202" s="4">
        <f t="shared" si="126"/>
        <v>1</v>
      </c>
      <c r="J1202" s="11">
        <f t="shared" si="130"/>
        <v>0</v>
      </c>
      <c r="K1202" s="6">
        <f t="shared" si="131"/>
        <v>4997.1000979999999</v>
      </c>
      <c r="L1202" s="4">
        <f t="shared" si="132"/>
        <v>0</v>
      </c>
    </row>
    <row r="1203" spans="1:12" x14ac:dyDescent="0.25">
      <c r="A1203" s="1">
        <v>42850</v>
      </c>
      <c r="B1203">
        <v>5283.7001950000003</v>
      </c>
      <c r="C1203">
        <v>5300.6000979999999</v>
      </c>
      <c r="D1203">
        <v>5257.75</v>
      </c>
      <c r="E1203">
        <v>5275.1499020000001</v>
      </c>
      <c r="F1203" s="4">
        <f t="shared" si="127"/>
        <v>5275.1499020000001</v>
      </c>
      <c r="G1203" s="4">
        <f t="shared" si="128"/>
        <v>5327.2998049999997</v>
      </c>
      <c r="H1203" s="4" t="str">
        <f t="shared" si="129"/>
        <v>SELL</v>
      </c>
      <c r="I1203" s="4">
        <f t="shared" si="126"/>
        <v>-1</v>
      </c>
      <c r="J1203" s="11" t="str">
        <f t="shared" si="130"/>
        <v>SELL</v>
      </c>
      <c r="K1203" s="6">
        <f t="shared" si="131"/>
        <v>5275.1499020000001</v>
      </c>
      <c r="L1203" s="4">
        <f t="shared" si="132"/>
        <v>6.9690419077132526E-2</v>
      </c>
    </row>
    <row r="1204" spans="1:12" x14ac:dyDescent="0.25">
      <c r="A1204" s="1">
        <v>42851</v>
      </c>
      <c r="B1204">
        <v>5286.6000979999999</v>
      </c>
      <c r="C1204">
        <v>5348.5498049999997</v>
      </c>
      <c r="D1204">
        <v>5284.5498049999997</v>
      </c>
      <c r="E1204">
        <v>5345.3500979999999</v>
      </c>
      <c r="F1204" s="4">
        <f t="shared" si="127"/>
        <v>5275.1499020000001</v>
      </c>
      <c r="G1204" s="4">
        <f t="shared" si="128"/>
        <v>5345.3500979999999</v>
      </c>
      <c r="H1204" s="4" t="str">
        <f t="shared" si="129"/>
        <v>BUY</v>
      </c>
      <c r="I1204" s="4">
        <f t="shared" si="126"/>
        <v>1</v>
      </c>
      <c r="J1204" s="11" t="str">
        <f t="shared" si="130"/>
        <v>BUY</v>
      </c>
      <c r="K1204" s="6">
        <f t="shared" si="131"/>
        <v>5345.3500979999999</v>
      </c>
      <c r="L1204" s="4">
        <f t="shared" si="132"/>
        <v>-1.3307715857208977E-2</v>
      </c>
    </row>
    <row r="1205" spans="1:12" x14ac:dyDescent="0.25">
      <c r="A1205" s="1">
        <v>42852</v>
      </c>
      <c r="B1205">
        <v>5315.25</v>
      </c>
      <c r="C1205">
        <v>5336.4501950000003</v>
      </c>
      <c r="D1205">
        <v>5300.25</v>
      </c>
      <c r="E1205">
        <v>5306.2998049999997</v>
      </c>
      <c r="F1205" s="4">
        <f t="shared" si="127"/>
        <v>5275.1499020000001</v>
      </c>
      <c r="G1205" s="4">
        <f t="shared" si="128"/>
        <v>5345.3500979999999</v>
      </c>
      <c r="H1205" s="4">
        <f t="shared" si="129"/>
        <v>0</v>
      </c>
      <c r="I1205" s="4">
        <f t="shared" si="126"/>
        <v>1</v>
      </c>
      <c r="J1205" s="11">
        <f t="shared" si="130"/>
        <v>0</v>
      </c>
      <c r="K1205" s="6">
        <f t="shared" si="131"/>
        <v>5345.3500979999999</v>
      </c>
      <c r="L1205" s="4">
        <f t="shared" si="132"/>
        <v>0</v>
      </c>
    </row>
    <row r="1206" spans="1:12" x14ac:dyDescent="0.25">
      <c r="A1206" s="1">
        <v>42853</v>
      </c>
      <c r="B1206">
        <v>5240</v>
      </c>
      <c r="C1206">
        <v>5261.75</v>
      </c>
      <c r="D1206">
        <v>5217.7001950000003</v>
      </c>
      <c r="E1206">
        <v>5235.25</v>
      </c>
      <c r="F1206" s="4">
        <f t="shared" si="127"/>
        <v>5235.25</v>
      </c>
      <c r="G1206" s="4">
        <f t="shared" si="128"/>
        <v>5345.3500979999999</v>
      </c>
      <c r="H1206" s="4" t="str">
        <f t="shared" si="129"/>
        <v>SELL</v>
      </c>
      <c r="I1206" s="4">
        <f t="shared" si="126"/>
        <v>-1</v>
      </c>
      <c r="J1206" s="11" t="str">
        <f t="shared" si="130"/>
        <v>SELL</v>
      </c>
      <c r="K1206" s="6">
        <f t="shared" si="131"/>
        <v>5235.25</v>
      </c>
      <c r="L1206" s="4">
        <f t="shared" si="132"/>
        <v>-2.0597359570740673E-2</v>
      </c>
    </row>
    <row r="1207" spans="1:12" x14ac:dyDescent="0.25">
      <c r="A1207" s="1">
        <v>42856</v>
      </c>
      <c r="B1207">
        <v>5242.75</v>
      </c>
      <c r="C1207">
        <v>5267.1499020000001</v>
      </c>
      <c r="D1207">
        <v>5216.8500979999999</v>
      </c>
      <c r="E1207">
        <v>5227.25</v>
      </c>
      <c r="F1207" s="4">
        <f t="shared" si="127"/>
        <v>5227.25</v>
      </c>
      <c r="G1207" s="4">
        <f t="shared" si="128"/>
        <v>5345.3500979999999</v>
      </c>
      <c r="H1207" s="4" t="str">
        <f t="shared" si="129"/>
        <v>SELL</v>
      </c>
      <c r="I1207" s="4">
        <f t="shared" si="126"/>
        <v>-1</v>
      </c>
      <c r="J1207" s="11">
        <f t="shared" si="130"/>
        <v>0</v>
      </c>
      <c r="K1207" s="6">
        <f t="shared" si="131"/>
        <v>5235.25</v>
      </c>
      <c r="L1207" s="4">
        <f t="shared" si="132"/>
        <v>0</v>
      </c>
    </row>
    <row r="1208" spans="1:12" x14ac:dyDescent="0.25">
      <c r="A1208" s="1">
        <v>42857</v>
      </c>
      <c r="B1208">
        <v>5232.3500979999999</v>
      </c>
      <c r="C1208">
        <v>5246.8500979999999</v>
      </c>
      <c r="D1208">
        <v>5190.4501950000003</v>
      </c>
      <c r="E1208">
        <v>5197.25</v>
      </c>
      <c r="F1208" s="4">
        <f t="shared" si="127"/>
        <v>5197.25</v>
      </c>
      <c r="G1208" s="4">
        <f t="shared" si="128"/>
        <v>5345.3500979999999</v>
      </c>
      <c r="H1208" s="4" t="str">
        <f t="shared" si="129"/>
        <v>SELL</v>
      </c>
      <c r="I1208" s="4">
        <f t="shared" si="126"/>
        <v>-1</v>
      </c>
      <c r="J1208" s="11">
        <f t="shared" si="130"/>
        <v>0</v>
      </c>
      <c r="K1208" s="6">
        <f t="shared" si="131"/>
        <v>5235.25</v>
      </c>
      <c r="L1208" s="4">
        <f t="shared" si="132"/>
        <v>0</v>
      </c>
    </row>
    <row r="1209" spans="1:12" x14ac:dyDescent="0.25">
      <c r="A1209" s="1">
        <v>42858</v>
      </c>
      <c r="B1209">
        <v>5228.0498049999997</v>
      </c>
      <c r="C1209">
        <v>5236.7001950000003</v>
      </c>
      <c r="D1209">
        <v>5181.7001950000003</v>
      </c>
      <c r="E1209">
        <v>5192.8500979999999</v>
      </c>
      <c r="F1209" s="4">
        <f t="shared" si="127"/>
        <v>5192.8500979999999</v>
      </c>
      <c r="G1209" s="4">
        <f t="shared" si="128"/>
        <v>5306.2998049999997</v>
      </c>
      <c r="H1209" s="4" t="str">
        <f t="shared" si="129"/>
        <v>SELL</v>
      </c>
      <c r="I1209" s="4">
        <f t="shared" si="126"/>
        <v>-1</v>
      </c>
      <c r="J1209" s="11">
        <f t="shared" si="130"/>
        <v>0</v>
      </c>
      <c r="K1209" s="6">
        <f t="shared" si="131"/>
        <v>5235.25</v>
      </c>
      <c r="L1209" s="4">
        <f t="shared" si="132"/>
        <v>0</v>
      </c>
    </row>
    <row r="1210" spans="1:12" x14ac:dyDescent="0.25">
      <c r="A1210" s="1">
        <v>42859</v>
      </c>
      <c r="B1210">
        <v>5199.1000979999999</v>
      </c>
      <c r="C1210">
        <v>5222.8500979999999</v>
      </c>
      <c r="D1210">
        <v>5169.0498049999997</v>
      </c>
      <c r="E1210">
        <v>5216.2998049999997</v>
      </c>
      <c r="F1210" s="4">
        <f t="shared" si="127"/>
        <v>5192.8500979999999</v>
      </c>
      <c r="G1210" s="4">
        <f t="shared" si="128"/>
        <v>5235.25</v>
      </c>
      <c r="H1210" s="4">
        <f t="shared" si="129"/>
        <v>0</v>
      </c>
      <c r="I1210" s="4">
        <f t="shared" si="126"/>
        <v>-1</v>
      </c>
      <c r="J1210" s="11">
        <f t="shared" si="130"/>
        <v>0</v>
      </c>
      <c r="K1210" s="6">
        <f t="shared" si="131"/>
        <v>5235.25</v>
      </c>
      <c r="L1210" s="4">
        <f t="shared" si="132"/>
        <v>0</v>
      </c>
    </row>
    <row r="1211" spans="1:12" x14ac:dyDescent="0.25">
      <c r="A1211" s="1">
        <v>42860</v>
      </c>
      <c r="B1211">
        <v>5249.8500979999999</v>
      </c>
      <c r="C1211">
        <v>5257.75</v>
      </c>
      <c r="D1211">
        <v>5233.1499020000001</v>
      </c>
      <c r="E1211">
        <v>5242.7001950000003</v>
      </c>
      <c r="F1211" s="4">
        <f t="shared" si="127"/>
        <v>5192.8500979999999</v>
      </c>
      <c r="G1211" s="4">
        <f t="shared" si="128"/>
        <v>5242.7001950000003</v>
      </c>
      <c r="H1211" s="4" t="str">
        <f t="shared" si="129"/>
        <v>BUY</v>
      </c>
      <c r="I1211" s="4">
        <f t="shared" si="126"/>
        <v>1</v>
      </c>
      <c r="J1211" s="11" t="str">
        <f t="shared" si="130"/>
        <v>BUY</v>
      </c>
      <c r="K1211" s="6">
        <f t="shared" si="131"/>
        <v>5242.7001950000003</v>
      </c>
      <c r="L1211" s="4">
        <f t="shared" si="132"/>
        <v>-1.4230829473282744E-3</v>
      </c>
    </row>
    <row r="1212" spans="1:12" x14ac:dyDescent="0.25">
      <c r="A1212" s="1">
        <v>42863</v>
      </c>
      <c r="B1212">
        <v>5233.5498049999997</v>
      </c>
      <c r="C1212">
        <v>5238.7001950000003</v>
      </c>
      <c r="D1212">
        <v>5197.5</v>
      </c>
      <c r="E1212">
        <v>5205.1000979999999</v>
      </c>
      <c r="F1212" s="4">
        <f t="shared" si="127"/>
        <v>5192.8500979999999</v>
      </c>
      <c r="G1212" s="4">
        <f t="shared" si="128"/>
        <v>5242.7001950000003</v>
      </c>
      <c r="H1212" s="4">
        <f t="shared" si="129"/>
        <v>0</v>
      </c>
      <c r="I1212" s="4">
        <f t="shared" si="126"/>
        <v>1</v>
      </c>
      <c r="J1212" s="11">
        <f t="shared" si="130"/>
        <v>0</v>
      </c>
      <c r="K1212" s="6">
        <f t="shared" si="131"/>
        <v>5242.7001950000003</v>
      </c>
      <c r="L1212" s="4">
        <f t="shared" si="132"/>
        <v>0</v>
      </c>
    </row>
    <row r="1213" spans="1:12" x14ac:dyDescent="0.25">
      <c r="A1213" s="1">
        <v>42864</v>
      </c>
      <c r="B1213">
        <v>5163.25</v>
      </c>
      <c r="C1213">
        <v>5164.2001950000003</v>
      </c>
      <c r="D1213">
        <v>5108.1000979999999</v>
      </c>
      <c r="E1213">
        <v>5117.9501950000003</v>
      </c>
      <c r="F1213" s="4">
        <f t="shared" si="127"/>
        <v>5117.9501950000003</v>
      </c>
      <c r="G1213" s="4">
        <f t="shared" si="128"/>
        <v>5242.7001950000003</v>
      </c>
      <c r="H1213" s="4" t="str">
        <f t="shared" si="129"/>
        <v>SELL</v>
      </c>
      <c r="I1213" s="4">
        <f t="shared" si="126"/>
        <v>-1</v>
      </c>
      <c r="J1213" s="11" t="str">
        <f t="shared" si="130"/>
        <v>SELL</v>
      </c>
      <c r="K1213" s="6">
        <f t="shared" si="131"/>
        <v>5117.9501950000003</v>
      </c>
      <c r="L1213" s="4">
        <f t="shared" si="132"/>
        <v>-2.3794990245479791E-2</v>
      </c>
    </row>
    <row r="1214" spans="1:12" x14ac:dyDescent="0.25">
      <c r="A1214" s="1">
        <v>42865</v>
      </c>
      <c r="B1214">
        <v>5128.7998049999997</v>
      </c>
      <c r="C1214">
        <v>5144</v>
      </c>
      <c r="D1214">
        <v>5103.25</v>
      </c>
      <c r="E1214">
        <v>5128.2001950000003</v>
      </c>
      <c r="F1214" s="4">
        <f t="shared" si="127"/>
        <v>5117.9501950000003</v>
      </c>
      <c r="G1214" s="4">
        <f t="shared" si="128"/>
        <v>5242.7001950000003</v>
      </c>
      <c r="H1214" s="4">
        <f t="shared" si="129"/>
        <v>0</v>
      </c>
      <c r="I1214" s="4">
        <f t="shared" si="126"/>
        <v>-1</v>
      </c>
      <c r="J1214" s="11">
        <f t="shared" si="130"/>
        <v>0</v>
      </c>
      <c r="K1214" s="6">
        <f t="shared" si="131"/>
        <v>5117.9501950000003</v>
      </c>
      <c r="L1214" s="4">
        <f t="shared" si="132"/>
        <v>0</v>
      </c>
    </row>
    <row r="1215" spans="1:12" x14ac:dyDescent="0.25">
      <c r="A1215" s="1">
        <v>42866</v>
      </c>
      <c r="B1215">
        <v>5118.3999020000001</v>
      </c>
      <c r="C1215">
        <v>5121.6000979999999</v>
      </c>
      <c r="D1215">
        <v>5076.6000979999999</v>
      </c>
      <c r="E1215">
        <v>5109.6000979999999</v>
      </c>
      <c r="F1215" s="4">
        <f t="shared" si="127"/>
        <v>5109.6000979999999</v>
      </c>
      <c r="G1215" s="4">
        <f t="shared" si="128"/>
        <v>5242.7001950000003</v>
      </c>
      <c r="H1215" s="4" t="str">
        <f t="shared" si="129"/>
        <v>SELL</v>
      </c>
      <c r="I1215" s="4">
        <f t="shared" si="126"/>
        <v>-1</v>
      </c>
      <c r="J1215" s="11">
        <f t="shared" si="130"/>
        <v>0</v>
      </c>
      <c r="K1215" s="6">
        <f t="shared" si="131"/>
        <v>5117.9501950000003</v>
      </c>
      <c r="L1215" s="4">
        <f t="shared" si="132"/>
        <v>0</v>
      </c>
    </row>
    <row r="1216" spans="1:12" x14ac:dyDescent="0.25">
      <c r="A1216" s="1">
        <v>42867</v>
      </c>
      <c r="B1216">
        <v>5126.2998049999997</v>
      </c>
      <c r="C1216">
        <v>5126.2998049999997</v>
      </c>
      <c r="D1216">
        <v>5032.3999020000001</v>
      </c>
      <c r="E1216">
        <v>5043</v>
      </c>
      <c r="F1216" s="4">
        <f t="shared" si="127"/>
        <v>5043</v>
      </c>
      <c r="G1216" s="4">
        <f t="shared" si="128"/>
        <v>5205.1000979999999</v>
      </c>
      <c r="H1216" s="4" t="str">
        <f t="shared" si="129"/>
        <v>SELL</v>
      </c>
      <c r="I1216" s="4">
        <f t="shared" si="126"/>
        <v>-1</v>
      </c>
      <c r="J1216" s="11">
        <f t="shared" si="130"/>
        <v>0</v>
      </c>
      <c r="K1216" s="6">
        <f t="shared" si="131"/>
        <v>5117.9501950000003</v>
      </c>
      <c r="L1216" s="4">
        <f t="shared" si="132"/>
        <v>0</v>
      </c>
    </row>
    <row r="1217" spans="1:12" x14ac:dyDescent="0.25">
      <c r="A1217" s="1">
        <v>42870</v>
      </c>
      <c r="B1217">
        <v>5124.2998049999997</v>
      </c>
      <c r="C1217">
        <v>5149.9501950000003</v>
      </c>
      <c r="D1217">
        <v>5077.5</v>
      </c>
      <c r="E1217">
        <v>5099.8500979999999</v>
      </c>
      <c r="F1217" s="4">
        <f t="shared" si="127"/>
        <v>5043</v>
      </c>
      <c r="G1217" s="4">
        <f t="shared" si="128"/>
        <v>5128.2001950000003</v>
      </c>
      <c r="H1217" s="4">
        <f t="shared" si="129"/>
        <v>0</v>
      </c>
      <c r="I1217" s="4">
        <f t="shared" si="126"/>
        <v>-1</v>
      </c>
      <c r="J1217" s="11">
        <f t="shared" si="130"/>
        <v>0</v>
      </c>
      <c r="K1217" s="6">
        <f t="shared" si="131"/>
        <v>5117.9501950000003</v>
      </c>
      <c r="L1217" s="4">
        <f t="shared" si="132"/>
        <v>0</v>
      </c>
    </row>
    <row r="1218" spans="1:12" x14ac:dyDescent="0.25">
      <c r="A1218" s="1">
        <v>42871</v>
      </c>
      <c r="B1218">
        <v>5129.75</v>
      </c>
      <c r="C1218">
        <v>5206.6000979999999</v>
      </c>
      <c r="D1218">
        <v>5129.75</v>
      </c>
      <c r="E1218">
        <v>5199.7998049999997</v>
      </c>
      <c r="F1218" s="4">
        <f t="shared" si="127"/>
        <v>5043</v>
      </c>
      <c r="G1218" s="4">
        <f t="shared" si="128"/>
        <v>5199.7998049999997</v>
      </c>
      <c r="H1218" s="4" t="str">
        <f t="shared" si="129"/>
        <v>BUY</v>
      </c>
      <c r="I1218" s="4">
        <f t="shared" si="126"/>
        <v>1</v>
      </c>
      <c r="J1218" s="11" t="str">
        <f t="shared" si="130"/>
        <v>BUY</v>
      </c>
      <c r="K1218" s="6">
        <f t="shared" si="131"/>
        <v>5199.7998049999997</v>
      </c>
      <c r="L1218" s="4">
        <f t="shared" si="132"/>
        <v>-1.5992654653021549E-2</v>
      </c>
    </row>
    <row r="1219" spans="1:12" x14ac:dyDescent="0.25">
      <c r="A1219" s="1">
        <v>42872</v>
      </c>
      <c r="B1219">
        <v>5214.8500979999999</v>
      </c>
      <c r="C1219">
        <v>5234.5498049999997</v>
      </c>
      <c r="D1219">
        <v>5154.0498049999997</v>
      </c>
      <c r="E1219">
        <v>5229</v>
      </c>
      <c r="F1219" s="4">
        <f t="shared" si="127"/>
        <v>5043</v>
      </c>
      <c r="G1219" s="4">
        <f t="shared" si="128"/>
        <v>5229</v>
      </c>
      <c r="H1219" s="4" t="str">
        <f t="shared" si="129"/>
        <v>BUY</v>
      </c>
      <c r="I1219" s="4">
        <f t="shared" si="126"/>
        <v>1</v>
      </c>
      <c r="J1219" s="11">
        <f t="shared" si="130"/>
        <v>0</v>
      </c>
      <c r="K1219" s="6">
        <f t="shared" si="131"/>
        <v>5199.7998049999997</v>
      </c>
      <c r="L1219" s="4">
        <f t="shared" si="132"/>
        <v>0</v>
      </c>
    </row>
    <row r="1220" spans="1:12" x14ac:dyDescent="0.25">
      <c r="A1220" s="1">
        <v>42873</v>
      </c>
      <c r="B1220">
        <v>5220.7001950000003</v>
      </c>
      <c r="C1220">
        <v>5246.3500979999999</v>
      </c>
      <c r="D1220">
        <v>5212.6499020000001</v>
      </c>
      <c r="E1220">
        <v>5240.5</v>
      </c>
      <c r="F1220" s="4">
        <f t="shared" si="127"/>
        <v>5043</v>
      </c>
      <c r="G1220" s="4">
        <f t="shared" si="128"/>
        <v>5240.5</v>
      </c>
      <c r="H1220" s="4" t="str">
        <f t="shared" si="129"/>
        <v>BUY</v>
      </c>
      <c r="I1220" s="4">
        <f t="shared" si="126"/>
        <v>1</v>
      </c>
      <c r="J1220" s="11">
        <f t="shared" si="130"/>
        <v>0</v>
      </c>
      <c r="K1220" s="6">
        <f t="shared" si="131"/>
        <v>5199.7998049999997</v>
      </c>
      <c r="L1220" s="4">
        <f t="shared" si="132"/>
        <v>0</v>
      </c>
    </row>
    <row r="1221" spans="1:12" x14ac:dyDescent="0.25">
      <c r="A1221" s="1">
        <v>42874</v>
      </c>
      <c r="B1221">
        <v>5233.1000979999999</v>
      </c>
      <c r="C1221">
        <v>5236.8999020000001</v>
      </c>
      <c r="D1221">
        <v>5209.9501950000003</v>
      </c>
      <c r="E1221">
        <v>5227.75</v>
      </c>
      <c r="F1221" s="4">
        <f t="shared" si="127"/>
        <v>5099.8500979999999</v>
      </c>
      <c r="G1221" s="4">
        <f t="shared" si="128"/>
        <v>5240.5</v>
      </c>
      <c r="H1221" s="4">
        <f t="shared" si="129"/>
        <v>0</v>
      </c>
      <c r="I1221" s="4">
        <f t="shared" si="126"/>
        <v>1</v>
      </c>
      <c r="J1221" s="11">
        <f t="shared" si="130"/>
        <v>0</v>
      </c>
      <c r="K1221" s="6">
        <f t="shared" si="131"/>
        <v>5199.7998049999997</v>
      </c>
      <c r="L1221" s="4">
        <f t="shared" si="132"/>
        <v>0</v>
      </c>
    </row>
    <row r="1222" spans="1:12" x14ac:dyDescent="0.25">
      <c r="A1222" s="1">
        <v>42877</v>
      </c>
      <c r="B1222">
        <v>5195.6000979999999</v>
      </c>
      <c r="C1222">
        <v>5220.2001950000003</v>
      </c>
      <c r="D1222">
        <v>5164.6499020000001</v>
      </c>
      <c r="E1222">
        <v>5215.7001950000003</v>
      </c>
      <c r="F1222" s="4">
        <f t="shared" si="127"/>
        <v>5199.7998049999997</v>
      </c>
      <c r="G1222" s="4">
        <f t="shared" si="128"/>
        <v>5240.5</v>
      </c>
      <c r="H1222" s="4">
        <f t="shared" si="129"/>
        <v>0</v>
      </c>
      <c r="I1222" s="4">
        <f t="shared" ref="I1222:I1285" si="133">IF(AND(H1222="BUY",I1221&lt;&gt;1),1,IF(AND(H1222="SELL",I1221&lt;&gt;-1),-1,I1221))</f>
        <v>1</v>
      </c>
      <c r="J1222" s="11">
        <f t="shared" si="130"/>
        <v>0</v>
      </c>
      <c r="K1222" s="6">
        <f t="shared" si="131"/>
        <v>5199.7998049999997</v>
      </c>
      <c r="L1222" s="4">
        <f t="shared" si="132"/>
        <v>0</v>
      </c>
    </row>
    <row r="1223" spans="1:12" x14ac:dyDescent="0.25">
      <c r="A1223" s="1">
        <v>42878</v>
      </c>
      <c r="B1223">
        <v>5260.8500979999999</v>
      </c>
      <c r="C1223">
        <v>5293.2001950000003</v>
      </c>
      <c r="D1223">
        <v>5260.8500979999999</v>
      </c>
      <c r="E1223">
        <v>5282.5498049999997</v>
      </c>
      <c r="F1223" s="4">
        <f t="shared" ref="F1223:F1286" si="134">MIN(E1219:E1223)</f>
        <v>5215.7001950000003</v>
      </c>
      <c r="G1223" s="4">
        <f t="shared" ref="G1223:G1286" si="135">MAX(E1219:E1223)</f>
        <v>5282.5498049999997</v>
      </c>
      <c r="H1223" s="4" t="str">
        <f t="shared" ref="H1223:H1286" si="136">IF(E1223&gt;G1222,"BUY",IF(E1223&lt;F1222,"SELL",0))</f>
        <v>BUY</v>
      </c>
      <c r="I1223" s="4">
        <f t="shared" si="133"/>
        <v>1</v>
      </c>
      <c r="J1223" s="11">
        <f t="shared" ref="J1223:J1286" si="137">IF(I1223&lt;&gt;I1222,H1223,0)</f>
        <v>0</v>
      </c>
      <c r="K1223" s="6">
        <f t="shared" ref="K1223:K1286" si="138">IF(J1223&lt;&gt;0,E1223,K1222)</f>
        <v>5199.7998049999997</v>
      </c>
      <c r="L1223" s="4">
        <f t="shared" si="132"/>
        <v>0</v>
      </c>
    </row>
    <row r="1224" spans="1:12" x14ac:dyDescent="0.25">
      <c r="A1224" s="1">
        <v>42879</v>
      </c>
      <c r="B1224">
        <v>5295.3999020000001</v>
      </c>
      <c r="C1224">
        <v>5350.1000979999999</v>
      </c>
      <c r="D1224">
        <v>5281.6499020000001</v>
      </c>
      <c r="E1224">
        <v>5336.7001950000003</v>
      </c>
      <c r="F1224" s="4">
        <f t="shared" si="134"/>
        <v>5215.7001950000003</v>
      </c>
      <c r="G1224" s="4">
        <f t="shared" si="135"/>
        <v>5336.7001950000003</v>
      </c>
      <c r="H1224" s="4" t="str">
        <f t="shared" si="136"/>
        <v>BUY</v>
      </c>
      <c r="I1224" s="4">
        <f t="shared" si="133"/>
        <v>1</v>
      </c>
      <c r="J1224" s="11">
        <f t="shared" si="137"/>
        <v>0</v>
      </c>
      <c r="K1224" s="6">
        <f t="shared" si="138"/>
        <v>5199.7998049999997</v>
      </c>
      <c r="L1224" s="4">
        <f t="shared" ref="L1224:L1287" si="139">IF(J1224="BUY",(K1223-K1224)/K1223,IF(J1224="SELL",(K1225-K1223)/K1223,0))</f>
        <v>0</v>
      </c>
    </row>
    <row r="1225" spans="1:12" x14ac:dyDescent="0.25">
      <c r="A1225" s="1">
        <v>42880</v>
      </c>
      <c r="B1225">
        <v>5345.25</v>
      </c>
      <c r="C1225">
        <v>5377.6000979999999</v>
      </c>
      <c r="D1225">
        <v>5331.0498049999997</v>
      </c>
      <c r="E1225">
        <v>5338</v>
      </c>
      <c r="F1225" s="4">
        <f t="shared" si="134"/>
        <v>5215.7001950000003</v>
      </c>
      <c r="G1225" s="4">
        <f t="shared" si="135"/>
        <v>5338</v>
      </c>
      <c r="H1225" s="4" t="str">
        <f t="shared" si="136"/>
        <v>BUY</v>
      </c>
      <c r="I1225" s="4">
        <f t="shared" si="133"/>
        <v>1</v>
      </c>
      <c r="J1225" s="11">
        <f t="shared" si="137"/>
        <v>0</v>
      </c>
      <c r="K1225" s="6">
        <f t="shared" si="138"/>
        <v>5199.7998049999997</v>
      </c>
      <c r="L1225" s="4">
        <f t="shared" si="139"/>
        <v>0</v>
      </c>
    </row>
    <row r="1226" spans="1:12" x14ac:dyDescent="0.25">
      <c r="A1226" s="1">
        <v>42881</v>
      </c>
      <c r="B1226">
        <v>5348.2998049999997</v>
      </c>
      <c r="C1226">
        <v>5368.2001950000003</v>
      </c>
      <c r="D1226">
        <v>5312.1000979999999</v>
      </c>
      <c r="E1226">
        <v>5322.9501950000003</v>
      </c>
      <c r="F1226" s="4">
        <f t="shared" si="134"/>
        <v>5215.7001950000003</v>
      </c>
      <c r="G1226" s="4">
        <f t="shared" si="135"/>
        <v>5338</v>
      </c>
      <c r="H1226" s="4">
        <f t="shared" si="136"/>
        <v>0</v>
      </c>
      <c r="I1226" s="4">
        <f t="shared" si="133"/>
        <v>1</v>
      </c>
      <c r="J1226" s="11">
        <f t="shared" si="137"/>
        <v>0</v>
      </c>
      <c r="K1226" s="6">
        <f t="shared" si="138"/>
        <v>5199.7998049999997</v>
      </c>
      <c r="L1226" s="4">
        <f t="shared" si="139"/>
        <v>0</v>
      </c>
    </row>
    <row r="1227" spans="1:12" x14ac:dyDescent="0.25">
      <c r="A1227" s="1">
        <v>42884</v>
      </c>
      <c r="B1227">
        <v>5308.2001950000003</v>
      </c>
      <c r="C1227">
        <v>5330.1000979999999</v>
      </c>
      <c r="D1227">
        <v>5294.1000979999999</v>
      </c>
      <c r="E1227">
        <v>5320.3999020000001</v>
      </c>
      <c r="F1227" s="4">
        <f t="shared" si="134"/>
        <v>5282.5498049999997</v>
      </c>
      <c r="G1227" s="4">
        <f t="shared" si="135"/>
        <v>5338</v>
      </c>
      <c r="H1227" s="4">
        <f t="shared" si="136"/>
        <v>0</v>
      </c>
      <c r="I1227" s="4">
        <f t="shared" si="133"/>
        <v>1</v>
      </c>
      <c r="J1227" s="11">
        <f t="shared" si="137"/>
        <v>0</v>
      </c>
      <c r="K1227" s="6">
        <f t="shared" si="138"/>
        <v>5199.7998049999997</v>
      </c>
      <c r="L1227" s="4">
        <f t="shared" si="139"/>
        <v>0</v>
      </c>
    </row>
    <row r="1228" spans="1:12" x14ac:dyDescent="0.25">
      <c r="A1228" s="1">
        <v>42885</v>
      </c>
      <c r="B1228">
        <v>5316.3500979999999</v>
      </c>
      <c r="C1228">
        <v>5352.4501950000003</v>
      </c>
      <c r="D1228">
        <v>5309.0498049999997</v>
      </c>
      <c r="E1228">
        <v>5347.8999020000001</v>
      </c>
      <c r="F1228" s="4">
        <f t="shared" si="134"/>
        <v>5320.3999020000001</v>
      </c>
      <c r="G1228" s="4">
        <f t="shared" si="135"/>
        <v>5347.8999020000001</v>
      </c>
      <c r="H1228" s="4" t="str">
        <f t="shared" si="136"/>
        <v>BUY</v>
      </c>
      <c r="I1228" s="4">
        <f t="shared" si="133"/>
        <v>1</v>
      </c>
      <c r="J1228" s="11">
        <f t="shared" si="137"/>
        <v>0</v>
      </c>
      <c r="K1228" s="6">
        <f t="shared" si="138"/>
        <v>5199.7998049999997</v>
      </c>
      <c r="L1228" s="4">
        <f t="shared" si="139"/>
        <v>0</v>
      </c>
    </row>
    <row r="1229" spans="1:12" x14ac:dyDescent="0.25">
      <c r="A1229" s="1">
        <v>42886</v>
      </c>
      <c r="B1229">
        <v>5343.25</v>
      </c>
      <c r="C1229">
        <v>5387.0498049999997</v>
      </c>
      <c r="D1229">
        <v>5328.7998049999997</v>
      </c>
      <c r="E1229">
        <v>5380.3500979999999</v>
      </c>
      <c r="F1229" s="4">
        <f t="shared" si="134"/>
        <v>5320.3999020000001</v>
      </c>
      <c r="G1229" s="4">
        <f t="shared" si="135"/>
        <v>5380.3500979999999</v>
      </c>
      <c r="H1229" s="4" t="str">
        <f t="shared" si="136"/>
        <v>BUY</v>
      </c>
      <c r="I1229" s="4">
        <f t="shared" si="133"/>
        <v>1</v>
      </c>
      <c r="J1229" s="11">
        <f t="shared" si="137"/>
        <v>0</v>
      </c>
      <c r="K1229" s="6">
        <f t="shared" si="138"/>
        <v>5199.7998049999997</v>
      </c>
      <c r="L1229" s="4">
        <f t="shared" si="139"/>
        <v>0</v>
      </c>
    </row>
    <row r="1230" spans="1:12" x14ac:dyDescent="0.25">
      <c r="A1230" s="1">
        <v>42887</v>
      </c>
      <c r="B1230">
        <v>5380.3500979999999</v>
      </c>
      <c r="C1230">
        <v>5380.3500979999999</v>
      </c>
      <c r="D1230">
        <v>5380.3500979999999</v>
      </c>
      <c r="E1230">
        <v>5380.3500979999999</v>
      </c>
      <c r="F1230" s="4">
        <f t="shared" si="134"/>
        <v>5320.3999020000001</v>
      </c>
      <c r="G1230" s="4">
        <f t="shared" si="135"/>
        <v>5380.3500979999999</v>
      </c>
      <c r="H1230" s="4">
        <f t="shared" si="136"/>
        <v>0</v>
      </c>
      <c r="I1230" s="4">
        <f t="shared" si="133"/>
        <v>1</v>
      </c>
      <c r="J1230" s="11">
        <f t="shared" si="137"/>
        <v>0</v>
      </c>
      <c r="K1230" s="6">
        <f t="shared" si="138"/>
        <v>5199.7998049999997</v>
      </c>
      <c r="L1230" s="4">
        <f t="shared" si="139"/>
        <v>0</v>
      </c>
    </row>
    <row r="1231" spans="1:12" x14ac:dyDescent="0.25">
      <c r="A1231" s="1">
        <v>42888</v>
      </c>
      <c r="B1231">
        <v>5385.9501950000003</v>
      </c>
      <c r="C1231">
        <v>5390.6499020000001</v>
      </c>
      <c r="D1231">
        <v>5356.6499020000001</v>
      </c>
      <c r="E1231">
        <v>5362.9501950000003</v>
      </c>
      <c r="F1231" s="4">
        <f t="shared" si="134"/>
        <v>5320.3999020000001</v>
      </c>
      <c r="G1231" s="4">
        <f t="shared" si="135"/>
        <v>5380.3500979999999</v>
      </c>
      <c r="H1231" s="4">
        <f t="shared" si="136"/>
        <v>0</v>
      </c>
      <c r="I1231" s="4">
        <f t="shared" si="133"/>
        <v>1</v>
      </c>
      <c r="J1231" s="11">
        <f t="shared" si="137"/>
        <v>0</v>
      </c>
      <c r="K1231" s="6">
        <f t="shared" si="138"/>
        <v>5199.7998049999997</v>
      </c>
      <c r="L1231" s="4">
        <f t="shared" si="139"/>
        <v>0</v>
      </c>
    </row>
    <row r="1232" spans="1:12" x14ac:dyDescent="0.25">
      <c r="A1232" s="1">
        <v>42891</v>
      </c>
      <c r="B1232">
        <v>5368.6000979999999</v>
      </c>
      <c r="C1232">
        <v>5399.9501950000003</v>
      </c>
      <c r="D1232">
        <v>5341.7001950000003</v>
      </c>
      <c r="E1232">
        <v>5366.2998049999997</v>
      </c>
      <c r="F1232" s="4">
        <f t="shared" si="134"/>
        <v>5347.8999020000001</v>
      </c>
      <c r="G1232" s="4">
        <f t="shared" si="135"/>
        <v>5380.3500979999999</v>
      </c>
      <c r="H1232" s="4">
        <f t="shared" si="136"/>
        <v>0</v>
      </c>
      <c r="I1232" s="4">
        <f t="shared" si="133"/>
        <v>1</v>
      </c>
      <c r="J1232" s="11">
        <f t="shared" si="137"/>
        <v>0</v>
      </c>
      <c r="K1232" s="6">
        <f t="shared" si="138"/>
        <v>5199.7998049999997</v>
      </c>
      <c r="L1232" s="4">
        <f t="shared" si="139"/>
        <v>0</v>
      </c>
    </row>
    <row r="1233" spans="1:12" x14ac:dyDescent="0.25">
      <c r="A1233" s="1">
        <v>42892</v>
      </c>
      <c r="B1233">
        <v>5366.2998049999997</v>
      </c>
      <c r="C1233">
        <v>5366.2998049999997</v>
      </c>
      <c r="D1233">
        <v>5366.2998049999997</v>
      </c>
      <c r="E1233">
        <v>5366.2998049999997</v>
      </c>
      <c r="F1233" s="4">
        <f t="shared" si="134"/>
        <v>5362.9501950000003</v>
      </c>
      <c r="G1233" s="4">
        <f t="shared" si="135"/>
        <v>5380.3500979999999</v>
      </c>
      <c r="H1233" s="4">
        <f t="shared" si="136"/>
        <v>0</v>
      </c>
      <c r="I1233" s="4">
        <f t="shared" si="133"/>
        <v>1</v>
      </c>
      <c r="J1233" s="11">
        <f t="shared" si="137"/>
        <v>0</v>
      </c>
      <c r="K1233" s="6">
        <f t="shared" si="138"/>
        <v>5199.7998049999997</v>
      </c>
      <c r="L1233" s="4">
        <f t="shared" si="139"/>
        <v>0</v>
      </c>
    </row>
    <row r="1234" spans="1:12" x14ac:dyDescent="0.25">
      <c r="A1234" s="1">
        <v>42893</v>
      </c>
      <c r="B1234">
        <v>5368.7001950000003</v>
      </c>
      <c r="C1234">
        <v>5425.1499020000001</v>
      </c>
      <c r="D1234">
        <v>5368.7001950000003</v>
      </c>
      <c r="E1234">
        <v>5421</v>
      </c>
      <c r="F1234" s="4">
        <f t="shared" si="134"/>
        <v>5362.9501950000003</v>
      </c>
      <c r="G1234" s="4">
        <f t="shared" si="135"/>
        <v>5421</v>
      </c>
      <c r="H1234" s="4" t="str">
        <f t="shared" si="136"/>
        <v>BUY</v>
      </c>
      <c r="I1234" s="4">
        <f t="shared" si="133"/>
        <v>1</v>
      </c>
      <c r="J1234" s="11">
        <f t="shared" si="137"/>
        <v>0</v>
      </c>
      <c r="K1234" s="6">
        <f t="shared" si="138"/>
        <v>5199.7998049999997</v>
      </c>
      <c r="L1234" s="4">
        <f t="shared" si="139"/>
        <v>0</v>
      </c>
    </row>
    <row r="1235" spans="1:12" x14ac:dyDescent="0.25">
      <c r="A1235" s="1">
        <v>42894</v>
      </c>
      <c r="B1235">
        <v>5395.75</v>
      </c>
      <c r="C1235">
        <v>5433.3500979999999</v>
      </c>
      <c r="D1235">
        <v>5394.7998049999997</v>
      </c>
      <c r="E1235">
        <v>5412.8500979999999</v>
      </c>
      <c r="F1235" s="4">
        <f t="shared" si="134"/>
        <v>5362.9501950000003</v>
      </c>
      <c r="G1235" s="4">
        <f t="shared" si="135"/>
        <v>5421</v>
      </c>
      <c r="H1235" s="4">
        <f t="shared" si="136"/>
        <v>0</v>
      </c>
      <c r="I1235" s="4">
        <f t="shared" si="133"/>
        <v>1</v>
      </c>
      <c r="J1235" s="11">
        <f t="shared" si="137"/>
        <v>0</v>
      </c>
      <c r="K1235" s="6">
        <f t="shared" si="138"/>
        <v>5199.7998049999997</v>
      </c>
      <c r="L1235" s="4">
        <f t="shared" si="139"/>
        <v>0</v>
      </c>
    </row>
    <row r="1236" spans="1:12" x14ac:dyDescent="0.25">
      <c r="A1236" s="1">
        <v>42895</v>
      </c>
      <c r="B1236">
        <v>5426.1499020000001</v>
      </c>
      <c r="C1236">
        <v>5448.6000979999999</v>
      </c>
      <c r="D1236">
        <v>5393.8500979999999</v>
      </c>
      <c r="E1236">
        <v>5415.3500979999999</v>
      </c>
      <c r="F1236" s="4">
        <f t="shared" si="134"/>
        <v>5366.2998049999997</v>
      </c>
      <c r="G1236" s="4">
        <f t="shared" si="135"/>
        <v>5421</v>
      </c>
      <c r="H1236" s="4">
        <f t="shared" si="136"/>
        <v>0</v>
      </c>
      <c r="I1236" s="4">
        <f t="shared" si="133"/>
        <v>1</v>
      </c>
      <c r="J1236" s="11">
        <f t="shared" si="137"/>
        <v>0</v>
      </c>
      <c r="K1236" s="6">
        <f t="shared" si="138"/>
        <v>5199.7998049999997</v>
      </c>
      <c r="L1236" s="4">
        <f t="shared" si="139"/>
        <v>0</v>
      </c>
    </row>
    <row r="1237" spans="1:12" x14ac:dyDescent="0.25">
      <c r="A1237" s="1">
        <v>42898</v>
      </c>
      <c r="B1237">
        <v>5392.6000979999999</v>
      </c>
      <c r="C1237">
        <v>5399.6499020000001</v>
      </c>
      <c r="D1237">
        <v>5371</v>
      </c>
      <c r="E1237">
        <v>5386.7001950000003</v>
      </c>
      <c r="F1237" s="4">
        <f t="shared" si="134"/>
        <v>5366.2998049999997</v>
      </c>
      <c r="G1237" s="4">
        <f t="shared" si="135"/>
        <v>5421</v>
      </c>
      <c r="H1237" s="4">
        <f t="shared" si="136"/>
        <v>0</v>
      </c>
      <c r="I1237" s="4">
        <f t="shared" si="133"/>
        <v>1</v>
      </c>
      <c r="J1237" s="11">
        <f t="shared" si="137"/>
        <v>0</v>
      </c>
      <c r="K1237" s="6">
        <f t="shared" si="138"/>
        <v>5199.7998049999997</v>
      </c>
      <c r="L1237" s="4">
        <f t="shared" si="139"/>
        <v>0</v>
      </c>
    </row>
    <row r="1238" spans="1:12" x14ac:dyDescent="0.25">
      <c r="A1238" s="1">
        <v>42899</v>
      </c>
      <c r="B1238">
        <v>5387.8500979999999</v>
      </c>
      <c r="C1238">
        <v>5399.1499020000001</v>
      </c>
      <c r="D1238">
        <v>5346.6499020000001</v>
      </c>
      <c r="E1238">
        <v>5350.25</v>
      </c>
      <c r="F1238" s="4">
        <f t="shared" si="134"/>
        <v>5350.25</v>
      </c>
      <c r="G1238" s="4">
        <f t="shared" si="135"/>
        <v>5421</v>
      </c>
      <c r="H1238" s="4" t="str">
        <f t="shared" si="136"/>
        <v>SELL</v>
      </c>
      <c r="I1238" s="4">
        <f t="shared" si="133"/>
        <v>-1</v>
      </c>
      <c r="J1238" s="11" t="str">
        <f t="shared" si="137"/>
        <v>SELL</v>
      </c>
      <c r="K1238" s="6">
        <f t="shared" si="138"/>
        <v>5350.25</v>
      </c>
      <c r="L1238" s="4">
        <f t="shared" si="139"/>
        <v>2.8933843732855086E-2</v>
      </c>
    </row>
    <row r="1239" spans="1:12" x14ac:dyDescent="0.25">
      <c r="A1239" s="1">
        <v>42900</v>
      </c>
      <c r="B1239">
        <v>5343.8500979999999</v>
      </c>
      <c r="C1239">
        <v>5345.5</v>
      </c>
      <c r="D1239">
        <v>5282.7001950000003</v>
      </c>
      <c r="E1239">
        <v>5287.7998049999997</v>
      </c>
      <c r="F1239" s="4">
        <f t="shared" si="134"/>
        <v>5287.7998049999997</v>
      </c>
      <c r="G1239" s="4">
        <f t="shared" si="135"/>
        <v>5415.3500979999999</v>
      </c>
      <c r="H1239" s="4" t="str">
        <f t="shared" si="136"/>
        <v>SELL</v>
      </c>
      <c r="I1239" s="4">
        <f t="shared" si="133"/>
        <v>-1</v>
      </c>
      <c r="J1239" s="11">
        <f t="shared" si="137"/>
        <v>0</v>
      </c>
      <c r="K1239" s="6">
        <f t="shared" si="138"/>
        <v>5350.25</v>
      </c>
      <c r="L1239" s="4">
        <f t="shared" si="139"/>
        <v>0</v>
      </c>
    </row>
    <row r="1240" spans="1:12" x14ac:dyDescent="0.25">
      <c r="A1240" s="1">
        <v>42901</v>
      </c>
      <c r="B1240">
        <v>5268.6000979999999</v>
      </c>
      <c r="C1240">
        <v>5342.7998049999997</v>
      </c>
      <c r="D1240">
        <v>5255.0498049999997</v>
      </c>
      <c r="E1240">
        <v>5315.0498049999997</v>
      </c>
      <c r="F1240" s="4">
        <f t="shared" si="134"/>
        <v>5287.7998049999997</v>
      </c>
      <c r="G1240" s="4">
        <f t="shared" si="135"/>
        <v>5415.3500979999999</v>
      </c>
      <c r="H1240" s="4">
        <f t="shared" si="136"/>
        <v>0</v>
      </c>
      <c r="I1240" s="4">
        <f t="shared" si="133"/>
        <v>-1</v>
      </c>
      <c r="J1240" s="11">
        <f t="shared" si="137"/>
        <v>0</v>
      </c>
      <c r="K1240" s="6">
        <f t="shared" si="138"/>
        <v>5350.25</v>
      </c>
      <c r="L1240" s="4">
        <f t="shared" si="139"/>
        <v>0</v>
      </c>
    </row>
    <row r="1241" spans="1:12" x14ac:dyDescent="0.25">
      <c r="A1241" s="1">
        <v>42902</v>
      </c>
      <c r="B1241">
        <v>5298.2001950000003</v>
      </c>
      <c r="C1241">
        <v>5303.25</v>
      </c>
      <c r="D1241">
        <v>5238.8999020000001</v>
      </c>
      <c r="E1241">
        <v>5258.5</v>
      </c>
      <c r="F1241" s="4">
        <f t="shared" si="134"/>
        <v>5258.5</v>
      </c>
      <c r="G1241" s="4">
        <f t="shared" si="135"/>
        <v>5386.7001950000003</v>
      </c>
      <c r="H1241" s="4" t="str">
        <f t="shared" si="136"/>
        <v>SELL</v>
      </c>
      <c r="I1241" s="4">
        <f t="shared" si="133"/>
        <v>-1</v>
      </c>
      <c r="J1241" s="11">
        <f t="shared" si="137"/>
        <v>0</v>
      </c>
      <c r="K1241" s="6">
        <f t="shared" si="138"/>
        <v>5350.25</v>
      </c>
      <c r="L1241" s="4">
        <f t="shared" si="139"/>
        <v>0</v>
      </c>
    </row>
    <row r="1242" spans="1:12" x14ac:dyDescent="0.25">
      <c r="A1242" s="1">
        <v>42905</v>
      </c>
      <c r="B1242">
        <v>5276.5</v>
      </c>
      <c r="C1242">
        <v>5295.7998049999997</v>
      </c>
      <c r="D1242">
        <v>5243.1499020000001</v>
      </c>
      <c r="E1242">
        <v>5253.75</v>
      </c>
      <c r="F1242" s="4">
        <f t="shared" si="134"/>
        <v>5253.75</v>
      </c>
      <c r="G1242" s="4">
        <f t="shared" si="135"/>
        <v>5350.25</v>
      </c>
      <c r="H1242" s="4" t="str">
        <f t="shared" si="136"/>
        <v>SELL</v>
      </c>
      <c r="I1242" s="4">
        <f t="shared" si="133"/>
        <v>-1</v>
      </c>
      <c r="J1242" s="11">
        <f t="shared" si="137"/>
        <v>0</v>
      </c>
      <c r="K1242" s="6">
        <f t="shared" si="138"/>
        <v>5350.25</v>
      </c>
      <c r="L1242" s="4">
        <f t="shared" si="139"/>
        <v>0</v>
      </c>
    </row>
    <row r="1243" spans="1:12" x14ac:dyDescent="0.25">
      <c r="A1243" s="1">
        <v>42906</v>
      </c>
      <c r="B1243">
        <v>5249.1499020000001</v>
      </c>
      <c r="C1243">
        <v>5278.3500979999999</v>
      </c>
      <c r="D1243">
        <v>5233.2001950000003</v>
      </c>
      <c r="E1243">
        <v>5274</v>
      </c>
      <c r="F1243" s="4">
        <f t="shared" si="134"/>
        <v>5253.75</v>
      </c>
      <c r="G1243" s="4">
        <f t="shared" si="135"/>
        <v>5315.0498049999997</v>
      </c>
      <c r="H1243" s="4">
        <f t="shared" si="136"/>
        <v>0</v>
      </c>
      <c r="I1243" s="4">
        <f t="shared" si="133"/>
        <v>-1</v>
      </c>
      <c r="J1243" s="11">
        <f t="shared" si="137"/>
        <v>0</v>
      </c>
      <c r="K1243" s="6">
        <f t="shared" si="138"/>
        <v>5350.25</v>
      </c>
      <c r="L1243" s="4">
        <f t="shared" si="139"/>
        <v>0</v>
      </c>
    </row>
    <row r="1244" spans="1:12" x14ac:dyDescent="0.25">
      <c r="A1244" s="1">
        <v>42907</v>
      </c>
      <c r="B1244">
        <v>5243.8999020000001</v>
      </c>
      <c r="C1244">
        <v>5259.5</v>
      </c>
      <c r="D1244">
        <v>5215.7001950000003</v>
      </c>
      <c r="E1244">
        <v>5225.7001950000003</v>
      </c>
      <c r="F1244" s="4">
        <f t="shared" si="134"/>
        <v>5225.7001950000003</v>
      </c>
      <c r="G1244" s="4">
        <f t="shared" si="135"/>
        <v>5315.0498049999997</v>
      </c>
      <c r="H1244" s="4" t="str">
        <f t="shared" si="136"/>
        <v>SELL</v>
      </c>
      <c r="I1244" s="4">
        <f t="shared" si="133"/>
        <v>-1</v>
      </c>
      <c r="J1244" s="11">
        <f t="shared" si="137"/>
        <v>0</v>
      </c>
      <c r="K1244" s="6">
        <f t="shared" si="138"/>
        <v>5350.25</v>
      </c>
      <c r="L1244" s="4">
        <f t="shared" si="139"/>
        <v>0</v>
      </c>
    </row>
    <row r="1245" spans="1:12" x14ac:dyDescent="0.25">
      <c r="A1245" s="1">
        <v>42908</v>
      </c>
      <c r="B1245">
        <v>5217.6499020000001</v>
      </c>
      <c r="C1245">
        <v>5260.6000979999999</v>
      </c>
      <c r="D1245">
        <v>5217.6499020000001</v>
      </c>
      <c r="E1245">
        <v>5238.3999020000001</v>
      </c>
      <c r="F1245" s="4">
        <f t="shared" si="134"/>
        <v>5225.7001950000003</v>
      </c>
      <c r="G1245" s="4">
        <f t="shared" si="135"/>
        <v>5274</v>
      </c>
      <c r="H1245" s="4">
        <f t="shared" si="136"/>
        <v>0</v>
      </c>
      <c r="I1245" s="4">
        <f t="shared" si="133"/>
        <v>-1</v>
      </c>
      <c r="J1245" s="11">
        <f t="shared" si="137"/>
        <v>0</v>
      </c>
      <c r="K1245" s="6">
        <f t="shared" si="138"/>
        <v>5350.25</v>
      </c>
      <c r="L1245" s="4">
        <f t="shared" si="139"/>
        <v>0</v>
      </c>
    </row>
    <row r="1246" spans="1:12" x14ac:dyDescent="0.25">
      <c r="A1246" s="1">
        <v>42909</v>
      </c>
      <c r="B1246">
        <v>5309.4501950000003</v>
      </c>
      <c r="C1246">
        <v>5347.1499020000001</v>
      </c>
      <c r="D1246">
        <v>5309.2001950000003</v>
      </c>
      <c r="E1246">
        <v>5342.1000979999999</v>
      </c>
      <c r="F1246" s="4">
        <f t="shared" si="134"/>
        <v>5225.7001950000003</v>
      </c>
      <c r="G1246" s="4">
        <f t="shared" si="135"/>
        <v>5342.1000979999999</v>
      </c>
      <c r="H1246" s="4" t="str">
        <f t="shared" si="136"/>
        <v>BUY</v>
      </c>
      <c r="I1246" s="4">
        <f t="shared" si="133"/>
        <v>1</v>
      </c>
      <c r="J1246" s="11" t="str">
        <f t="shared" si="137"/>
        <v>BUY</v>
      </c>
      <c r="K1246" s="6">
        <f t="shared" si="138"/>
        <v>5342.1000979999999</v>
      </c>
      <c r="L1246" s="4">
        <f t="shared" si="139"/>
        <v>1.523274987150154E-3</v>
      </c>
    </row>
    <row r="1247" spans="1:12" x14ac:dyDescent="0.25">
      <c r="A1247" s="1">
        <v>42912</v>
      </c>
      <c r="B1247">
        <v>5361.8999020000001</v>
      </c>
      <c r="C1247">
        <v>5375.4501950000003</v>
      </c>
      <c r="D1247">
        <v>5349.1000979999999</v>
      </c>
      <c r="E1247">
        <v>5363.4501950000003</v>
      </c>
      <c r="F1247" s="4">
        <f t="shared" si="134"/>
        <v>5225.7001950000003</v>
      </c>
      <c r="G1247" s="4">
        <f t="shared" si="135"/>
        <v>5363.4501950000003</v>
      </c>
      <c r="H1247" s="4" t="str">
        <f t="shared" si="136"/>
        <v>BUY</v>
      </c>
      <c r="I1247" s="4">
        <f t="shared" si="133"/>
        <v>1</v>
      </c>
      <c r="J1247" s="11">
        <f t="shared" si="137"/>
        <v>0</v>
      </c>
      <c r="K1247" s="6">
        <f t="shared" si="138"/>
        <v>5342.1000979999999</v>
      </c>
      <c r="L1247" s="4">
        <f t="shared" si="139"/>
        <v>0</v>
      </c>
    </row>
    <row r="1248" spans="1:12" x14ac:dyDescent="0.25">
      <c r="A1248" s="1">
        <v>42913</v>
      </c>
      <c r="B1248">
        <v>5336.1000979999999</v>
      </c>
      <c r="C1248">
        <v>5393.3500979999999</v>
      </c>
      <c r="D1248">
        <v>5332.1000979999999</v>
      </c>
      <c r="E1248">
        <v>5390</v>
      </c>
      <c r="F1248" s="4">
        <f t="shared" si="134"/>
        <v>5225.7001950000003</v>
      </c>
      <c r="G1248" s="4">
        <f t="shared" si="135"/>
        <v>5390</v>
      </c>
      <c r="H1248" s="4" t="str">
        <f t="shared" si="136"/>
        <v>BUY</v>
      </c>
      <c r="I1248" s="4">
        <f t="shared" si="133"/>
        <v>1</v>
      </c>
      <c r="J1248" s="11">
        <f t="shared" si="137"/>
        <v>0</v>
      </c>
      <c r="K1248" s="6">
        <f t="shared" si="138"/>
        <v>5342.1000979999999</v>
      </c>
      <c r="L1248" s="4">
        <f t="shared" si="139"/>
        <v>0</v>
      </c>
    </row>
    <row r="1249" spans="1:12" x14ac:dyDescent="0.25">
      <c r="A1249" s="1">
        <v>42914</v>
      </c>
      <c r="B1249">
        <v>5404.4501950000003</v>
      </c>
      <c r="C1249">
        <v>5435.5498049999997</v>
      </c>
      <c r="D1249">
        <v>5393.9501950000003</v>
      </c>
      <c r="E1249">
        <v>5431</v>
      </c>
      <c r="F1249" s="4">
        <f t="shared" si="134"/>
        <v>5238.3999020000001</v>
      </c>
      <c r="G1249" s="4">
        <f t="shared" si="135"/>
        <v>5431</v>
      </c>
      <c r="H1249" s="4" t="str">
        <f t="shared" si="136"/>
        <v>BUY</v>
      </c>
      <c r="I1249" s="4">
        <f t="shared" si="133"/>
        <v>1</v>
      </c>
      <c r="J1249" s="11">
        <f t="shared" si="137"/>
        <v>0</v>
      </c>
      <c r="K1249" s="6">
        <f t="shared" si="138"/>
        <v>5342.1000979999999</v>
      </c>
      <c r="L1249" s="4">
        <f t="shared" si="139"/>
        <v>0</v>
      </c>
    </row>
    <row r="1250" spans="1:12" x14ac:dyDescent="0.25">
      <c r="A1250" s="1">
        <v>42915</v>
      </c>
      <c r="B1250">
        <v>5435.2001950000003</v>
      </c>
      <c r="C1250">
        <v>5447.4501950000003</v>
      </c>
      <c r="D1250">
        <v>5421.8500979999999</v>
      </c>
      <c r="E1250">
        <v>5435.3500979999999</v>
      </c>
      <c r="F1250" s="4">
        <f t="shared" si="134"/>
        <v>5342.1000979999999</v>
      </c>
      <c r="G1250" s="4">
        <f t="shared" si="135"/>
        <v>5435.3500979999999</v>
      </c>
      <c r="H1250" s="4" t="str">
        <f t="shared" si="136"/>
        <v>BUY</v>
      </c>
      <c r="I1250" s="4">
        <f t="shared" si="133"/>
        <v>1</v>
      </c>
      <c r="J1250" s="11">
        <f t="shared" si="137"/>
        <v>0</v>
      </c>
      <c r="K1250" s="6">
        <f t="shared" si="138"/>
        <v>5342.1000979999999</v>
      </c>
      <c r="L1250" s="4">
        <f t="shared" si="139"/>
        <v>0</v>
      </c>
    </row>
    <row r="1251" spans="1:12" x14ac:dyDescent="0.25">
      <c r="A1251" s="1">
        <v>42916</v>
      </c>
      <c r="B1251">
        <v>5528.3500979999999</v>
      </c>
      <c r="C1251">
        <v>5586.6499020000001</v>
      </c>
      <c r="D1251">
        <v>5526.9501950000003</v>
      </c>
      <c r="E1251">
        <v>5577.6499020000001</v>
      </c>
      <c r="F1251" s="4">
        <f t="shared" si="134"/>
        <v>5363.4501950000003</v>
      </c>
      <c r="G1251" s="4">
        <f t="shared" si="135"/>
        <v>5577.6499020000001</v>
      </c>
      <c r="H1251" s="4" t="str">
        <f t="shared" si="136"/>
        <v>BUY</v>
      </c>
      <c r="I1251" s="4">
        <f t="shared" si="133"/>
        <v>1</v>
      </c>
      <c r="J1251" s="11">
        <f t="shared" si="137"/>
        <v>0</v>
      </c>
      <c r="K1251" s="6">
        <f t="shared" si="138"/>
        <v>5342.1000979999999</v>
      </c>
      <c r="L1251" s="4">
        <f t="shared" si="139"/>
        <v>0</v>
      </c>
    </row>
    <row r="1252" spans="1:12" x14ac:dyDescent="0.25">
      <c r="A1252" s="1">
        <v>42919</v>
      </c>
      <c r="B1252">
        <v>5631.75</v>
      </c>
      <c r="C1252">
        <v>5652.2001950000003</v>
      </c>
      <c r="D1252">
        <v>5585.1499020000001</v>
      </c>
      <c r="E1252">
        <v>5610</v>
      </c>
      <c r="F1252" s="4">
        <f t="shared" si="134"/>
        <v>5390</v>
      </c>
      <c r="G1252" s="4">
        <f t="shared" si="135"/>
        <v>5610</v>
      </c>
      <c r="H1252" s="4" t="str">
        <f t="shared" si="136"/>
        <v>BUY</v>
      </c>
      <c r="I1252" s="4">
        <f t="shared" si="133"/>
        <v>1</v>
      </c>
      <c r="J1252" s="11">
        <f t="shared" si="137"/>
        <v>0</v>
      </c>
      <c r="K1252" s="6">
        <f t="shared" si="138"/>
        <v>5342.1000979999999</v>
      </c>
      <c r="L1252" s="4">
        <f t="shared" si="139"/>
        <v>0</v>
      </c>
    </row>
    <row r="1253" spans="1:12" x14ac:dyDescent="0.25">
      <c r="A1253" s="1">
        <v>42920</v>
      </c>
      <c r="B1253">
        <v>5602.3999020000001</v>
      </c>
      <c r="C1253">
        <v>5620.5498049999997</v>
      </c>
      <c r="D1253">
        <v>5586.4501950000003</v>
      </c>
      <c r="E1253">
        <v>5600.0498049999997</v>
      </c>
      <c r="F1253" s="4">
        <f t="shared" si="134"/>
        <v>5431</v>
      </c>
      <c r="G1253" s="4">
        <f t="shared" si="135"/>
        <v>5610</v>
      </c>
      <c r="H1253" s="4">
        <f t="shared" si="136"/>
        <v>0</v>
      </c>
      <c r="I1253" s="4">
        <f t="shared" si="133"/>
        <v>1</v>
      </c>
      <c r="J1253" s="11">
        <f t="shared" si="137"/>
        <v>0</v>
      </c>
      <c r="K1253" s="6">
        <f t="shared" si="138"/>
        <v>5342.1000979999999</v>
      </c>
      <c r="L1253" s="4">
        <f t="shared" si="139"/>
        <v>0</v>
      </c>
    </row>
    <row r="1254" spans="1:12" x14ac:dyDescent="0.25">
      <c r="A1254" s="1">
        <v>42921</v>
      </c>
      <c r="B1254">
        <v>5600.0498049999997</v>
      </c>
      <c r="C1254">
        <v>5600.0498049999997</v>
      </c>
      <c r="D1254">
        <v>5600.0498049999997</v>
      </c>
      <c r="E1254">
        <v>5600.0498049999997</v>
      </c>
      <c r="F1254" s="4">
        <f t="shared" si="134"/>
        <v>5435.3500979999999</v>
      </c>
      <c r="G1254" s="4">
        <f t="shared" si="135"/>
        <v>5610</v>
      </c>
      <c r="H1254" s="4">
        <f t="shared" si="136"/>
        <v>0</v>
      </c>
      <c r="I1254" s="4">
        <f t="shared" si="133"/>
        <v>1</v>
      </c>
      <c r="J1254" s="11">
        <f t="shared" si="137"/>
        <v>0</v>
      </c>
      <c r="K1254" s="6">
        <f t="shared" si="138"/>
        <v>5342.1000979999999</v>
      </c>
      <c r="L1254" s="4">
        <f t="shared" si="139"/>
        <v>0</v>
      </c>
    </row>
    <row r="1255" spans="1:12" x14ac:dyDescent="0.25">
      <c r="A1255" s="1">
        <v>42922</v>
      </c>
      <c r="B1255">
        <v>5536.9501950000003</v>
      </c>
      <c r="C1255">
        <v>5581.3500979999999</v>
      </c>
      <c r="D1255">
        <v>5534.8999020000001</v>
      </c>
      <c r="E1255">
        <v>5554.25</v>
      </c>
      <c r="F1255" s="4">
        <f t="shared" si="134"/>
        <v>5554.25</v>
      </c>
      <c r="G1255" s="4">
        <f t="shared" si="135"/>
        <v>5610</v>
      </c>
      <c r="H1255" s="4">
        <f t="shared" si="136"/>
        <v>0</v>
      </c>
      <c r="I1255" s="4">
        <f t="shared" si="133"/>
        <v>1</v>
      </c>
      <c r="J1255" s="11">
        <f t="shared" si="137"/>
        <v>0</v>
      </c>
      <c r="K1255" s="6">
        <f t="shared" si="138"/>
        <v>5342.1000979999999</v>
      </c>
      <c r="L1255" s="4">
        <f t="shared" si="139"/>
        <v>0</v>
      </c>
    </row>
    <row r="1256" spans="1:12" x14ac:dyDescent="0.25">
      <c r="A1256" s="1">
        <v>42923</v>
      </c>
      <c r="B1256">
        <v>5577</v>
      </c>
      <c r="C1256">
        <v>5720</v>
      </c>
      <c r="D1256">
        <v>5575.4501950000003</v>
      </c>
      <c r="E1256">
        <v>5691.1499020000001</v>
      </c>
      <c r="F1256" s="4">
        <f t="shared" si="134"/>
        <v>5554.25</v>
      </c>
      <c r="G1256" s="4">
        <f t="shared" si="135"/>
        <v>5691.1499020000001</v>
      </c>
      <c r="H1256" s="4" t="str">
        <f t="shared" si="136"/>
        <v>BUY</v>
      </c>
      <c r="I1256" s="4">
        <f t="shared" si="133"/>
        <v>1</v>
      </c>
      <c r="J1256" s="11">
        <f t="shared" si="137"/>
        <v>0</v>
      </c>
      <c r="K1256" s="6">
        <f t="shared" si="138"/>
        <v>5342.1000979999999</v>
      </c>
      <c r="L1256" s="4">
        <f t="shared" si="139"/>
        <v>0</v>
      </c>
    </row>
    <row r="1257" spans="1:12" x14ac:dyDescent="0.25">
      <c r="A1257" s="1">
        <v>42926</v>
      </c>
      <c r="B1257">
        <v>5691.9501950000003</v>
      </c>
      <c r="C1257">
        <v>5709.8500979999999</v>
      </c>
      <c r="D1257">
        <v>5662.75</v>
      </c>
      <c r="E1257">
        <v>5669.6000979999999</v>
      </c>
      <c r="F1257" s="4">
        <f t="shared" si="134"/>
        <v>5554.25</v>
      </c>
      <c r="G1257" s="4">
        <f t="shared" si="135"/>
        <v>5691.1499020000001</v>
      </c>
      <c r="H1257" s="4">
        <f t="shared" si="136"/>
        <v>0</v>
      </c>
      <c r="I1257" s="4">
        <f t="shared" si="133"/>
        <v>1</v>
      </c>
      <c r="J1257" s="11">
        <f t="shared" si="137"/>
        <v>0</v>
      </c>
      <c r="K1257" s="6">
        <f t="shared" si="138"/>
        <v>5342.1000979999999</v>
      </c>
      <c r="L1257" s="4">
        <f t="shared" si="139"/>
        <v>0</v>
      </c>
    </row>
    <row r="1258" spans="1:12" x14ac:dyDescent="0.25">
      <c r="A1258" s="1">
        <v>42927</v>
      </c>
      <c r="B1258">
        <v>5674.8999020000001</v>
      </c>
      <c r="C1258">
        <v>5702.7001950000003</v>
      </c>
      <c r="D1258">
        <v>5652.4501950000003</v>
      </c>
      <c r="E1258">
        <v>5673.8999020000001</v>
      </c>
      <c r="F1258" s="4">
        <f t="shared" si="134"/>
        <v>5554.25</v>
      </c>
      <c r="G1258" s="4">
        <f t="shared" si="135"/>
        <v>5691.1499020000001</v>
      </c>
      <c r="H1258" s="4">
        <f t="shared" si="136"/>
        <v>0</v>
      </c>
      <c r="I1258" s="4">
        <f t="shared" si="133"/>
        <v>1</v>
      </c>
      <c r="J1258" s="11">
        <f t="shared" si="137"/>
        <v>0</v>
      </c>
      <c r="K1258" s="6">
        <f t="shared" si="138"/>
        <v>5342.1000979999999</v>
      </c>
      <c r="L1258" s="4">
        <f t="shared" si="139"/>
        <v>0</v>
      </c>
    </row>
    <row r="1259" spans="1:12" x14ac:dyDescent="0.25">
      <c r="A1259" s="1">
        <v>42928</v>
      </c>
      <c r="B1259">
        <v>5653.3999020000001</v>
      </c>
      <c r="C1259">
        <v>5672.7998049999997</v>
      </c>
      <c r="D1259">
        <v>5638.6499020000001</v>
      </c>
      <c r="E1259">
        <v>5663.4501950000003</v>
      </c>
      <c r="F1259" s="4">
        <f t="shared" si="134"/>
        <v>5554.25</v>
      </c>
      <c r="G1259" s="4">
        <f t="shared" si="135"/>
        <v>5691.1499020000001</v>
      </c>
      <c r="H1259" s="4">
        <f t="shared" si="136"/>
        <v>0</v>
      </c>
      <c r="I1259" s="4">
        <f t="shared" si="133"/>
        <v>1</v>
      </c>
      <c r="J1259" s="11">
        <f t="shared" si="137"/>
        <v>0</v>
      </c>
      <c r="K1259" s="6">
        <f t="shared" si="138"/>
        <v>5342.1000979999999</v>
      </c>
      <c r="L1259" s="4">
        <f t="shared" si="139"/>
        <v>0</v>
      </c>
    </row>
    <row r="1260" spans="1:12" x14ac:dyDescent="0.25">
      <c r="A1260" s="1">
        <v>42929</v>
      </c>
      <c r="B1260">
        <v>5673.75</v>
      </c>
      <c r="C1260">
        <v>5693.7001950000003</v>
      </c>
      <c r="D1260">
        <v>5639.7001950000003</v>
      </c>
      <c r="E1260">
        <v>5649.5</v>
      </c>
      <c r="F1260" s="4">
        <f t="shared" si="134"/>
        <v>5649.5</v>
      </c>
      <c r="G1260" s="4">
        <f t="shared" si="135"/>
        <v>5691.1499020000001</v>
      </c>
      <c r="H1260" s="4">
        <f t="shared" si="136"/>
        <v>0</v>
      </c>
      <c r="I1260" s="4">
        <f t="shared" si="133"/>
        <v>1</v>
      </c>
      <c r="J1260" s="11">
        <f t="shared" si="137"/>
        <v>0</v>
      </c>
      <c r="K1260" s="6">
        <f t="shared" si="138"/>
        <v>5342.1000979999999</v>
      </c>
      <c r="L1260" s="4">
        <f t="shared" si="139"/>
        <v>0</v>
      </c>
    </row>
    <row r="1261" spans="1:12" x14ac:dyDescent="0.25">
      <c r="A1261" s="1">
        <v>42930</v>
      </c>
      <c r="B1261">
        <v>5684.7998049999997</v>
      </c>
      <c r="C1261">
        <v>5735.1499020000001</v>
      </c>
      <c r="D1261">
        <v>5683.4501950000003</v>
      </c>
      <c r="E1261">
        <v>5703.2998049999997</v>
      </c>
      <c r="F1261" s="4">
        <f t="shared" si="134"/>
        <v>5649.5</v>
      </c>
      <c r="G1261" s="4">
        <f t="shared" si="135"/>
        <v>5703.2998049999997</v>
      </c>
      <c r="H1261" s="4" t="str">
        <f t="shared" si="136"/>
        <v>BUY</v>
      </c>
      <c r="I1261" s="4">
        <f t="shared" si="133"/>
        <v>1</v>
      </c>
      <c r="J1261" s="11">
        <f t="shared" si="137"/>
        <v>0</v>
      </c>
      <c r="K1261" s="6">
        <f t="shared" si="138"/>
        <v>5342.1000979999999</v>
      </c>
      <c r="L1261" s="4">
        <f t="shared" si="139"/>
        <v>0</v>
      </c>
    </row>
    <row r="1262" spans="1:12" x14ac:dyDescent="0.25">
      <c r="A1262" s="1">
        <v>42933</v>
      </c>
      <c r="B1262">
        <v>5704.75</v>
      </c>
      <c r="C1262">
        <v>5722.9501950000003</v>
      </c>
      <c r="D1262">
        <v>5694</v>
      </c>
      <c r="E1262">
        <v>5718.7998049999997</v>
      </c>
      <c r="F1262" s="4">
        <f t="shared" si="134"/>
        <v>5649.5</v>
      </c>
      <c r="G1262" s="4">
        <f t="shared" si="135"/>
        <v>5718.7998049999997</v>
      </c>
      <c r="H1262" s="4" t="str">
        <f t="shared" si="136"/>
        <v>BUY</v>
      </c>
      <c r="I1262" s="4">
        <f t="shared" si="133"/>
        <v>1</v>
      </c>
      <c r="J1262" s="11">
        <f t="shared" si="137"/>
        <v>0</v>
      </c>
      <c r="K1262" s="6">
        <f t="shared" si="138"/>
        <v>5342.1000979999999</v>
      </c>
      <c r="L1262" s="4">
        <f t="shared" si="139"/>
        <v>0</v>
      </c>
    </row>
    <row r="1263" spans="1:12" x14ac:dyDescent="0.25">
      <c r="A1263" s="1">
        <v>42934</v>
      </c>
      <c r="B1263">
        <v>5718.7998049999997</v>
      </c>
      <c r="C1263">
        <v>5718.7998049999997</v>
      </c>
      <c r="D1263">
        <v>5718.7998049999997</v>
      </c>
      <c r="E1263">
        <v>5718.7998049999997</v>
      </c>
      <c r="F1263" s="4">
        <f t="shared" si="134"/>
        <v>5649.5</v>
      </c>
      <c r="G1263" s="4">
        <f t="shared" si="135"/>
        <v>5718.7998049999997</v>
      </c>
      <c r="H1263" s="4">
        <f t="shared" si="136"/>
        <v>0</v>
      </c>
      <c r="I1263" s="4">
        <f t="shared" si="133"/>
        <v>1</v>
      </c>
      <c r="J1263" s="11">
        <f t="shared" si="137"/>
        <v>0</v>
      </c>
      <c r="K1263" s="6">
        <f t="shared" si="138"/>
        <v>5342.1000979999999</v>
      </c>
      <c r="L1263" s="4">
        <f t="shared" si="139"/>
        <v>0</v>
      </c>
    </row>
    <row r="1264" spans="1:12" x14ac:dyDescent="0.25">
      <c r="A1264" s="1">
        <v>42935</v>
      </c>
      <c r="B1264">
        <v>5727.7001950000003</v>
      </c>
      <c r="C1264">
        <v>5743.25</v>
      </c>
      <c r="D1264">
        <v>5715.7998049999997</v>
      </c>
      <c r="E1264">
        <v>5731.25</v>
      </c>
      <c r="F1264" s="4">
        <f t="shared" si="134"/>
        <v>5649.5</v>
      </c>
      <c r="G1264" s="4">
        <f t="shared" si="135"/>
        <v>5731.25</v>
      </c>
      <c r="H1264" s="4" t="str">
        <f t="shared" si="136"/>
        <v>BUY</v>
      </c>
      <c r="I1264" s="4">
        <f t="shared" si="133"/>
        <v>1</v>
      </c>
      <c r="J1264" s="11">
        <f t="shared" si="137"/>
        <v>0</v>
      </c>
      <c r="K1264" s="6">
        <f t="shared" si="138"/>
        <v>5342.1000979999999</v>
      </c>
      <c r="L1264" s="4">
        <f t="shared" si="139"/>
        <v>0</v>
      </c>
    </row>
    <row r="1265" spans="1:12" x14ac:dyDescent="0.25">
      <c r="A1265" s="1">
        <v>42936</v>
      </c>
      <c r="B1265">
        <v>5751.5498049999997</v>
      </c>
      <c r="C1265">
        <v>5807.25</v>
      </c>
      <c r="D1265">
        <v>5751.3500979999999</v>
      </c>
      <c r="E1265">
        <v>5787.6000979999999</v>
      </c>
      <c r="F1265" s="4">
        <f t="shared" si="134"/>
        <v>5703.2998049999997</v>
      </c>
      <c r="G1265" s="4">
        <f t="shared" si="135"/>
        <v>5787.6000979999999</v>
      </c>
      <c r="H1265" s="4" t="str">
        <f t="shared" si="136"/>
        <v>BUY</v>
      </c>
      <c r="I1265" s="4">
        <f t="shared" si="133"/>
        <v>1</v>
      </c>
      <c r="J1265" s="11">
        <f t="shared" si="137"/>
        <v>0</v>
      </c>
      <c r="K1265" s="6">
        <f t="shared" si="138"/>
        <v>5342.1000979999999</v>
      </c>
      <c r="L1265" s="4">
        <f t="shared" si="139"/>
        <v>0</v>
      </c>
    </row>
    <row r="1266" spans="1:12" x14ac:dyDescent="0.25">
      <c r="A1266" s="1">
        <v>42937</v>
      </c>
      <c r="B1266">
        <v>5815</v>
      </c>
      <c r="C1266">
        <v>5815.3500979999999</v>
      </c>
      <c r="D1266">
        <v>4888.2001950000003</v>
      </c>
      <c r="E1266">
        <v>5746.9501950000003</v>
      </c>
      <c r="F1266" s="4">
        <f t="shared" si="134"/>
        <v>5718.7998049999997</v>
      </c>
      <c r="G1266" s="4">
        <f t="shared" si="135"/>
        <v>5787.6000979999999</v>
      </c>
      <c r="H1266" s="4">
        <f t="shared" si="136"/>
        <v>0</v>
      </c>
      <c r="I1266" s="4">
        <f t="shared" si="133"/>
        <v>1</v>
      </c>
      <c r="J1266" s="11">
        <f t="shared" si="137"/>
        <v>0</v>
      </c>
      <c r="K1266" s="6">
        <f t="shared" si="138"/>
        <v>5342.1000979999999</v>
      </c>
      <c r="L1266" s="4">
        <f t="shared" si="139"/>
        <v>0</v>
      </c>
    </row>
    <row r="1267" spans="1:12" x14ac:dyDescent="0.25">
      <c r="A1267" s="1">
        <v>42940</v>
      </c>
      <c r="B1267">
        <v>5751.8500979999999</v>
      </c>
      <c r="C1267">
        <v>5751.8500979999999</v>
      </c>
      <c r="D1267">
        <v>5666.2001950000003</v>
      </c>
      <c r="E1267">
        <v>5676</v>
      </c>
      <c r="F1267" s="4">
        <f t="shared" si="134"/>
        <v>5676</v>
      </c>
      <c r="G1267" s="4">
        <f t="shared" si="135"/>
        <v>5787.6000979999999</v>
      </c>
      <c r="H1267" s="4" t="str">
        <f t="shared" si="136"/>
        <v>SELL</v>
      </c>
      <c r="I1267" s="4">
        <f t="shared" si="133"/>
        <v>-1</v>
      </c>
      <c r="J1267" s="11" t="str">
        <f t="shared" si="137"/>
        <v>SELL</v>
      </c>
      <c r="K1267" s="6">
        <f t="shared" si="138"/>
        <v>5676</v>
      </c>
      <c r="L1267" s="4">
        <f t="shared" si="139"/>
        <v>6.2503490364212211E-2</v>
      </c>
    </row>
    <row r="1268" spans="1:12" x14ac:dyDescent="0.25">
      <c r="A1268" s="1">
        <v>42941</v>
      </c>
      <c r="B1268">
        <v>5708.1499020000001</v>
      </c>
      <c r="C1268">
        <v>5728.6499020000001</v>
      </c>
      <c r="D1268">
        <v>5677.8999020000001</v>
      </c>
      <c r="E1268">
        <v>5704.6000979999999</v>
      </c>
      <c r="F1268" s="4">
        <f t="shared" si="134"/>
        <v>5676</v>
      </c>
      <c r="G1268" s="4">
        <f t="shared" si="135"/>
        <v>5787.6000979999999</v>
      </c>
      <c r="H1268" s="4">
        <f t="shared" si="136"/>
        <v>0</v>
      </c>
      <c r="I1268" s="4">
        <f t="shared" si="133"/>
        <v>-1</v>
      </c>
      <c r="J1268" s="11">
        <f t="shared" si="137"/>
        <v>0</v>
      </c>
      <c r="K1268" s="6">
        <f t="shared" si="138"/>
        <v>5676</v>
      </c>
      <c r="L1268" s="4">
        <f t="shared" si="139"/>
        <v>0</v>
      </c>
    </row>
    <row r="1269" spans="1:12" x14ac:dyDescent="0.25">
      <c r="A1269" s="1">
        <v>42942</v>
      </c>
      <c r="B1269">
        <v>5671.1499020000001</v>
      </c>
      <c r="C1269">
        <v>5686.5</v>
      </c>
      <c r="D1269">
        <v>5647.0498049999997</v>
      </c>
      <c r="E1269">
        <v>5652.1499020000001</v>
      </c>
      <c r="F1269" s="4">
        <f t="shared" si="134"/>
        <v>5652.1499020000001</v>
      </c>
      <c r="G1269" s="4">
        <f t="shared" si="135"/>
        <v>5787.6000979999999</v>
      </c>
      <c r="H1269" s="4" t="str">
        <f t="shared" si="136"/>
        <v>SELL</v>
      </c>
      <c r="I1269" s="4">
        <f t="shared" si="133"/>
        <v>-1</v>
      </c>
      <c r="J1269" s="11">
        <f t="shared" si="137"/>
        <v>0</v>
      </c>
      <c r="K1269" s="6">
        <f t="shared" si="138"/>
        <v>5676</v>
      </c>
      <c r="L1269" s="4">
        <f t="shared" si="139"/>
        <v>0</v>
      </c>
    </row>
    <row r="1270" spans="1:12" x14ac:dyDescent="0.25">
      <c r="A1270" s="1">
        <v>42943</v>
      </c>
      <c r="B1270">
        <v>5663.5</v>
      </c>
      <c r="C1270">
        <v>5721.1000979999999</v>
      </c>
      <c r="D1270">
        <v>5636.9501950000003</v>
      </c>
      <c r="E1270">
        <v>5708.0498049999997</v>
      </c>
      <c r="F1270" s="4">
        <f t="shared" si="134"/>
        <v>5652.1499020000001</v>
      </c>
      <c r="G1270" s="4">
        <f t="shared" si="135"/>
        <v>5746.9501950000003</v>
      </c>
      <c r="H1270" s="4">
        <f t="shared" si="136"/>
        <v>0</v>
      </c>
      <c r="I1270" s="4">
        <f t="shared" si="133"/>
        <v>-1</v>
      </c>
      <c r="J1270" s="11">
        <f t="shared" si="137"/>
        <v>0</v>
      </c>
      <c r="K1270" s="6">
        <f t="shared" si="138"/>
        <v>5676</v>
      </c>
      <c r="L1270" s="4">
        <f t="shared" si="139"/>
        <v>0</v>
      </c>
    </row>
    <row r="1271" spans="1:12" x14ac:dyDescent="0.25">
      <c r="A1271" s="1">
        <v>42944</v>
      </c>
      <c r="B1271">
        <v>5681.7001950000003</v>
      </c>
      <c r="C1271">
        <v>5725</v>
      </c>
      <c r="D1271">
        <v>5659.3500979999999</v>
      </c>
      <c r="E1271">
        <v>5676.0498049999997</v>
      </c>
      <c r="F1271" s="4">
        <f t="shared" si="134"/>
        <v>5652.1499020000001</v>
      </c>
      <c r="G1271" s="4">
        <f t="shared" si="135"/>
        <v>5708.0498049999997</v>
      </c>
      <c r="H1271" s="4">
        <f t="shared" si="136"/>
        <v>0</v>
      </c>
      <c r="I1271" s="4">
        <f t="shared" si="133"/>
        <v>-1</v>
      </c>
      <c r="J1271" s="11">
        <f t="shared" si="137"/>
        <v>0</v>
      </c>
      <c r="K1271" s="6">
        <f t="shared" si="138"/>
        <v>5676</v>
      </c>
      <c r="L1271" s="4">
        <f t="shared" si="139"/>
        <v>0</v>
      </c>
    </row>
    <row r="1272" spans="1:12" x14ac:dyDescent="0.25">
      <c r="A1272" s="1">
        <v>42947</v>
      </c>
      <c r="B1272">
        <v>5674.25</v>
      </c>
      <c r="C1272">
        <v>5693.7001950000003</v>
      </c>
      <c r="D1272">
        <v>5651.0498049999997</v>
      </c>
      <c r="E1272">
        <v>5687.25</v>
      </c>
      <c r="F1272" s="4">
        <f t="shared" si="134"/>
        <v>5652.1499020000001</v>
      </c>
      <c r="G1272" s="4">
        <f t="shared" si="135"/>
        <v>5708.0498049999997</v>
      </c>
      <c r="H1272" s="4">
        <f t="shared" si="136"/>
        <v>0</v>
      </c>
      <c r="I1272" s="4">
        <f t="shared" si="133"/>
        <v>-1</v>
      </c>
      <c r="J1272" s="11">
        <f t="shared" si="137"/>
        <v>0</v>
      </c>
      <c r="K1272" s="6">
        <f t="shared" si="138"/>
        <v>5676</v>
      </c>
      <c r="L1272" s="4">
        <f t="shared" si="139"/>
        <v>0</v>
      </c>
    </row>
    <row r="1273" spans="1:12" x14ac:dyDescent="0.25">
      <c r="A1273" s="1">
        <v>42948</v>
      </c>
      <c r="B1273">
        <v>5705.6000979999999</v>
      </c>
      <c r="C1273">
        <v>5714</v>
      </c>
      <c r="D1273">
        <v>5635.6000979999999</v>
      </c>
      <c r="E1273">
        <v>5648</v>
      </c>
      <c r="F1273" s="4">
        <f t="shared" si="134"/>
        <v>5648</v>
      </c>
      <c r="G1273" s="4">
        <f t="shared" si="135"/>
        <v>5708.0498049999997</v>
      </c>
      <c r="H1273" s="4" t="str">
        <f t="shared" si="136"/>
        <v>SELL</v>
      </c>
      <c r="I1273" s="4">
        <f t="shared" si="133"/>
        <v>-1</v>
      </c>
      <c r="J1273" s="11">
        <f t="shared" si="137"/>
        <v>0</v>
      </c>
      <c r="K1273" s="6">
        <f t="shared" si="138"/>
        <v>5676</v>
      </c>
      <c r="L1273" s="4">
        <f t="shared" si="139"/>
        <v>0</v>
      </c>
    </row>
    <row r="1274" spans="1:12" x14ac:dyDescent="0.25">
      <c r="A1274" s="1">
        <v>42949</v>
      </c>
      <c r="B1274">
        <v>5681.1000979999999</v>
      </c>
      <c r="C1274">
        <v>5684.3500979999999</v>
      </c>
      <c r="D1274">
        <v>5633.8999020000001</v>
      </c>
      <c r="E1274">
        <v>5660.25</v>
      </c>
      <c r="F1274" s="4">
        <f t="shared" si="134"/>
        <v>5648</v>
      </c>
      <c r="G1274" s="4">
        <f t="shared" si="135"/>
        <v>5708.0498049999997</v>
      </c>
      <c r="H1274" s="4">
        <f t="shared" si="136"/>
        <v>0</v>
      </c>
      <c r="I1274" s="4">
        <f t="shared" si="133"/>
        <v>-1</v>
      </c>
      <c r="J1274" s="11">
        <f t="shared" si="137"/>
        <v>0</v>
      </c>
      <c r="K1274" s="6">
        <f t="shared" si="138"/>
        <v>5676</v>
      </c>
      <c r="L1274" s="4">
        <f t="shared" si="139"/>
        <v>0</v>
      </c>
    </row>
    <row r="1275" spans="1:12" x14ac:dyDescent="0.25">
      <c r="A1275" s="1">
        <v>42950</v>
      </c>
      <c r="B1275">
        <v>5675.2998049999997</v>
      </c>
      <c r="C1275">
        <v>5722.5</v>
      </c>
      <c r="D1275">
        <v>5650.5498049999997</v>
      </c>
      <c r="E1275">
        <v>5718.7001950000003</v>
      </c>
      <c r="F1275" s="4">
        <f t="shared" si="134"/>
        <v>5648</v>
      </c>
      <c r="G1275" s="4">
        <f t="shared" si="135"/>
        <v>5718.7001950000003</v>
      </c>
      <c r="H1275" s="4" t="str">
        <f t="shared" si="136"/>
        <v>BUY</v>
      </c>
      <c r="I1275" s="4">
        <f t="shared" si="133"/>
        <v>1</v>
      </c>
      <c r="J1275" s="11" t="str">
        <f t="shared" si="137"/>
        <v>BUY</v>
      </c>
      <c r="K1275" s="6">
        <f t="shared" si="138"/>
        <v>5718.7001950000003</v>
      </c>
      <c r="L1275" s="4">
        <f t="shared" si="139"/>
        <v>-7.5229378083157767E-3</v>
      </c>
    </row>
    <row r="1276" spans="1:12" x14ac:dyDescent="0.25">
      <c r="A1276" s="1">
        <v>42951</v>
      </c>
      <c r="B1276">
        <v>5703.2998049999997</v>
      </c>
      <c r="C1276">
        <v>5711.7001950000003</v>
      </c>
      <c r="D1276">
        <v>5660</v>
      </c>
      <c r="E1276">
        <v>5684.25</v>
      </c>
      <c r="F1276" s="4">
        <f t="shared" si="134"/>
        <v>5648</v>
      </c>
      <c r="G1276" s="4">
        <f t="shared" si="135"/>
        <v>5718.7001950000003</v>
      </c>
      <c r="H1276" s="4">
        <f t="shared" si="136"/>
        <v>0</v>
      </c>
      <c r="I1276" s="4">
        <f t="shared" si="133"/>
        <v>1</v>
      </c>
      <c r="J1276" s="11">
        <f t="shared" si="137"/>
        <v>0</v>
      </c>
      <c r="K1276" s="6">
        <f t="shared" si="138"/>
        <v>5718.7001950000003</v>
      </c>
      <c r="L1276" s="4">
        <f t="shared" si="139"/>
        <v>0</v>
      </c>
    </row>
    <row r="1277" spans="1:12" x14ac:dyDescent="0.25">
      <c r="A1277" s="1">
        <v>42954</v>
      </c>
      <c r="B1277">
        <v>5667.6000979999999</v>
      </c>
      <c r="C1277">
        <v>5721.5498049999997</v>
      </c>
      <c r="D1277">
        <v>5658.0498049999997</v>
      </c>
      <c r="E1277">
        <v>5717.1499020000001</v>
      </c>
      <c r="F1277" s="4">
        <f t="shared" si="134"/>
        <v>5648</v>
      </c>
      <c r="G1277" s="4">
        <f t="shared" si="135"/>
        <v>5718.7001950000003</v>
      </c>
      <c r="H1277" s="4">
        <f t="shared" si="136"/>
        <v>0</v>
      </c>
      <c r="I1277" s="4">
        <f t="shared" si="133"/>
        <v>1</v>
      </c>
      <c r="J1277" s="11">
        <f t="shared" si="137"/>
        <v>0</v>
      </c>
      <c r="K1277" s="6">
        <f t="shared" si="138"/>
        <v>5718.7001950000003</v>
      </c>
      <c r="L1277" s="4">
        <f t="shared" si="139"/>
        <v>0</v>
      </c>
    </row>
    <row r="1278" spans="1:12" x14ac:dyDescent="0.25">
      <c r="A1278" s="1">
        <v>42955</v>
      </c>
      <c r="B1278">
        <v>5715.6499020000001</v>
      </c>
      <c r="C1278">
        <v>5720.7998049999997</v>
      </c>
      <c r="D1278">
        <v>5681.4501950000003</v>
      </c>
      <c r="E1278">
        <v>5691.3999020000001</v>
      </c>
      <c r="F1278" s="4">
        <f t="shared" si="134"/>
        <v>5660.25</v>
      </c>
      <c r="G1278" s="4">
        <f t="shared" si="135"/>
        <v>5718.7001950000003</v>
      </c>
      <c r="H1278" s="4">
        <f t="shared" si="136"/>
        <v>0</v>
      </c>
      <c r="I1278" s="4">
        <f t="shared" si="133"/>
        <v>1</v>
      </c>
      <c r="J1278" s="11">
        <f t="shared" si="137"/>
        <v>0</v>
      </c>
      <c r="K1278" s="6">
        <f t="shared" si="138"/>
        <v>5718.7001950000003</v>
      </c>
      <c r="L1278" s="4">
        <f t="shared" si="139"/>
        <v>0</v>
      </c>
    </row>
    <row r="1279" spans="1:12" x14ac:dyDescent="0.25">
      <c r="A1279" s="1">
        <v>42956</v>
      </c>
      <c r="B1279">
        <v>5691.3999020000001</v>
      </c>
      <c r="C1279">
        <v>5691.3999020000001</v>
      </c>
      <c r="D1279">
        <v>5691.3999020000001</v>
      </c>
      <c r="E1279">
        <v>5691.3999020000001</v>
      </c>
      <c r="F1279" s="4">
        <f t="shared" si="134"/>
        <v>5684.25</v>
      </c>
      <c r="G1279" s="4">
        <f t="shared" si="135"/>
        <v>5718.7001950000003</v>
      </c>
      <c r="H1279" s="4">
        <f t="shared" si="136"/>
        <v>0</v>
      </c>
      <c r="I1279" s="4">
        <f t="shared" si="133"/>
        <v>1</v>
      </c>
      <c r="J1279" s="11">
        <f t="shared" si="137"/>
        <v>0</v>
      </c>
      <c r="K1279" s="6">
        <f t="shared" si="138"/>
        <v>5718.7001950000003</v>
      </c>
      <c r="L1279" s="4">
        <f t="shared" si="139"/>
        <v>0</v>
      </c>
    </row>
    <row r="1280" spans="1:12" x14ac:dyDescent="0.25">
      <c r="A1280" s="1">
        <v>42957</v>
      </c>
      <c r="B1280">
        <v>5688.7998049999997</v>
      </c>
      <c r="C1280">
        <v>5718.75</v>
      </c>
      <c r="D1280">
        <v>5685.7001950000003</v>
      </c>
      <c r="E1280">
        <v>5705.2998049999997</v>
      </c>
      <c r="F1280" s="4">
        <f t="shared" si="134"/>
        <v>5684.25</v>
      </c>
      <c r="G1280" s="4">
        <f t="shared" si="135"/>
        <v>5717.1499020000001</v>
      </c>
      <c r="H1280" s="4">
        <f t="shared" si="136"/>
        <v>0</v>
      </c>
      <c r="I1280" s="4">
        <f t="shared" si="133"/>
        <v>1</v>
      </c>
      <c r="J1280" s="11">
        <f t="shared" si="137"/>
        <v>0</v>
      </c>
      <c r="K1280" s="6">
        <f t="shared" si="138"/>
        <v>5718.7001950000003</v>
      </c>
      <c r="L1280" s="4">
        <f t="shared" si="139"/>
        <v>0</v>
      </c>
    </row>
    <row r="1281" spans="1:12" x14ac:dyDescent="0.25">
      <c r="A1281" s="1">
        <v>42958</v>
      </c>
      <c r="B1281">
        <v>5683.5498049999997</v>
      </c>
      <c r="C1281">
        <v>5697.2001950000003</v>
      </c>
      <c r="D1281">
        <v>5641.75</v>
      </c>
      <c r="E1281">
        <v>5664.2998049999997</v>
      </c>
      <c r="F1281" s="4">
        <f t="shared" si="134"/>
        <v>5664.2998049999997</v>
      </c>
      <c r="G1281" s="4">
        <f t="shared" si="135"/>
        <v>5717.1499020000001</v>
      </c>
      <c r="H1281" s="4" t="str">
        <f t="shared" si="136"/>
        <v>SELL</v>
      </c>
      <c r="I1281" s="4">
        <f t="shared" si="133"/>
        <v>-1</v>
      </c>
      <c r="J1281" s="11" t="str">
        <f t="shared" si="137"/>
        <v>SELL</v>
      </c>
      <c r="K1281" s="6">
        <f t="shared" si="138"/>
        <v>5664.2998049999997</v>
      </c>
      <c r="L1281" s="4">
        <f t="shared" si="139"/>
        <v>-9.512719349680945E-3</v>
      </c>
    </row>
    <row r="1282" spans="1:12" x14ac:dyDescent="0.25">
      <c r="A1282" s="1">
        <v>42961</v>
      </c>
      <c r="B1282">
        <v>5665.2001950000003</v>
      </c>
      <c r="C1282">
        <v>5698.2998049999997</v>
      </c>
      <c r="D1282">
        <v>5645.1000979999999</v>
      </c>
      <c r="E1282">
        <v>5665.6000979999999</v>
      </c>
      <c r="F1282" s="4">
        <f t="shared" si="134"/>
        <v>5664.2998049999997</v>
      </c>
      <c r="G1282" s="4">
        <f t="shared" si="135"/>
        <v>5705.2998049999997</v>
      </c>
      <c r="H1282" s="4">
        <f t="shared" si="136"/>
        <v>0</v>
      </c>
      <c r="I1282" s="4">
        <f t="shared" si="133"/>
        <v>-1</v>
      </c>
      <c r="J1282" s="11">
        <f t="shared" si="137"/>
        <v>0</v>
      </c>
      <c r="K1282" s="6">
        <f t="shared" si="138"/>
        <v>5664.2998049999997</v>
      </c>
      <c r="L1282" s="4">
        <f t="shared" si="139"/>
        <v>0</v>
      </c>
    </row>
    <row r="1283" spans="1:12" x14ac:dyDescent="0.25">
      <c r="A1283" s="1">
        <v>42962</v>
      </c>
      <c r="B1283">
        <v>5656.3500979999999</v>
      </c>
      <c r="C1283">
        <v>5689.8999020000001</v>
      </c>
      <c r="D1283">
        <v>5589.8999020000001</v>
      </c>
      <c r="E1283">
        <v>5597.8999020000001</v>
      </c>
      <c r="F1283" s="4">
        <f t="shared" si="134"/>
        <v>5597.8999020000001</v>
      </c>
      <c r="G1283" s="4">
        <f t="shared" si="135"/>
        <v>5705.2998049999997</v>
      </c>
      <c r="H1283" s="4" t="str">
        <f t="shared" si="136"/>
        <v>SELL</v>
      </c>
      <c r="I1283" s="4">
        <f t="shared" si="133"/>
        <v>-1</v>
      </c>
      <c r="J1283" s="11">
        <f t="shared" si="137"/>
        <v>0</v>
      </c>
      <c r="K1283" s="6">
        <f t="shared" si="138"/>
        <v>5664.2998049999997</v>
      </c>
      <c r="L1283" s="4">
        <f t="shared" si="139"/>
        <v>0</v>
      </c>
    </row>
    <row r="1284" spans="1:12" x14ac:dyDescent="0.25">
      <c r="A1284" s="1">
        <v>42963</v>
      </c>
      <c r="B1284">
        <v>5596.75</v>
      </c>
      <c r="C1284">
        <v>5624.3999020000001</v>
      </c>
      <c r="D1284">
        <v>5583.0498049999997</v>
      </c>
      <c r="E1284">
        <v>5619.7001950000003</v>
      </c>
      <c r="F1284" s="4">
        <f t="shared" si="134"/>
        <v>5597.8999020000001</v>
      </c>
      <c r="G1284" s="4">
        <f t="shared" si="135"/>
        <v>5705.2998049999997</v>
      </c>
      <c r="H1284" s="4">
        <f t="shared" si="136"/>
        <v>0</v>
      </c>
      <c r="I1284" s="4">
        <f t="shared" si="133"/>
        <v>-1</v>
      </c>
      <c r="J1284" s="11">
        <f t="shared" si="137"/>
        <v>0</v>
      </c>
      <c r="K1284" s="6">
        <f t="shared" si="138"/>
        <v>5664.2998049999997</v>
      </c>
      <c r="L1284" s="4">
        <f t="shared" si="139"/>
        <v>0</v>
      </c>
    </row>
    <row r="1285" spans="1:12" x14ac:dyDescent="0.25">
      <c r="A1285" s="1">
        <v>42964</v>
      </c>
      <c r="B1285">
        <v>5609.8500979999999</v>
      </c>
      <c r="C1285">
        <v>5649.75</v>
      </c>
      <c r="D1285">
        <v>5601.9501950000003</v>
      </c>
      <c r="E1285">
        <v>5645.0498049999997</v>
      </c>
      <c r="F1285" s="4">
        <f t="shared" si="134"/>
        <v>5597.8999020000001</v>
      </c>
      <c r="G1285" s="4">
        <f t="shared" si="135"/>
        <v>5665.6000979999999</v>
      </c>
      <c r="H1285" s="4">
        <f t="shared" si="136"/>
        <v>0</v>
      </c>
      <c r="I1285" s="4">
        <f t="shared" si="133"/>
        <v>-1</v>
      </c>
      <c r="J1285" s="11">
        <f t="shared" si="137"/>
        <v>0</v>
      </c>
      <c r="K1285" s="6">
        <f t="shared" si="138"/>
        <v>5664.2998049999997</v>
      </c>
      <c r="L1285" s="4">
        <f t="shared" si="139"/>
        <v>0</v>
      </c>
    </row>
    <row r="1286" spans="1:12" x14ac:dyDescent="0.25">
      <c r="A1286" s="1">
        <v>42965</v>
      </c>
      <c r="B1286">
        <v>5696.3500979999999</v>
      </c>
      <c r="C1286">
        <v>5711.2998049999997</v>
      </c>
      <c r="D1286">
        <v>5682.5498049999997</v>
      </c>
      <c r="E1286">
        <v>5697.7001950000003</v>
      </c>
      <c r="F1286" s="4">
        <f t="shared" si="134"/>
        <v>5597.8999020000001</v>
      </c>
      <c r="G1286" s="4">
        <f t="shared" si="135"/>
        <v>5697.7001950000003</v>
      </c>
      <c r="H1286" s="4" t="str">
        <f t="shared" si="136"/>
        <v>BUY</v>
      </c>
      <c r="I1286" s="4">
        <f t="shared" ref="I1286:I1349" si="140">IF(AND(H1286="BUY",I1285&lt;&gt;1),1,IF(AND(H1286="SELL",I1285&lt;&gt;-1),-1,I1285))</f>
        <v>1</v>
      </c>
      <c r="J1286" s="11" t="str">
        <f t="shared" si="137"/>
        <v>BUY</v>
      </c>
      <c r="K1286" s="6">
        <f t="shared" si="138"/>
        <v>5697.7001950000003</v>
      </c>
      <c r="L1286" s="4">
        <f t="shared" si="139"/>
        <v>-5.8966493917778596E-3</v>
      </c>
    </row>
    <row r="1287" spans="1:12" x14ac:dyDescent="0.25">
      <c r="A1287" s="1">
        <v>42968</v>
      </c>
      <c r="B1287">
        <v>5693.0498049999997</v>
      </c>
      <c r="C1287">
        <v>5709.2001950000003</v>
      </c>
      <c r="D1287">
        <v>5679.5</v>
      </c>
      <c r="E1287">
        <v>5704.2001950000003</v>
      </c>
      <c r="F1287" s="4">
        <f t="shared" ref="F1287:F1350" si="141">MIN(E1283:E1287)</f>
        <v>5597.8999020000001</v>
      </c>
      <c r="G1287" s="4">
        <f t="shared" ref="G1287:G1350" si="142">MAX(E1283:E1287)</f>
        <v>5704.2001950000003</v>
      </c>
      <c r="H1287" s="4" t="str">
        <f t="shared" ref="H1287:H1350" si="143">IF(E1287&gt;G1286,"BUY",IF(E1287&lt;F1286,"SELL",0))</f>
        <v>BUY</v>
      </c>
      <c r="I1287" s="4">
        <f t="shared" si="140"/>
        <v>1</v>
      </c>
      <c r="J1287" s="11">
        <f t="shared" ref="J1287:J1350" si="144">IF(I1287&lt;&gt;I1286,H1287,0)</f>
        <v>0</v>
      </c>
      <c r="K1287" s="6">
        <f t="shared" ref="K1287:K1350" si="145">IF(J1287&lt;&gt;0,E1287,K1286)</f>
        <v>5697.7001950000003</v>
      </c>
      <c r="L1287" s="4">
        <f t="shared" si="139"/>
        <v>0</v>
      </c>
    </row>
    <row r="1288" spans="1:12" x14ac:dyDescent="0.25">
      <c r="A1288" s="1">
        <v>42969</v>
      </c>
      <c r="B1288">
        <v>5694.1000979999999</v>
      </c>
      <c r="C1288">
        <v>5730.7998049999997</v>
      </c>
      <c r="D1288">
        <v>5693.6499020000001</v>
      </c>
      <c r="E1288">
        <v>5724.3999020000001</v>
      </c>
      <c r="F1288" s="4">
        <f t="shared" si="141"/>
        <v>5619.7001950000003</v>
      </c>
      <c r="G1288" s="4">
        <f t="shared" si="142"/>
        <v>5724.3999020000001</v>
      </c>
      <c r="H1288" s="4" t="str">
        <f t="shared" si="143"/>
        <v>BUY</v>
      </c>
      <c r="I1288" s="4">
        <f t="shared" si="140"/>
        <v>1</v>
      </c>
      <c r="J1288" s="11">
        <f t="shared" si="144"/>
        <v>0</v>
      </c>
      <c r="K1288" s="6">
        <f t="shared" si="145"/>
        <v>5697.7001950000003</v>
      </c>
      <c r="L1288" s="4">
        <f t="shared" ref="L1288:L1351" si="146">IF(J1288="BUY",(K1287-K1288)/K1287,IF(J1288="SELL",(K1289-K1287)/K1287,0))</f>
        <v>0</v>
      </c>
    </row>
    <row r="1289" spans="1:12" x14ac:dyDescent="0.25">
      <c r="A1289" s="1">
        <v>42970</v>
      </c>
      <c r="B1289">
        <v>5718.6000979999999</v>
      </c>
      <c r="C1289">
        <v>5777.2998049999997</v>
      </c>
      <c r="D1289">
        <v>5711.3999020000001</v>
      </c>
      <c r="E1289">
        <v>5760.1000979999999</v>
      </c>
      <c r="F1289" s="4">
        <f t="shared" si="141"/>
        <v>5645.0498049999997</v>
      </c>
      <c r="G1289" s="4">
        <f t="shared" si="142"/>
        <v>5760.1000979999999</v>
      </c>
      <c r="H1289" s="4" t="str">
        <f t="shared" si="143"/>
        <v>BUY</v>
      </c>
      <c r="I1289" s="4">
        <f t="shared" si="140"/>
        <v>1</v>
      </c>
      <c r="J1289" s="11">
        <f t="shared" si="144"/>
        <v>0</v>
      </c>
      <c r="K1289" s="6">
        <f t="shared" si="145"/>
        <v>5697.7001950000003</v>
      </c>
      <c r="L1289" s="4">
        <f t="shared" si="146"/>
        <v>0</v>
      </c>
    </row>
    <row r="1290" spans="1:12" x14ac:dyDescent="0.25">
      <c r="A1290" s="1">
        <v>42971</v>
      </c>
      <c r="B1290">
        <v>5709</v>
      </c>
      <c r="C1290">
        <v>5744.5</v>
      </c>
      <c r="D1290">
        <v>5693.9501950000003</v>
      </c>
      <c r="E1290">
        <v>5738.75</v>
      </c>
      <c r="F1290" s="4">
        <f t="shared" si="141"/>
        <v>5697.7001950000003</v>
      </c>
      <c r="G1290" s="4">
        <f t="shared" si="142"/>
        <v>5760.1000979999999</v>
      </c>
      <c r="H1290" s="4">
        <f t="shared" si="143"/>
        <v>0</v>
      </c>
      <c r="I1290" s="4">
        <f t="shared" si="140"/>
        <v>1</v>
      </c>
      <c r="J1290" s="11">
        <f t="shared" si="144"/>
        <v>0</v>
      </c>
      <c r="K1290" s="6">
        <f t="shared" si="145"/>
        <v>5697.7001950000003</v>
      </c>
      <c r="L1290" s="4">
        <f t="shared" si="146"/>
        <v>0</v>
      </c>
    </row>
    <row r="1291" spans="1:12" x14ac:dyDescent="0.25">
      <c r="A1291" s="1">
        <v>42972</v>
      </c>
      <c r="B1291">
        <v>5731.1000979999999</v>
      </c>
      <c r="C1291">
        <v>5751.7001950000003</v>
      </c>
      <c r="D1291">
        <v>5677.75</v>
      </c>
      <c r="E1291">
        <v>5686.25</v>
      </c>
      <c r="F1291" s="4">
        <f t="shared" si="141"/>
        <v>5686.25</v>
      </c>
      <c r="G1291" s="4">
        <f t="shared" si="142"/>
        <v>5760.1000979999999</v>
      </c>
      <c r="H1291" s="4" t="str">
        <f t="shared" si="143"/>
        <v>SELL</v>
      </c>
      <c r="I1291" s="4">
        <f t="shared" si="140"/>
        <v>-1</v>
      </c>
      <c r="J1291" s="11" t="str">
        <f t="shared" si="144"/>
        <v>SELL</v>
      </c>
      <c r="K1291" s="6">
        <f t="shared" si="145"/>
        <v>5686.25</v>
      </c>
      <c r="L1291" s="4">
        <f t="shared" si="146"/>
        <v>-2.0096169696763675E-3</v>
      </c>
    </row>
    <row r="1292" spans="1:12" x14ac:dyDescent="0.25">
      <c r="A1292" s="1">
        <v>42975</v>
      </c>
      <c r="B1292">
        <v>5688.4501950000003</v>
      </c>
      <c r="C1292">
        <v>5718.8999020000001</v>
      </c>
      <c r="D1292">
        <v>5665.75</v>
      </c>
      <c r="E1292">
        <v>5683.7001950000003</v>
      </c>
      <c r="F1292" s="4">
        <f t="shared" si="141"/>
        <v>5683.7001950000003</v>
      </c>
      <c r="G1292" s="4">
        <f t="shared" si="142"/>
        <v>5760.1000979999999</v>
      </c>
      <c r="H1292" s="4" t="str">
        <f t="shared" si="143"/>
        <v>SELL</v>
      </c>
      <c r="I1292" s="4">
        <f t="shared" si="140"/>
        <v>-1</v>
      </c>
      <c r="J1292" s="11">
        <f t="shared" si="144"/>
        <v>0</v>
      </c>
      <c r="K1292" s="6">
        <f t="shared" si="145"/>
        <v>5686.25</v>
      </c>
      <c r="L1292" s="4">
        <f t="shared" si="146"/>
        <v>0</v>
      </c>
    </row>
    <row r="1293" spans="1:12" x14ac:dyDescent="0.25">
      <c r="A1293" s="1">
        <v>42976</v>
      </c>
      <c r="B1293">
        <v>5689.7001950000003</v>
      </c>
      <c r="C1293">
        <v>5698.25</v>
      </c>
      <c r="D1293">
        <v>5660.3500979999999</v>
      </c>
      <c r="E1293">
        <v>5666.9501950000003</v>
      </c>
      <c r="F1293" s="4">
        <f t="shared" si="141"/>
        <v>5666.9501950000003</v>
      </c>
      <c r="G1293" s="4">
        <f t="shared" si="142"/>
        <v>5760.1000979999999</v>
      </c>
      <c r="H1293" s="4" t="str">
        <f t="shared" si="143"/>
        <v>SELL</v>
      </c>
      <c r="I1293" s="4">
        <f t="shared" si="140"/>
        <v>-1</v>
      </c>
      <c r="J1293" s="11">
        <f t="shared" si="144"/>
        <v>0</v>
      </c>
      <c r="K1293" s="6">
        <f t="shared" si="145"/>
        <v>5686.25</v>
      </c>
      <c r="L1293" s="4">
        <f t="shared" si="146"/>
        <v>0</v>
      </c>
    </row>
    <row r="1294" spans="1:12" x14ac:dyDescent="0.25">
      <c r="A1294" s="1">
        <v>42977</v>
      </c>
      <c r="B1294">
        <v>5666.9501950000003</v>
      </c>
      <c r="C1294">
        <v>5666.9501950000003</v>
      </c>
      <c r="D1294">
        <v>5666.9501950000003</v>
      </c>
      <c r="E1294">
        <v>5666.9501950000003</v>
      </c>
      <c r="F1294" s="4">
        <f t="shared" si="141"/>
        <v>5666.9501950000003</v>
      </c>
      <c r="G1294" s="4">
        <f t="shared" si="142"/>
        <v>5738.75</v>
      </c>
      <c r="H1294" s="4">
        <f t="shared" si="143"/>
        <v>0</v>
      </c>
      <c r="I1294" s="4">
        <f t="shared" si="140"/>
        <v>-1</v>
      </c>
      <c r="J1294" s="11">
        <f t="shared" si="144"/>
        <v>0</v>
      </c>
      <c r="K1294" s="6">
        <f t="shared" si="145"/>
        <v>5686.25</v>
      </c>
      <c r="L1294" s="4">
        <f t="shared" si="146"/>
        <v>0</v>
      </c>
    </row>
    <row r="1295" spans="1:12" x14ac:dyDescent="0.25">
      <c r="A1295" s="1">
        <v>42978</v>
      </c>
      <c r="B1295">
        <v>5650.3500979999999</v>
      </c>
      <c r="C1295">
        <v>5651.6499020000001</v>
      </c>
      <c r="D1295">
        <v>5603.5498049999997</v>
      </c>
      <c r="E1295">
        <v>5631</v>
      </c>
      <c r="F1295" s="4">
        <f t="shared" si="141"/>
        <v>5631</v>
      </c>
      <c r="G1295" s="4">
        <f t="shared" si="142"/>
        <v>5686.25</v>
      </c>
      <c r="H1295" s="4" t="str">
        <f t="shared" si="143"/>
        <v>SELL</v>
      </c>
      <c r="I1295" s="4">
        <f t="shared" si="140"/>
        <v>-1</v>
      </c>
      <c r="J1295" s="11">
        <f t="shared" si="144"/>
        <v>0</v>
      </c>
      <c r="K1295" s="6">
        <f t="shared" si="145"/>
        <v>5686.25</v>
      </c>
      <c r="L1295" s="4">
        <f t="shared" si="146"/>
        <v>0</v>
      </c>
    </row>
    <row r="1296" spans="1:12" x14ac:dyDescent="0.25">
      <c r="A1296" s="1">
        <v>42979</v>
      </c>
      <c r="B1296">
        <v>5624.7998049999997</v>
      </c>
      <c r="C1296">
        <v>5650.1499020000001</v>
      </c>
      <c r="D1296">
        <v>5559.7998049999997</v>
      </c>
      <c r="E1296">
        <v>5574.0498049999997</v>
      </c>
      <c r="F1296" s="4">
        <f t="shared" si="141"/>
        <v>5574.0498049999997</v>
      </c>
      <c r="G1296" s="4">
        <f t="shared" si="142"/>
        <v>5683.7001950000003</v>
      </c>
      <c r="H1296" s="4" t="str">
        <f t="shared" si="143"/>
        <v>SELL</v>
      </c>
      <c r="I1296" s="4">
        <f t="shared" si="140"/>
        <v>-1</v>
      </c>
      <c r="J1296" s="11">
        <f t="shared" si="144"/>
        <v>0</v>
      </c>
      <c r="K1296" s="6">
        <f t="shared" si="145"/>
        <v>5686.25</v>
      </c>
      <c r="L1296" s="4">
        <f t="shared" si="146"/>
        <v>0</v>
      </c>
    </row>
    <row r="1297" spans="1:12" x14ac:dyDescent="0.25">
      <c r="A1297" s="1">
        <v>42982</v>
      </c>
      <c r="B1297">
        <v>5577.2998049999997</v>
      </c>
      <c r="C1297">
        <v>5592.75</v>
      </c>
      <c r="D1297">
        <v>5549.25</v>
      </c>
      <c r="E1297">
        <v>5571.3999020000001</v>
      </c>
      <c r="F1297" s="4">
        <f t="shared" si="141"/>
        <v>5571.3999020000001</v>
      </c>
      <c r="G1297" s="4">
        <f t="shared" si="142"/>
        <v>5666.9501950000003</v>
      </c>
      <c r="H1297" s="4" t="str">
        <f t="shared" si="143"/>
        <v>SELL</v>
      </c>
      <c r="I1297" s="4">
        <f t="shared" si="140"/>
        <v>-1</v>
      </c>
      <c r="J1297" s="11">
        <f t="shared" si="144"/>
        <v>0</v>
      </c>
      <c r="K1297" s="6">
        <f t="shared" si="145"/>
        <v>5686.25</v>
      </c>
      <c r="L1297" s="4">
        <f t="shared" si="146"/>
        <v>0</v>
      </c>
    </row>
    <row r="1298" spans="1:12" x14ac:dyDescent="0.25">
      <c r="A1298" s="1">
        <v>42983</v>
      </c>
      <c r="B1298">
        <v>5604.7998049999997</v>
      </c>
      <c r="C1298">
        <v>5613.7001950000003</v>
      </c>
      <c r="D1298">
        <v>5548.3500979999999</v>
      </c>
      <c r="E1298">
        <v>5571.5498049999997</v>
      </c>
      <c r="F1298" s="4">
        <f t="shared" si="141"/>
        <v>5571.3999020000001</v>
      </c>
      <c r="G1298" s="4">
        <f t="shared" si="142"/>
        <v>5666.9501950000003</v>
      </c>
      <c r="H1298" s="4">
        <f t="shared" si="143"/>
        <v>0</v>
      </c>
      <c r="I1298" s="4">
        <f t="shared" si="140"/>
        <v>-1</v>
      </c>
      <c r="J1298" s="11">
        <f t="shared" si="144"/>
        <v>0</v>
      </c>
      <c r="K1298" s="6">
        <f t="shared" si="145"/>
        <v>5686.25</v>
      </c>
      <c r="L1298" s="4">
        <f t="shared" si="146"/>
        <v>0</v>
      </c>
    </row>
    <row r="1299" spans="1:12" x14ac:dyDescent="0.25">
      <c r="A1299" s="1">
        <v>42984</v>
      </c>
      <c r="B1299">
        <v>5582.5</v>
      </c>
      <c r="C1299">
        <v>5620.2001950000003</v>
      </c>
      <c r="D1299">
        <v>5561.3999020000001</v>
      </c>
      <c r="E1299">
        <v>5614.7998049999997</v>
      </c>
      <c r="F1299" s="4">
        <f t="shared" si="141"/>
        <v>5571.3999020000001</v>
      </c>
      <c r="G1299" s="4">
        <f t="shared" si="142"/>
        <v>5631</v>
      </c>
      <c r="H1299" s="4">
        <f t="shared" si="143"/>
        <v>0</v>
      </c>
      <c r="I1299" s="4">
        <f t="shared" si="140"/>
        <v>-1</v>
      </c>
      <c r="J1299" s="11">
        <f t="shared" si="144"/>
        <v>0</v>
      </c>
      <c r="K1299" s="6">
        <f t="shared" si="145"/>
        <v>5686.25</v>
      </c>
      <c r="L1299" s="4">
        <f t="shared" si="146"/>
        <v>0</v>
      </c>
    </row>
    <row r="1300" spans="1:12" x14ac:dyDescent="0.25">
      <c r="A1300" s="1">
        <v>42985</v>
      </c>
      <c r="B1300">
        <v>5628.6000979999999</v>
      </c>
      <c r="C1300">
        <v>5643.3500979999999</v>
      </c>
      <c r="D1300">
        <v>5608</v>
      </c>
      <c r="E1300">
        <v>5627.75</v>
      </c>
      <c r="F1300" s="4">
        <f t="shared" si="141"/>
        <v>5571.3999020000001</v>
      </c>
      <c r="G1300" s="4">
        <f t="shared" si="142"/>
        <v>5627.75</v>
      </c>
      <c r="H1300" s="4">
        <f t="shared" si="143"/>
        <v>0</v>
      </c>
      <c r="I1300" s="4">
        <f t="shared" si="140"/>
        <v>-1</v>
      </c>
      <c r="J1300" s="11">
        <f t="shared" si="144"/>
        <v>0</v>
      </c>
      <c r="K1300" s="6">
        <f t="shared" si="145"/>
        <v>5686.25</v>
      </c>
      <c r="L1300" s="4">
        <f t="shared" si="146"/>
        <v>0</v>
      </c>
    </row>
    <row r="1301" spans="1:12" x14ac:dyDescent="0.25">
      <c r="A1301" s="1">
        <v>42986</v>
      </c>
      <c r="B1301">
        <v>5635.4501950000003</v>
      </c>
      <c r="C1301">
        <v>5637.75</v>
      </c>
      <c r="D1301">
        <v>5593.5498049999997</v>
      </c>
      <c r="E1301">
        <v>5626.6000979999999</v>
      </c>
      <c r="F1301" s="4">
        <f t="shared" si="141"/>
        <v>5571.3999020000001</v>
      </c>
      <c r="G1301" s="4">
        <f t="shared" si="142"/>
        <v>5627.75</v>
      </c>
      <c r="H1301" s="4">
        <f t="shared" si="143"/>
        <v>0</v>
      </c>
      <c r="I1301" s="4">
        <f t="shared" si="140"/>
        <v>-1</v>
      </c>
      <c r="J1301" s="11">
        <f t="shared" si="144"/>
        <v>0</v>
      </c>
      <c r="K1301" s="6">
        <f t="shared" si="145"/>
        <v>5686.25</v>
      </c>
      <c r="L1301" s="4">
        <f t="shared" si="146"/>
        <v>0</v>
      </c>
    </row>
    <row r="1302" spans="1:12" x14ac:dyDescent="0.25">
      <c r="A1302" s="1">
        <v>42989</v>
      </c>
      <c r="B1302">
        <v>5648.6499020000001</v>
      </c>
      <c r="C1302">
        <v>5649.2001950000003</v>
      </c>
      <c r="D1302">
        <v>5623.4501950000003</v>
      </c>
      <c r="E1302">
        <v>5635.8999020000001</v>
      </c>
      <c r="F1302" s="4">
        <f t="shared" si="141"/>
        <v>5571.5498049999997</v>
      </c>
      <c r="G1302" s="4">
        <f t="shared" si="142"/>
        <v>5635.8999020000001</v>
      </c>
      <c r="H1302" s="4" t="str">
        <f t="shared" si="143"/>
        <v>BUY</v>
      </c>
      <c r="I1302" s="4">
        <f t="shared" si="140"/>
        <v>1</v>
      </c>
      <c r="J1302" s="11" t="str">
        <f t="shared" si="144"/>
        <v>BUY</v>
      </c>
      <c r="K1302" s="6">
        <f t="shared" si="145"/>
        <v>5635.8999020000001</v>
      </c>
      <c r="L1302" s="4">
        <f t="shared" si="146"/>
        <v>8.8547105737524535E-3</v>
      </c>
    </row>
    <row r="1303" spans="1:12" x14ac:dyDescent="0.25">
      <c r="A1303" s="1">
        <v>42990</v>
      </c>
      <c r="B1303">
        <v>5658.5</v>
      </c>
      <c r="C1303">
        <v>5733.2001950000003</v>
      </c>
      <c r="D1303">
        <v>5658</v>
      </c>
      <c r="E1303">
        <v>5727.4501950000003</v>
      </c>
      <c r="F1303" s="4">
        <f t="shared" si="141"/>
        <v>5614.7998049999997</v>
      </c>
      <c r="G1303" s="4">
        <f t="shared" si="142"/>
        <v>5727.4501950000003</v>
      </c>
      <c r="H1303" s="4" t="str">
        <f t="shared" si="143"/>
        <v>BUY</v>
      </c>
      <c r="I1303" s="4">
        <f t="shared" si="140"/>
        <v>1</v>
      </c>
      <c r="J1303" s="11">
        <f t="shared" si="144"/>
        <v>0</v>
      </c>
      <c r="K1303" s="6">
        <f t="shared" si="145"/>
        <v>5635.8999020000001</v>
      </c>
      <c r="L1303" s="4">
        <f t="shared" si="146"/>
        <v>0</v>
      </c>
    </row>
    <row r="1304" spans="1:12" x14ac:dyDescent="0.25">
      <c r="A1304" s="1">
        <v>42991</v>
      </c>
      <c r="B1304">
        <v>5727.4501950000003</v>
      </c>
      <c r="C1304">
        <v>5727.4501950000003</v>
      </c>
      <c r="D1304">
        <v>5727.4501950000003</v>
      </c>
      <c r="E1304">
        <v>5727.4501950000003</v>
      </c>
      <c r="F1304" s="4">
        <f t="shared" si="141"/>
        <v>5626.6000979999999</v>
      </c>
      <c r="G1304" s="4">
        <f t="shared" si="142"/>
        <v>5727.4501950000003</v>
      </c>
      <c r="H1304" s="4">
        <f t="shared" si="143"/>
        <v>0</v>
      </c>
      <c r="I1304" s="4">
        <f t="shared" si="140"/>
        <v>1</v>
      </c>
      <c r="J1304" s="11">
        <f t="shared" si="144"/>
        <v>0</v>
      </c>
      <c r="K1304" s="6">
        <f t="shared" si="145"/>
        <v>5635.8999020000001</v>
      </c>
      <c r="L1304" s="4">
        <f t="shared" si="146"/>
        <v>0</v>
      </c>
    </row>
    <row r="1305" spans="1:12" x14ac:dyDescent="0.25">
      <c r="A1305" s="1">
        <v>42992</v>
      </c>
      <c r="B1305">
        <v>5736.7001950000003</v>
      </c>
      <c r="C1305">
        <v>5833.5</v>
      </c>
      <c r="D1305">
        <v>5736.1000979999999</v>
      </c>
      <c r="E1305">
        <v>5825</v>
      </c>
      <c r="F1305" s="4">
        <f t="shared" si="141"/>
        <v>5626.6000979999999</v>
      </c>
      <c r="G1305" s="4">
        <f t="shared" si="142"/>
        <v>5825</v>
      </c>
      <c r="H1305" s="4" t="str">
        <f t="shared" si="143"/>
        <v>BUY</v>
      </c>
      <c r="I1305" s="4">
        <f t="shared" si="140"/>
        <v>1</v>
      </c>
      <c r="J1305" s="11">
        <f t="shared" si="144"/>
        <v>0</v>
      </c>
      <c r="K1305" s="6">
        <f t="shared" si="145"/>
        <v>5635.8999020000001</v>
      </c>
      <c r="L1305" s="4">
        <f t="shared" si="146"/>
        <v>0</v>
      </c>
    </row>
    <row r="1306" spans="1:12" x14ac:dyDescent="0.25">
      <c r="A1306" s="1">
        <v>42993</v>
      </c>
      <c r="B1306">
        <v>5836</v>
      </c>
      <c r="C1306">
        <v>5885.25</v>
      </c>
      <c r="D1306">
        <v>5827.8500979999999</v>
      </c>
      <c r="E1306">
        <v>5879.8500979999999</v>
      </c>
      <c r="F1306" s="4">
        <f t="shared" si="141"/>
        <v>5635.8999020000001</v>
      </c>
      <c r="G1306" s="4">
        <f t="shared" si="142"/>
        <v>5879.8500979999999</v>
      </c>
      <c r="H1306" s="4" t="str">
        <f t="shared" si="143"/>
        <v>BUY</v>
      </c>
      <c r="I1306" s="4">
        <f t="shared" si="140"/>
        <v>1</v>
      </c>
      <c r="J1306" s="11">
        <f t="shared" si="144"/>
        <v>0</v>
      </c>
      <c r="K1306" s="6">
        <f t="shared" si="145"/>
        <v>5635.8999020000001</v>
      </c>
      <c r="L1306" s="4">
        <f t="shared" si="146"/>
        <v>0</v>
      </c>
    </row>
    <row r="1307" spans="1:12" x14ac:dyDescent="0.25">
      <c r="A1307" s="1">
        <v>42996</v>
      </c>
      <c r="B1307">
        <v>5878.25</v>
      </c>
      <c r="C1307">
        <v>5899.1499020000001</v>
      </c>
      <c r="D1307">
        <v>5854.6000979999999</v>
      </c>
      <c r="E1307">
        <v>5870.9501950000003</v>
      </c>
      <c r="F1307" s="4">
        <f t="shared" si="141"/>
        <v>5727.4501950000003</v>
      </c>
      <c r="G1307" s="4">
        <f t="shared" si="142"/>
        <v>5879.8500979999999</v>
      </c>
      <c r="H1307" s="4">
        <f t="shared" si="143"/>
        <v>0</v>
      </c>
      <c r="I1307" s="4">
        <f t="shared" si="140"/>
        <v>1</v>
      </c>
      <c r="J1307" s="11">
        <f t="shared" si="144"/>
        <v>0</v>
      </c>
      <c r="K1307" s="6">
        <f t="shared" si="145"/>
        <v>5635.8999020000001</v>
      </c>
      <c r="L1307" s="4">
        <f t="shared" si="146"/>
        <v>0</v>
      </c>
    </row>
    <row r="1308" spans="1:12" x14ac:dyDescent="0.25">
      <c r="A1308" s="1">
        <v>42997</v>
      </c>
      <c r="B1308">
        <v>5866.7998049999997</v>
      </c>
      <c r="C1308">
        <v>5894.9501950000003</v>
      </c>
      <c r="D1308">
        <v>5859</v>
      </c>
      <c r="E1308">
        <v>5889.25</v>
      </c>
      <c r="F1308" s="4">
        <f t="shared" si="141"/>
        <v>5727.4501950000003</v>
      </c>
      <c r="G1308" s="4">
        <f t="shared" si="142"/>
        <v>5889.25</v>
      </c>
      <c r="H1308" s="4" t="str">
        <f t="shared" si="143"/>
        <v>BUY</v>
      </c>
      <c r="I1308" s="4">
        <f t="shared" si="140"/>
        <v>1</v>
      </c>
      <c r="J1308" s="11">
        <f t="shared" si="144"/>
        <v>0</v>
      </c>
      <c r="K1308" s="6">
        <f t="shared" si="145"/>
        <v>5635.8999020000001</v>
      </c>
      <c r="L1308" s="4">
        <f t="shared" si="146"/>
        <v>0</v>
      </c>
    </row>
    <row r="1309" spans="1:12" x14ac:dyDescent="0.25">
      <c r="A1309" s="1">
        <v>42998</v>
      </c>
      <c r="B1309">
        <v>5906.6000979999999</v>
      </c>
      <c r="C1309">
        <v>5917.7998049999997</v>
      </c>
      <c r="D1309">
        <v>5891.3500979999999</v>
      </c>
      <c r="E1309">
        <v>5900.5</v>
      </c>
      <c r="F1309" s="4">
        <f t="shared" si="141"/>
        <v>5825</v>
      </c>
      <c r="G1309" s="4">
        <f t="shared" si="142"/>
        <v>5900.5</v>
      </c>
      <c r="H1309" s="4" t="str">
        <f t="shared" si="143"/>
        <v>BUY</v>
      </c>
      <c r="I1309" s="4">
        <f t="shared" si="140"/>
        <v>1</v>
      </c>
      <c r="J1309" s="11">
        <f t="shared" si="144"/>
        <v>0</v>
      </c>
      <c r="K1309" s="6">
        <f t="shared" si="145"/>
        <v>5635.8999020000001</v>
      </c>
      <c r="L1309" s="4">
        <f t="shared" si="146"/>
        <v>0</v>
      </c>
    </row>
    <row r="1310" spans="1:12" x14ac:dyDescent="0.25">
      <c r="A1310" s="1">
        <v>42999</v>
      </c>
      <c r="B1310">
        <v>5926.2998049999997</v>
      </c>
      <c r="C1310">
        <v>5942.5498049999997</v>
      </c>
      <c r="D1310">
        <v>5838.8999020000001</v>
      </c>
      <c r="E1310">
        <v>5930.8999020000001</v>
      </c>
      <c r="F1310" s="4">
        <f t="shared" si="141"/>
        <v>5870.9501950000003</v>
      </c>
      <c r="G1310" s="4">
        <f t="shared" si="142"/>
        <v>5930.8999020000001</v>
      </c>
      <c r="H1310" s="4" t="str">
        <f t="shared" si="143"/>
        <v>BUY</v>
      </c>
      <c r="I1310" s="4">
        <f t="shared" si="140"/>
        <v>1</v>
      </c>
      <c r="J1310" s="11">
        <f t="shared" si="144"/>
        <v>0</v>
      </c>
      <c r="K1310" s="6">
        <f t="shared" si="145"/>
        <v>5635.8999020000001</v>
      </c>
      <c r="L1310" s="4">
        <f t="shared" si="146"/>
        <v>0</v>
      </c>
    </row>
    <row r="1311" spans="1:12" x14ac:dyDescent="0.25">
      <c r="A1311" s="1">
        <v>43000</v>
      </c>
      <c r="B1311">
        <v>5934</v>
      </c>
      <c r="C1311">
        <v>5949.8500979999999</v>
      </c>
      <c r="D1311">
        <v>5888.6499020000001</v>
      </c>
      <c r="E1311">
        <v>5907.3999020000001</v>
      </c>
      <c r="F1311" s="4">
        <f t="shared" si="141"/>
        <v>5870.9501950000003</v>
      </c>
      <c r="G1311" s="4">
        <f t="shared" si="142"/>
        <v>5930.8999020000001</v>
      </c>
      <c r="H1311" s="4">
        <f t="shared" si="143"/>
        <v>0</v>
      </c>
      <c r="I1311" s="4">
        <f t="shared" si="140"/>
        <v>1</v>
      </c>
      <c r="J1311" s="11">
        <f t="shared" si="144"/>
        <v>0</v>
      </c>
      <c r="K1311" s="6">
        <f t="shared" si="145"/>
        <v>5635.8999020000001</v>
      </c>
      <c r="L1311" s="4">
        <f t="shared" si="146"/>
        <v>0</v>
      </c>
    </row>
    <row r="1312" spans="1:12" x14ac:dyDescent="0.25">
      <c r="A1312" s="1">
        <v>43003</v>
      </c>
      <c r="B1312">
        <v>5916.0498049999997</v>
      </c>
      <c r="C1312">
        <v>5919.9501950000003</v>
      </c>
      <c r="D1312">
        <v>5888.1000979999999</v>
      </c>
      <c r="E1312">
        <v>5908.8999020000001</v>
      </c>
      <c r="F1312" s="4">
        <f t="shared" si="141"/>
        <v>5889.25</v>
      </c>
      <c r="G1312" s="4">
        <f t="shared" si="142"/>
        <v>5930.8999020000001</v>
      </c>
      <c r="H1312" s="4">
        <f t="shared" si="143"/>
        <v>0</v>
      </c>
      <c r="I1312" s="4">
        <f t="shared" si="140"/>
        <v>1</v>
      </c>
      <c r="J1312" s="11">
        <f t="shared" si="144"/>
        <v>0</v>
      </c>
      <c r="K1312" s="6">
        <f t="shared" si="145"/>
        <v>5635.8999020000001</v>
      </c>
      <c r="L1312" s="4">
        <f t="shared" si="146"/>
        <v>0</v>
      </c>
    </row>
    <row r="1313" spans="1:12" x14ac:dyDescent="0.25">
      <c r="A1313" s="1">
        <v>43004</v>
      </c>
      <c r="B1313">
        <v>5923.7998049999997</v>
      </c>
      <c r="C1313">
        <v>5965.1499020000001</v>
      </c>
      <c r="D1313">
        <v>5865.4501950000003</v>
      </c>
      <c r="E1313">
        <v>5898.7998049999997</v>
      </c>
      <c r="F1313" s="4">
        <f t="shared" si="141"/>
        <v>5898.7998049999997</v>
      </c>
      <c r="G1313" s="4">
        <f t="shared" si="142"/>
        <v>5930.8999020000001</v>
      </c>
      <c r="H1313" s="4">
        <f t="shared" si="143"/>
        <v>0</v>
      </c>
      <c r="I1313" s="4">
        <f t="shared" si="140"/>
        <v>1</v>
      </c>
      <c r="J1313" s="11">
        <f t="shared" si="144"/>
        <v>0</v>
      </c>
      <c r="K1313" s="6">
        <f t="shared" si="145"/>
        <v>5635.8999020000001</v>
      </c>
      <c r="L1313" s="4">
        <f t="shared" si="146"/>
        <v>0</v>
      </c>
    </row>
    <row r="1314" spans="1:12" x14ac:dyDescent="0.25">
      <c r="A1314" s="1">
        <v>43005</v>
      </c>
      <c r="B1314">
        <v>5917.7998049999997</v>
      </c>
      <c r="C1314">
        <v>5924.6000979999999</v>
      </c>
      <c r="D1314">
        <v>5874.25</v>
      </c>
      <c r="E1314">
        <v>5888</v>
      </c>
      <c r="F1314" s="4">
        <f t="shared" si="141"/>
        <v>5888</v>
      </c>
      <c r="G1314" s="4">
        <f t="shared" si="142"/>
        <v>5930.8999020000001</v>
      </c>
      <c r="H1314" s="4" t="str">
        <f t="shared" si="143"/>
        <v>SELL</v>
      </c>
      <c r="I1314" s="4">
        <f t="shared" si="140"/>
        <v>-1</v>
      </c>
      <c r="J1314" s="11" t="str">
        <f t="shared" si="144"/>
        <v>SELL</v>
      </c>
      <c r="K1314" s="6">
        <f t="shared" si="145"/>
        <v>5888</v>
      </c>
      <c r="L1314" s="4">
        <f t="shared" si="146"/>
        <v>4.4731117014789004E-2</v>
      </c>
    </row>
    <row r="1315" spans="1:12" x14ac:dyDescent="0.25">
      <c r="A1315" s="1">
        <v>43006</v>
      </c>
      <c r="B1315">
        <v>5900.3500979999999</v>
      </c>
      <c r="C1315">
        <v>5907.4501950000003</v>
      </c>
      <c r="D1315">
        <v>5841.3500979999999</v>
      </c>
      <c r="E1315">
        <v>5851.5</v>
      </c>
      <c r="F1315" s="4">
        <f t="shared" si="141"/>
        <v>5851.5</v>
      </c>
      <c r="G1315" s="4">
        <f t="shared" si="142"/>
        <v>5908.8999020000001</v>
      </c>
      <c r="H1315" s="4" t="str">
        <f t="shared" si="143"/>
        <v>SELL</v>
      </c>
      <c r="I1315" s="4">
        <f t="shared" si="140"/>
        <v>-1</v>
      </c>
      <c r="J1315" s="11">
        <f t="shared" si="144"/>
        <v>0</v>
      </c>
      <c r="K1315" s="6">
        <f t="shared" si="145"/>
        <v>5888</v>
      </c>
      <c r="L1315" s="4">
        <f t="shared" si="146"/>
        <v>0</v>
      </c>
    </row>
    <row r="1316" spans="1:12" x14ac:dyDescent="0.25">
      <c r="A1316" s="1">
        <v>43007</v>
      </c>
      <c r="B1316">
        <v>5846.8999020000001</v>
      </c>
      <c r="C1316">
        <v>5886.1000979999999</v>
      </c>
      <c r="D1316">
        <v>5839.1499020000001</v>
      </c>
      <c r="E1316">
        <v>5879.6000979999999</v>
      </c>
      <c r="F1316" s="4">
        <f t="shared" si="141"/>
        <v>5851.5</v>
      </c>
      <c r="G1316" s="4">
        <f t="shared" si="142"/>
        <v>5908.8999020000001</v>
      </c>
      <c r="H1316" s="4">
        <f t="shared" si="143"/>
        <v>0</v>
      </c>
      <c r="I1316" s="4">
        <f t="shared" si="140"/>
        <v>-1</v>
      </c>
      <c r="J1316" s="11">
        <f t="shared" si="144"/>
        <v>0</v>
      </c>
      <c r="K1316" s="6">
        <f t="shared" si="145"/>
        <v>5888</v>
      </c>
      <c r="L1316" s="4">
        <f t="shared" si="146"/>
        <v>0</v>
      </c>
    </row>
    <row r="1317" spans="1:12" x14ac:dyDescent="0.25">
      <c r="A1317" s="1">
        <v>43010</v>
      </c>
      <c r="B1317">
        <v>5860.5</v>
      </c>
      <c r="C1317">
        <v>5886.0498049999997</v>
      </c>
      <c r="D1317">
        <v>5850.1499020000001</v>
      </c>
      <c r="E1317">
        <v>5857.8999020000001</v>
      </c>
      <c r="F1317" s="4">
        <f t="shared" si="141"/>
        <v>5851.5</v>
      </c>
      <c r="G1317" s="4">
        <f t="shared" si="142"/>
        <v>5898.7998049999997</v>
      </c>
      <c r="H1317" s="4">
        <f t="shared" si="143"/>
        <v>0</v>
      </c>
      <c r="I1317" s="4">
        <f t="shared" si="140"/>
        <v>-1</v>
      </c>
      <c r="J1317" s="11">
        <f t="shared" si="144"/>
        <v>0</v>
      </c>
      <c r="K1317" s="6">
        <f t="shared" si="145"/>
        <v>5888</v>
      </c>
      <c r="L1317" s="4">
        <f t="shared" si="146"/>
        <v>0</v>
      </c>
    </row>
    <row r="1318" spans="1:12" x14ac:dyDescent="0.25">
      <c r="A1318" s="1">
        <v>43011</v>
      </c>
      <c r="B1318">
        <v>5873.6000979999999</v>
      </c>
      <c r="C1318">
        <v>5905.7998049999997</v>
      </c>
      <c r="D1318">
        <v>5823.1499020000001</v>
      </c>
      <c r="E1318">
        <v>5896.7998049999997</v>
      </c>
      <c r="F1318" s="4">
        <f t="shared" si="141"/>
        <v>5851.5</v>
      </c>
      <c r="G1318" s="4">
        <f t="shared" si="142"/>
        <v>5896.7998049999997</v>
      </c>
      <c r="H1318" s="4">
        <f t="shared" si="143"/>
        <v>0</v>
      </c>
      <c r="I1318" s="4">
        <f t="shared" si="140"/>
        <v>-1</v>
      </c>
      <c r="J1318" s="11">
        <f t="shared" si="144"/>
        <v>0</v>
      </c>
      <c r="K1318" s="6">
        <f t="shared" si="145"/>
        <v>5888</v>
      </c>
      <c r="L1318" s="4">
        <f t="shared" si="146"/>
        <v>0</v>
      </c>
    </row>
    <row r="1319" spans="1:12" x14ac:dyDescent="0.25">
      <c r="A1319" s="1">
        <v>43012</v>
      </c>
      <c r="B1319">
        <v>5917.2998049999997</v>
      </c>
      <c r="C1319">
        <v>5939.3999020000001</v>
      </c>
      <c r="D1319">
        <v>5910.7998049999997</v>
      </c>
      <c r="E1319">
        <v>5929.6000979999999</v>
      </c>
      <c r="F1319" s="4">
        <f t="shared" si="141"/>
        <v>5851.5</v>
      </c>
      <c r="G1319" s="4">
        <f t="shared" si="142"/>
        <v>5929.6000979999999</v>
      </c>
      <c r="H1319" s="4" t="str">
        <f t="shared" si="143"/>
        <v>BUY</v>
      </c>
      <c r="I1319" s="4">
        <f t="shared" si="140"/>
        <v>1</v>
      </c>
      <c r="J1319" s="11" t="str">
        <f t="shared" si="144"/>
        <v>BUY</v>
      </c>
      <c r="K1319" s="6">
        <f t="shared" si="145"/>
        <v>5929.6000979999999</v>
      </c>
      <c r="L1319" s="4">
        <f t="shared" si="146"/>
        <v>-7.0652340353260677E-3</v>
      </c>
    </row>
    <row r="1320" spans="1:12" x14ac:dyDescent="0.25">
      <c r="A1320" s="1">
        <v>43013</v>
      </c>
      <c r="B1320">
        <v>5934.4501950000003</v>
      </c>
      <c r="C1320">
        <v>5937.6000979999999</v>
      </c>
      <c r="D1320">
        <v>5881.4501950000003</v>
      </c>
      <c r="E1320">
        <v>5916.3999020000001</v>
      </c>
      <c r="F1320" s="4">
        <f t="shared" si="141"/>
        <v>5857.8999020000001</v>
      </c>
      <c r="G1320" s="4">
        <f t="shared" si="142"/>
        <v>5929.6000979999999</v>
      </c>
      <c r="H1320" s="4">
        <f t="shared" si="143"/>
        <v>0</v>
      </c>
      <c r="I1320" s="4">
        <f t="shared" si="140"/>
        <v>1</v>
      </c>
      <c r="J1320" s="11">
        <f t="shared" si="144"/>
        <v>0</v>
      </c>
      <c r="K1320" s="6">
        <f t="shared" si="145"/>
        <v>5929.6000979999999</v>
      </c>
      <c r="L1320" s="4">
        <f t="shared" si="146"/>
        <v>0</v>
      </c>
    </row>
    <row r="1321" spans="1:12" x14ac:dyDescent="0.25">
      <c r="A1321" s="1">
        <v>43014</v>
      </c>
      <c r="B1321">
        <v>5888</v>
      </c>
      <c r="C1321">
        <v>5888</v>
      </c>
      <c r="D1321">
        <v>5841.6499020000001</v>
      </c>
      <c r="E1321">
        <v>5847.7001950000003</v>
      </c>
      <c r="F1321" s="4">
        <f t="shared" si="141"/>
        <v>5847.7001950000003</v>
      </c>
      <c r="G1321" s="4">
        <f t="shared" si="142"/>
        <v>5929.6000979999999</v>
      </c>
      <c r="H1321" s="4" t="str">
        <f t="shared" si="143"/>
        <v>SELL</v>
      </c>
      <c r="I1321" s="4">
        <f t="shared" si="140"/>
        <v>-1</v>
      </c>
      <c r="J1321" s="11" t="str">
        <f t="shared" si="144"/>
        <v>SELL</v>
      </c>
      <c r="K1321" s="6">
        <f t="shared" si="145"/>
        <v>5847.7001950000003</v>
      </c>
      <c r="L1321" s="4">
        <f t="shared" si="146"/>
        <v>-1.3812044934973546E-2</v>
      </c>
    </row>
    <row r="1322" spans="1:12" x14ac:dyDescent="0.25">
      <c r="A1322" s="1">
        <v>43017</v>
      </c>
      <c r="B1322">
        <v>5869</v>
      </c>
      <c r="C1322">
        <v>5871.8999020000001</v>
      </c>
      <c r="D1322">
        <v>5844.7001950000003</v>
      </c>
      <c r="E1322">
        <v>5855.75</v>
      </c>
      <c r="F1322" s="4">
        <f t="shared" si="141"/>
        <v>5847.7001950000003</v>
      </c>
      <c r="G1322" s="4">
        <f t="shared" si="142"/>
        <v>5929.6000979999999</v>
      </c>
      <c r="H1322" s="4">
        <f t="shared" si="143"/>
        <v>0</v>
      </c>
      <c r="I1322" s="4">
        <f t="shared" si="140"/>
        <v>-1</v>
      </c>
      <c r="J1322" s="11">
        <f t="shared" si="144"/>
        <v>0</v>
      </c>
      <c r="K1322" s="6">
        <f t="shared" si="145"/>
        <v>5847.7001950000003</v>
      </c>
      <c r="L1322" s="4">
        <f t="shared" si="146"/>
        <v>0</v>
      </c>
    </row>
    <row r="1323" spans="1:12" x14ac:dyDescent="0.25">
      <c r="A1323" s="1">
        <v>43018</v>
      </c>
      <c r="B1323">
        <v>5864.9501950000003</v>
      </c>
      <c r="C1323">
        <v>5917.2998049999997</v>
      </c>
      <c r="D1323">
        <v>5859.5498049999997</v>
      </c>
      <c r="E1323">
        <v>5905.6000979999999</v>
      </c>
      <c r="F1323" s="4">
        <f t="shared" si="141"/>
        <v>5847.7001950000003</v>
      </c>
      <c r="G1323" s="4">
        <f t="shared" si="142"/>
        <v>5929.6000979999999</v>
      </c>
      <c r="H1323" s="4">
        <f t="shared" si="143"/>
        <v>0</v>
      </c>
      <c r="I1323" s="4">
        <f t="shared" si="140"/>
        <v>-1</v>
      </c>
      <c r="J1323" s="11">
        <f t="shared" si="144"/>
        <v>0</v>
      </c>
      <c r="K1323" s="6">
        <f t="shared" si="145"/>
        <v>5847.7001950000003</v>
      </c>
      <c r="L1323" s="4">
        <f t="shared" si="146"/>
        <v>0</v>
      </c>
    </row>
    <row r="1324" spans="1:12" x14ac:dyDescent="0.25">
      <c r="A1324" s="1">
        <v>43019</v>
      </c>
      <c r="B1324">
        <v>5930.2001950000003</v>
      </c>
      <c r="C1324">
        <v>5930.7998049999997</v>
      </c>
      <c r="D1324">
        <v>5864.7001950000003</v>
      </c>
      <c r="E1324">
        <v>5870.1000979999999</v>
      </c>
      <c r="F1324" s="4">
        <f t="shared" si="141"/>
        <v>5847.7001950000003</v>
      </c>
      <c r="G1324" s="4">
        <f t="shared" si="142"/>
        <v>5916.3999020000001</v>
      </c>
      <c r="H1324" s="4">
        <f t="shared" si="143"/>
        <v>0</v>
      </c>
      <c r="I1324" s="4">
        <f t="shared" si="140"/>
        <v>-1</v>
      </c>
      <c r="J1324" s="11">
        <f t="shared" si="144"/>
        <v>0</v>
      </c>
      <c r="K1324" s="6">
        <f t="shared" si="145"/>
        <v>5847.7001950000003</v>
      </c>
      <c r="L1324" s="4">
        <f t="shared" si="146"/>
        <v>0</v>
      </c>
    </row>
    <row r="1325" spans="1:12" x14ac:dyDescent="0.25">
      <c r="A1325" s="1">
        <v>43020</v>
      </c>
      <c r="B1325">
        <v>5887.1499020000001</v>
      </c>
      <c r="C1325">
        <v>5915.75</v>
      </c>
      <c r="D1325">
        <v>5879.5</v>
      </c>
      <c r="E1325">
        <v>5908.3500979999999</v>
      </c>
      <c r="F1325" s="4">
        <f t="shared" si="141"/>
        <v>5847.7001950000003</v>
      </c>
      <c r="G1325" s="4">
        <f t="shared" si="142"/>
        <v>5908.3500979999999</v>
      </c>
      <c r="H1325" s="4">
        <f t="shared" si="143"/>
        <v>0</v>
      </c>
      <c r="I1325" s="4">
        <f t="shared" si="140"/>
        <v>-1</v>
      </c>
      <c r="J1325" s="11">
        <f t="shared" si="144"/>
        <v>0</v>
      </c>
      <c r="K1325" s="6">
        <f t="shared" si="145"/>
        <v>5847.7001950000003</v>
      </c>
      <c r="L1325" s="4">
        <f t="shared" si="146"/>
        <v>0</v>
      </c>
    </row>
    <row r="1326" spans="1:12" x14ac:dyDescent="0.25">
      <c r="A1326" s="1">
        <v>43021</v>
      </c>
      <c r="B1326">
        <v>5901.2001950000003</v>
      </c>
      <c r="C1326">
        <v>5919</v>
      </c>
      <c r="D1326">
        <v>5897.1499020000001</v>
      </c>
      <c r="E1326">
        <v>5905.1000979999999</v>
      </c>
      <c r="F1326" s="4">
        <f t="shared" si="141"/>
        <v>5855.75</v>
      </c>
      <c r="G1326" s="4">
        <f t="shared" si="142"/>
        <v>5908.3500979999999</v>
      </c>
      <c r="H1326" s="4">
        <f t="shared" si="143"/>
        <v>0</v>
      </c>
      <c r="I1326" s="4">
        <f t="shared" si="140"/>
        <v>-1</v>
      </c>
      <c r="J1326" s="11">
        <f t="shared" si="144"/>
        <v>0</v>
      </c>
      <c r="K1326" s="6">
        <f t="shared" si="145"/>
        <v>5847.7001950000003</v>
      </c>
      <c r="L1326" s="4">
        <f t="shared" si="146"/>
        <v>0</v>
      </c>
    </row>
    <row r="1327" spans="1:12" x14ac:dyDescent="0.25">
      <c r="A1327" s="1">
        <v>43024</v>
      </c>
      <c r="B1327">
        <v>5982.6000979999999</v>
      </c>
      <c r="C1327">
        <v>6006.0498049999997</v>
      </c>
      <c r="D1327">
        <v>5982</v>
      </c>
      <c r="E1327">
        <v>5993.25</v>
      </c>
      <c r="F1327" s="4">
        <f t="shared" si="141"/>
        <v>5870.1000979999999</v>
      </c>
      <c r="G1327" s="4">
        <f t="shared" si="142"/>
        <v>5993.25</v>
      </c>
      <c r="H1327" s="4" t="str">
        <f t="shared" si="143"/>
        <v>BUY</v>
      </c>
      <c r="I1327" s="4">
        <f t="shared" si="140"/>
        <v>1</v>
      </c>
      <c r="J1327" s="11" t="str">
        <f t="shared" si="144"/>
        <v>BUY</v>
      </c>
      <c r="K1327" s="6">
        <f t="shared" si="145"/>
        <v>5993.25</v>
      </c>
      <c r="L1327" s="4">
        <f t="shared" si="146"/>
        <v>-2.4890093566091179E-2</v>
      </c>
    </row>
    <row r="1328" spans="1:12" x14ac:dyDescent="0.25">
      <c r="A1328" s="1">
        <v>43025</v>
      </c>
      <c r="B1328">
        <v>6015.7998049999997</v>
      </c>
      <c r="C1328">
        <v>6017</v>
      </c>
      <c r="D1328">
        <v>5986.5498049999997</v>
      </c>
      <c r="E1328">
        <v>6009.5</v>
      </c>
      <c r="F1328" s="4">
        <f t="shared" si="141"/>
        <v>5870.1000979999999</v>
      </c>
      <c r="G1328" s="4">
        <f t="shared" si="142"/>
        <v>6009.5</v>
      </c>
      <c r="H1328" s="4" t="str">
        <f t="shared" si="143"/>
        <v>BUY</v>
      </c>
      <c r="I1328" s="4">
        <f t="shared" si="140"/>
        <v>1</v>
      </c>
      <c r="J1328" s="11">
        <f t="shared" si="144"/>
        <v>0</v>
      </c>
      <c r="K1328" s="6">
        <f t="shared" si="145"/>
        <v>5993.25</v>
      </c>
      <c r="L1328" s="4">
        <f t="shared" si="146"/>
        <v>0</v>
      </c>
    </row>
    <row r="1329" spans="1:12" x14ac:dyDescent="0.25">
      <c r="A1329" s="1">
        <v>43026</v>
      </c>
      <c r="B1329">
        <v>6011.9501950000003</v>
      </c>
      <c r="C1329">
        <v>6020.75</v>
      </c>
      <c r="D1329">
        <v>5981.5498049999997</v>
      </c>
      <c r="E1329">
        <v>6016.1499020000001</v>
      </c>
      <c r="F1329" s="4">
        <f t="shared" si="141"/>
        <v>5905.1000979999999</v>
      </c>
      <c r="G1329" s="4">
        <f t="shared" si="142"/>
        <v>6016.1499020000001</v>
      </c>
      <c r="H1329" s="4" t="str">
        <f t="shared" si="143"/>
        <v>BUY</v>
      </c>
      <c r="I1329" s="4">
        <f t="shared" si="140"/>
        <v>1</v>
      </c>
      <c r="J1329" s="11">
        <f t="shared" si="144"/>
        <v>0</v>
      </c>
      <c r="K1329" s="6">
        <f t="shared" si="145"/>
        <v>5993.25</v>
      </c>
      <c r="L1329" s="4">
        <f t="shared" si="146"/>
        <v>0</v>
      </c>
    </row>
    <row r="1330" spans="1:12" x14ac:dyDescent="0.25">
      <c r="A1330" s="1">
        <v>43027</v>
      </c>
      <c r="B1330">
        <v>6042.1499020000001</v>
      </c>
      <c r="C1330">
        <v>6042.1499020000001</v>
      </c>
      <c r="D1330">
        <v>5977.1499020000001</v>
      </c>
      <c r="E1330">
        <v>5988.3999020000001</v>
      </c>
      <c r="F1330" s="4">
        <f t="shared" si="141"/>
        <v>5905.1000979999999</v>
      </c>
      <c r="G1330" s="4">
        <f t="shared" si="142"/>
        <v>6016.1499020000001</v>
      </c>
      <c r="H1330" s="4">
        <f t="shared" si="143"/>
        <v>0</v>
      </c>
      <c r="I1330" s="4">
        <f t="shared" si="140"/>
        <v>1</v>
      </c>
      <c r="J1330" s="11">
        <f t="shared" si="144"/>
        <v>0</v>
      </c>
      <c r="K1330" s="6">
        <f t="shared" si="145"/>
        <v>5993.25</v>
      </c>
      <c r="L1330" s="4">
        <f t="shared" si="146"/>
        <v>0</v>
      </c>
    </row>
    <row r="1331" spans="1:12" x14ac:dyDescent="0.25">
      <c r="A1331" s="1">
        <v>43028</v>
      </c>
      <c r="B1331">
        <v>5983.4501950000003</v>
      </c>
      <c r="C1331">
        <v>6007.0498049999997</v>
      </c>
      <c r="D1331">
        <v>5964.3999020000001</v>
      </c>
      <c r="E1331">
        <v>6001.7001950000003</v>
      </c>
      <c r="F1331" s="4">
        <f t="shared" si="141"/>
        <v>5988.3999020000001</v>
      </c>
      <c r="G1331" s="4">
        <f t="shared" si="142"/>
        <v>6016.1499020000001</v>
      </c>
      <c r="H1331" s="4">
        <f t="shared" si="143"/>
        <v>0</v>
      </c>
      <c r="I1331" s="4">
        <f t="shared" si="140"/>
        <v>1</v>
      </c>
      <c r="J1331" s="11">
        <f t="shared" si="144"/>
        <v>0</v>
      </c>
      <c r="K1331" s="6">
        <f t="shared" si="145"/>
        <v>5993.25</v>
      </c>
      <c r="L1331" s="4">
        <f t="shared" si="146"/>
        <v>0</v>
      </c>
    </row>
    <row r="1332" spans="1:12" x14ac:dyDescent="0.25">
      <c r="A1332" s="1">
        <v>43031</v>
      </c>
      <c r="B1332">
        <v>6006.2001950000003</v>
      </c>
      <c r="C1332">
        <v>6020.1000979999999</v>
      </c>
      <c r="D1332">
        <v>5958.4501950000003</v>
      </c>
      <c r="E1332">
        <v>5971.5</v>
      </c>
      <c r="F1332" s="4">
        <f t="shared" si="141"/>
        <v>5971.5</v>
      </c>
      <c r="G1332" s="4">
        <f t="shared" si="142"/>
        <v>6016.1499020000001</v>
      </c>
      <c r="H1332" s="4" t="str">
        <f t="shared" si="143"/>
        <v>SELL</v>
      </c>
      <c r="I1332" s="4">
        <f t="shared" si="140"/>
        <v>-1</v>
      </c>
      <c r="J1332" s="11" t="str">
        <f t="shared" si="144"/>
        <v>SELL</v>
      </c>
      <c r="K1332" s="6">
        <f t="shared" si="145"/>
        <v>5971.5</v>
      </c>
      <c r="L1332" s="4">
        <f t="shared" si="146"/>
        <v>-3.6290827180578151E-3</v>
      </c>
    </row>
    <row r="1333" spans="1:12" x14ac:dyDescent="0.25">
      <c r="A1333" s="1">
        <v>43032</v>
      </c>
      <c r="B1333">
        <v>5998.7998049999997</v>
      </c>
      <c r="C1333">
        <v>6005.1499020000001</v>
      </c>
      <c r="D1333">
        <v>5947.2998049999997</v>
      </c>
      <c r="E1333">
        <v>5968.6499020000001</v>
      </c>
      <c r="F1333" s="4">
        <f t="shared" si="141"/>
        <v>5968.6499020000001</v>
      </c>
      <c r="G1333" s="4">
        <f t="shared" si="142"/>
        <v>6016.1499020000001</v>
      </c>
      <c r="H1333" s="4" t="str">
        <f t="shared" si="143"/>
        <v>SELL</v>
      </c>
      <c r="I1333" s="4">
        <f t="shared" si="140"/>
        <v>-1</v>
      </c>
      <c r="J1333" s="11">
        <f t="shared" si="144"/>
        <v>0</v>
      </c>
      <c r="K1333" s="6">
        <f t="shared" si="145"/>
        <v>5971.5</v>
      </c>
      <c r="L1333" s="4">
        <f t="shared" si="146"/>
        <v>0</v>
      </c>
    </row>
    <row r="1334" spans="1:12" x14ac:dyDescent="0.25">
      <c r="A1334" s="1">
        <v>43033</v>
      </c>
      <c r="B1334">
        <v>6012.3999020000001</v>
      </c>
      <c r="C1334">
        <v>6018.8500979999999</v>
      </c>
      <c r="D1334">
        <v>5940.6000979999999</v>
      </c>
      <c r="E1334">
        <v>5951.2998049999997</v>
      </c>
      <c r="F1334" s="4">
        <f t="shared" si="141"/>
        <v>5951.2998049999997</v>
      </c>
      <c r="G1334" s="4">
        <f t="shared" si="142"/>
        <v>6001.7001950000003</v>
      </c>
      <c r="H1334" s="4" t="str">
        <f t="shared" si="143"/>
        <v>SELL</v>
      </c>
      <c r="I1334" s="4">
        <f t="shared" si="140"/>
        <v>-1</v>
      </c>
      <c r="J1334" s="11">
        <f t="shared" si="144"/>
        <v>0</v>
      </c>
      <c r="K1334" s="6">
        <f t="shared" si="145"/>
        <v>5971.5</v>
      </c>
      <c r="L1334" s="4">
        <f t="shared" si="146"/>
        <v>0</v>
      </c>
    </row>
    <row r="1335" spans="1:12" x14ac:dyDescent="0.25">
      <c r="A1335" s="1">
        <v>43034</v>
      </c>
      <c r="B1335">
        <v>5967.2001950000003</v>
      </c>
      <c r="C1335">
        <v>6036.8999020000001</v>
      </c>
      <c r="D1335">
        <v>5962.1499020000001</v>
      </c>
      <c r="E1335">
        <v>6024.0498049999997</v>
      </c>
      <c r="F1335" s="4">
        <f t="shared" si="141"/>
        <v>5951.2998049999997</v>
      </c>
      <c r="G1335" s="4">
        <f t="shared" si="142"/>
        <v>6024.0498049999997</v>
      </c>
      <c r="H1335" s="4" t="str">
        <f t="shared" si="143"/>
        <v>BUY</v>
      </c>
      <c r="I1335" s="4">
        <f t="shared" si="140"/>
        <v>1</v>
      </c>
      <c r="J1335" s="11" t="str">
        <f t="shared" si="144"/>
        <v>BUY</v>
      </c>
      <c r="K1335" s="6">
        <f t="shared" si="145"/>
        <v>6024.0498049999997</v>
      </c>
      <c r="L1335" s="4">
        <f t="shared" si="146"/>
        <v>-8.800101314577518E-3</v>
      </c>
    </row>
    <row r="1336" spans="1:12" x14ac:dyDescent="0.25">
      <c r="A1336" s="1">
        <v>43035</v>
      </c>
      <c r="B1336">
        <v>6037.8500979999999</v>
      </c>
      <c r="C1336">
        <v>6068.5</v>
      </c>
      <c r="D1336">
        <v>6018.6000979999999</v>
      </c>
      <c r="E1336">
        <v>6056.6000979999999</v>
      </c>
      <c r="F1336" s="4">
        <f t="shared" si="141"/>
        <v>5951.2998049999997</v>
      </c>
      <c r="G1336" s="4">
        <f t="shared" si="142"/>
        <v>6056.6000979999999</v>
      </c>
      <c r="H1336" s="4" t="str">
        <f t="shared" si="143"/>
        <v>BUY</v>
      </c>
      <c r="I1336" s="4">
        <f t="shared" si="140"/>
        <v>1</v>
      </c>
      <c r="J1336" s="11">
        <f t="shared" si="144"/>
        <v>0</v>
      </c>
      <c r="K1336" s="6">
        <f t="shared" si="145"/>
        <v>6024.0498049999997</v>
      </c>
      <c r="L1336" s="4">
        <f t="shared" si="146"/>
        <v>0</v>
      </c>
    </row>
    <row r="1337" spans="1:12" x14ac:dyDescent="0.25">
      <c r="A1337" s="1">
        <v>43038</v>
      </c>
      <c r="B1337">
        <v>6049</v>
      </c>
      <c r="C1337">
        <v>6055.9501950000003</v>
      </c>
      <c r="D1337">
        <v>5992.0498049999997</v>
      </c>
      <c r="E1337">
        <v>6001.8500979999999</v>
      </c>
      <c r="F1337" s="4">
        <f t="shared" si="141"/>
        <v>5951.2998049999997</v>
      </c>
      <c r="G1337" s="4">
        <f t="shared" si="142"/>
        <v>6056.6000979999999</v>
      </c>
      <c r="H1337" s="4">
        <f t="shared" si="143"/>
        <v>0</v>
      </c>
      <c r="I1337" s="4">
        <f t="shared" si="140"/>
        <v>1</v>
      </c>
      <c r="J1337" s="11">
        <f t="shared" si="144"/>
        <v>0</v>
      </c>
      <c r="K1337" s="6">
        <f t="shared" si="145"/>
        <v>6024.0498049999997</v>
      </c>
      <c r="L1337" s="4">
        <f t="shared" si="146"/>
        <v>0</v>
      </c>
    </row>
    <row r="1338" spans="1:12" x14ac:dyDescent="0.25">
      <c r="A1338" s="1">
        <v>43039</v>
      </c>
      <c r="B1338">
        <v>6001.25</v>
      </c>
      <c r="C1338">
        <v>6053.2001950000003</v>
      </c>
      <c r="D1338">
        <v>5988.1000979999999</v>
      </c>
      <c r="E1338">
        <v>6039.2001950000003</v>
      </c>
      <c r="F1338" s="4">
        <f t="shared" si="141"/>
        <v>5951.2998049999997</v>
      </c>
      <c r="G1338" s="4">
        <f t="shared" si="142"/>
        <v>6056.6000979999999</v>
      </c>
      <c r="H1338" s="4">
        <f t="shared" si="143"/>
        <v>0</v>
      </c>
      <c r="I1338" s="4">
        <f t="shared" si="140"/>
        <v>1</v>
      </c>
      <c r="J1338" s="11">
        <f t="shared" si="144"/>
        <v>0</v>
      </c>
      <c r="K1338" s="6">
        <f t="shared" si="145"/>
        <v>6024.0498049999997</v>
      </c>
      <c r="L1338" s="4">
        <f t="shared" si="146"/>
        <v>0</v>
      </c>
    </row>
    <row r="1339" spans="1:12" x14ac:dyDescent="0.25">
      <c r="A1339" s="1">
        <v>43040</v>
      </c>
      <c r="B1339">
        <v>6059.8500979999999</v>
      </c>
      <c r="C1339">
        <v>6083.3999020000001</v>
      </c>
      <c r="D1339">
        <v>6048.2998049999997</v>
      </c>
      <c r="E1339">
        <v>6064.3999020000001</v>
      </c>
      <c r="F1339" s="4">
        <f t="shared" si="141"/>
        <v>6001.8500979999999</v>
      </c>
      <c r="G1339" s="4">
        <f t="shared" si="142"/>
        <v>6064.3999020000001</v>
      </c>
      <c r="H1339" s="4" t="str">
        <f t="shared" si="143"/>
        <v>BUY</v>
      </c>
      <c r="I1339" s="4">
        <f t="shared" si="140"/>
        <v>1</v>
      </c>
      <c r="J1339" s="11">
        <f t="shared" si="144"/>
        <v>0</v>
      </c>
      <c r="K1339" s="6">
        <f t="shared" si="145"/>
        <v>6024.0498049999997</v>
      </c>
      <c r="L1339" s="4">
        <f t="shared" si="146"/>
        <v>0</v>
      </c>
    </row>
    <row r="1340" spans="1:12" x14ac:dyDescent="0.25">
      <c r="A1340" s="1">
        <v>43041</v>
      </c>
      <c r="B1340">
        <v>6085.75</v>
      </c>
      <c r="C1340">
        <v>6094.3500979999999</v>
      </c>
      <c r="D1340">
        <v>6065.1000979999999</v>
      </c>
      <c r="E1340">
        <v>6082.2998049999997</v>
      </c>
      <c r="F1340" s="4">
        <f t="shared" si="141"/>
        <v>6001.8500979999999</v>
      </c>
      <c r="G1340" s="4">
        <f t="shared" si="142"/>
        <v>6082.2998049999997</v>
      </c>
      <c r="H1340" s="4" t="str">
        <f t="shared" si="143"/>
        <v>BUY</v>
      </c>
      <c r="I1340" s="4">
        <f t="shared" si="140"/>
        <v>1</v>
      </c>
      <c r="J1340" s="11">
        <f t="shared" si="144"/>
        <v>0</v>
      </c>
      <c r="K1340" s="6">
        <f t="shared" si="145"/>
        <v>6024.0498049999997</v>
      </c>
      <c r="L1340" s="4">
        <f t="shared" si="146"/>
        <v>0</v>
      </c>
    </row>
    <row r="1341" spans="1:12" x14ac:dyDescent="0.25">
      <c r="A1341" s="1">
        <v>43042</v>
      </c>
      <c r="B1341">
        <v>6080.1499020000001</v>
      </c>
      <c r="C1341">
        <v>6101.2998049999997</v>
      </c>
      <c r="D1341">
        <v>6040.5</v>
      </c>
      <c r="E1341">
        <v>6048.5</v>
      </c>
      <c r="F1341" s="4">
        <f t="shared" si="141"/>
        <v>6001.8500979999999</v>
      </c>
      <c r="G1341" s="4">
        <f t="shared" si="142"/>
        <v>6082.2998049999997</v>
      </c>
      <c r="H1341" s="4">
        <f t="shared" si="143"/>
        <v>0</v>
      </c>
      <c r="I1341" s="4">
        <f t="shared" si="140"/>
        <v>1</v>
      </c>
      <c r="J1341" s="11">
        <f t="shared" si="144"/>
        <v>0</v>
      </c>
      <c r="K1341" s="6">
        <f t="shared" si="145"/>
        <v>6024.0498049999997</v>
      </c>
      <c r="L1341" s="4">
        <f t="shared" si="146"/>
        <v>0</v>
      </c>
    </row>
    <row r="1342" spans="1:12" x14ac:dyDescent="0.25">
      <c r="A1342" s="1">
        <v>43045</v>
      </c>
      <c r="B1342">
        <v>6052.8500979999999</v>
      </c>
      <c r="C1342">
        <v>6069.7998049999997</v>
      </c>
      <c r="D1342">
        <v>6021.1499020000001</v>
      </c>
      <c r="E1342">
        <v>6054.2998049999997</v>
      </c>
      <c r="F1342" s="4">
        <f t="shared" si="141"/>
        <v>6039.2001950000003</v>
      </c>
      <c r="G1342" s="4">
        <f t="shared" si="142"/>
        <v>6082.2998049999997</v>
      </c>
      <c r="H1342" s="4">
        <f t="shared" si="143"/>
        <v>0</v>
      </c>
      <c r="I1342" s="4">
        <f t="shared" si="140"/>
        <v>1</v>
      </c>
      <c r="J1342" s="11">
        <f t="shared" si="144"/>
        <v>0</v>
      </c>
      <c r="K1342" s="6">
        <f t="shared" si="145"/>
        <v>6024.0498049999997</v>
      </c>
      <c r="L1342" s="4">
        <f t="shared" si="146"/>
        <v>0</v>
      </c>
    </row>
    <row r="1343" spans="1:12" x14ac:dyDescent="0.25">
      <c r="A1343" s="1">
        <v>43046</v>
      </c>
      <c r="B1343">
        <v>6046.2001950000003</v>
      </c>
      <c r="C1343">
        <v>6065.2998049999997</v>
      </c>
      <c r="D1343">
        <v>6007.8500979999999</v>
      </c>
      <c r="E1343">
        <v>6019.3500979999999</v>
      </c>
      <c r="F1343" s="4">
        <f t="shared" si="141"/>
        <v>6019.3500979999999</v>
      </c>
      <c r="G1343" s="4">
        <f t="shared" si="142"/>
        <v>6082.2998049999997</v>
      </c>
      <c r="H1343" s="4" t="str">
        <f t="shared" si="143"/>
        <v>SELL</v>
      </c>
      <c r="I1343" s="4">
        <f t="shared" si="140"/>
        <v>-1</v>
      </c>
      <c r="J1343" s="11" t="str">
        <f t="shared" si="144"/>
        <v>SELL</v>
      </c>
      <c r="K1343" s="6">
        <f t="shared" si="145"/>
        <v>6019.3500979999999</v>
      </c>
      <c r="L1343" s="4">
        <f t="shared" si="146"/>
        <v>-7.8015739446559275E-4</v>
      </c>
    </row>
    <row r="1344" spans="1:12" x14ac:dyDescent="0.25">
      <c r="A1344" s="1">
        <v>43047</v>
      </c>
      <c r="B1344">
        <v>6024.5</v>
      </c>
      <c r="C1344">
        <v>6080.5498049999997</v>
      </c>
      <c r="D1344">
        <v>6014.4501950000003</v>
      </c>
      <c r="E1344">
        <v>6074.6499020000001</v>
      </c>
      <c r="F1344" s="4">
        <f t="shared" si="141"/>
        <v>6019.3500979999999</v>
      </c>
      <c r="G1344" s="4">
        <f t="shared" si="142"/>
        <v>6082.2998049999997</v>
      </c>
      <c r="H1344" s="4">
        <f t="shared" si="143"/>
        <v>0</v>
      </c>
      <c r="I1344" s="4">
        <f t="shared" si="140"/>
        <v>-1</v>
      </c>
      <c r="J1344" s="11">
        <f t="shared" si="144"/>
        <v>0</v>
      </c>
      <c r="K1344" s="6">
        <f t="shared" si="145"/>
        <v>6019.3500979999999</v>
      </c>
      <c r="L1344" s="4">
        <f t="shared" si="146"/>
        <v>0</v>
      </c>
    </row>
    <row r="1345" spans="1:12" x14ac:dyDescent="0.25">
      <c r="A1345" s="1">
        <v>43048</v>
      </c>
      <c r="B1345">
        <v>6082.1000979999999</v>
      </c>
      <c r="C1345">
        <v>6088.3999020000001</v>
      </c>
      <c r="D1345">
        <v>6061.3999020000001</v>
      </c>
      <c r="E1345">
        <v>6074.7998049999997</v>
      </c>
      <c r="F1345" s="4">
        <f t="shared" si="141"/>
        <v>6019.3500979999999</v>
      </c>
      <c r="G1345" s="4">
        <f t="shared" si="142"/>
        <v>6074.7998049999997</v>
      </c>
      <c r="H1345" s="4">
        <f t="shared" si="143"/>
        <v>0</v>
      </c>
      <c r="I1345" s="4">
        <f t="shared" si="140"/>
        <v>-1</v>
      </c>
      <c r="J1345" s="11">
        <f t="shared" si="144"/>
        <v>0</v>
      </c>
      <c r="K1345" s="6">
        <f t="shared" si="145"/>
        <v>6019.3500979999999</v>
      </c>
      <c r="L1345" s="4">
        <f t="shared" si="146"/>
        <v>0</v>
      </c>
    </row>
    <row r="1346" spans="1:12" x14ac:dyDescent="0.25">
      <c r="A1346" s="1">
        <v>43049</v>
      </c>
      <c r="B1346">
        <v>6064.7001950000003</v>
      </c>
      <c r="C1346">
        <v>6111.7998049999997</v>
      </c>
      <c r="D1346">
        <v>6042.4501950000003</v>
      </c>
      <c r="E1346">
        <v>6049.8999020000001</v>
      </c>
      <c r="F1346" s="4">
        <f t="shared" si="141"/>
        <v>6019.3500979999999</v>
      </c>
      <c r="G1346" s="4">
        <f t="shared" si="142"/>
        <v>6074.7998049999997</v>
      </c>
      <c r="H1346" s="4">
        <f t="shared" si="143"/>
        <v>0</v>
      </c>
      <c r="I1346" s="4">
        <f t="shared" si="140"/>
        <v>-1</v>
      </c>
      <c r="J1346" s="11">
        <f t="shared" si="144"/>
        <v>0</v>
      </c>
      <c r="K1346" s="6">
        <f t="shared" si="145"/>
        <v>6019.3500979999999</v>
      </c>
      <c r="L1346" s="4">
        <f t="shared" si="146"/>
        <v>0</v>
      </c>
    </row>
    <row r="1347" spans="1:12" x14ac:dyDescent="0.25">
      <c r="A1347" s="1">
        <v>43052</v>
      </c>
      <c r="B1347">
        <v>6065</v>
      </c>
      <c r="C1347">
        <v>6071.9501950000003</v>
      </c>
      <c r="D1347">
        <v>6044.1499020000001</v>
      </c>
      <c r="E1347">
        <v>6055.75</v>
      </c>
      <c r="F1347" s="4">
        <f t="shared" si="141"/>
        <v>6019.3500979999999</v>
      </c>
      <c r="G1347" s="4">
        <f t="shared" si="142"/>
        <v>6074.7998049999997</v>
      </c>
      <c r="H1347" s="4">
        <f t="shared" si="143"/>
        <v>0</v>
      </c>
      <c r="I1347" s="4">
        <f t="shared" si="140"/>
        <v>-1</v>
      </c>
      <c r="J1347" s="11">
        <f t="shared" si="144"/>
        <v>0</v>
      </c>
      <c r="K1347" s="6">
        <f t="shared" si="145"/>
        <v>6019.3500979999999</v>
      </c>
      <c r="L1347" s="4">
        <f t="shared" si="146"/>
        <v>0</v>
      </c>
    </row>
    <row r="1348" spans="1:12" x14ac:dyDescent="0.25">
      <c r="A1348" s="1">
        <v>43053</v>
      </c>
      <c r="B1348">
        <v>6045.6499020000001</v>
      </c>
      <c r="C1348">
        <v>6058.0498049999997</v>
      </c>
      <c r="D1348">
        <v>6025.1499020000001</v>
      </c>
      <c r="E1348">
        <v>6034.75</v>
      </c>
      <c r="F1348" s="4">
        <f t="shared" si="141"/>
        <v>6034.75</v>
      </c>
      <c r="G1348" s="4">
        <f t="shared" si="142"/>
        <v>6074.7998049999997</v>
      </c>
      <c r="H1348" s="4">
        <f t="shared" si="143"/>
        <v>0</v>
      </c>
      <c r="I1348" s="4">
        <f t="shared" si="140"/>
        <v>-1</v>
      </c>
      <c r="J1348" s="11">
        <f t="shared" si="144"/>
        <v>0</v>
      </c>
      <c r="K1348" s="6">
        <f t="shared" si="145"/>
        <v>6019.3500979999999</v>
      </c>
      <c r="L1348" s="4">
        <f t="shared" si="146"/>
        <v>0</v>
      </c>
    </row>
    <row r="1349" spans="1:12" x14ac:dyDescent="0.25">
      <c r="A1349" s="1">
        <v>43054</v>
      </c>
      <c r="B1349">
        <v>6040.9501950000003</v>
      </c>
      <c r="C1349">
        <v>6052.9501950000003</v>
      </c>
      <c r="D1349">
        <v>5983.2001950000003</v>
      </c>
      <c r="E1349">
        <v>5998.8999020000001</v>
      </c>
      <c r="F1349" s="4">
        <f t="shared" si="141"/>
        <v>5998.8999020000001</v>
      </c>
      <c r="G1349" s="4">
        <f t="shared" si="142"/>
        <v>6074.7998049999997</v>
      </c>
      <c r="H1349" s="4" t="str">
        <f t="shared" si="143"/>
        <v>SELL</v>
      </c>
      <c r="I1349" s="4">
        <f t="shared" si="140"/>
        <v>-1</v>
      </c>
      <c r="J1349" s="11">
        <f t="shared" si="144"/>
        <v>0</v>
      </c>
      <c r="K1349" s="6">
        <f t="shared" si="145"/>
        <v>6019.3500979999999</v>
      </c>
      <c r="L1349" s="4">
        <f t="shared" si="146"/>
        <v>0</v>
      </c>
    </row>
    <row r="1350" spans="1:12" x14ac:dyDescent="0.25">
      <c r="A1350" s="1">
        <v>43055</v>
      </c>
      <c r="B1350">
        <v>6025.2001950000003</v>
      </c>
      <c r="C1350">
        <v>6038.5</v>
      </c>
      <c r="D1350">
        <v>5981.25</v>
      </c>
      <c r="E1350">
        <v>5987.25</v>
      </c>
      <c r="F1350" s="4">
        <f t="shared" si="141"/>
        <v>5987.25</v>
      </c>
      <c r="G1350" s="4">
        <f t="shared" si="142"/>
        <v>6055.75</v>
      </c>
      <c r="H1350" s="4" t="str">
        <f t="shared" si="143"/>
        <v>SELL</v>
      </c>
      <c r="I1350" s="4">
        <f t="shared" ref="I1350:I1413" si="147">IF(AND(H1350="BUY",I1349&lt;&gt;1),1,IF(AND(H1350="SELL",I1349&lt;&gt;-1),-1,I1349))</f>
        <v>-1</v>
      </c>
      <c r="J1350" s="11">
        <f t="shared" si="144"/>
        <v>0</v>
      </c>
      <c r="K1350" s="6">
        <f t="shared" si="145"/>
        <v>6019.3500979999999</v>
      </c>
      <c r="L1350" s="4">
        <f t="shared" si="146"/>
        <v>0</v>
      </c>
    </row>
    <row r="1351" spans="1:12" x14ac:dyDescent="0.25">
      <c r="A1351" s="1">
        <v>43056</v>
      </c>
      <c r="B1351">
        <v>5948.2001950000003</v>
      </c>
      <c r="C1351">
        <v>5970.3500979999999</v>
      </c>
      <c r="D1351">
        <v>5946.8999020000001</v>
      </c>
      <c r="E1351">
        <v>5956.8999020000001</v>
      </c>
      <c r="F1351" s="4">
        <f t="shared" ref="F1351:F1414" si="148">MIN(E1347:E1351)</f>
        <v>5956.8999020000001</v>
      </c>
      <c r="G1351" s="4">
        <f t="shared" ref="G1351:G1414" si="149">MAX(E1347:E1351)</f>
        <v>6055.75</v>
      </c>
      <c r="H1351" s="4" t="str">
        <f t="shared" ref="H1351:H1414" si="150">IF(E1351&gt;G1350,"BUY",IF(E1351&lt;F1350,"SELL",0))</f>
        <v>SELL</v>
      </c>
      <c r="I1351" s="4">
        <f t="shared" si="147"/>
        <v>-1</v>
      </c>
      <c r="J1351" s="11">
        <f t="shared" ref="J1351:J1414" si="151">IF(I1351&lt;&gt;I1350,H1351,0)</f>
        <v>0</v>
      </c>
      <c r="K1351" s="6">
        <f t="shared" ref="K1351:K1414" si="152">IF(J1351&lt;&gt;0,E1351,K1350)</f>
        <v>6019.3500979999999</v>
      </c>
      <c r="L1351" s="4">
        <f t="shared" si="146"/>
        <v>0</v>
      </c>
    </row>
    <row r="1352" spans="1:12" x14ac:dyDescent="0.25">
      <c r="A1352" s="1">
        <v>43059</v>
      </c>
      <c r="B1352">
        <v>5988.0498049999997</v>
      </c>
      <c r="C1352">
        <v>5990.8999020000001</v>
      </c>
      <c r="D1352">
        <v>5953.1499020000001</v>
      </c>
      <c r="E1352">
        <v>5959.2001950000003</v>
      </c>
      <c r="F1352" s="4">
        <f t="shared" si="148"/>
        <v>5956.8999020000001</v>
      </c>
      <c r="G1352" s="4">
        <f t="shared" si="149"/>
        <v>6034.75</v>
      </c>
      <c r="H1352" s="4">
        <f t="shared" si="150"/>
        <v>0</v>
      </c>
      <c r="I1352" s="4">
        <f t="shared" si="147"/>
        <v>-1</v>
      </c>
      <c r="J1352" s="11">
        <f t="shared" si="151"/>
        <v>0</v>
      </c>
      <c r="K1352" s="6">
        <f t="shared" si="152"/>
        <v>6019.3500979999999</v>
      </c>
      <c r="L1352" s="4">
        <f t="shared" ref="L1352:L1415" si="153">IF(J1352="BUY",(K1351-K1352)/K1351,IF(J1352="SELL",(K1353-K1351)/K1351,0))</f>
        <v>0</v>
      </c>
    </row>
    <row r="1353" spans="1:12" x14ac:dyDescent="0.25">
      <c r="A1353" s="1">
        <v>43060</v>
      </c>
      <c r="B1353">
        <v>5936.4501950000003</v>
      </c>
      <c r="C1353">
        <v>5978.5</v>
      </c>
      <c r="D1353">
        <v>5927.6000979999999</v>
      </c>
      <c r="E1353">
        <v>5938.7998049999997</v>
      </c>
      <c r="F1353" s="4">
        <f t="shared" si="148"/>
        <v>5938.7998049999997</v>
      </c>
      <c r="G1353" s="4">
        <f t="shared" si="149"/>
        <v>5998.8999020000001</v>
      </c>
      <c r="H1353" s="4" t="str">
        <f t="shared" si="150"/>
        <v>SELL</v>
      </c>
      <c r="I1353" s="4">
        <f t="shared" si="147"/>
        <v>-1</v>
      </c>
      <c r="J1353" s="11">
        <f t="shared" si="151"/>
        <v>0</v>
      </c>
      <c r="K1353" s="6">
        <f t="shared" si="152"/>
        <v>6019.3500979999999</v>
      </c>
      <c r="L1353" s="4">
        <f t="shared" si="153"/>
        <v>0</v>
      </c>
    </row>
    <row r="1354" spans="1:12" x14ac:dyDescent="0.25">
      <c r="A1354" s="1">
        <v>43061</v>
      </c>
      <c r="B1354">
        <v>5929.1000979999999</v>
      </c>
      <c r="C1354">
        <v>5953.7001950000003</v>
      </c>
      <c r="D1354">
        <v>5883.6499020000001</v>
      </c>
      <c r="E1354">
        <v>5903.5</v>
      </c>
      <c r="F1354" s="4">
        <f t="shared" si="148"/>
        <v>5903.5</v>
      </c>
      <c r="G1354" s="4">
        <f t="shared" si="149"/>
        <v>5987.25</v>
      </c>
      <c r="H1354" s="4" t="str">
        <f t="shared" si="150"/>
        <v>SELL</v>
      </c>
      <c r="I1354" s="4">
        <f t="shared" si="147"/>
        <v>-1</v>
      </c>
      <c r="J1354" s="11">
        <f t="shared" si="151"/>
        <v>0</v>
      </c>
      <c r="K1354" s="6">
        <f t="shared" si="152"/>
        <v>6019.3500979999999</v>
      </c>
      <c r="L1354" s="4">
        <f t="shared" si="153"/>
        <v>0</v>
      </c>
    </row>
    <row r="1355" spans="1:12" x14ac:dyDescent="0.25">
      <c r="A1355" s="1">
        <v>43062</v>
      </c>
      <c r="B1355">
        <v>5920.0498049999997</v>
      </c>
      <c r="C1355">
        <v>5924.1499020000001</v>
      </c>
      <c r="D1355">
        <v>5879.1000979999999</v>
      </c>
      <c r="E1355">
        <v>5897.8500979999999</v>
      </c>
      <c r="F1355" s="4">
        <f t="shared" si="148"/>
        <v>5897.8500979999999</v>
      </c>
      <c r="G1355" s="4">
        <f t="shared" si="149"/>
        <v>5959.2001950000003</v>
      </c>
      <c r="H1355" s="4" t="str">
        <f t="shared" si="150"/>
        <v>SELL</v>
      </c>
      <c r="I1355" s="4">
        <f t="shared" si="147"/>
        <v>-1</v>
      </c>
      <c r="J1355" s="11">
        <f t="shared" si="151"/>
        <v>0</v>
      </c>
      <c r="K1355" s="6">
        <f t="shared" si="152"/>
        <v>6019.3500979999999</v>
      </c>
      <c r="L1355" s="4">
        <f t="shared" si="153"/>
        <v>0</v>
      </c>
    </row>
    <row r="1356" spans="1:12" x14ac:dyDescent="0.25">
      <c r="A1356" s="1">
        <v>43063</v>
      </c>
      <c r="B1356">
        <v>5894.3500979999999</v>
      </c>
      <c r="C1356">
        <v>5927.6499020000001</v>
      </c>
      <c r="D1356">
        <v>5886.4501950000003</v>
      </c>
      <c r="E1356">
        <v>5922.5</v>
      </c>
      <c r="F1356" s="4">
        <f t="shared" si="148"/>
        <v>5897.8500979999999</v>
      </c>
      <c r="G1356" s="4">
        <f t="shared" si="149"/>
        <v>5959.2001950000003</v>
      </c>
      <c r="H1356" s="4">
        <f t="shared" si="150"/>
        <v>0</v>
      </c>
      <c r="I1356" s="4">
        <f t="shared" si="147"/>
        <v>-1</v>
      </c>
      <c r="J1356" s="11">
        <f t="shared" si="151"/>
        <v>0</v>
      </c>
      <c r="K1356" s="6">
        <f t="shared" si="152"/>
        <v>6019.3500979999999</v>
      </c>
      <c r="L1356" s="4">
        <f t="shared" si="153"/>
        <v>0</v>
      </c>
    </row>
    <row r="1357" spans="1:12" x14ac:dyDescent="0.25">
      <c r="A1357" s="1">
        <v>43066</v>
      </c>
      <c r="B1357">
        <v>5943.1499020000001</v>
      </c>
      <c r="C1357">
        <v>5969.5</v>
      </c>
      <c r="D1357">
        <v>5922.9501950000003</v>
      </c>
      <c r="E1357">
        <v>5932.9501950000003</v>
      </c>
      <c r="F1357" s="4">
        <f t="shared" si="148"/>
        <v>5897.8500979999999</v>
      </c>
      <c r="G1357" s="4">
        <f t="shared" si="149"/>
        <v>5938.7998049999997</v>
      </c>
      <c r="H1357" s="4">
        <f t="shared" si="150"/>
        <v>0</v>
      </c>
      <c r="I1357" s="4">
        <f t="shared" si="147"/>
        <v>-1</v>
      </c>
      <c r="J1357" s="11">
        <f t="shared" si="151"/>
        <v>0</v>
      </c>
      <c r="K1357" s="6">
        <f t="shared" si="152"/>
        <v>6019.3500979999999</v>
      </c>
      <c r="L1357" s="4">
        <f t="shared" si="153"/>
        <v>0</v>
      </c>
    </row>
    <row r="1358" spans="1:12" x14ac:dyDescent="0.25">
      <c r="A1358" s="1">
        <v>43067</v>
      </c>
      <c r="B1358">
        <v>5933.2001950000003</v>
      </c>
      <c r="C1358">
        <v>5940.2001950000003</v>
      </c>
      <c r="D1358">
        <v>5884.5498049999997</v>
      </c>
      <c r="E1358">
        <v>5896.9501950000003</v>
      </c>
      <c r="F1358" s="4">
        <f t="shared" si="148"/>
        <v>5896.9501950000003</v>
      </c>
      <c r="G1358" s="4">
        <f t="shared" si="149"/>
        <v>5932.9501950000003</v>
      </c>
      <c r="H1358" s="4" t="str">
        <f t="shared" si="150"/>
        <v>SELL</v>
      </c>
      <c r="I1358" s="4">
        <f t="shared" si="147"/>
        <v>-1</v>
      </c>
      <c r="J1358" s="11">
        <f t="shared" si="151"/>
        <v>0</v>
      </c>
      <c r="K1358" s="6">
        <f t="shared" si="152"/>
        <v>6019.3500979999999</v>
      </c>
      <c r="L1358" s="4">
        <f t="shared" si="153"/>
        <v>0</v>
      </c>
    </row>
    <row r="1359" spans="1:12" x14ac:dyDescent="0.25">
      <c r="A1359" s="1">
        <v>43068</v>
      </c>
      <c r="B1359">
        <v>5869.9501950000003</v>
      </c>
      <c r="C1359">
        <v>5899.9501950000003</v>
      </c>
      <c r="D1359">
        <v>5853.8999020000001</v>
      </c>
      <c r="E1359">
        <v>5887.3999020000001</v>
      </c>
      <c r="F1359" s="4">
        <f t="shared" si="148"/>
        <v>5887.3999020000001</v>
      </c>
      <c r="G1359" s="4">
        <f t="shared" si="149"/>
        <v>5932.9501950000003</v>
      </c>
      <c r="H1359" s="4" t="str">
        <f t="shared" si="150"/>
        <v>SELL</v>
      </c>
      <c r="I1359" s="4">
        <f t="shared" si="147"/>
        <v>-1</v>
      </c>
      <c r="J1359" s="11">
        <f t="shared" si="151"/>
        <v>0</v>
      </c>
      <c r="K1359" s="6">
        <f t="shared" si="152"/>
        <v>6019.3500979999999</v>
      </c>
      <c r="L1359" s="4">
        <f t="shared" si="153"/>
        <v>0</v>
      </c>
    </row>
    <row r="1360" spans="1:12" x14ac:dyDescent="0.25">
      <c r="A1360" s="1">
        <v>43069</v>
      </c>
      <c r="B1360">
        <v>5888.6499020000001</v>
      </c>
      <c r="C1360">
        <v>5911</v>
      </c>
      <c r="D1360">
        <v>5878.4501950000003</v>
      </c>
      <c r="E1360">
        <v>5898.2001950000003</v>
      </c>
      <c r="F1360" s="4">
        <f t="shared" si="148"/>
        <v>5887.3999020000001</v>
      </c>
      <c r="G1360" s="4">
        <f t="shared" si="149"/>
        <v>5932.9501950000003</v>
      </c>
      <c r="H1360" s="4">
        <f t="shared" si="150"/>
        <v>0</v>
      </c>
      <c r="I1360" s="4">
        <f t="shared" si="147"/>
        <v>-1</v>
      </c>
      <c r="J1360" s="11">
        <f t="shared" si="151"/>
        <v>0</v>
      </c>
      <c r="K1360" s="6">
        <f t="shared" si="152"/>
        <v>6019.3500979999999</v>
      </c>
      <c r="L1360" s="4">
        <f t="shared" si="153"/>
        <v>0</v>
      </c>
    </row>
    <row r="1361" spans="1:12" x14ac:dyDescent="0.25">
      <c r="A1361" s="1">
        <v>43070</v>
      </c>
      <c r="B1361">
        <v>5900.2001950000003</v>
      </c>
      <c r="C1361">
        <v>5947.5498049999997</v>
      </c>
      <c r="D1361">
        <v>5883.1499020000001</v>
      </c>
      <c r="E1361">
        <v>5939.7001950000003</v>
      </c>
      <c r="F1361" s="4">
        <f t="shared" si="148"/>
        <v>5887.3999020000001</v>
      </c>
      <c r="G1361" s="4">
        <f t="shared" si="149"/>
        <v>5939.7001950000003</v>
      </c>
      <c r="H1361" s="4" t="str">
        <f t="shared" si="150"/>
        <v>BUY</v>
      </c>
      <c r="I1361" s="4">
        <f t="shared" si="147"/>
        <v>1</v>
      </c>
      <c r="J1361" s="11" t="str">
        <f t="shared" si="151"/>
        <v>BUY</v>
      </c>
      <c r="K1361" s="6">
        <f t="shared" si="152"/>
        <v>5939.7001950000003</v>
      </c>
      <c r="L1361" s="4">
        <f t="shared" si="153"/>
        <v>1.3232309419328203E-2</v>
      </c>
    </row>
    <row r="1362" spans="1:12" x14ac:dyDescent="0.25">
      <c r="A1362" s="1">
        <v>43073</v>
      </c>
      <c r="B1362">
        <v>5966.2998049999997</v>
      </c>
      <c r="C1362">
        <v>5971</v>
      </c>
      <c r="D1362">
        <v>5937.5498049999997</v>
      </c>
      <c r="E1362">
        <v>5943.0498049999997</v>
      </c>
      <c r="F1362" s="4">
        <f t="shared" si="148"/>
        <v>5887.3999020000001</v>
      </c>
      <c r="G1362" s="4">
        <f t="shared" si="149"/>
        <v>5943.0498049999997</v>
      </c>
      <c r="H1362" s="4" t="str">
        <f t="shared" si="150"/>
        <v>BUY</v>
      </c>
      <c r="I1362" s="4">
        <f t="shared" si="147"/>
        <v>1</v>
      </c>
      <c r="J1362" s="11">
        <f t="shared" si="151"/>
        <v>0</v>
      </c>
      <c r="K1362" s="6">
        <f t="shared" si="152"/>
        <v>5939.7001950000003</v>
      </c>
      <c r="L1362" s="4">
        <f t="shared" si="153"/>
        <v>0</v>
      </c>
    </row>
    <row r="1363" spans="1:12" x14ac:dyDescent="0.25">
      <c r="A1363" s="1">
        <v>43074</v>
      </c>
      <c r="B1363">
        <v>5909.6499020000001</v>
      </c>
      <c r="C1363">
        <v>5921.1499020000001</v>
      </c>
      <c r="D1363">
        <v>5844.3999020000001</v>
      </c>
      <c r="E1363">
        <v>5852.25</v>
      </c>
      <c r="F1363" s="4">
        <f t="shared" si="148"/>
        <v>5852.25</v>
      </c>
      <c r="G1363" s="4">
        <f t="shared" si="149"/>
        <v>5943.0498049999997</v>
      </c>
      <c r="H1363" s="4" t="str">
        <f t="shared" si="150"/>
        <v>SELL</v>
      </c>
      <c r="I1363" s="4">
        <f t="shared" si="147"/>
        <v>-1</v>
      </c>
      <c r="J1363" s="11" t="str">
        <f t="shared" si="151"/>
        <v>SELL</v>
      </c>
      <c r="K1363" s="6">
        <f t="shared" si="152"/>
        <v>5852.25</v>
      </c>
      <c r="L1363" s="4">
        <f t="shared" si="153"/>
        <v>-1.472299815293966E-2</v>
      </c>
    </row>
    <row r="1364" spans="1:12" x14ac:dyDescent="0.25">
      <c r="A1364" s="1">
        <v>43075</v>
      </c>
      <c r="B1364">
        <v>5837.9501950000003</v>
      </c>
      <c r="C1364">
        <v>5873.7998049999997</v>
      </c>
      <c r="D1364">
        <v>5835.7998049999997</v>
      </c>
      <c r="E1364">
        <v>5850.2998049999997</v>
      </c>
      <c r="F1364" s="4">
        <f t="shared" si="148"/>
        <v>5850.2998049999997</v>
      </c>
      <c r="G1364" s="4">
        <f t="shared" si="149"/>
        <v>5943.0498049999997</v>
      </c>
      <c r="H1364" s="4" t="str">
        <f t="shared" si="150"/>
        <v>SELL</v>
      </c>
      <c r="I1364" s="4">
        <f t="shared" si="147"/>
        <v>-1</v>
      </c>
      <c r="J1364" s="11">
        <f t="shared" si="151"/>
        <v>0</v>
      </c>
      <c r="K1364" s="6">
        <f t="shared" si="152"/>
        <v>5852.25</v>
      </c>
      <c r="L1364" s="4">
        <f t="shared" si="153"/>
        <v>0</v>
      </c>
    </row>
    <row r="1365" spans="1:12" x14ac:dyDescent="0.25">
      <c r="A1365" s="1">
        <v>43076</v>
      </c>
      <c r="B1365">
        <v>5870.5498049999997</v>
      </c>
      <c r="C1365">
        <v>5878.3999020000001</v>
      </c>
      <c r="D1365">
        <v>5825</v>
      </c>
      <c r="E1365">
        <v>5854.75</v>
      </c>
      <c r="F1365" s="4">
        <f t="shared" si="148"/>
        <v>5850.2998049999997</v>
      </c>
      <c r="G1365" s="4">
        <f t="shared" si="149"/>
        <v>5943.0498049999997</v>
      </c>
      <c r="H1365" s="4">
        <f t="shared" si="150"/>
        <v>0</v>
      </c>
      <c r="I1365" s="4">
        <f t="shared" si="147"/>
        <v>-1</v>
      </c>
      <c r="J1365" s="11">
        <f t="shared" si="151"/>
        <v>0</v>
      </c>
      <c r="K1365" s="6">
        <f t="shared" si="152"/>
        <v>5852.25</v>
      </c>
      <c r="L1365" s="4">
        <f t="shared" si="153"/>
        <v>0</v>
      </c>
    </row>
    <row r="1366" spans="1:12" x14ac:dyDescent="0.25">
      <c r="A1366" s="1">
        <v>43077</v>
      </c>
      <c r="B1366">
        <v>5838.2998049999997</v>
      </c>
      <c r="C1366">
        <v>5838.8500979999999</v>
      </c>
      <c r="D1366">
        <v>5748.6000979999999</v>
      </c>
      <c r="E1366">
        <v>5761.3500979999999</v>
      </c>
      <c r="F1366" s="4">
        <f t="shared" si="148"/>
        <v>5761.3500979999999</v>
      </c>
      <c r="G1366" s="4">
        <f t="shared" si="149"/>
        <v>5943.0498049999997</v>
      </c>
      <c r="H1366" s="4" t="str">
        <f t="shared" si="150"/>
        <v>SELL</v>
      </c>
      <c r="I1366" s="4">
        <f t="shared" si="147"/>
        <v>-1</v>
      </c>
      <c r="J1366" s="11">
        <f t="shared" si="151"/>
        <v>0</v>
      </c>
      <c r="K1366" s="6">
        <f t="shared" si="152"/>
        <v>5852.25</v>
      </c>
      <c r="L1366" s="4">
        <f t="shared" si="153"/>
        <v>0</v>
      </c>
    </row>
    <row r="1367" spans="1:12" x14ac:dyDescent="0.25">
      <c r="A1367" s="1">
        <v>43080</v>
      </c>
      <c r="B1367">
        <v>5784.8999020000001</v>
      </c>
      <c r="C1367">
        <v>5818.2001950000003</v>
      </c>
      <c r="D1367">
        <v>5749.7001950000003</v>
      </c>
      <c r="E1367">
        <v>5796.8999020000001</v>
      </c>
      <c r="F1367" s="4">
        <f t="shared" si="148"/>
        <v>5761.3500979999999</v>
      </c>
      <c r="G1367" s="4">
        <f t="shared" si="149"/>
        <v>5854.75</v>
      </c>
      <c r="H1367" s="4">
        <f t="shared" si="150"/>
        <v>0</v>
      </c>
      <c r="I1367" s="4">
        <f t="shared" si="147"/>
        <v>-1</v>
      </c>
      <c r="J1367" s="11">
        <f t="shared" si="151"/>
        <v>0</v>
      </c>
      <c r="K1367" s="6">
        <f t="shared" si="152"/>
        <v>5852.25</v>
      </c>
      <c r="L1367" s="4">
        <f t="shared" si="153"/>
        <v>0</v>
      </c>
    </row>
    <row r="1368" spans="1:12" x14ac:dyDescent="0.25">
      <c r="A1368" s="1">
        <v>43081</v>
      </c>
      <c r="B1368">
        <v>5834.3500979999999</v>
      </c>
      <c r="C1368">
        <v>5849.8999020000001</v>
      </c>
      <c r="D1368">
        <v>5671.8999020000001</v>
      </c>
      <c r="E1368">
        <v>5693.0498049999997</v>
      </c>
      <c r="F1368" s="4">
        <f t="shared" si="148"/>
        <v>5693.0498049999997</v>
      </c>
      <c r="G1368" s="4">
        <f t="shared" si="149"/>
        <v>5854.75</v>
      </c>
      <c r="H1368" s="4" t="str">
        <f t="shared" si="150"/>
        <v>SELL</v>
      </c>
      <c r="I1368" s="4">
        <f t="shared" si="147"/>
        <v>-1</v>
      </c>
      <c r="J1368" s="11">
        <f t="shared" si="151"/>
        <v>0</v>
      </c>
      <c r="K1368" s="6">
        <f t="shared" si="152"/>
        <v>5852.25</v>
      </c>
      <c r="L1368" s="4">
        <f t="shared" si="153"/>
        <v>0</v>
      </c>
    </row>
    <row r="1369" spans="1:12" x14ac:dyDescent="0.25">
      <c r="A1369" s="1">
        <v>43082</v>
      </c>
      <c r="B1369">
        <v>5702.4501950000003</v>
      </c>
      <c r="C1369">
        <v>5739.4501950000003</v>
      </c>
      <c r="D1369">
        <v>5679.8999020000001</v>
      </c>
      <c r="E1369">
        <v>5719.7001950000003</v>
      </c>
      <c r="F1369" s="4">
        <f t="shared" si="148"/>
        <v>5693.0498049999997</v>
      </c>
      <c r="G1369" s="4">
        <f t="shared" si="149"/>
        <v>5854.75</v>
      </c>
      <c r="H1369" s="4">
        <f t="shared" si="150"/>
        <v>0</v>
      </c>
      <c r="I1369" s="4">
        <f t="shared" si="147"/>
        <v>-1</v>
      </c>
      <c r="J1369" s="11">
        <f t="shared" si="151"/>
        <v>0</v>
      </c>
      <c r="K1369" s="6">
        <f t="shared" si="152"/>
        <v>5852.25</v>
      </c>
      <c r="L1369" s="4">
        <f t="shared" si="153"/>
        <v>0</v>
      </c>
    </row>
    <row r="1370" spans="1:12" x14ac:dyDescent="0.25">
      <c r="A1370" s="1">
        <v>43083</v>
      </c>
      <c r="B1370">
        <v>5719.7001950000003</v>
      </c>
      <c r="C1370">
        <v>5719.7001950000003</v>
      </c>
      <c r="D1370">
        <v>5719.7001950000003</v>
      </c>
      <c r="E1370">
        <v>5719.7001950000003</v>
      </c>
      <c r="F1370" s="4">
        <f t="shared" si="148"/>
        <v>5693.0498049999997</v>
      </c>
      <c r="G1370" s="4">
        <f t="shared" si="149"/>
        <v>5796.8999020000001</v>
      </c>
      <c r="H1370" s="4">
        <f t="shared" si="150"/>
        <v>0</v>
      </c>
      <c r="I1370" s="4">
        <f t="shared" si="147"/>
        <v>-1</v>
      </c>
      <c r="J1370" s="11">
        <f t="shared" si="151"/>
        <v>0</v>
      </c>
      <c r="K1370" s="6">
        <f t="shared" si="152"/>
        <v>5852.25</v>
      </c>
      <c r="L1370" s="4">
        <f t="shared" si="153"/>
        <v>0</v>
      </c>
    </row>
    <row r="1371" spans="1:12" x14ac:dyDescent="0.25">
      <c r="A1371" s="1">
        <v>43084</v>
      </c>
      <c r="B1371">
        <v>5719.7001950000003</v>
      </c>
      <c r="C1371">
        <v>5719.7001950000003</v>
      </c>
      <c r="D1371">
        <v>5719.7001950000003</v>
      </c>
      <c r="E1371">
        <v>5719.7001950000003</v>
      </c>
      <c r="F1371" s="4">
        <f t="shared" si="148"/>
        <v>5693.0498049999997</v>
      </c>
      <c r="G1371" s="4">
        <f t="shared" si="149"/>
        <v>5796.8999020000001</v>
      </c>
      <c r="H1371" s="4">
        <f t="shared" si="150"/>
        <v>0</v>
      </c>
      <c r="I1371" s="4">
        <f t="shared" si="147"/>
        <v>-1</v>
      </c>
      <c r="J1371" s="11">
        <f t="shared" si="151"/>
        <v>0</v>
      </c>
      <c r="K1371" s="6">
        <f t="shared" si="152"/>
        <v>5852.25</v>
      </c>
      <c r="L1371" s="4">
        <f t="shared" si="153"/>
        <v>0</v>
      </c>
    </row>
    <row r="1372" spans="1:12" x14ac:dyDescent="0.25">
      <c r="A1372" s="1">
        <v>43087</v>
      </c>
      <c r="B1372">
        <v>5719.7001950000003</v>
      </c>
      <c r="C1372">
        <v>5719.7001950000003</v>
      </c>
      <c r="D1372">
        <v>5719.7001950000003</v>
      </c>
      <c r="E1372">
        <v>5719.7001950000003</v>
      </c>
      <c r="F1372" s="4">
        <f t="shared" si="148"/>
        <v>5693.0498049999997</v>
      </c>
      <c r="G1372" s="4">
        <f t="shared" si="149"/>
        <v>5719.7001950000003</v>
      </c>
      <c r="H1372" s="4">
        <f t="shared" si="150"/>
        <v>0</v>
      </c>
      <c r="I1372" s="4">
        <f t="shared" si="147"/>
        <v>-1</v>
      </c>
      <c r="J1372" s="11">
        <f t="shared" si="151"/>
        <v>0</v>
      </c>
      <c r="K1372" s="6">
        <f t="shared" si="152"/>
        <v>5852.25</v>
      </c>
      <c r="L1372" s="4">
        <f t="shared" si="153"/>
        <v>0</v>
      </c>
    </row>
    <row r="1373" spans="1:12" x14ac:dyDescent="0.25">
      <c r="A1373" s="1">
        <v>43088</v>
      </c>
      <c r="B1373">
        <v>5719.7001950000003</v>
      </c>
      <c r="C1373">
        <v>5719.7001950000003</v>
      </c>
      <c r="D1373">
        <v>5719.7001950000003</v>
      </c>
      <c r="E1373">
        <v>5719.7001950000003</v>
      </c>
      <c r="F1373" s="4">
        <f t="shared" si="148"/>
        <v>5719.7001950000003</v>
      </c>
      <c r="G1373" s="4">
        <f t="shared" si="149"/>
        <v>5719.7001950000003</v>
      </c>
      <c r="H1373" s="4">
        <f t="shared" si="150"/>
        <v>0</v>
      </c>
      <c r="I1373" s="4">
        <f t="shared" si="147"/>
        <v>-1</v>
      </c>
      <c r="J1373" s="11">
        <f t="shared" si="151"/>
        <v>0</v>
      </c>
      <c r="K1373" s="6">
        <f t="shared" si="152"/>
        <v>5852.25</v>
      </c>
      <c r="L1373" s="4">
        <f t="shared" si="153"/>
        <v>0</v>
      </c>
    </row>
    <row r="1374" spans="1:12" x14ac:dyDescent="0.25">
      <c r="A1374" s="1">
        <v>43089</v>
      </c>
      <c r="B1374">
        <v>5719.7001950000003</v>
      </c>
      <c r="C1374">
        <v>5719.7001950000003</v>
      </c>
      <c r="D1374">
        <v>5719.7001950000003</v>
      </c>
      <c r="E1374">
        <v>5719.7001950000003</v>
      </c>
      <c r="F1374" s="4">
        <f t="shared" si="148"/>
        <v>5719.7001950000003</v>
      </c>
      <c r="G1374" s="4">
        <f t="shared" si="149"/>
        <v>5719.7001950000003</v>
      </c>
      <c r="H1374" s="4">
        <f t="shared" si="150"/>
        <v>0</v>
      </c>
      <c r="I1374" s="4">
        <f t="shared" si="147"/>
        <v>-1</v>
      </c>
      <c r="J1374" s="11">
        <f t="shared" si="151"/>
        <v>0</v>
      </c>
      <c r="K1374" s="6">
        <f t="shared" si="152"/>
        <v>5852.25</v>
      </c>
      <c r="L1374" s="4">
        <f t="shared" si="153"/>
        <v>0</v>
      </c>
    </row>
    <row r="1375" spans="1:12" x14ac:dyDescent="0.25">
      <c r="A1375" s="1">
        <v>43090</v>
      </c>
      <c r="B1375">
        <v>5946.1000979999999</v>
      </c>
      <c r="C1375">
        <v>5971.2001950000003</v>
      </c>
      <c r="D1375">
        <v>5930.3500979999999</v>
      </c>
      <c r="E1375">
        <v>5942.3500979999999</v>
      </c>
      <c r="F1375" s="4">
        <f t="shared" si="148"/>
        <v>5719.7001950000003</v>
      </c>
      <c r="G1375" s="4">
        <f t="shared" si="149"/>
        <v>5942.3500979999999</v>
      </c>
      <c r="H1375" s="4" t="str">
        <f t="shared" si="150"/>
        <v>BUY</v>
      </c>
      <c r="I1375" s="4">
        <f t="shared" si="147"/>
        <v>1</v>
      </c>
      <c r="J1375" s="11" t="str">
        <f t="shared" si="151"/>
        <v>BUY</v>
      </c>
      <c r="K1375" s="6">
        <f t="shared" si="152"/>
        <v>5942.3500979999999</v>
      </c>
      <c r="L1375" s="4">
        <f t="shared" si="153"/>
        <v>-1.5395804690503634E-2</v>
      </c>
    </row>
    <row r="1376" spans="1:12" x14ac:dyDescent="0.25">
      <c r="A1376" s="1">
        <v>43091</v>
      </c>
      <c r="B1376">
        <v>5944.6000979999999</v>
      </c>
      <c r="C1376">
        <v>5952</v>
      </c>
      <c r="D1376">
        <v>5893.6499020000001</v>
      </c>
      <c r="E1376">
        <v>5914.1000979999999</v>
      </c>
      <c r="F1376" s="4">
        <f t="shared" si="148"/>
        <v>5719.7001950000003</v>
      </c>
      <c r="G1376" s="4">
        <f t="shared" si="149"/>
        <v>5942.3500979999999</v>
      </c>
      <c r="H1376" s="4">
        <f t="shared" si="150"/>
        <v>0</v>
      </c>
      <c r="I1376" s="4">
        <f t="shared" si="147"/>
        <v>1</v>
      </c>
      <c r="J1376" s="11">
        <f t="shared" si="151"/>
        <v>0</v>
      </c>
      <c r="K1376" s="6">
        <f t="shared" si="152"/>
        <v>5942.3500979999999</v>
      </c>
      <c r="L1376" s="4">
        <f t="shared" si="153"/>
        <v>0</v>
      </c>
    </row>
    <row r="1377" spans="1:12" x14ac:dyDescent="0.25">
      <c r="A1377" s="1">
        <v>43094</v>
      </c>
      <c r="B1377">
        <v>5884.7998049999997</v>
      </c>
      <c r="C1377">
        <v>5893.8500979999999</v>
      </c>
      <c r="D1377">
        <v>5842.25</v>
      </c>
      <c r="E1377">
        <v>5851.2001950000003</v>
      </c>
      <c r="F1377" s="4">
        <f t="shared" si="148"/>
        <v>5719.7001950000003</v>
      </c>
      <c r="G1377" s="4">
        <f t="shared" si="149"/>
        <v>5942.3500979999999</v>
      </c>
      <c r="H1377" s="4">
        <f t="shared" si="150"/>
        <v>0</v>
      </c>
      <c r="I1377" s="4">
        <f t="shared" si="147"/>
        <v>1</v>
      </c>
      <c r="J1377" s="11">
        <f t="shared" si="151"/>
        <v>0</v>
      </c>
      <c r="K1377" s="6">
        <f t="shared" si="152"/>
        <v>5942.3500979999999</v>
      </c>
      <c r="L1377" s="4">
        <f t="shared" si="153"/>
        <v>0</v>
      </c>
    </row>
    <row r="1378" spans="1:12" x14ac:dyDescent="0.25">
      <c r="A1378" s="1">
        <v>43095</v>
      </c>
      <c r="B1378">
        <v>5845.9501950000003</v>
      </c>
      <c r="C1378">
        <v>5920.1499020000001</v>
      </c>
      <c r="D1378">
        <v>5791.75</v>
      </c>
      <c r="E1378">
        <v>5908.9501950000003</v>
      </c>
      <c r="F1378" s="4">
        <f t="shared" si="148"/>
        <v>5719.7001950000003</v>
      </c>
      <c r="G1378" s="4">
        <f t="shared" si="149"/>
        <v>5942.3500979999999</v>
      </c>
      <c r="H1378" s="4">
        <f t="shared" si="150"/>
        <v>0</v>
      </c>
      <c r="I1378" s="4">
        <f t="shared" si="147"/>
        <v>1</v>
      </c>
      <c r="J1378" s="11">
        <f t="shared" si="151"/>
        <v>0</v>
      </c>
      <c r="K1378" s="6">
        <f t="shared" si="152"/>
        <v>5942.3500979999999</v>
      </c>
      <c r="L1378" s="4">
        <f t="shared" si="153"/>
        <v>0</v>
      </c>
    </row>
    <row r="1379" spans="1:12" x14ac:dyDescent="0.25">
      <c r="A1379" s="1">
        <v>43096</v>
      </c>
      <c r="B1379">
        <v>5914.8999020000001</v>
      </c>
      <c r="C1379">
        <v>5945.6499020000001</v>
      </c>
      <c r="D1379">
        <v>5861</v>
      </c>
      <c r="E1379">
        <v>5872.6000979999999</v>
      </c>
      <c r="F1379" s="4">
        <f t="shared" si="148"/>
        <v>5851.2001950000003</v>
      </c>
      <c r="G1379" s="4">
        <f t="shared" si="149"/>
        <v>5942.3500979999999</v>
      </c>
      <c r="H1379" s="4">
        <f t="shared" si="150"/>
        <v>0</v>
      </c>
      <c r="I1379" s="4">
        <f t="shared" si="147"/>
        <v>1</v>
      </c>
      <c r="J1379" s="11">
        <f t="shared" si="151"/>
        <v>0</v>
      </c>
      <c r="K1379" s="6">
        <f t="shared" si="152"/>
        <v>5942.3500979999999</v>
      </c>
      <c r="L1379" s="4">
        <f t="shared" si="153"/>
        <v>0</v>
      </c>
    </row>
    <row r="1380" spans="1:12" x14ac:dyDescent="0.25">
      <c r="A1380" s="1">
        <v>43097</v>
      </c>
      <c r="B1380">
        <v>5816.75</v>
      </c>
      <c r="C1380">
        <v>5850.2001950000003</v>
      </c>
      <c r="D1380">
        <v>5814.3500979999999</v>
      </c>
      <c r="E1380">
        <v>5835.25</v>
      </c>
      <c r="F1380" s="4">
        <f t="shared" si="148"/>
        <v>5835.25</v>
      </c>
      <c r="G1380" s="4">
        <f t="shared" si="149"/>
        <v>5914.1000979999999</v>
      </c>
      <c r="H1380" s="4" t="str">
        <f t="shared" si="150"/>
        <v>SELL</v>
      </c>
      <c r="I1380" s="4">
        <f t="shared" si="147"/>
        <v>-1</v>
      </c>
      <c r="J1380" s="11" t="str">
        <f t="shared" si="151"/>
        <v>SELL</v>
      </c>
      <c r="K1380" s="6">
        <f t="shared" si="152"/>
        <v>5835.25</v>
      </c>
      <c r="L1380" s="4">
        <f t="shared" si="153"/>
        <v>-1.8023188845107976E-2</v>
      </c>
    </row>
    <row r="1381" spans="1:12" x14ac:dyDescent="0.25">
      <c r="A1381" s="1">
        <v>43098</v>
      </c>
      <c r="B1381">
        <v>5859.5</v>
      </c>
      <c r="C1381">
        <v>5863.6000979999999</v>
      </c>
      <c r="D1381">
        <v>5724.2998049999997</v>
      </c>
      <c r="E1381">
        <v>5745.9501950000003</v>
      </c>
      <c r="F1381" s="4">
        <f t="shared" si="148"/>
        <v>5745.9501950000003</v>
      </c>
      <c r="G1381" s="4">
        <f t="shared" si="149"/>
        <v>5908.9501950000003</v>
      </c>
      <c r="H1381" s="4" t="str">
        <f t="shared" si="150"/>
        <v>SELL</v>
      </c>
      <c r="I1381" s="4">
        <f t="shared" si="147"/>
        <v>-1</v>
      </c>
      <c r="J1381" s="11">
        <f t="shared" si="151"/>
        <v>0</v>
      </c>
      <c r="K1381" s="6">
        <f t="shared" si="152"/>
        <v>5835.25</v>
      </c>
      <c r="L1381" s="4">
        <f t="shared" si="153"/>
        <v>0</v>
      </c>
    </row>
    <row r="1382" spans="1:12" x14ac:dyDescent="0.25">
      <c r="A1382" s="1">
        <v>43101</v>
      </c>
      <c r="B1382">
        <v>5740.5498049999997</v>
      </c>
      <c r="C1382">
        <v>5745.2998049999997</v>
      </c>
      <c r="D1382">
        <v>5682.2998049999997</v>
      </c>
      <c r="E1382">
        <v>5694.3999020000001</v>
      </c>
      <c r="F1382" s="4">
        <f t="shared" si="148"/>
        <v>5694.3999020000001</v>
      </c>
      <c r="G1382" s="4">
        <f t="shared" si="149"/>
        <v>5908.9501950000003</v>
      </c>
      <c r="H1382" s="4" t="str">
        <f t="shared" si="150"/>
        <v>SELL</v>
      </c>
      <c r="I1382" s="4">
        <f t="shared" si="147"/>
        <v>-1</v>
      </c>
      <c r="J1382" s="11">
        <f t="shared" si="151"/>
        <v>0</v>
      </c>
      <c r="K1382" s="6">
        <f t="shared" si="152"/>
        <v>5835.25</v>
      </c>
      <c r="L1382" s="4">
        <f t="shared" si="153"/>
        <v>0</v>
      </c>
    </row>
    <row r="1383" spans="1:12" x14ac:dyDescent="0.25">
      <c r="A1383" s="1">
        <v>43102</v>
      </c>
      <c r="B1383">
        <v>5705.8999020000001</v>
      </c>
      <c r="C1383">
        <v>5757.75</v>
      </c>
      <c r="D1383">
        <v>5647.9501950000003</v>
      </c>
      <c r="E1383">
        <v>5658.75</v>
      </c>
      <c r="F1383" s="4">
        <f t="shared" si="148"/>
        <v>5658.75</v>
      </c>
      <c r="G1383" s="4">
        <f t="shared" si="149"/>
        <v>5872.6000979999999</v>
      </c>
      <c r="H1383" s="4" t="str">
        <f t="shared" si="150"/>
        <v>SELL</v>
      </c>
      <c r="I1383" s="4">
        <f t="shared" si="147"/>
        <v>-1</v>
      </c>
      <c r="J1383" s="11">
        <f t="shared" si="151"/>
        <v>0</v>
      </c>
      <c r="K1383" s="6">
        <f t="shared" si="152"/>
        <v>5835.25</v>
      </c>
      <c r="L1383" s="4">
        <f t="shared" si="153"/>
        <v>0</v>
      </c>
    </row>
    <row r="1384" spans="1:12" x14ac:dyDescent="0.25">
      <c r="A1384" s="1">
        <v>43103</v>
      </c>
      <c r="B1384">
        <v>5659.7998049999997</v>
      </c>
      <c r="C1384">
        <v>5691.4501950000003</v>
      </c>
      <c r="D1384">
        <v>5631.7998049999997</v>
      </c>
      <c r="E1384">
        <v>5651.3500979999999</v>
      </c>
      <c r="F1384" s="4">
        <f t="shared" si="148"/>
        <v>5651.3500979999999</v>
      </c>
      <c r="G1384" s="4">
        <f t="shared" si="149"/>
        <v>5835.25</v>
      </c>
      <c r="H1384" s="4" t="str">
        <f t="shared" si="150"/>
        <v>SELL</v>
      </c>
      <c r="I1384" s="4">
        <f t="shared" si="147"/>
        <v>-1</v>
      </c>
      <c r="J1384" s="11">
        <f t="shared" si="151"/>
        <v>0</v>
      </c>
      <c r="K1384" s="6">
        <f t="shared" si="152"/>
        <v>5835.25</v>
      </c>
      <c r="L1384" s="4">
        <f t="shared" si="153"/>
        <v>0</v>
      </c>
    </row>
    <row r="1385" spans="1:12" x14ac:dyDescent="0.25">
      <c r="A1385" s="1">
        <v>43104</v>
      </c>
      <c r="B1385">
        <v>5651.3500979999999</v>
      </c>
      <c r="C1385">
        <v>5717.3999020000001</v>
      </c>
      <c r="D1385">
        <v>5624.6000979999999</v>
      </c>
      <c r="E1385">
        <v>5633.8500979999999</v>
      </c>
      <c r="F1385" s="4">
        <f t="shared" si="148"/>
        <v>5633.8500979999999</v>
      </c>
      <c r="G1385" s="4">
        <f t="shared" si="149"/>
        <v>5745.9501950000003</v>
      </c>
      <c r="H1385" s="4" t="str">
        <f t="shared" si="150"/>
        <v>SELL</v>
      </c>
      <c r="I1385" s="4">
        <f t="shared" si="147"/>
        <v>-1</v>
      </c>
      <c r="J1385" s="11">
        <f t="shared" si="151"/>
        <v>0</v>
      </c>
      <c r="K1385" s="6">
        <f t="shared" si="152"/>
        <v>5835.25</v>
      </c>
      <c r="L1385" s="4">
        <f t="shared" si="153"/>
        <v>0</v>
      </c>
    </row>
    <row r="1386" spans="1:12" x14ac:dyDescent="0.25">
      <c r="A1386" s="1">
        <v>43105</v>
      </c>
      <c r="B1386">
        <v>5633.8500979999999</v>
      </c>
      <c r="C1386">
        <v>5655.0498049999997</v>
      </c>
      <c r="D1386">
        <v>5613.75</v>
      </c>
      <c r="E1386">
        <v>5641.6000979999999</v>
      </c>
      <c r="F1386" s="4">
        <f t="shared" si="148"/>
        <v>5633.8500979999999</v>
      </c>
      <c r="G1386" s="4">
        <f t="shared" si="149"/>
        <v>5694.3999020000001</v>
      </c>
      <c r="H1386" s="4">
        <f t="shared" si="150"/>
        <v>0</v>
      </c>
      <c r="I1386" s="4">
        <f t="shared" si="147"/>
        <v>-1</v>
      </c>
      <c r="J1386" s="11">
        <f t="shared" si="151"/>
        <v>0</v>
      </c>
      <c r="K1386" s="6">
        <f t="shared" si="152"/>
        <v>5835.25</v>
      </c>
      <c r="L1386" s="4">
        <f t="shared" si="153"/>
        <v>0</v>
      </c>
    </row>
    <row r="1387" spans="1:12" x14ac:dyDescent="0.25">
      <c r="A1387" s="1">
        <v>43108</v>
      </c>
      <c r="B1387">
        <v>5641.6000979999999</v>
      </c>
      <c r="C1387">
        <v>5641.6000979999999</v>
      </c>
      <c r="D1387">
        <v>5641.6000979999999</v>
      </c>
      <c r="E1387">
        <v>5641.6000979999999</v>
      </c>
      <c r="F1387" s="4">
        <f t="shared" si="148"/>
        <v>5633.8500979999999</v>
      </c>
      <c r="G1387" s="4">
        <f t="shared" si="149"/>
        <v>5658.75</v>
      </c>
      <c r="H1387" s="4">
        <f t="shared" si="150"/>
        <v>0</v>
      </c>
      <c r="I1387" s="4">
        <f t="shared" si="147"/>
        <v>-1</v>
      </c>
      <c r="J1387" s="11">
        <f t="shared" si="151"/>
        <v>0</v>
      </c>
      <c r="K1387" s="6">
        <f t="shared" si="152"/>
        <v>5835.25</v>
      </c>
      <c r="L1387" s="4">
        <f t="shared" si="153"/>
        <v>0</v>
      </c>
    </row>
    <row r="1388" spans="1:12" x14ac:dyDescent="0.25">
      <c r="A1388" s="1">
        <v>43109</v>
      </c>
      <c r="B1388">
        <v>5647.75</v>
      </c>
      <c r="C1388">
        <v>5692.9501950000003</v>
      </c>
      <c r="D1388">
        <v>5604.8500979999999</v>
      </c>
      <c r="E1388">
        <v>5682.5498049999997</v>
      </c>
      <c r="F1388" s="4">
        <f t="shared" si="148"/>
        <v>5633.8500979999999</v>
      </c>
      <c r="G1388" s="4">
        <f t="shared" si="149"/>
        <v>5682.5498049999997</v>
      </c>
      <c r="H1388" s="4" t="str">
        <f t="shared" si="150"/>
        <v>BUY</v>
      </c>
      <c r="I1388" s="4">
        <f t="shared" si="147"/>
        <v>1</v>
      </c>
      <c r="J1388" s="11" t="str">
        <f t="shared" si="151"/>
        <v>BUY</v>
      </c>
      <c r="K1388" s="6">
        <f t="shared" si="152"/>
        <v>5682.5498049999997</v>
      </c>
      <c r="L1388" s="4">
        <f t="shared" si="153"/>
        <v>2.6168578038644506E-2</v>
      </c>
    </row>
    <row r="1389" spans="1:12" x14ac:dyDescent="0.25">
      <c r="A1389" s="1">
        <v>43110</v>
      </c>
      <c r="B1389">
        <v>5682.5498049999997</v>
      </c>
      <c r="C1389">
        <v>5720.8500979999999</v>
      </c>
      <c r="D1389">
        <v>5676</v>
      </c>
      <c r="E1389">
        <v>5704.3999020000001</v>
      </c>
      <c r="F1389" s="4">
        <f t="shared" si="148"/>
        <v>5633.8500979999999</v>
      </c>
      <c r="G1389" s="4">
        <f t="shared" si="149"/>
        <v>5704.3999020000001</v>
      </c>
      <c r="H1389" s="4" t="str">
        <f t="shared" si="150"/>
        <v>BUY</v>
      </c>
      <c r="I1389" s="4">
        <f t="shared" si="147"/>
        <v>1</v>
      </c>
      <c r="J1389" s="11">
        <f t="shared" si="151"/>
        <v>0</v>
      </c>
      <c r="K1389" s="6">
        <f t="shared" si="152"/>
        <v>5682.5498049999997</v>
      </c>
      <c r="L1389" s="4">
        <f t="shared" si="153"/>
        <v>0</v>
      </c>
    </row>
    <row r="1390" spans="1:12" x14ac:dyDescent="0.25">
      <c r="A1390" s="1">
        <v>43111</v>
      </c>
      <c r="B1390">
        <v>5704.3999020000001</v>
      </c>
      <c r="C1390">
        <v>5754.5498049999997</v>
      </c>
      <c r="D1390">
        <v>5687.3999020000001</v>
      </c>
      <c r="E1390">
        <v>5748.1000979999999</v>
      </c>
      <c r="F1390" s="4">
        <f t="shared" si="148"/>
        <v>5641.6000979999999</v>
      </c>
      <c r="G1390" s="4">
        <f t="shared" si="149"/>
        <v>5748.1000979999999</v>
      </c>
      <c r="H1390" s="4" t="str">
        <f t="shared" si="150"/>
        <v>BUY</v>
      </c>
      <c r="I1390" s="4">
        <f t="shared" si="147"/>
        <v>1</v>
      </c>
      <c r="J1390" s="11">
        <f t="shared" si="151"/>
        <v>0</v>
      </c>
      <c r="K1390" s="6">
        <f t="shared" si="152"/>
        <v>5682.5498049999997</v>
      </c>
      <c r="L1390" s="4">
        <f t="shared" si="153"/>
        <v>0</v>
      </c>
    </row>
    <row r="1391" spans="1:12" x14ac:dyDescent="0.25">
      <c r="A1391" s="1">
        <v>43112</v>
      </c>
      <c r="B1391">
        <v>5748.1000979999999</v>
      </c>
      <c r="C1391">
        <v>5748.1000979999999</v>
      </c>
      <c r="D1391">
        <v>5650.6499020000001</v>
      </c>
      <c r="E1391">
        <v>5672.8999020000001</v>
      </c>
      <c r="F1391" s="4">
        <f t="shared" si="148"/>
        <v>5641.6000979999999</v>
      </c>
      <c r="G1391" s="4">
        <f t="shared" si="149"/>
        <v>5748.1000979999999</v>
      </c>
      <c r="H1391" s="4">
        <f t="shared" si="150"/>
        <v>0</v>
      </c>
      <c r="I1391" s="4">
        <f t="shared" si="147"/>
        <v>1</v>
      </c>
      <c r="J1391" s="11">
        <f t="shared" si="151"/>
        <v>0</v>
      </c>
      <c r="K1391" s="6">
        <f t="shared" si="152"/>
        <v>5682.5498049999997</v>
      </c>
      <c r="L1391" s="4">
        <f t="shared" si="153"/>
        <v>0</v>
      </c>
    </row>
    <row r="1392" spans="1:12" x14ac:dyDescent="0.25">
      <c r="A1392" s="1">
        <v>43115</v>
      </c>
      <c r="B1392">
        <v>5672.8999020000001</v>
      </c>
      <c r="C1392">
        <v>5672.8999020000001</v>
      </c>
      <c r="D1392">
        <v>5566.0498049999997</v>
      </c>
      <c r="E1392">
        <v>5574.75</v>
      </c>
      <c r="F1392" s="4">
        <f t="shared" si="148"/>
        <v>5574.75</v>
      </c>
      <c r="G1392" s="4">
        <f t="shared" si="149"/>
        <v>5748.1000979999999</v>
      </c>
      <c r="H1392" s="4" t="str">
        <f t="shared" si="150"/>
        <v>SELL</v>
      </c>
      <c r="I1392" s="4">
        <f t="shared" si="147"/>
        <v>-1</v>
      </c>
      <c r="J1392" s="11" t="str">
        <f t="shared" si="151"/>
        <v>SELL</v>
      </c>
      <c r="K1392" s="6">
        <f t="shared" si="152"/>
        <v>5574.75</v>
      </c>
      <c r="L1392" s="4">
        <f t="shared" si="153"/>
        <v>-1.8970322953465017E-2</v>
      </c>
    </row>
    <row r="1393" spans="1:12" x14ac:dyDescent="0.25">
      <c r="A1393" s="1">
        <v>43116</v>
      </c>
      <c r="B1393">
        <v>5574.75</v>
      </c>
      <c r="C1393">
        <v>5577.1000979999999</v>
      </c>
      <c r="D1393">
        <v>5534.75</v>
      </c>
      <c r="E1393">
        <v>5553.25</v>
      </c>
      <c r="F1393" s="4">
        <f t="shared" si="148"/>
        <v>5553.25</v>
      </c>
      <c r="G1393" s="4">
        <f t="shared" si="149"/>
        <v>5748.1000979999999</v>
      </c>
      <c r="H1393" s="4" t="str">
        <f t="shared" si="150"/>
        <v>SELL</v>
      </c>
      <c r="I1393" s="4">
        <f t="shared" si="147"/>
        <v>-1</v>
      </c>
      <c r="J1393" s="11">
        <f t="shared" si="151"/>
        <v>0</v>
      </c>
      <c r="K1393" s="6">
        <f t="shared" si="152"/>
        <v>5574.75</v>
      </c>
      <c r="L1393" s="4">
        <f t="shared" si="153"/>
        <v>0</v>
      </c>
    </row>
    <row r="1394" spans="1:12" x14ac:dyDescent="0.25">
      <c r="A1394" s="1">
        <v>43117</v>
      </c>
      <c r="B1394">
        <v>5553.25</v>
      </c>
      <c r="C1394">
        <v>5569.1000979999999</v>
      </c>
      <c r="D1394">
        <v>5537.1000979999999</v>
      </c>
      <c r="E1394">
        <v>5542.9501950000003</v>
      </c>
      <c r="F1394" s="4">
        <f t="shared" si="148"/>
        <v>5542.9501950000003</v>
      </c>
      <c r="G1394" s="4">
        <f t="shared" si="149"/>
        <v>5748.1000979999999</v>
      </c>
      <c r="H1394" s="4" t="str">
        <f t="shared" si="150"/>
        <v>SELL</v>
      </c>
      <c r="I1394" s="4">
        <f t="shared" si="147"/>
        <v>-1</v>
      </c>
      <c r="J1394" s="11">
        <f t="shared" si="151"/>
        <v>0</v>
      </c>
      <c r="K1394" s="6">
        <f t="shared" si="152"/>
        <v>5574.75</v>
      </c>
      <c r="L1394" s="4">
        <f t="shared" si="153"/>
        <v>0</v>
      </c>
    </row>
    <row r="1395" spans="1:12" x14ac:dyDescent="0.25">
      <c r="A1395" s="1">
        <v>43118</v>
      </c>
      <c r="B1395">
        <v>5542.9501950000003</v>
      </c>
      <c r="C1395">
        <v>5602.9501950000003</v>
      </c>
      <c r="D1395">
        <v>5487.6000979999999</v>
      </c>
      <c r="E1395">
        <v>5495.1000979999999</v>
      </c>
      <c r="F1395" s="4">
        <f t="shared" si="148"/>
        <v>5495.1000979999999</v>
      </c>
      <c r="G1395" s="4">
        <f t="shared" si="149"/>
        <v>5672.8999020000001</v>
      </c>
      <c r="H1395" s="4" t="str">
        <f t="shared" si="150"/>
        <v>SELL</v>
      </c>
      <c r="I1395" s="4">
        <f t="shared" si="147"/>
        <v>-1</v>
      </c>
      <c r="J1395" s="11">
        <f t="shared" si="151"/>
        <v>0</v>
      </c>
      <c r="K1395" s="6">
        <f t="shared" si="152"/>
        <v>5574.75</v>
      </c>
      <c r="L1395" s="4">
        <f t="shared" si="153"/>
        <v>0</v>
      </c>
    </row>
    <row r="1396" spans="1:12" x14ac:dyDescent="0.25">
      <c r="A1396" s="1">
        <v>43119</v>
      </c>
      <c r="B1396">
        <v>5495.1000979999999</v>
      </c>
      <c r="C1396">
        <v>5569.1499020000001</v>
      </c>
      <c r="D1396">
        <v>5477.75</v>
      </c>
      <c r="E1396">
        <v>5558.7001950000003</v>
      </c>
      <c r="F1396" s="4">
        <f t="shared" si="148"/>
        <v>5495.1000979999999</v>
      </c>
      <c r="G1396" s="4">
        <f t="shared" si="149"/>
        <v>5574.75</v>
      </c>
      <c r="H1396" s="4">
        <f t="shared" si="150"/>
        <v>0</v>
      </c>
      <c r="I1396" s="4">
        <f t="shared" si="147"/>
        <v>-1</v>
      </c>
      <c r="J1396" s="11">
        <f t="shared" si="151"/>
        <v>0</v>
      </c>
      <c r="K1396" s="6">
        <f t="shared" si="152"/>
        <v>5574.75</v>
      </c>
      <c r="L1396" s="4">
        <f t="shared" si="153"/>
        <v>0</v>
      </c>
    </row>
    <row r="1397" spans="1:12" x14ac:dyDescent="0.25">
      <c r="A1397" s="1">
        <v>43122</v>
      </c>
      <c r="B1397">
        <v>5558.7001950000003</v>
      </c>
      <c r="C1397">
        <v>5610.6000979999999</v>
      </c>
      <c r="D1397">
        <v>5543.6000979999999</v>
      </c>
      <c r="E1397">
        <v>5594</v>
      </c>
      <c r="F1397" s="4">
        <f t="shared" si="148"/>
        <v>5495.1000979999999</v>
      </c>
      <c r="G1397" s="4">
        <f t="shared" si="149"/>
        <v>5594</v>
      </c>
      <c r="H1397" s="4" t="str">
        <f t="shared" si="150"/>
        <v>BUY</v>
      </c>
      <c r="I1397" s="4">
        <f t="shared" si="147"/>
        <v>1</v>
      </c>
      <c r="J1397" s="11" t="str">
        <f t="shared" si="151"/>
        <v>BUY</v>
      </c>
      <c r="K1397" s="6">
        <f t="shared" si="152"/>
        <v>5594</v>
      </c>
      <c r="L1397" s="4">
        <f t="shared" si="153"/>
        <v>-3.4530696443786715E-3</v>
      </c>
    </row>
    <row r="1398" spans="1:12" x14ac:dyDescent="0.25">
      <c r="A1398" s="1">
        <v>43123</v>
      </c>
      <c r="B1398">
        <v>5594</v>
      </c>
      <c r="C1398">
        <v>5594</v>
      </c>
      <c r="D1398">
        <v>5500.9501950000003</v>
      </c>
      <c r="E1398">
        <v>5528.5498049999997</v>
      </c>
      <c r="F1398" s="4">
        <f t="shared" si="148"/>
        <v>5495.1000979999999</v>
      </c>
      <c r="G1398" s="4">
        <f t="shared" si="149"/>
        <v>5594</v>
      </c>
      <c r="H1398" s="4">
        <f t="shared" si="150"/>
        <v>0</v>
      </c>
      <c r="I1398" s="4">
        <f t="shared" si="147"/>
        <v>1</v>
      </c>
      <c r="J1398" s="11">
        <f t="shared" si="151"/>
        <v>0</v>
      </c>
      <c r="K1398" s="6">
        <f t="shared" si="152"/>
        <v>5594</v>
      </c>
      <c r="L1398" s="4">
        <f t="shared" si="153"/>
        <v>0</v>
      </c>
    </row>
    <row r="1399" spans="1:12" x14ac:dyDescent="0.25">
      <c r="A1399" s="1">
        <v>43124</v>
      </c>
      <c r="B1399">
        <v>5528.5498049999997</v>
      </c>
      <c r="C1399">
        <v>5592.5</v>
      </c>
      <c r="D1399">
        <v>5500.75</v>
      </c>
      <c r="E1399">
        <v>5568.3999020000001</v>
      </c>
      <c r="F1399" s="4">
        <f t="shared" si="148"/>
        <v>5495.1000979999999</v>
      </c>
      <c r="G1399" s="4">
        <f t="shared" si="149"/>
        <v>5594</v>
      </c>
      <c r="H1399" s="4">
        <f t="shared" si="150"/>
        <v>0</v>
      </c>
      <c r="I1399" s="4">
        <f t="shared" si="147"/>
        <v>1</v>
      </c>
      <c r="J1399" s="11">
        <f t="shared" si="151"/>
        <v>0</v>
      </c>
      <c r="K1399" s="6">
        <f t="shared" si="152"/>
        <v>5594</v>
      </c>
      <c r="L1399" s="4">
        <f t="shared" si="153"/>
        <v>0</v>
      </c>
    </row>
    <row r="1400" spans="1:12" x14ac:dyDescent="0.25">
      <c r="A1400" s="1">
        <v>43125</v>
      </c>
      <c r="B1400">
        <v>5568.3999020000001</v>
      </c>
      <c r="C1400">
        <v>5698.6499020000001</v>
      </c>
      <c r="D1400">
        <v>5556.25</v>
      </c>
      <c r="E1400">
        <v>5688.9501950000003</v>
      </c>
      <c r="F1400" s="4">
        <f t="shared" si="148"/>
        <v>5528.5498049999997</v>
      </c>
      <c r="G1400" s="4">
        <f t="shared" si="149"/>
        <v>5688.9501950000003</v>
      </c>
      <c r="H1400" s="4" t="str">
        <f t="shared" si="150"/>
        <v>BUY</v>
      </c>
      <c r="I1400" s="4">
        <f t="shared" si="147"/>
        <v>1</v>
      </c>
      <c r="J1400" s="11">
        <f t="shared" si="151"/>
        <v>0</v>
      </c>
      <c r="K1400" s="6">
        <f t="shared" si="152"/>
        <v>5594</v>
      </c>
      <c r="L1400" s="4">
        <f t="shared" si="153"/>
        <v>0</v>
      </c>
    </row>
    <row r="1401" spans="1:12" x14ac:dyDescent="0.25">
      <c r="A1401" s="1">
        <v>43126</v>
      </c>
      <c r="B1401">
        <v>5688.9501950000003</v>
      </c>
      <c r="C1401">
        <v>5731.8999020000001</v>
      </c>
      <c r="D1401">
        <v>5669.7001950000003</v>
      </c>
      <c r="E1401">
        <v>5688.7001950000003</v>
      </c>
      <c r="F1401" s="4">
        <f t="shared" si="148"/>
        <v>5528.5498049999997</v>
      </c>
      <c r="G1401" s="4">
        <f t="shared" si="149"/>
        <v>5688.9501950000003</v>
      </c>
      <c r="H1401" s="4">
        <f t="shared" si="150"/>
        <v>0</v>
      </c>
      <c r="I1401" s="4">
        <f t="shared" si="147"/>
        <v>1</v>
      </c>
      <c r="J1401" s="11">
        <f t="shared" si="151"/>
        <v>0</v>
      </c>
      <c r="K1401" s="6">
        <f t="shared" si="152"/>
        <v>5594</v>
      </c>
      <c r="L1401" s="4">
        <f t="shared" si="153"/>
        <v>0</v>
      </c>
    </row>
    <row r="1402" spans="1:12" x14ac:dyDescent="0.25">
      <c r="A1402" s="1">
        <v>43129</v>
      </c>
      <c r="B1402">
        <v>5688.7001950000003</v>
      </c>
      <c r="C1402">
        <v>5794.0498049999997</v>
      </c>
      <c r="D1402">
        <v>5682.5498049999997</v>
      </c>
      <c r="E1402">
        <v>5783.1000979999999</v>
      </c>
      <c r="F1402" s="4">
        <f t="shared" si="148"/>
        <v>5528.5498049999997</v>
      </c>
      <c r="G1402" s="4">
        <f t="shared" si="149"/>
        <v>5783.1000979999999</v>
      </c>
      <c r="H1402" s="4" t="str">
        <f t="shared" si="150"/>
        <v>BUY</v>
      </c>
      <c r="I1402" s="4">
        <f t="shared" si="147"/>
        <v>1</v>
      </c>
      <c r="J1402" s="11">
        <f t="shared" si="151"/>
        <v>0</v>
      </c>
      <c r="K1402" s="6">
        <f t="shared" si="152"/>
        <v>5594</v>
      </c>
      <c r="L1402" s="4">
        <f t="shared" si="153"/>
        <v>0</v>
      </c>
    </row>
    <row r="1403" spans="1:12" x14ac:dyDescent="0.25">
      <c r="A1403" s="1">
        <v>43130</v>
      </c>
      <c r="B1403">
        <v>5783.1000979999999</v>
      </c>
      <c r="C1403">
        <v>5783.1000979999999</v>
      </c>
      <c r="D1403">
        <v>5783.1000979999999</v>
      </c>
      <c r="E1403">
        <v>5783.1000979999999</v>
      </c>
      <c r="F1403" s="4">
        <f t="shared" si="148"/>
        <v>5568.3999020000001</v>
      </c>
      <c r="G1403" s="4">
        <f t="shared" si="149"/>
        <v>5783.1000979999999</v>
      </c>
      <c r="H1403" s="4">
        <f t="shared" si="150"/>
        <v>0</v>
      </c>
      <c r="I1403" s="4">
        <f t="shared" si="147"/>
        <v>1</v>
      </c>
      <c r="J1403" s="11">
        <f t="shared" si="151"/>
        <v>0</v>
      </c>
      <c r="K1403" s="6">
        <f t="shared" si="152"/>
        <v>5594</v>
      </c>
      <c r="L1403" s="4">
        <f t="shared" si="153"/>
        <v>0</v>
      </c>
    </row>
    <row r="1404" spans="1:12" x14ac:dyDescent="0.25">
      <c r="A1404" s="1">
        <v>43131</v>
      </c>
      <c r="B1404">
        <v>5783.1000979999999</v>
      </c>
      <c r="C1404">
        <v>5844.6000979999999</v>
      </c>
      <c r="D1404">
        <v>5783.1000979999999</v>
      </c>
      <c r="E1404">
        <v>5834.3999020000001</v>
      </c>
      <c r="F1404" s="4">
        <f t="shared" si="148"/>
        <v>5688.7001950000003</v>
      </c>
      <c r="G1404" s="4">
        <f t="shared" si="149"/>
        <v>5834.3999020000001</v>
      </c>
      <c r="H1404" s="4" t="str">
        <f t="shared" si="150"/>
        <v>BUY</v>
      </c>
      <c r="I1404" s="4">
        <f t="shared" si="147"/>
        <v>1</v>
      </c>
      <c r="J1404" s="11">
        <f t="shared" si="151"/>
        <v>0</v>
      </c>
      <c r="K1404" s="6">
        <f t="shared" si="152"/>
        <v>5594</v>
      </c>
      <c r="L1404" s="4">
        <f t="shared" si="153"/>
        <v>0</v>
      </c>
    </row>
    <row r="1405" spans="1:12" x14ac:dyDescent="0.25">
      <c r="A1405" s="1">
        <v>43132</v>
      </c>
      <c r="B1405">
        <v>5834.3999020000001</v>
      </c>
      <c r="C1405">
        <v>5844.2001950000003</v>
      </c>
      <c r="D1405">
        <v>5791.75</v>
      </c>
      <c r="E1405">
        <v>5836.8999020000001</v>
      </c>
      <c r="F1405" s="4">
        <f t="shared" si="148"/>
        <v>5688.7001950000003</v>
      </c>
      <c r="G1405" s="4">
        <f t="shared" si="149"/>
        <v>5836.8999020000001</v>
      </c>
      <c r="H1405" s="4" t="str">
        <f t="shared" si="150"/>
        <v>BUY</v>
      </c>
      <c r="I1405" s="4">
        <f t="shared" si="147"/>
        <v>1</v>
      </c>
      <c r="J1405" s="11">
        <f t="shared" si="151"/>
        <v>0</v>
      </c>
      <c r="K1405" s="6">
        <f t="shared" si="152"/>
        <v>5594</v>
      </c>
      <c r="L1405" s="4">
        <f t="shared" si="153"/>
        <v>0</v>
      </c>
    </row>
    <row r="1406" spans="1:12" x14ac:dyDescent="0.25">
      <c r="A1406" s="1">
        <v>43133</v>
      </c>
      <c r="B1406">
        <v>5836.8999020000001</v>
      </c>
      <c r="C1406">
        <v>5836.8999020000001</v>
      </c>
      <c r="D1406">
        <v>5836.8999020000001</v>
      </c>
      <c r="E1406">
        <v>5836.8999020000001</v>
      </c>
      <c r="F1406" s="4">
        <f t="shared" si="148"/>
        <v>5783.1000979999999</v>
      </c>
      <c r="G1406" s="4">
        <f t="shared" si="149"/>
        <v>5836.8999020000001</v>
      </c>
      <c r="H1406" s="4">
        <f t="shared" si="150"/>
        <v>0</v>
      </c>
      <c r="I1406" s="4">
        <f t="shared" si="147"/>
        <v>1</v>
      </c>
      <c r="J1406" s="11">
        <f t="shared" si="151"/>
        <v>0</v>
      </c>
      <c r="K1406" s="6">
        <f t="shared" si="152"/>
        <v>5594</v>
      </c>
      <c r="L1406" s="4">
        <f t="shared" si="153"/>
        <v>0</v>
      </c>
    </row>
    <row r="1407" spans="1:12" x14ac:dyDescent="0.25">
      <c r="A1407" s="1">
        <v>43136</v>
      </c>
      <c r="B1407">
        <v>5856.1000979999999</v>
      </c>
      <c r="C1407">
        <v>5924.6000979999999</v>
      </c>
      <c r="D1407">
        <v>5853.2998049999997</v>
      </c>
      <c r="E1407">
        <v>5916.2998049999997</v>
      </c>
      <c r="F1407" s="4">
        <f t="shared" si="148"/>
        <v>5783.1000979999999</v>
      </c>
      <c r="G1407" s="4">
        <f t="shared" si="149"/>
        <v>5916.2998049999997</v>
      </c>
      <c r="H1407" s="4" t="str">
        <f t="shared" si="150"/>
        <v>BUY</v>
      </c>
      <c r="I1407" s="4">
        <f t="shared" si="147"/>
        <v>1</v>
      </c>
      <c r="J1407" s="11">
        <f t="shared" si="151"/>
        <v>0</v>
      </c>
      <c r="K1407" s="6">
        <f t="shared" si="152"/>
        <v>5594</v>
      </c>
      <c r="L1407" s="4">
        <f t="shared" si="153"/>
        <v>0</v>
      </c>
    </row>
    <row r="1408" spans="1:12" x14ac:dyDescent="0.25">
      <c r="A1408" s="1">
        <v>43137</v>
      </c>
      <c r="B1408">
        <v>5916.2998049999997</v>
      </c>
      <c r="C1408">
        <v>5916.2998049999997</v>
      </c>
      <c r="D1408">
        <v>5860.7001950000003</v>
      </c>
      <c r="E1408">
        <v>5871.4501950000003</v>
      </c>
      <c r="F1408" s="4">
        <f t="shared" si="148"/>
        <v>5834.3999020000001</v>
      </c>
      <c r="G1408" s="4">
        <f t="shared" si="149"/>
        <v>5916.2998049999997</v>
      </c>
      <c r="H1408" s="4">
        <f t="shared" si="150"/>
        <v>0</v>
      </c>
      <c r="I1408" s="4">
        <f t="shared" si="147"/>
        <v>1</v>
      </c>
      <c r="J1408" s="11">
        <f t="shared" si="151"/>
        <v>0</v>
      </c>
      <c r="K1408" s="6">
        <f t="shared" si="152"/>
        <v>5594</v>
      </c>
      <c r="L1408" s="4">
        <f t="shared" si="153"/>
        <v>0</v>
      </c>
    </row>
    <row r="1409" spans="1:12" x14ac:dyDescent="0.25">
      <c r="A1409" s="1">
        <v>43138</v>
      </c>
      <c r="B1409">
        <v>5871.4501950000003</v>
      </c>
      <c r="C1409">
        <v>5918</v>
      </c>
      <c r="D1409">
        <v>5868.8999020000001</v>
      </c>
      <c r="E1409">
        <v>5904.1000979999999</v>
      </c>
      <c r="F1409" s="4">
        <f t="shared" si="148"/>
        <v>5836.8999020000001</v>
      </c>
      <c r="G1409" s="4">
        <f t="shared" si="149"/>
        <v>5916.2998049999997</v>
      </c>
      <c r="H1409" s="4">
        <f t="shared" si="150"/>
        <v>0</v>
      </c>
      <c r="I1409" s="4">
        <f t="shared" si="147"/>
        <v>1</v>
      </c>
      <c r="J1409" s="11">
        <f t="shared" si="151"/>
        <v>0</v>
      </c>
      <c r="K1409" s="6">
        <f t="shared" si="152"/>
        <v>5594</v>
      </c>
      <c r="L1409" s="4">
        <f t="shared" si="153"/>
        <v>0</v>
      </c>
    </row>
    <row r="1410" spans="1:12" x14ac:dyDescent="0.25">
      <c r="A1410" s="1">
        <v>43139</v>
      </c>
      <c r="B1410">
        <v>5932.6000979999999</v>
      </c>
      <c r="C1410">
        <v>5962.2998049999997</v>
      </c>
      <c r="D1410">
        <v>5867.7998049999997</v>
      </c>
      <c r="E1410">
        <v>5930.2001950000003</v>
      </c>
      <c r="F1410" s="4">
        <f t="shared" si="148"/>
        <v>5836.8999020000001</v>
      </c>
      <c r="G1410" s="4">
        <f t="shared" si="149"/>
        <v>5930.2001950000003</v>
      </c>
      <c r="H1410" s="4" t="str">
        <f t="shared" si="150"/>
        <v>BUY</v>
      </c>
      <c r="I1410" s="4">
        <f t="shared" si="147"/>
        <v>1</v>
      </c>
      <c r="J1410" s="11">
        <f t="shared" si="151"/>
        <v>0</v>
      </c>
      <c r="K1410" s="6">
        <f t="shared" si="152"/>
        <v>5594</v>
      </c>
      <c r="L1410" s="4">
        <f t="shared" si="153"/>
        <v>0</v>
      </c>
    </row>
    <row r="1411" spans="1:12" x14ac:dyDescent="0.25">
      <c r="A1411" s="1">
        <v>43140</v>
      </c>
      <c r="B1411">
        <v>5930.2001950000003</v>
      </c>
      <c r="C1411">
        <v>5930.2001950000003</v>
      </c>
      <c r="D1411">
        <v>5930.2001950000003</v>
      </c>
      <c r="E1411">
        <v>5930.2001950000003</v>
      </c>
      <c r="F1411" s="4">
        <f t="shared" si="148"/>
        <v>5871.4501950000003</v>
      </c>
      <c r="G1411" s="4">
        <f t="shared" si="149"/>
        <v>5930.2001950000003</v>
      </c>
      <c r="H1411" s="4">
        <f t="shared" si="150"/>
        <v>0</v>
      </c>
      <c r="I1411" s="4">
        <f t="shared" si="147"/>
        <v>1</v>
      </c>
      <c r="J1411" s="11">
        <f t="shared" si="151"/>
        <v>0</v>
      </c>
      <c r="K1411" s="6">
        <f t="shared" si="152"/>
        <v>5594</v>
      </c>
      <c r="L1411" s="4">
        <f t="shared" si="153"/>
        <v>0</v>
      </c>
    </row>
    <row r="1412" spans="1:12" x14ac:dyDescent="0.25">
      <c r="A1412" s="1">
        <v>43143</v>
      </c>
      <c r="B1412">
        <v>5930.2001950000003</v>
      </c>
      <c r="C1412">
        <v>6018.8500979999999</v>
      </c>
      <c r="D1412">
        <v>5911.25</v>
      </c>
      <c r="E1412">
        <v>5999.3500979999999</v>
      </c>
      <c r="F1412" s="4">
        <f t="shared" si="148"/>
        <v>5871.4501950000003</v>
      </c>
      <c r="G1412" s="4">
        <f t="shared" si="149"/>
        <v>5999.3500979999999</v>
      </c>
      <c r="H1412" s="4" t="str">
        <f t="shared" si="150"/>
        <v>BUY</v>
      </c>
      <c r="I1412" s="4">
        <f t="shared" si="147"/>
        <v>1</v>
      </c>
      <c r="J1412" s="11">
        <f t="shared" si="151"/>
        <v>0</v>
      </c>
      <c r="K1412" s="6">
        <f t="shared" si="152"/>
        <v>5594</v>
      </c>
      <c r="L1412" s="4">
        <f t="shared" si="153"/>
        <v>0</v>
      </c>
    </row>
    <row r="1413" spans="1:12" x14ac:dyDescent="0.25">
      <c r="A1413" s="1">
        <v>43144</v>
      </c>
      <c r="B1413">
        <v>5999.3500979999999</v>
      </c>
      <c r="C1413">
        <v>5999.8500979999999</v>
      </c>
      <c r="D1413">
        <v>5936.8999020000001</v>
      </c>
      <c r="E1413">
        <v>5944</v>
      </c>
      <c r="F1413" s="4">
        <f t="shared" si="148"/>
        <v>5904.1000979999999</v>
      </c>
      <c r="G1413" s="4">
        <f t="shared" si="149"/>
        <v>5999.3500979999999</v>
      </c>
      <c r="H1413" s="4">
        <f t="shared" si="150"/>
        <v>0</v>
      </c>
      <c r="I1413" s="4">
        <f t="shared" si="147"/>
        <v>1</v>
      </c>
      <c r="J1413" s="11">
        <f t="shared" si="151"/>
        <v>0</v>
      </c>
      <c r="K1413" s="6">
        <f t="shared" si="152"/>
        <v>5594</v>
      </c>
      <c r="L1413" s="4">
        <f t="shared" si="153"/>
        <v>0</v>
      </c>
    </row>
    <row r="1414" spans="1:12" x14ac:dyDescent="0.25">
      <c r="A1414" s="1">
        <v>43145</v>
      </c>
      <c r="B1414">
        <v>5944</v>
      </c>
      <c r="C1414">
        <v>5976.4501950000003</v>
      </c>
      <c r="D1414">
        <v>5928.5498049999997</v>
      </c>
      <c r="E1414">
        <v>5971.0498049999997</v>
      </c>
      <c r="F1414" s="4">
        <f t="shared" si="148"/>
        <v>5930.2001950000003</v>
      </c>
      <c r="G1414" s="4">
        <f t="shared" si="149"/>
        <v>5999.3500979999999</v>
      </c>
      <c r="H1414" s="4">
        <f t="shared" si="150"/>
        <v>0</v>
      </c>
      <c r="I1414" s="4">
        <f t="shared" ref="I1414:I1477" si="154">IF(AND(H1414="BUY",I1413&lt;&gt;1),1,IF(AND(H1414="SELL",I1413&lt;&gt;-1),-1,I1413))</f>
        <v>1</v>
      </c>
      <c r="J1414" s="11">
        <f t="shared" si="151"/>
        <v>0</v>
      </c>
      <c r="K1414" s="6">
        <f t="shared" si="152"/>
        <v>5594</v>
      </c>
      <c r="L1414" s="4">
        <f t="shared" si="153"/>
        <v>0</v>
      </c>
    </row>
    <row r="1415" spans="1:12" x14ac:dyDescent="0.25">
      <c r="A1415" s="1">
        <v>43146</v>
      </c>
      <c r="B1415">
        <v>5971.0498049999997</v>
      </c>
      <c r="C1415">
        <v>6050.3500979999999</v>
      </c>
      <c r="D1415">
        <v>5971.0498049999997</v>
      </c>
      <c r="E1415">
        <v>6043.5498049999997</v>
      </c>
      <c r="F1415" s="4">
        <f t="shared" ref="F1415:F1478" si="155">MIN(E1411:E1415)</f>
        <v>5930.2001950000003</v>
      </c>
      <c r="G1415" s="4">
        <f t="shared" ref="G1415:G1478" si="156">MAX(E1411:E1415)</f>
        <v>6043.5498049999997</v>
      </c>
      <c r="H1415" s="4" t="str">
        <f t="shared" ref="H1415:H1478" si="157">IF(E1415&gt;G1414,"BUY",IF(E1415&lt;F1414,"SELL",0))</f>
        <v>BUY</v>
      </c>
      <c r="I1415" s="4">
        <f t="shared" si="154"/>
        <v>1</v>
      </c>
      <c r="J1415" s="11">
        <f t="shared" ref="J1415:J1478" si="158">IF(I1415&lt;&gt;I1414,H1415,0)</f>
        <v>0</v>
      </c>
      <c r="K1415" s="6">
        <f t="shared" ref="K1415:K1478" si="159">IF(J1415&lt;&gt;0,E1415,K1414)</f>
        <v>5594</v>
      </c>
      <c r="L1415" s="4">
        <f t="shared" si="153"/>
        <v>0</v>
      </c>
    </row>
    <row r="1416" spans="1:12" x14ac:dyDescent="0.25">
      <c r="A1416" s="1">
        <v>43147</v>
      </c>
      <c r="B1416">
        <v>6043.5498049999997</v>
      </c>
      <c r="C1416">
        <v>6083.0498049999997</v>
      </c>
      <c r="D1416">
        <v>6025.0498049999997</v>
      </c>
      <c r="E1416">
        <v>6069.2998049999997</v>
      </c>
      <c r="F1416" s="4">
        <f t="shared" si="155"/>
        <v>5944</v>
      </c>
      <c r="G1416" s="4">
        <f t="shared" si="156"/>
        <v>6069.2998049999997</v>
      </c>
      <c r="H1416" s="4" t="str">
        <f t="shared" si="157"/>
        <v>BUY</v>
      </c>
      <c r="I1416" s="4">
        <f t="shared" si="154"/>
        <v>1</v>
      </c>
      <c r="J1416" s="11">
        <f t="shared" si="158"/>
        <v>0</v>
      </c>
      <c r="K1416" s="6">
        <f t="shared" si="159"/>
        <v>5594</v>
      </c>
      <c r="L1416" s="4">
        <f t="shared" ref="L1416:L1479" si="160">IF(J1416="BUY",(K1415-K1416)/K1415,IF(J1416="SELL",(K1417-K1415)/K1415,0))</f>
        <v>0</v>
      </c>
    </row>
    <row r="1417" spans="1:12" x14ac:dyDescent="0.25">
      <c r="A1417" s="1">
        <v>43150</v>
      </c>
      <c r="B1417">
        <v>6069.2998049999997</v>
      </c>
      <c r="C1417">
        <v>6084.7001950000003</v>
      </c>
      <c r="D1417">
        <v>6040.5498049999997</v>
      </c>
      <c r="E1417">
        <v>6050.1499020000001</v>
      </c>
      <c r="F1417" s="4">
        <f t="shared" si="155"/>
        <v>5944</v>
      </c>
      <c r="G1417" s="4">
        <f t="shared" si="156"/>
        <v>6069.2998049999997</v>
      </c>
      <c r="H1417" s="4">
        <f t="shared" si="157"/>
        <v>0</v>
      </c>
      <c r="I1417" s="4">
        <f t="shared" si="154"/>
        <v>1</v>
      </c>
      <c r="J1417" s="11">
        <f t="shared" si="158"/>
        <v>0</v>
      </c>
      <c r="K1417" s="6">
        <f t="shared" si="159"/>
        <v>5594</v>
      </c>
      <c r="L1417" s="4">
        <f t="shared" si="160"/>
        <v>0</v>
      </c>
    </row>
    <row r="1418" spans="1:12" x14ac:dyDescent="0.25">
      <c r="A1418" s="1">
        <v>43151</v>
      </c>
      <c r="B1418">
        <v>6050.1499020000001</v>
      </c>
      <c r="C1418">
        <v>6104.3999020000001</v>
      </c>
      <c r="D1418">
        <v>6046.25</v>
      </c>
      <c r="E1418">
        <v>6094.75</v>
      </c>
      <c r="F1418" s="4">
        <f t="shared" si="155"/>
        <v>5971.0498049999997</v>
      </c>
      <c r="G1418" s="4">
        <f t="shared" si="156"/>
        <v>6094.75</v>
      </c>
      <c r="H1418" s="4" t="str">
        <f t="shared" si="157"/>
        <v>BUY</v>
      </c>
      <c r="I1418" s="4">
        <f t="shared" si="154"/>
        <v>1</v>
      </c>
      <c r="J1418" s="11">
        <f t="shared" si="158"/>
        <v>0</v>
      </c>
      <c r="K1418" s="6">
        <f t="shared" si="159"/>
        <v>5594</v>
      </c>
      <c r="L1418" s="4">
        <f t="shared" si="160"/>
        <v>0</v>
      </c>
    </row>
    <row r="1419" spans="1:12" x14ac:dyDescent="0.25">
      <c r="A1419" s="1">
        <v>43152</v>
      </c>
      <c r="B1419">
        <v>6098.2001950000003</v>
      </c>
      <c r="C1419">
        <v>6104.9501950000003</v>
      </c>
      <c r="D1419">
        <v>5972.8999020000001</v>
      </c>
      <c r="E1419">
        <v>5980.4501950000003</v>
      </c>
      <c r="F1419" s="4">
        <f t="shared" si="155"/>
        <v>5980.4501950000003</v>
      </c>
      <c r="G1419" s="4">
        <f t="shared" si="156"/>
        <v>6094.75</v>
      </c>
      <c r="H1419" s="4">
        <f t="shared" si="157"/>
        <v>0</v>
      </c>
      <c r="I1419" s="4">
        <f t="shared" si="154"/>
        <v>1</v>
      </c>
      <c r="J1419" s="11">
        <f t="shared" si="158"/>
        <v>0</v>
      </c>
      <c r="K1419" s="6">
        <f t="shared" si="159"/>
        <v>5594</v>
      </c>
      <c r="L1419" s="4">
        <f t="shared" si="160"/>
        <v>0</v>
      </c>
    </row>
    <row r="1420" spans="1:12" x14ac:dyDescent="0.25">
      <c r="A1420" s="1">
        <v>43153</v>
      </c>
      <c r="B1420">
        <v>5980.4501950000003</v>
      </c>
      <c r="C1420">
        <v>6026.2001950000003</v>
      </c>
      <c r="D1420">
        <v>5970.0498049999997</v>
      </c>
      <c r="E1420">
        <v>5995.3999020000001</v>
      </c>
      <c r="F1420" s="4">
        <f t="shared" si="155"/>
        <v>5980.4501950000003</v>
      </c>
      <c r="G1420" s="4">
        <f t="shared" si="156"/>
        <v>6094.75</v>
      </c>
      <c r="H1420" s="4">
        <f t="shared" si="157"/>
        <v>0</v>
      </c>
      <c r="I1420" s="4">
        <f t="shared" si="154"/>
        <v>1</v>
      </c>
      <c r="J1420" s="11">
        <f t="shared" si="158"/>
        <v>0</v>
      </c>
      <c r="K1420" s="6">
        <f t="shared" si="159"/>
        <v>5594</v>
      </c>
      <c r="L1420" s="4">
        <f t="shared" si="160"/>
        <v>0</v>
      </c>
    </row>
    <row r="1421" spans="1:12" x14ac:dyDescent="0.25">
      <c r="A1421" s="1">
        <v>43154</v>
      </c>
      <c r="B1421">
        <v>5995.3999020000001</v>
      </c>
      <c r="C1421">
        <v>6156.5498049999997</v>
      </c>
      <c r="D1421">
        <v>5995.3999020000001</v>
      </c>
      <c r="E1421">
        <v>6146.75</v>
      </c>
      <c r="F1421" s="4">
        <f t="shared" si="155"/>
        <v>5980.4501950000003</v>
      </c>
      <c r="G1421" s="4">
        <f t="shared" si="156"/>
        <v>6146.75</v>
      </c>
      <c r="H1421" s="4" t="str">
        <f t="shared" si="157"/>
        <v>BUY</v>
      </c>
      <c r="I1421" s="4">
        <f t="shared" si="154"/>
        <v>1</v>
      </c>
      <c r="J1421" s="11">
        <f t="shared" si="158"/>
        <v>0</v>
      </c>
      <c r="K1421" s="6">
        <f t="shared" si="159"/>
        <v>5594</v>
      </c>
      <c r="L1421" s="4">
        <f t="shared" si="160"/>
        <v>0</v>
      </c>
    </row>
    <row r="1422" spans="1:12" x14ac:dyDescent="0.25">
      <c r="A1422" s="1">
        <v>43157</v>
      </c>
      <c r="B1422">
        <v>6146.75</v>
      </c>
      <c r="C1422">
        <v>6187.0498049999997</v>
      </c>
      <c r="D1422">
        <v>6128.1000979999999</v>
      </c>
      <c r="E1422">
        <v>6169.8999020000001</v>
      </c>
      <c r="F1422" s="4">
        <f t="shared" si="155"/>
        <v>5980.4501950000003</v>
      </c>
      <c r="G1422" s="4">
        <f t="shared" si="156"/>
        <v>6169.8999020000001</v>
      </c>
      <c r="H1422" s="4" t="str">
        <f t="shared" si="157"/>
        <v>BUY</v>
      </c>
      <c r="I1422" s="4">
        <f t="shared" si="154"/>
        <v>1</v>
      </c>
      <c r="J1422" s="11">
        <f t="shared" si="158"/>
        <v>0</v>
      </c>
      <c r="K1422" s="6">
        <f t="shared" si="159"/>
        <v>5594</v>
      </c>
      <c r="L1422" s="4">
        <f t="shared" si="160"/>
        <v>0</v>
      </c>
    </row>
    <row r="1423" spans="1:12" x14ac:dyDescent="0.25">
      <c r="A1423" s="1">
        <v>43158</v>
      </c>
      <c r="B1423">
        <v>6172.9501950000003</v>
      </c>
      <c r="C1423">
        <v>6199.9501950000003</v>
      </c>
      <c r="D1423">
        <v>6146.1499020000001</v>
      </c>
      <c r="E1423">
        <v>6187.2998049999997</v>
      </c>
      <c r="F1423" s="4">
        <f t="shared" si="155"/>
        <v>5980.4501950000003</v>
      </c>
      <c r="G1423" s="4">
        <f t="shared" si="156"/>
        <v>6187.2998049999997</v>
      </c>
      <c r="H1423" s="4" t="str">
        <f t="shared" si="157"/>
        <v>BUY</v>
      </c>
      <c r="I1423" s="4">
        <f t="shared" si="154"/>
        <v>1</v>
      </c>
      <c r="J1423" s="11">
        <f t="shared" si="158"/>
        <v>0</v>
      </c>
      <c r="K1423" s="6">
        <f t="shared" si="159"/>
        <v>5594</v>
      </c>
      <c r="L1423" s="4">
        <f t="shared" si="160"/>
        <v>0</v>
      </c>
    </row>
    <row r="1424" spans="1:12" x14ac:dyDescent="0.25">
      <c r="A1424" s="1">
        <v>43159</v>
      </c>
      <c r="B1424">
        <v>6198</v>
      </c>
      <c r="C1424">
        <v>6229.4501950000003</v>
      </c>
      <c r="D1424">
        <v>6146.0498049999997</v>
      </c>
      <c r="E1424">
        <v>6156.8999020000001</v>
      </c>
      <c r="F1424" s="4">
        <f t="shared" si="155"/>
        <v>5995.3999020000001</v>
      </c>
      <c r="G1424" s="4">
        <f t="shared" si="156"/>
        <v>6187.2998049999997</v>
      </c>
      <c r="H1424" s="4">
        <f t="shared" si="157"/>
        <v>0</v>
      </c>
      <c r="I1424" s="4">
        <f t="shared" si="154"/>
        <v>1</v>
      </c>
      <c r="J1424" s="11">
        <f t="shared" si="158"/>
        <v>0</v>
      </c>
      <c r="K1424" s="6">
        <f t="shared" si="159"/>
        <v>5594</v>
      </c>
      <c r="L1424" s="4">
        <f t="shared" si="160"/>
        <v>0</v>
      </c>
    </row>
    <row r="1425" spans="1:12" x14ac:dyDescent="0.25">
      <c r="A1425" s="1">
        <v>43160</v>
      </c>
      <c r="B1425">
        <v>6156.8999020000001</v>
      </c>
      <c r="C1425">
        <v>6179.4501950000003</v>
      </c>
      <c r="D1425">
        <v>6103.1000979999999</v>
      </c>
      <c r="E1425">
        <v>6114.1000979999999</v>
      </c>
      <c r="F1425" s="4">
        <f t="shared" si="155"/>
        <v>6114.1000979999999</v>
      </c>
      <c r="G1425" s="4">
        <f t="shared" si="156"/>
        <v>6187.2998049999997</v>
      </c>
      <c r="H1425" s="4">
        <f t="shared" si="157"/>
        <v>0</v>
      </c>
      <c r="I1425" s="4">
        <f t="shared" si="154"/>
        <v>1</v>
      </c>
      <c r="J1425" s="11">
        <f t="shared" si="158"/>
        <v>0</v>
      </c>
      <c r="K1425" s="6">
        <f t="shared" si="159"/>
        <v>5594</v>
      </c>
      <c r="L1425" s="4">
        <f t="shared" si="160"/>
        <v>0</v>
      </c>
    </row>
    <row r="1426" spans="1:12" x14ac:dyDescent="0.25">
      <c r="A1426" s="1">
        <v>43161</v>
      </c>
      <c r="B1426">
        <v>6114.1000979999999</v>
      </c>
      <c r="C1426">
        <v>6147.5498049999997</v>
      </c>
      <c r="D1426">
        <v>6074.5498049999997</v>
      </c>
      <c r="E1426">
        <v>6094.5</v>
      </c>
      <c r="F1426" s="4">
        <f t="shared" si="155"/>
        <v>6094.5</v>
      </c>
      <c r="G1426" s="4">
        <f t="shared" si="156"/>
        <v>6187.2998049999997</v>
      </c>
      <c r="H1426" s="4" t="str">
        <f t="shared" si="157"/>
        <v>SELL</v>
      </c>
      <c r="I1426" s="4">
        <f t="shared" si="154"/>
        <v>-1</v>
      </c>
      <c r="J1426" s="11" t="str">
        <f t="shared" si="158"/>
        <v>SELL</v>
      </c>
      <c r="K1426" s="6">
        <f t="shared" si="159"/>
        <v>6094.5</v>
      </c>
      <c r="L1426" s="4">
        <f t="shared" si="160"/>
        <v>8.9470861637468715E-2</v>
      </c>
    </row>
    <row r="1427" spans="1:12" x14ac:dyDescent="0.25">
      <c r="A1427" s="1">
        <v>43164</v>
      </c>
      <c r="B1427">
        <v>6094.5</v>
      </c>
      <c r="C1427">
        <v>6094.5</v>
      </c>
      <c r="D1427">
        <v>5955.8500979999999</v>
      </c>
      <c r="E1427">
        <v>5967.0498049999997</v>
      </c>
      <c r="F1427" s="4">
        <f t="shared" si="155"/>
        <v>5967.0498049999997</v>
      </c>
      <c r="G1427" s="4">
        <f t="shared" si="156"/>
        <v>6187.2998049999997</v>
      </c>
      <c r="H1427" s="4" t="str">
        <f t="shared" si="157"/>
        <v>SELL</v>
      </c>
      <c r="I1427" s="4">
        <f t="shared" si="154"/>
        <v>-1</v>
      </c>
      <c r="J1427" s="11">
        <f t="shared" si="158"/>
        <v>0</v>
      </c>
      <c r="K1427" s="6">
        <f t="shared" si="159"/>
        <v>6094.5</v>
      </c>
      <c r="L1427" s="4">
        <f t="shared" si="160"/>
        <v>0</v>
      </c>
    </row>
    <row r="1428" spans="1:12" x14ac:dyDescent="0.25">
      <c r="A1428" s="1">
        <v>43165</v>
      </c>
      <c r="B1428">
        <v>5967.0498049999997</v>
      </c>
      <c r="C1428">
        <v>6015.2001950000003</v>
      </c>
      <c r="D1428">
        <v>5936.8500979999999</v>
      </c>
      <c r="E1428">
        <v>5983.5498049999997</v>
      </c>
      <c r="F1428" s="4">
        <f t="shared" si="155"/>
        <v>5967.0498049999997</v>
      </c>
      <c r="G1428" s="4">
        <f t="shared" si="156"/>
        <v>6156.8999020000001</v>
      </c>
      <c r="H1428" s="4">
        <f t="shared" si="157"/>
        <v>0</v>
      </c>
      <c r="I1428" s="4">
        <f t="shared" si="154"/>
        <v>-1</v>
      </c>
      <c r="J1428" s="11">
        <f t="shared" si="158"/>
        <v>0</v>
      </c>
      <c r="K1428" s="6">
        <f t="shared" si="159"/>
        <v>6094.5</v>
      </c>
      <c r="L1428" s="4">
        <f t="shared" si="160"/>
        <v>0</v>
      </c>
    </row>
    <row r="1429" spans="1:12" x14ac:dyDescent="0.25">
      <c r="A1429" s="1">
        <v>43166</v>
      </c>
      <c r="B1429">
        <v>5989.3999020000001</v>
      </c>
      <c r="C1429">
        <v>6099.8999020000001</v>
      </c>
      <c r="D1429">
        <v>5975.5498049999997</v>
      </c>
      <c r="E1429">
        <v>6083.1499020000001</v>
      </c>
      <c r="F1429" s="4">
        <f t="shared" si="155"/>
        <v>5967.0498049999997</v>
      </c>
      <c r="G1429" s="4">
        <f t="shared" si="156"/>
        <v>6114.1000979999999</v>
      </c>
      <c r="H1429" s="4">
        <f t="shared" si="157"/>
        <v>0</v>
      </c>
      <c r="I1429" s="4">
        <f t="shared" si="154"/>
        <v>-1</v>
      </c>
      <c r="J1429" s="11">
        <f t="shared" si="158"/>
        <v>0</v>
      </c>
      <c r="K1429" s="6">
        <f t="shared" si="159"/>
        <v>6094.5</v>
      </c>
      <c r="L1429" s="4">
        <f t="shared" si="160"/>
        <v>0</v>
      </c>
    </row>
    <row r="1430" spans="1:12" x14ac:dyDescent="0.25">
      <c r="A1430" s="1">
        <v>43167</v>
      </c>
      <c r="B1430">
        <v>6086.3500979999999</v>
      </c>
      <c r="C1430">
        <v>6127.6499020000001</v>
      </c>
      <c r="D1430">
        <v>6055.3999020000001</v>
      </c>
      <c r="E1430">
        <v>6111.25</v>
      </c>
      <c r="F1430" s="4">
        <f t="shared" si="155"/>
        <v>5967.0498049999997</v>
      </c>
      <c r="G1430" s="4">
        <f t="shared" si="156"/>
        <v>6111.25</v>
      </c>
      <c r="H1430" s="4">
        <f t="shared" si="157"/>
        <v>0</v>
      </c>
      <c r="I1430" s="4">
        <f t="shared" si="154"/>
        <v>-1</v>
      </c>
      <c r="J1430" s="11">
        <f t="shared" si="158"/>
        <v>0</v>
      </c>
      <c r="K1430" s="6">
        <f t="shared" si="159"/>
        <v>6094.5</v>
      </c>
      <c r="L1430" s="4">
        <f t="shared" si="160"/>
        <v>0</v>
      </c>
    </row>
    <row r="1431" spans="1:12" x14ac:dyDescent="0.25">
      <c r="A1431" s="1">
        <v>43168</v>
      </c>
      <c r="B1431">
        <v>6111.25</v>
      </c>
      <c r="C1431">
        <v>6122.1000979999999</v>
      </c>
      <c r="D1431">
        <v>6069.8500979999999</v>
      </c>
      <c r="E1431">
        <v>6104.2998049999997</v>
      </c>
      <c r="F1431" s="4">
        <f t="shared" si="155"/>
        <v>5967.0498049999997</v>
      </c>
      <c r="G1431" s="4">
        <f t="shared" si="156"/>
        <v>6111.25</v>
      </c>
      <c r="H1431" s="4">
        <f t="shared" si="157"/>
        <v>0</v>
      </c>
      <c r="I1431" s="4">
        <f t="shared" si="154"/>
        <v>-1</v>
      </c>
      <c r="J1431" s="11">
        <f t="shared" si="158"/>
        <v>0</v>
      </c>
      <c r="K1431" s="6">
        <f t="shared" si="159"/>
        <v>6094.5</v>
      </c>
      <c r="L1431" s="4">
        <f t="shared" si="160"/>
        <v>0</v>
      </c>
    </row>
    <row r="1432" spans="1:12" x14ac:dyDescent="0.25">
      <c r="A1432" s="1">
        <v>43171</v>
      </c>
      <c r="B1432">
        <v>6104.2998049999997</v>
      </c>
      <c r="C1432">
        <v>6132.6000979999999</v>
      </c>
      <c r="D1432">
        <v>6072.0498049999997</v>
      </c>
      <c r="E1432">
        <v>6124.0498049999997</v>
      </c>
      <c r="F1432" s="4">
        <f t="shared" si="155"/>
        <v>5983.5498049999997</v>
      </c>
      <c r="G1432" s="4">
        <f t="shared" si="156"/>
        <v>6124.0498049999997</v>
      </c>
      <c r="H1432" s="4" t="str">
        <f t="shared" si="157"/>
        <v>BUY</v>
      </c>
      <c r="I1432" s="4">
        <f t="shared" si="154"/>
        <v>1</v>
      </c>
      <c r="J1432" s="11" t="str">
        <f t="shared" si="158"/>
        <v>BUY</v>
      </c>
      <c r="K1432" s="6">
        <f t="shared" si="159"/>
        <v>6124.0498049999997</v>
      </c>
      <c r="L1432" s="4">
        <f t="shared" si="160"/>
        <v>-4.848602018213086E-3</v>
      </c>
    </row>
    <row r="1433" spans="1:12" x14ac:dyDescent="0.25">
      <c r="A1433" s="1">
        <v>43172</v>
      </c>
      <c r="B1433">
        <v>6124.0498049999997</v>
      </c>
      <c r="C1433">
        <v>6124.0498049999997</v>
      </c>
      <c r="D1433">
        <v>5976.0498049999997</v>
      </c>
      <c r="E1433">
        <v>5985.9501950000003</v>
      </c>
      <c r="F1433" s="4">
        <f t="shared" si="155"/>
        <v>5985.9501950000003</v>
      </c>
      <c r="G1433" s="4">
        <f t="shared" si="156"/>
        <v>6124.0498049999997</v>
      </c>
      <c r="H1433" s="4">
        <f t="shared" si="157"/>
        <v>0</v>
      </c>
      <c r="I1433" s="4">
        <f t="shared" si="154"/>
        <v>1</v>
      </c>
      <c r="J1433" s="11">
        <f t="shared" si="158"/>
        <v>0</v>
      </c>
      <c r="K1433" s="6">
        <f t="shared" si="159"/>
        <v>6124.0498049999997</v>
      </c>
      <c r="L1433" s="4">
        <f t="shared" si="160"/>
        <v>0</v>
      </c>
    </row>
    <row r="1434" spans="1:12" x14ac:dyDescent="0.25">
      <c r="A1434" s="1">
        <v>43173</v>
      </c>
      <c r="B1434">
        <v>5985.9501950000003</v>
      </c>
      <c r="C1434">
        <v>6010.2998049999997</v>
      </c>
      <c r="D1434">
        <v>5916.5498049999997</v>
      </c>
      <c r="E1434">
        <v>5939.2998049999997</v>
      </c>
      <c r="F1434" s="4">
        <f t="shared" si="155"/>
        <v>5939.2998049999997</v>
      </c>
      <c r="G1434" s="4">
        <f t="shared" si="156"/>
        <v>6124.0498049999997</v>
      </c>
      <c r="H1434" s="4" t="str">
        <f t="shared" si="157"/>
        <v>SELL</v>
      </c>
      <c r="I1434" s="4">
        <f t="shared" si="154"/>
        <v>-1</v>
      </c>
      <c r="J1434" s="11" t="str">
        <f t="shared" si="158"/>
        <v>SELL</v>
      </c>
      <c r="K1434" s="6">
        <f t="shared" si="159"/>
        <v>5939.2998049999997</v>
      </c>
      <c r="L1434" s="4">
        <f t="shared" si="160"/>
        <v>-3.016794537646645E-2</v>
      </c>
    </row>
    <row r="1435" spans="1:12" x14ac:dyDescent="0.25">
      <c r="A1435" s="1">
        <v>43174</v>
      </c>
      <c r="B1435">
        <v>5939.2998049999997</v>
      </c>
      <c r="C1435">
        <v>5981.5</v>
      </c>
      <c r="D1435">
        <v>5910.3500979999999</v>
      </c>
      <c r="E1435">
        <v>5919.4501950000003</v>
      </c>
      <c r="F1435" s="4">
        <f t="shared" si="155"/>
        <v>5919.4501950000003</v>
      </c>
      <c r="G1435" s="4">
        <f t="shared" si="156"/>
        <v>6124.0498049999997</v>
      </c>
      <c r="H1435" s="4" t="str">
        <f t="shared" si="157"/>
        <v>SELL</v>
      </c>
      <c r="I1435" s="4">
        <f t="shared" si="154"/>
        <v>-1</v>
      </c>
      <c r="J1435" s="11">
        <f t="shared" si="158"/>
        <v>0</v>
      </c>
      <c r="K1435" s="6">
        <f t="shared" si="159"/>
        <v>5939.2998049999997</v>
      </c>
      <c r="L1435" s="4">
        <f t="shared" si="160"/>
        <v>0</v>
      </c>
    </row>
    <row r="1436" spans="1:12" x14ac:dyDescent="0.25">
      <c r="A1436" s="1">
        <v>43175</v>
      </c>
      <c r="B1436">
        <v>5919.4501950000003</v>
      </c>
      <c r="C1436">
        <v>5935.0498049999997</v>
      </c>
      <c r="D1436">
        <v>5884.2998049999997</v>
      </c>
      <c r="E1436">
        <v>5923.8500979999999</v>
      </c>
      <c r="F1436" s="4">
        <f t="shared" si="155"/>
        <v>5919.4501950000003</v>
      </c>
      <c r="G1436" s="4">
        <f t="shared" si="156"/>
        <v>6124.0498049999997</v>
      </c>
      <c r="H1436" s="4">
        <f t="shared" si="157"/>
        <v>0</v>
      </c>
      <c r="I1436" s="4">
        <f t="shared" si="154"/>
        <v>-1</v>
      </c>
      <c r="J1436" s="11">
        <f t="shared" si="158"/>
        <v>0</v>
      </c>
      <c r="K1436" s="6">
        <f t="shared" si="159"/>
        <v>5939.2998049999997</v>
      </c>
      <c r="L1436" s="4">
        <f t="shared" si="160"/>
        <v>0</v>
      </c>
    </row>
    <row r="1437" spans="1:12" x14ac:dyDescent="0.25">
      <c r="A1437" s="1">
        <v>43178</v>
      </c>
      <c r="B1437">
        <v>5923.8500979999999</v>
      </c>
      <c r="C1437">
        <v>5956.2998049999997</v>
      </c>
      <c r="D1437">
        <v>5869.7001950000003</v>
      </c>
      <c r="E1437">
        <v>5921.3999020000001</v>
      </c>
      <c r="F1437" s="4">
        <f t="shared" si="155"/>
        <v>5919.4501950000003</v>
      </c>
      <c r="G1437" s="4">
        <f t="shared" si="156"/>
        <v>5985.9501950000003</v>
      </c>
      <c r="H1437" s="4">
        <f t="shared" si="157"/>
        <v>0</v>
      </c>
      <c r="I1437" s="4">
        <f t="shared" si="154"/>
        <v>-1</v>
      </c>
      <c r="J1437" s="11">
        <f t="shared" si="158"/>
        <v>0</v>
      </c>
      <c r="K1437" s="6">
        <f t="shared" si="159"/>
        <v>5939.2998049999997</v>
      </c>
      <c r="L1437" s="4">
        <f t="shared" si="160"/>
        <v>0</v>
      </c>
    </row>
    <row r="1438" spans="1:12" x14ac:dyDescent="0.25">
      <c r="A1438" s="1">
        <v>43179</v>
      </c>
      <c r="B1438">
        <v>5921.3999020000001</v>
      </c>
      <c r="C1438">
        <v>5972.6499020000001</v>
      </c>
      <c r="D1438">
        <v>5871.9501950000003</v>
      </c>
      <c r="E1438">
        <v>5881</v>
      </c>
      <c r="F1438" s="4">
        <f t="shared" si="155"/>
        <v>5881</v>
      </c>
      <c r="G1438" s="4">
        <f t="shared" si="156"/>
        <v>5939.2998049999997</v>
      </c>
      <c r="H1438" s="4" t="str">
        <f t="shared" si="157"/>
        <v>SELL</v>
      </c>
      <c r="I1438" s="4">
        <f t="shared" si="154"/>
        <v>-1</v>
      </c>
      <c r="J1438" s="11">
        <f t="shared" si="158"/>
        <v>0</v>
      </c>
      <c r="K1438" s="6">
        <f t="shared" si="159"/>
        <v>5939.2998049999997</v>
      </c>
      <c r="L1438" s="4">
        <f t="shared" si="160"/>
        <v>0</v>
      </c>
    </row>
    <row r="1439" spans="1:12" x14ac:dyDescent="0.25">
      <c r="A1439" s="1">
        <v>43180</v>
      </c>
      <c r="B1439">
        <v>5881</v>
      </c>
      <c r="C1439">
        <v>5931.3999020000001</v>
      </c>
      <c r="D1439">
        <v>5858.1000979999999</v>
      </c>
      <c r="E1439">
        <v>5878</v>
      </c>
      <c r="F1439" s="4">
        <f t="shared" si="155"/>
        <v>5878</v>
      </c>
      <c r="G1439" s="4">
        <f t="shared" si="156"/>
        <v>5923.8500979999999</v>
      </c>
      <c r="H1439" s="4" t="str">
        <f t="shared" si="157"/>
        <v>SELL</v>
      </c>
      <c r="I1439" s="4">
        <f t="shared" si="154"/>
        <v>-1</v>
      </c>
      <c r="J1439" s="11">
        <f t="shared" si="158"/>
        <v>0</v>
      </c>
      <c r="K1439" s="6">
        <f t="shared" si="159"/>
        <v>5939.2998049999997</v>
      </c>
      <c r="L1439" s="4">
        <f t="shared" si="160"/>
        <v>0</v>
      </c>
    </row>
    <row r="1440" spans="1:12" x14ac:dyDescent="0.25">
      <c r="A1440" s="1">
        <v>43181</v>
      </c>
      <c r="B1440">
        <v>5878</v>
      </c>
      <c r="C1440">
        <v>5878</v>
      </c>
      <c r="D1440">
        <v>5780.3999020000001</v>
      </c>
      <c r="E1440">
        <v>5788.7998049999997</v>
      </c>
      <c r="F1440" s="4">
        <f t="shared" si="155"/>
        <v>5788.7998049999997</v>
      </c>
      <c r="G1440" s="4">
        <f t="shared" si="156"/>
        <v>5923.8500979999999</v>
      </c>
      <c r="H1440" s="4" t="str">
        <f t="shared" si="157"/>
        <v>SELL</v>
      </c>
      <c r="I1440" s="4">
        <f t="shared" si="154"/>
        <v>-1</v>
      </c>
      <c r="J1440" s="11">
        <f t="shared" si="158"/>
        <v>0</v>
      </c>
      <c r="K1440" s="6">
        <f t="shared" si="159"/>
        <v>5939.2998049999997</v>
      </c>
      <c r="L1440" s="4">
        <f t="shared" si="160"/>
        <v>0</v>
      </c>
    </row>
    <row r="1441" spans="1:12" x14ac:dyDescent="0.25">
      <c r="A1441" s="1">
        <v>43182</v>
      </c>
      <c r="B1441">
        <v>5788.7998049999997</v>
      </c>
      <c r="C1441">
        <v>5792.6000979999999</v>
      </c>
      <c r="D1441">
        <v>5740.9501950000003</v>
      </c>
      <c r="E1441">
        <v>5760.2001950000003</v>
      </c>
      <c r="F1441" s="4">
        <f t="shared" si="155"/>
        <v>5760.2001950000003</v>
      </c>
      <c r="G1441" s="4">
        <f t="shared" si="156"/>
        <v>5921.3999020000001</v>
      </c>
      <c r="H1441" s="4" t="str">
        <f t="shared" si="157"/>
        <v>SELL</v>
      </c>
      <c r="I1441" s="4">
        <f t="shared" si="154"/>
        <v>-1</v>
      </c>
      <c r="J1441" s="11">
        <f t="shared" si="158"/>
        <v>0</v>
      </c>
      <c r="K1441" s="6">
        <f t="shared" si="159"/>
        <v>5939.2998049999997</v>
      </c>
      <c r="L1441" s="4">
        <f t="shared" si="160"/>
        <v>0</v>
      </c>
    </row>
    <row r="1442" spans="1:12" x14ac:dyDescent="0.25">
      <c r="A1442" s="1">
        <v>43185</v>
      </c>
      <c r="B1442">
        <v>5760.2001950000003</v>
      </c>
      <c r="C1442">
        <v>5760.2001950000003</v>
      </c>
      <c r="D1442">
        <v>5683.1499020000001</v>
      </c>
      <c r="E1442">
        <v>5699.1000979999999</v>
      </c>
      <c r="F1442" s="4">
        <f t="shared" si="155"/>
        <v>5699.1000979999999</v>
      </c>
      <c r="G1442" s="4">
        <f t="shared" si="156"/>
        <v>5881</v>
      </c>
      <c r="H1442" s="4" t="str">
        <f t="shared" si="157"/>
        <v>SELL</v>
      </c>
      <c r="I1442" s="4">
        <f t="shared" si="154"/>
        <v>-1</v>
      </c>
      <c r="J1442" s="11">
        <f t="shared" si="158"/>
        <v>0</v>
      </c>
      <c r="K1442" s="6">
        <f t="shared" si="159"/>
        <v>5939.2998049999997</v>
      </c>
      <c r="L1442" s="4">
        <f t="shared" si="160"/>
        <v>0</v>
      </c>
    </row>
    <row r="1443" spans="1:12" x14ac:dyDescent="0.25">
      <c r="A1443" s="1">
        <v>43186</v>
      </c>
      <c r="B1443">
        <v>5699.1000979999999</v>
      </c>
      <c r="C1443">
        <v>5819.3500979999999</v>
      </c>
      <c r="D1443">
        <v>5699.1000979999999</v>
      </c>
      <c r="E1443">
        <v>5808.3999020000001</v>
      </c>
      <c r="F1443" s="4">
        <f t="shared" si="155"/>
        <v>5699.1000979999999</v>
      </c>
      <c r="G1443" s="4">
        <f t="shared" si="156"/>
        <v>5878</v>
      </c>
      <c r="H1443" s="4">
        <f t="shared" si="157"/>
        <v>0</v>
      </c>
      <c r="I1443" s="4">
        <f t="shared" si="154"/>
        <v>-1</v>
      </c>
      <c r="J1443" s="11">
        <f t="shared" si="158"/>
        <v>0</v>
      </c>
      <c r="K1443" s="6">
        <f t="shared" si="159"/>
        <v>5939.2998049999997</v>
      </c>
      <c r="L1443" s="4">
        <f t="shared" si="160"/>
        <v>0</v>
      </c>
    </row>
    <row r="1444" spans="1:12" x14ac:dyDescent="0.25">
      <c r="A1444" s="1">
        <v>43187</v>
      </c>
      <c r="B1444">
        <v>5808.3999020000001</v>
      </c>
      <c r="C1444">
        <v>5854.6000979999999</v>
      </c>
      <c r="D1444">
        <v>5770.3500979999999</v>
      </c>
      <c r="E1444">
        <v>5850.0498049999997</v>
      </c>
      <c r="F1444" s="4">
        <f t="shared" si="155"/>
        <v>5699.1000979999999</v>
      </c>
      <c r="G1444" s="4">
        <f t="shared" si="156"/>
        <v>5850.0498049999997</v>
      </c>
      <c r="H1444" s="4">
        <f t="shared" si="157"/>
        <v>0</v>
      </c>
      <c r="I1444" s="4">
        <f t="shared" si="154"/>
        <v>-1</v>
      </c>
      <c r="J1444" s="11">
        <f t="shared" si="158"/>
        <v>0</v>
      </c>
      <c r="K1444" s="6">
        <f t="shared" si="159"/>
        <v>5939.2998049999997</v>
      </c>
      <c r="L1444" s="4">
        <f t="shared" si="160"/>
        <v>0</v>
      </c>
    </row>
    <row r="1445" spans="1:12" x14ac:dyDescent="0.25">
      <c r="A1445" s="1">
        <v>43188</v>
      </c>
      <c r="B1445">
        <v>5841.8999020000001</v>
      </c>
      <c r="C1445">
        <v>5863.3999020000001</v>
      </c>
      <c r="D1445">
        <v>5804.2998049999997</v>
      </c>
      <c r="E1445">
        <v>5813.6000979999999</v>
      </c>
      <c r="F1445" s="4">
        <f t="shared" si="155"/>
        <v>5699.1000979999999</v>
      </c>
      <c r="G1445" s="4">
        <f t="shared" si="156"/>
        <v>5850.0498049999997</v>
      </c>
      <c r="H1445" s="4">
        <f t="shared" si="157"/>
        <v>0</v>
      </c>
      <c r="I1445" s="4">
        <f t="shared" si="154"/>
        <v>-1</v>
      </c>
      <c r="J1445" s="11">
        <f t="shared" si="158"/>
        <v>0</v>
      </c>
      <c r="K1445" s="6">
        <f t="shared" si="159"/>
        <v>5939.2998049999997</v>
      </c>
      <c r="L1445" s="4">
        <f t="shared" si="160"/>
        <v>0</v>
      </c>
    </row>
    <row r="1446" spans="1:12" x14ac:dyDescent="0.25">
      <c r="A1446" s="1">
        <v>43189</v>
      </c>
      <c r="B1446">
        <v>5813.6000979999999</v>
      </c>
      <c r="C1446">
        <v>5828.3999020000001</v>
      </c>
      <c r="D1446">
        <v>5778.3999020000001</v>
      </c>
      <c r="E1446">
        <v>5822.25</v>
      </c>
      <c r="F1446" s="4">
        <f t="shared" si="155"/>
        <v>5699.1000979999999</v>
      </c>
      <c r="G1446" s="4">
        <f t="shared" si="156"/>
        <v>5850.0498049999997</v>
      </c>
      <c r="H1446" s="4">
        <f t="shared" si="157"/>
        <v>0</v>
      </c>
      <c r="I1446" s="4">
        <f t="shared" si="154"/>
        <v>-1</v>
      </c>
      <c r="J1446" s="11">
        <f t="shared" si="158"/>
        <v>0</v>
      </c>
      <c r="K1446" s="6">
        <f t="shared" si="159"/>
        <v>5939.2998049999997</v>
      </c>
      <c r="L1446" s="4">
        <f t="shared" si="160"/>
        <v>0</v>
      </c>
    </row>
    <row r="1447" spans="1:12" x14ac:dyDescent="0.25">
      <c r="A1447" s="1">
        <v>43192</v>
      </c>
      <c r="B1447">
        <v>5822.25</v>
      </c>
      <c r="C1447">
        <v>5822.25</v>
      </c>
      <c r="D1447">
        <v>5646.5498049999997</v>
      </c>
      <c r="E1447">
        <v>5655.8999020000001</v>
      </c>
      <c r="F1447" s="4">
        <f t="shared" si="155"/>
        <v>5655.8999020000001</v>
      </c>
      <c r="G1447" s="4">
        <f t="shared" si="156"/>
        <v>5850.0498049999997</v>
      </c>
      <c r="H1447" s="4" t="str">
        <f t="shared" si="157"/>
        <v>SELL</v>
      </c>
      <c r="I1447" s="4">
        <f t="shared" si="154"/>
        <v>-1</v>
      </c>
      <c r="J1447" s="11">
        <f t="shared" si="158"/>
        <v>0</v>
      </c>
      <c r="K1447" s="6">
        <f t="shared" si="159"/>
        <v>5939.2998049999997</v>
      </c>
      <c r="L1447" s="4">
        <f t="shared" si="160"/>
        <v>0</v>
      </c>
    </row>
    <row r="1448" spans="1:12" x14ac:dyDescent="0.25">
      <c r="A1448" s="1">
        <v>43193</v>
      </c>
      <c r="B1448">
        <v>5655.8999020000001</v>
      </c>
      <c r="C1448">
        <v>5686.1499020000001</v>
      </c>
      <c r="D1448">
        <v>5618</v>
      </c>
      <c r="E1448">
        <v>5667.6499020000001</v>
      </c>
      <c r="F1448" s="4">
        <f t="shared" si="155"/>
        <v>5655.8999020000001</v>
      </c>
      <c r="G1448" s="4">
        <f t="shared" si="156"/>
        <v>5850.0498049999997</v>
      </c>
      <c r="H1448" s="4">
        <f t="shared" si="157"/>
        <v>0</v>
      </c>
      <c r="I1448" s="4">
        <f t="shared" si="154"/>
        <v>-1</v>
      </c>
      <c r="J1448" s="11">
        <f t="shared" si="158"/>
        <v>0</v>
      </c>
      <c r="K1448" s="6">
        <f t="shared" si="159"/>
        <v>5939.2998049999997</v>
      </c>
      <c r="L1448" s="4">
        <f t="shared" si="160"/>
        <v>0</v>
      </c>
    </row>
    <row r="1449" spans="1:12" x14ac:dyDescent="0.25">
      <c r="A1449" s="1">
        <v>43194</v>
      </c>
      <c r="B1449">
        <v>5667.6499020000001</v>
      </c>
      <c r="C1449">
        <v>5667.6499020000001</v>
      </c>
      <c r="D1449">
        <v>5566.8999020000001</v>
      </c>
      <c r="E1449">
        <v>5590.25</v>
      </c>
      <c r="F1449" s="4">
        <f t="shared" si="155"/>
        <v>5590.25</v>
      </c>
      <c r="G1449" s="4">
        <f t="shared" si="156"/>
        <v>5822.25</v>
      </c>
      <c r="H1449" s="4" t="str">
        <f t="shared" si="157"/>
        <v>SELL</v>
      </c>
      <c r="I1449" s="4">
        <f t="shared" si="154"/>
        <v>-1</v>
      </c>
      <c r="J1449" s="11">
        <f t="shared" si="158"/>
        <v>0</v>
      </c>
      <c r="K1449" s="6">
        <f t="shared" si="159"/>
        <v>5939.2998049999997</v>
      </c>
      <c r="L1449" s="4">
        <f t="shared" si="160"/>
        <v>0</v>
      </c>
    </row>
    <row r="1450" spans="1:12" x14ac:dyDescent="0.25">
      <c r="A1450" s="1">
        <v>43195</v>
      </c>
      <c r="B1450">
        <v>5590.25</v>
      </c>
      <c r="C1450">
        <v>5666.2001950000003</v>
      </c>
      <c r="D1450">
        <v>5570.3500979999999</v>
      </c>
      <c r="E1450">
        <v>5609.1000979999999</v>
      </c>
      <c r="F1450" s="4">
        <f t="shared" si="155"/>
        <v>5590.25</v>
      </c>
      <c r="G1450" s="4">
        <f t="shared" si="156"/>
        <v>5822.25</v>
      </c>
      <c r="H1450" s="4">
        <f t="shared" si="157"/>
        <v>0</v>
      </c>
      <c r="I1450" s="4">
        <f t="shared" si="154"/>
        <v>-1</v>
      </c>
      <c r="J1450" s="11">
        <f t="shared" si="158"/>
        <v>0</v>
      </c>
      <c r="K1450" s="6">
        <f t="shared" si="159"/>
        <v>5939.2998049999997</v>
      </c>
      <c r="L1450" s="4">
        <f t="shared" si="160"/>
        <v>0</v>
      </c>
    </row>
    <row r="1451" spans="1:12" x14ac:dyDescent="0.25">
      <c r="A1451" s="1">
        <v>43196</v>
      </c>
      <c r="B1451">
        <v>5609.1000979999999</v>
      </c>
      <c r="C1451">
        <v>5635.0498049999997</v>
      </c>
      <c r="D1451">
        <v>5579.6000979999999</v>
      </c>
      <c r="E1451">
        <v>5588.7001950000003</v>
      </c>
      <c r="F1451" s="4">
        <f t="shared" si="155"/>
        <v>5588.7001950000003</v>
      </c>
      <c r="G1451" s="4">
        <f t="shared" si="156"/>
        <v>5667.6499020000001</v>
      </c>
      <c r="H1451" s="4" t="str">
        <f t="shared" si="157"/>
        <v>SELL</v>
      </c>
      <c r="I1451" s="4">
        <f t="shared" si="154"/>
        <v>-1</v>
      </c>
      <c r="J1451" s="11">
        <f t="shared" si="158"/>
        <v>0</v>
      </c>
      <c r="K1451" s="6">
        <f t="shared" si="159"/>
        <v>5939.2998049999997</v>
      </c>
      <c r="L1451" s="4">
        <f t="shared" si="160"/>
        <v>0</v>
      </c>
    </row>
    <row r="1452" spans="1:12" x14ac:dyDescent="0.25">
      <c r="A1452" s="1">
        <v>43199</v>
      </c>
      <c r="B1452">
        <v>5588.7001950000003</v>
      </c>
      <c r="C1452">
        <v>5699.2001950000003</v>
      </c>
      <c r="D1452">
        <v>5588.7001950000003</v>
      </c>
      <c r="E1452">
        <v>5682.3500979999999</v>
      </c>
      <c r="F1452" s="4">
        <f t="shared" si="155"/>
        <v>5588.7001950000003</v>
      </c>
      <c r="G1452" s="4">
        <f t="shared" si="156"/>
        <v>5682.3500979999999</v>
      </c>
      <c r="H1452" s="4" t="str">
        <f t="shared" si="157"/>
        <v>BUY</v>
      </c>
      <c r="I1452" s="4">
        <f t="shared" si="154"/>
        <v>1</v>
      </c>
      <c r="J1452" s="11" t="str">
        <f t="shared" si="158"/>
        <v>BUY</v>
      </c>
      <c r="K1452" s="6">
        <f t="shared" si="159"/>
        <v>5682.3500979999999</v>
      </c>
      <c r="L1452" s="4">
        <f t="shared" si="160"/>
        <v>4.3262626140489938E-2</v>
      </c>
    </row>
    <row r="1453" spans="1:12" x14ac:dyDescent="0.25">
      <c r="A1453" s="1">
        <v>43200</v>
      </c>
      <c r="B1453">
        <v>5682.3500979999999</v>
      </c>
      <c r="C1453">
        <v>5852.75</v>
      </c>
      <c r="D1453">
        <v>5682.3500979999999</v>
      </c>
      <c r="E1453">
        <v>5842.2001950000003</v>
      </c>
      <c r="F1453" s="4">
        <f t="shared" si="155"/>
        <v>5588.7001950000003</v>
      </c>
      <c r="G1453" s="4">
        <f t="shared" si="156"/>
        <v>5842.2001950000003</v>
      </c>
      <c r="H1453" s="4" t="str">
        <f t="shared" si="157"/>
        <v>BUY</v>
      </c>
      <c r="I1453" s="4">
        <f t="shared" si="154"/>
        <v>1</v>
      </c>
      <c r="J1453" s="11">
        <f t="shared" si="158"/>
        <v>0</v>
      </c>
      <c r="K1453" s="6">
        <f t="shared" si="159"/>
        <v>5682.3500979999999</v>
      </c>
      <c r="L1453" s="4">
        <f t="shared" si="160"/>
        <v>0</v>
      </c>
    </row>
    <row r="1454" spans="1:12" x14ac:dyDescent="0.25">
      <c r="A1454" s="1">
        <v>43201</v>
      </c>
      <c r="B1454">
        <v>5842.2001950000003</v>
      </c>
      <c r="C1454">
        <v>5904.0498049999997</v>
      </c>
      <c r="D1454">
        <v>5829.1499020000001</v>
      </c>
      <c r="E1454">
        <v>5898.8500979999999</v>
      </c>
      <c r="F1454" s="4">
        <f t="shared" si="155"/>
        <v>5588.7001950000003</v>
      </c>
      <c r="G1454" s="4">
        <f t="shared" si="156"/>
        <v>5898.8500979999999</v>
      </c>
      <c r="H1454" s="4" t="str">
        <f t="shared" si="157"/>
        <v>BUY</v>
      </c>
      <c r="I1454" s="4">
        <f t="shared" si="154"/>
        <v>1</v>
      </c>
      <c r="J1454" s="11">
        <f t="shared" si="158"/>
        <v>0</v>
      </c>
      <c r="K1454" s="6">
        <f t="shared" si="159"/>
        <v>5682.3500979999999</v>
      </c>
      <c r="L1454" s="4">
        <f t="shared" si="160"/>
        <v>0</v>
      </c>
    </row>
    <row r="1455" spans="1:12" x14ac:dyDescent="0.25">
      <c r="A1455" s="1">
        <v>43202</v>
      </c>
      <c r="B1455">
        <v>5898.8500979999999</v>
      </c>
      <c r="C1455">
        <v>5898.8500979999999</v>
      </c>
      <c r="D1455">
        <v>5852.3500979999999</v>
      </c>
      <c r="E1455">
        <v>5857.5498049999997</v>
      </c>
      <c r="F1455" s="4">
        <f t="shared" si="155"/>
        <v>5588.7001950000003</v>
      </c>
      <c r="G1455" s="4">
        <f t="shared" si="156"/>
        <v>5898.8500979999999</v>
      </c>
      <c r="H1455" s="4">
        <f t="shared" si="157"/>
        <v>0</v>
      </c>
      <c r="I1455" s="4">
        <f t="shared" si="154"/>
        <v>1</v>
      </c>
      <c r="J1455" s="11">
        <f t="shared" si="158"/>
        <v>0</v>
      </c>
      <c r="K1455" s="6">
        <f t="shared" si="159"/>
        <v>5682.3500979999999</v>
      </c>
      <c r="L1455" s="4">
        <f t="shared" si="160"/>
        <v>0</v>
      </c>
    </row>
    <row r="1456" spans="1:12" x14ac:dyDescent="0.25">
      <c r="A1456" s="1">
        <v>43203</v>
      </c>
      <c r="B1456">
        <v>5857.5498049999997</v>
      </c>
      <c r="C1456">
        <v>5857.5498049999997</v>
      </c>
      <c r="D1456">
        <v>5760.5498049999997</v>
      </c>
      <c r="E1456">
        <v>5770.8999020000001</v>
      </c>
      <c r="F1456" s="4">
        <f t="shared" si="155"/>
        <v>5682.3500979999999</v>
      </c>
      <c r="G1456" s="4">
        <f t="shared" si="156"/>
        <v>5898.8500979999999</v>
      </c>
      <c r="H1456" s="4">
        <f t="shared" si="157"/>
        <v>0</v>
      </c>
      <c r="I1456" s="4">
        <f t="shared" si="154"/>
        <v>1</v>
      </c>
      <c r="J1456" s="11">
        <f t="shared" si="158"/>
        <v>0</v>
      </c>
      <c r="K1456" s="6">
        <f t="shared" si="159"/>
        <v>5682.3500979999999</v>
      </c>
      <c r="L1456" s="4">
        <f t="shared" si="160"/>
        <v>0</v>
      </c>
    </row>
    <row r="1457" spans="1:12" x14ac:dyDescent="0.25">
      <c r="A1457" s="1">
        <v>43206</v>
      </c>
      <c r="B1457">
        <v>5794.75</v>
      </c>
      <c r="C1457">
        <v>5848.2001950000003</v>
      </c>
      <c r="D1457">
        <v>5786.0498049999997</v>
      </c>
      <c r="E1457">
        <v>5836.9501950000003</v>
      </c>
      <c r="F1457" s="4">
        <f t="shared" si="155"/>
        <v>5770.8999020000001</v>
      </c>
      <c r="G1457" s="4">
        <f t="shared" si="156"/>
        <v>5898.8500979999999</v>
      </c>
      <c r="H1457" s="4">
        <f t="shared" si="157"/>
        <v>0</v>
      </c>
      <c r="I1457" s="4">
        <f t="shared" si="154"/>
        <v>1</v>
      </c>
      <c r="J1457" s="11">
        <f t="shared" si="158"/>
        <v>0</v>
      </c>
      <c r="K1457" s="6">
        <f t="shared" si="159"/>
        <v>5682.3500979999999</v>
      </c>
      <c r="L1457" s="4">
        <f t="shared" si="160"/>
        <v>0</v>
      </c>
    </row>
    <row r="1458" spans="1:12" x14ac:dyDescent="0.25">
      <c r="A1458" s="1">
        <v>43207</v>
      </c>
      <c r="B1458">
        <v>5836.9501950000003</v>
      </c>
      <c r="C1458">
        <v>5900.2998049999997</v>
      </c>
      <c r="D1458">
        <v>5836.9501950000003</v>
      </c>
      <c r="E1458">
        <v>5867.8999020000001</v>
      </c>
      <c r="F1458" s="4">
        <f t="shared" si="155"/>
        <v>5770.8999020000001</v>
      </c>
      <c r="G1458" s="4">
        <f t="shared" si="156"/>
        <v>5898.8500979999999</v>
      </c>
      <c r="H1458" s="4">
        <f t="shared" si="157"/>
        <v>0</v>
      </c>
      <c r="I1458" s="4">
        <f t="shared" si="154"/>
        <v>1</v>
      </c>
      <c r="J1458" s="11">
        <f t="shared" si="158"/>
        <v>0</v>
      </c>
      <c r="K1458" s="6">
        <f t="shared" si="159"/>
        <v>5682.3500979999999</v>
      </c>
      <c r="L1458" s="4">
        <f t="shared" si="160"/>
        <v>0</v>
      </c>
    </row>
    <row r="1459" spans="1:12" x14ac:dyDescent="0.25">
      <c r="A1459" s="1">
        <v>43208</v>
      </c>
      <c r="B1459">
        <v>5867.8999020000001</v>
      </c>
      <c r="C1459">
        <v>5867.8999020000001</v>
      </c>
      <c r="D1459">
        <v>5775.7001950000003</v>
      </c>
      <c r="E1459">
        <v>5811.5498049999997</v>
      </c>
      <c r="F1459" s="4">
        <f t="shared" si="155"/>
        <v>5770.8999020000001</v>
      </c>
      <c r="G1459" s="4">
        <f t="shared" si="156"/>
        <v>5867.8999020000001</v>
      </c>
      <c r="H1459" s="4">
        <f t="shared" si="157"/>
        <v>0</v>
      </c>
      <c r="I1459" s="4">
        <f t="shared" si="154"/>
        <v>1</v>
      </c>
      <c r="J1459" s="11">
        <f t="shared" si="158"/>
        <v>0</v>
      </c>
      <c r="K1459" s="6">
        <f t="shared" si="159"/>
        <v>5682.3500979999999</v>
      </c>
      <c r="L1459" s="4">
        <f t="shared" si="160"/>
        <v>0</v>
      </c>
    </row>
    <row r="1460" spans="1:12" x14ac:dyDescent="0.25">
      <c r="A1460" s="1">
        <v>43209</v>
      </c>
      <c r="B1460">
        <v>5834.6000979999999</v>
      </c>
      <c r="C1460">
        <v>5864.9501950000003</v>
      </c>
      <c r="D1460">
        <v>5834.6000979999999</v>
      </c>
      <c r="E1460">
        <v>5859</v>
      </c>
      <c r="F1460" s="4">
        <f t="shared" si="155"/>
        <v>5770.8999020000001</v>
      </c>
      <c r="G1460" s="4">
        <f t="shared" si="156"/>
        <v>5867.8999020000001</v>
      </c>
      <c r="H1460" s="4">
        <f t="shared" si="157"/>
        <v>0</v>
      </c>
      <c r="I1460" s="4">
        <f t="shared" si="154"/>
        <v>1</v>
      </c>
      <c r="J1460" s="11">
        <f t="shared" si="158"/>
        <v>0</v>
      </c>
      <c r="K1460" s="6">
        <f t="shared" si="159"/>
        <v>5682.3500979999999</v>
      </c>
      <c r="L1460" s="4">
        <f t="shared" si="160"/>
        <v>0</v>
      </c>
    </row>
    <row r="1461" spans="1:12" x14ac:dyDescent="0.25">
      <c r="A1461" s="1">
        <v>43210</v>
      </c>
      <c r="B1461">
        <v>5859</v>
      </c>
      <c r="C1461">
        <v>5879.2001950000003</v>
      </c>
      <c r="D1461">
        <v>5803</v>
      </c>
      <c r="E1461">
        <v>5816.7001950000003</v>
      </c>
      <c r="F1461" s="4">
        <f t="shared" si="155"/>
        <v>5811.5498049999997</v>
      </c>
      <c r="G1461" s="4">
        <f t="shared" si="156"/>
        <v>5867.8999020000001</v>
      </c>
      <c r="H1461" s="4">
        <f t="shared" si="157"/>
        <v>0</v>
      </c>
      <c r="I1461" s="4">
        <f t="shared" si="154"/>
        <v>1</v>
      </c>
      <c r="J1461" s="11">
        <f t="shared" si="158"/>
        <v>0</v>
      </c>
      <c r="K1461" s="6">
        <f t="shared" si="159"/>
        <v>5682.3500979999999</v>
      </c>
      <c r="L1461" s="4">
        <f t="shared" si="160"/>
        <v>0</v>
      </c>
    </row>
    <row r="1462" spans="1:12" x14ac:dyDescent="0.25">
      <c r="A1462" s="1">
        <v>43213</v>
      </c>
      <c r="B1462">
        <v>5816.7001950000003</v>
      </c>
      <c r="C1462">
        <v>5948.7998049999997</v>
      </c>
      <c r="D1462">
        <v>5816.7001950000003</v>
      </c>
      <c r="E1462">
        <v>5935.1000979999999</v>
      </c>
      <c r="F1462" s="4">
        <f t="shared" si="155"/>
        <v>5811.5498049999997</v>
      </c>
      <c r="G1462" s="4">
        <f t="shared" si="156"/>
        <v>5935.1000979999999</v>
      </c>
      <c r="H1462" s="4" t="str">
        <f t="shared" si="157"/>
        <v>BUY</v>
      </c>
      <c r="I1462" s="4">
        <f t="shared" si="154"/>
        <v>1</v>
      </c>
      <c r="J1462" s="11">
        <f t="shared" si="158"/>
        <v>0</v>
      </c>
      <c r="K1462" s="6">
        <f t="shared" si="159"/>
        <v>5682.3500979999999</v>
      </c>
      <c r="L1462" s="4">
        <f t="shared" si="160"/>
        <v>0</v>
      </c>
    </row>
    <row r="1463" spans="1:12" x14ac:dyDescent="0.25">
      <c r="A1463" s="1">
        <v>43214</v>
      </c>
      <c r="B1463">
        <v>5935.1000979999999</v>
      </c>
      <c r="C1463">
        <v>6018.5</v>
      </c>
      <c r="D1463">
        <v>5935.1000979999999</v>
      </c>
      <c r="E1463">
        <v>6009</v>
      </c>
      <c r="F1463" s="4">
        <f t="shared" si="155"/>
        <v>5811.5498049999997</v>
      </c>
      <c r="G1463" s="4">
        <f t="shared" si="156"/>
        <v>6009</v>
      </c>
      <c r="H1463" s="4" t="str">
        <f t="shared" si="157"/>
        <v>BUY</v>
      </c>
      <c r="I1463" s="4">
        <f t="shared" si="154"/>
        <v>1</v>
      </c>
      <c r="J1463" s="11">
        <f t="shared" si="158"/>
        <v>0</v>
      </c>
      <c r="K1463" s="6">
        <f t="shared" si="159"/>
        <v>5682.3500979999999</v>
      </c>
      <c r="L1463" s="4">
        <f t="shared" si="160"/>
        <v>0</v>
      </c>
    </row>
    <row r="1464" spans="1:12" x14ac:dyDescent="0.25">
      <c r="A1464" s="1">
        <v>43215</v>
      </c>
      <c r="B1464">
        <v>6009</v>
      </c>
      <c r="C1464">
        <v>6037.8999020000001</v>
      </c>
      <c r="D1464">
        <v>5980.9501950000003</v>
      </c>
      <c r="E1464">
        <v>6030.7998049999997</v>
      </c>
      <c r="F1464" s="4">
        <f t="shared" si="155"/>
        <v>5816.7001950000003</v>
      </c>
      <c r="G1464" s="4">
        <f t="shared" si="156"/>
        <v>6030.7998049999997</v>
      </c>
      <c r="H1464" s="4" t="str">
        <f t="shared" si="157"/>
        <v>BUY</v>
      </c>
      <c r="I1464" s="4">
        <f t="shared" si="154"/>
        <v>1</v>
      </c>
      <c r="J1464" s="11">
        <f t="shared" si="158"/>
        <v>0</v>
      </c>
      <c r="K1464" s="6">
        <f t="shared" si="159"/>
        <v>5682.3500979999999</v>
      </c>
      <c r="L1464" s="4">
        <f t="shared" si="160"/>
        <v>0</v>
      </c>
    </row>
    <row r="1465" spans="1:12" x14ac:dyDescent="0.25">
      <c r="A1465" s="1">
        <v>43216</v>
      </c>
      <c r="B1465">
        <v>6030.7998049999997</v>
      </c>
      <c r="C1465">
        <v>6030.7998049999997</v>
      </c>
      <c r="D1465">
        <v>5912.7001950000003</v>
      </c>
      <c r="E1465">
        <v>5955.25</v>
      </c>
      <c r="F1465" s="4">
        <f t="shared" si="155"/>
        <v>5816.7001950000003</v>
      </c>
      <c r="G1465" s="4">
        <f t="shared" si="156"/>
        <v>6030.7998049999997</v>
      </c>
      <c r="H1465" s="4">
        <f t="shared" si="157"/>
        <v>0</v>
      </c>
      <c r="I1465" s="4">
        <f t="shared" si="154"/>
        <v>1</v>
      </c>
      <c r="J1465" s="11">
        <f t="shared" si="158"/>
        <v>0</v>
      </c>
      <c r="K1465" s="6">
        <f t="shared" si="159"/>
        <v>5682.3500979999999</v>
      </c>
      <c r="L1465" s="4">
        <f t="shared" si="160"/>
        <v>0</v>
      </c>
    </row>
    <row r="1466" spans="1:12" x14ac:dyDescent="0.25">
      <c r="A1466" s="1">
        <v>43217</v>
      </c>
      <c r="B1466">
        <v>5955.25</v>
      </c>
      <c r="C1466">
        <v>5989.75</v>
      </c>
      <c r="D1466">
        <v>5927</v>
      </c>
      <c r="E1466">
        <v>5973.2998049999997</v>
      </c>
      <c r="F1466" s="4">
        <f t="shared" si="155"/>
        <v>5935.1000979999999</v>
      </c>
      <c r="G1466" s="4">
        <f t="shared" si="156"/>
        <v>6030.7998049999997</v>
      </c>
      <c r="H1466" s="4">
        <f t="shared" si="157"/>
        <v>0</v>
      </c>
      <c r="I1466" s="4">
        <f t="shared" si="154"/>
        <v>1</v>
      </c>
      <c r="J1466" s="11">
        <f t="shared" si="158"/>
        <v>0</v>
      </c>
      <c r="K1466" s="6">
        <f t="shared" si="159"/>
        <v>5682.3500979999999</v>
      </c>
      <c r="L1466" s="4">
        <f t="shared" si="160"/>
        <v>0</v>
      </c>
    </row>
    <row r="1467" spans="1:12" x14ac:dyDescent="0.25">
      <c r="A1467" s="1">
        <v>43220</v>
      </c>
      <c r="B1467">
        <v>5973.2998049999997</v>
      </c>
      <c r="C1467">
        <v>6050.75</v>
      </c>
      <c r="D1467">
        <v>5973.2998049999997</v>
      </c>
      <c r="E1467">
        <v>6038.0498049999997</v>
      </c>
      <c r="F1467" s="4">
        <f t="shared" si="155"/>
        <v>5955.25</v>
      </c>
      <c r="G1467" s="4">
        <f t="shared" si="156"/>
        <v>6038.0498049999997</v>
      </c>
      <c r="H1467" s="4" t="str">
        <f t="shared" si="157"/>
        <v>BUY</v>
      </c>
      <c r="I1467" s="4">
        <f t="shared" si="154"/>
        <v>1</v>
      </c>
      <c r="J1467" s="11">
        <f t="shared" si="158"/>
        <v>0</v>
      </c>
      <c r="K1467" s="6">
        <f t="shared" si="159"/>
        <v>5682.3500979999999</v>
      </c>
      <c r="L1467" s="4">
        <f t="shared" si="160"/>
        <v>0</v>
      </c>
    </row>
    <row r="1468" spans="1:12" x14ac:dyDescent="0.25">
      <c r="A1468" s="1">
        <v>43221</v>
      </c>
      <c r="B1468">
        <v>6038.0498049999997</v>
      </c>
      <c r="C1468">
        <v>6063.9501950000003</v>
      </c>
      <c r="D1468">
        <v>6020.5498049999997</v>
      </c>
      <c r="E1468">
        <v>6029.2001950000003</v>
      </c>
      <c r="F1468" s="4">
        <f t="shared" si="155"/>
        <v>5955.25</v>
      </c>
      <c r="G1468" s="4">
        <f t="shared" si="156"/>
        <v>6038.0498049999997</v>
      </c>
      <c r="H1468" s="4">
        <f t="shared" si="157"/>
        <v>0</v>
      </c>
      <c r="I1468" s="4">
        <f t="shared" si="154"/>
        <v>1</v>
      </c>
      <c r="J1468" s="11">
        <f t="shared" si="158"/>
        <v>0</v>
      </c>
      <c r="K1468" s="6">
        <f t="shared" si="159"/>
        <v>5682.3500979999999</v>
      </c>
      <c r="L1468" s="4">
        <f t="shared" si="160"/>
        <v>0</v>
      </c>
    </row>
    <row r="1469" spans="1:12" x14ac:dyDescent="0.25">
      <c r="A1469" s="1">
        <v>43222</v>
      </c>
      <c r="B1469">
        <v>6029.2001950000003</v>
      </c>
      <c r="C1469">
        <v>6064.0498049999997</v>
      </c>
      <c r="D1469">
        <v>6004.75</v>
      </c>
      <c r="E1469">
        <v>6031.7998049999997</v>
      </c>
      <c r="F1469" s="4">
        <f t="shared" si="155"/>
        <v>5955.25</v>
      </c>
      <c r="G1469" s="4">
        <f t="shared" si="156"/>
        <v>6038.0498049999997</v>
      </c>
      <c r="H1469" s="4">
        <f t="shared" si="157"/>
        <v>0</v>
      </c>
      <c r="I1469" s="4">
        <f t="shared" si="154"/>
        <v>1</v>
      </c>
      <c r="J1469" s="11">
        <f t="shared" si="158"/>
        <v>0</v>
      </c>
      <c r="K1469" s="6">
        <f t="shared" si="159"/>
        <v>5682.3500979999999</v>
      </c>
      <c r="L1469" s="4">
        <f t="shared" si="160"/>
        <v>0</v>
      </c>
    </row>
    <row r="1470" spans="1:12" x14ac:dyDescent="0.25">
      <c r="A1470" s="1">
        <v>43223</v>
      </c>
      <c r="B1470">
        <v>6064.2998049999997</v>
      </c>
      <c r="C1470">
        <v>6093.3500979999999</v>
      </c>
      <c r="D1470">
        <v>6061.2998049999997</v>
      </c>
      <c r="E1470">
        <v>6077.7998049999997</v>
      </c>
      <c r="F1470" s="4">
        <f t="shared" si="155"/>
        <v>5973.2998049999997</v>
      </c>
      <c r="G1470" s="4">
        <f t="shared" si="156"/>
        <v>6077.7998049999997</v>
      </c>
      <c r="H1470" s="4" t="str">
        <f t="shared" si="157"/>
        <v>BUY</v>
      </c>
      <c r="I1470" s="4">
        <f t="shared" si="154"/>
        <v>1</v>
      </c>
      <c r="J1470" s="11">
        <f t="shared" si="158"/>
        <v>0</v>
      </c>
      <c r="K1470" s="6">
        <f t="shared" si="159"/>
        <v>5682.3500979999999</v>
      </c>
      <c r="L1470" s="4">
        <f t="shared" si="160"/>
        <v>0</v>
      </c>
    </row>
    <row r="1471" spans="1:12" x14ac:dyDescent="0.25">
      <c r="A1471" s="1">
        <v>43224</v>
      </c>
      <c r="B1471">
        <v>6077.7998049999997</v>
      </c>
      <c r="C1471">
        <v>6077.7998049999997</v>
      </c>
      <c r="D1471">
        <v>5962.7998049999997</v>
      </c>
      <c r="E1471">
        <v>5990.5</v>
      </c>
      <c r="F1471" s="4">
        <f t="shared" si="155"/>
        <v>5990.5</v>
      </c>
      <c r="G1471" s="4">
        <f t="shared" si="156"/>
        <v>6077.7998049999997</v>
      </c>
      <c r="H1471" s="4">
        <f t="shared" si="157"/>
        <v>0</v>
      </c>
      <c r="I1471" s="4">
        <f t="shared" si="154"/>
        <v>1</v>
      </c>
      <c r="J1471" s="11">
        <f t="shared" si="158"/>
        <v>0</v>
      </c>
      <c r="K1471" s="6">
        <f t="shared" si="159"/>
        <v>5682.3500979999999</v>
      </c>
      <c r="L1471" s="4">
        <f t="shared" si="160"/>
        <v>0</v>
      </c>
    </row>
    <row r="1472" spans="1:12" x14ac:dyDescent="0.25">
      <c r="A1472" s="1">
        <v>43227</v>
      </c>
      <c r="B1472">
        <v>5970.3999020000001</v>
      </c>
      <c r="C1472">
        <v>5990.6499020000001</v>
      </c>
      <c r="D1472">
        <v>5896.3999020000001</v>
      </c>
      <c r="E1472">
        <v>5907.5</v>
      </c>
      <c r="F1472" s="4">
        <f t="shared" si="155"/>
        <v>5907.5</v>
      </c>
      <c r="G1472" s="4">
        <f t="shared" si="156"/>
        <v>6077.7998049999997</v>
      </c>
      <c r="H1472" s="4" t="str">
        <f t="shared" si="157"/>
        <v>SELL</v>
      </c>
      <c r="I1472" s="4">
        <f t="shared" si="154"/>
        <v>-1</v>
      </c>
      <c r="J1472" s="11" t="str">
        <f t="shared" si="158"/>
        <v>SELL</v>
      </c>
      <c r="K1472" s="6">
        <f t="shared" si="159"/>
        <v>5907.5</v>
      </c>
      <c r="L1472" s="4">
        <f t="shared" si="160"/>
        <v>3.9622673386359185E-2</v>
      </c>
    </row>
    <row r="1473" spans="1:12" x14ac:dyDescent="0.25">
      <c r="A1473" s="1">
        <v>43228</v>
      </c>
      <c r="B1473">
        <v>5907.5</v>
      </c>
      <c r="C1473">
        <v>5944.25</v>
      </c>
      <c r="D1473">
        <v>5869.7001950000003</v>
      </c>
      <c r="E1473">
        <v>5886.2001950000003</v>
      </c>
      <c r="F1473" s="4">
        <f t="shared" si="155"/>
        <v>5886.2001950000003</v>
      </c>
      <c r="G1473" s="4">
        <f t="shared" si="156"/>
        <v>6077.7998049999997</v>
      </c>
      <c r="H1473" s="4" t="str">
        <f t="shared" si="157"/>
        <v>SELL</v>
      </c>
      <c r="I1473" s="4">
        <f t="shared" si="154"/>
        <v>-1</v>
      </c>
      <c r="J1473" s="11">
        <f t="shared" si="158"/>
        <v>0</v>
      </c>
      <c r="K1473" s="6">
        <f t="shared" si="159"/>
        <v>5907.5</v>
      </c>
      <c r="L1473" s="4">
        <f t="shared" si="160"/>
        <v>0</v>
      </c>
    </row>
    <row r="1474" spans="1:12" x14ac:dyDescent="0.25">
      <c r="A1474" s="1">
        <v>43229</v>
      </c>
      <c r="B1474">
        <v>5869.9501950000003</v>
      </c>
      <c r="C1474">
        <v>5886</v>
      </c>
      <c r="D1474">
        <v>5825.7998049999997</v>
      </c>
      <c r="E1474">
        <v>5831.6499020000001</v>
      </c>
      <c r="F1474" s="4">
        <f t="shared" si="155"/>
        <v>5831.6499020000001</v>
      </c>
      <c r="G1474" s="4">
        <f t="shared" si="156"/>
        <v>6077.7998049999997</v>
      </c>
      <c r="H1474" s="4" t="str">
        <f t="shared" si="157"/>
        <v>SELL</v>
      </c>
      <c r="I1474" s="4">
        <f t="shared" si="154"/>
        <v>-1</v>
      </c>
      <c r="J1474" s="11">
        <f t="shared" si="158"/>
        <v>0</v>
      </c>
      <c r="K1474" s="6">
        <f t="shared" si="159"/>
        <v>5907.5</v>
      </c>
      <c r="L1474" s="4">
        <f t="shared" si="160"/>
        <v>0</v>
      </c>
    </row>
    <row r="1475" spans="1:12" x14ac:dyDescent="0.25">
      <c r="A1475" s="1">
        <v>43230</v>
      </c>
      <c r="B1475">
        <v>5836.0498049999997</v>
      </c>
      <c r="C1475">
        <v>5861.2998049999997</v>
      </c>
      <c r="D1475">
        <v>5747.6000979999999</v>
      </c>
      <c r="E1475">
        <v>5755.0498049999997</v>
      </c>
      <c r="F1475" s="4">
        <f t="shared" si="155"/>
        <v>5755.0498049999997</v>
      </c>
      <c r="G1475" s="4">
        <f t="shared" si="156"/>
        <v>5990.5</v>
      </c>
      <c r="H1475" s="4" t="str">
        <f t="shared" si="157"/>
        <v>SELL</v>
      </c>
      <c r="I1475" s="4">
        <f t="shared" si="154"/>
        <v>-1</v>
      </c>
      <c r="J1475" s="11">
        <f t="shared" si="158"/>
        <v>0</v>
      </c>
      <c r="K1475" s="6">
        <f t="shared" si="159"/>
        <v>5907.5</v>
      </c>
      <c r="L1475" s="4">
        <f t="shared" si="160"/>
        <v>0</v>
      </c>
    </row>
    <row r="1476" spans="1:12" x14ac:dyDescent="0.25">
      <c r="A1476" s="1">
        <v>43231</v>
      </c>
      <c r="B1476">
        <v>5738.3500979999999</v>
      </c>
      <c r="C1476">
        <v>5752.1000979999999</v>
      </c>
      <c r="D1476">
        <v>5675.75</v>
      </c>
      <c r="E1476">
        <v>5742</v>
      </c>
      <c r="F1476" s="4">
        <f t="shared" si="155"/>
        <v>5742</v>
      </c>
      <c r="G1476" s="4">
        <f t="shared" si="156"/>
        <v>5907.5</v>
      </c>
      <c r="H1476" s="4" t="str">
        <f t="shared" si="157"/>
        <v>SELL</v>
      </c>
      <c r="I1476" s="4">
        <f t="shared" si="154"/>
        <v>-1</v>
      </c>
      <c r="J1476" s="11">
        <f t="shared" si="158"/>
        <v>0</v>
      </c>
      <c r="K1476" s="6">
        <f t="shared" si="159"/>
        <v>5907.5</v>
      </c>
      <c r="L1476" s="4">
        <f t="shared" si="160"/>
        <v>0</v>
      </c>
    </row>
    <row r="1477" spans="1:12" x14ac:dyDescent="0.25">
      <c r="A1477" s="1">
        <v>43234</v>
      </c>
      <c r="B1477">
        <v>5776.8999020000001</v>
      </c>
      <c r="C1477">
        <v>5808.5</v>
      </c>
      <c r="D1477">
        <v>5676.8500979999999</v>
      </c>
      <c r="E1477">
        <v>5727.8500979999999</v>
      </c>
      <c r="F1477" s="4">
        <f t="shared" si="155"/>
        <v>5727.8500979999999</v>
      </c>
      <c r="G1477" s="4">
        <f t="shared" si="156"/>
        <v>5886.2001950000003</v>
      </c>
      <c r="H1477" s="4" t="str">
        <f t="shared" si="157"/>
        <v>SELL</v>
      </c>
      <c r="I1477" s="4">
        <f t="shared" si="154"/>
        <v>-1</v>
      </c>
      <c r="J1477" s="11">
        <f t="shared" si="158"/>
        <v>0</v>
      </c>
      <c r="K1477" s="6">
        <f t="shared" si="159"/>
        <v>5907.5</v>
      </c>
      <c r="L1477" s="4">
        <f t="shared" si="160"/>
        <v>0</v>
      </c>
    </row>
    <row r="1478" spans="1:12" x14ac:dyDescent="0.25">
      <c r="A1478" s="1">
        <v>43235</v>
      </c>
      <c r="B1478">
        <v>5750.0498049999997</v>
      </c>
      <c r="C1478">
        <v>5761.8500979999999</v>
      </c>
      <c r="D1478">
        <v>5649</v>
      </c>
      <c r="E1478">
        <v>5677.8999020000001</v>
      </c>
      <c r="F1478" s="4">
        <f t="shared" si="155"/>
        <v>5677.8999020000001</v>
      </c>
      <c r="G1478" s="4">
        <f t="shared" si="156"/>
        <v>5831.6499020000001</v>
      </c>
      <c r="H1478" s="4" t="str">
        <f t="shared" si="157"/>
        <v>SELL</v>
      </c>
      <c r="I1478" s="4">
        <f t="shared" ref="I1478:I1541" si="161">IF(AND(H1478="BUY",I1477&lt;&gt;1),1,IF(AND(H1478="SELL",I1477&lt;&gt;-1),-1,I1477))</f>
        <v>-1</v>
      </c>
      <c r="J1478" s="11">
        <f t="shared" si="158"/>
        <v>0</v>
      </c>
      <c r="K1478" s="6">
        <f t="shared" si="159"/>
        <v>5907.5</v>
      </c>
      <c r="L1478" s="4">
        <f t="shared" si="160"/>
        <v>0</v>
      </c>
    </row>
    <row r="1479" spans="1:12" x14ac:dyDescent="0.25">
      <c r="A1479" s="1">
        <v>43236</v>
      </c>
      <c r="B1479">
        <v>5682.3999020000001</v>
      </c>
      <c r="C1479">
        <v>5721</v>
      </c>
      <c r="D1479">
        <v>5661.5</v>
      </c>
      <c r="E1479">
        <v>5685.3999020000001</v>
      </c>
      <c r="F1479" s="4">
        <f t="shared" ref="F1479:F1542" si="162">MIN(E1475:E1479)</f>
        <v>5677.8999020000001</v>
      </c>
      <c r="G1479" s="4">
        <f t="shared" ref="G1479:G1542" si="163">MAX(E1475:E1479)</f>
        <v>5755.0498049999997</v>
      </c>
      <c r="H1479" s="4">
        <f t="shared" ref="H1479:H1542" si="164">IF(E1479&gt;G1478,"BUY",IF(E1479&lt;F1478,"SELL",0))</f>
        <v>0</v>
      </c>
      <c r="I1479" s="4">
        <f t="shared" si="161"/>
        <v>-1</v>
      </c>
      <c r="J1479" s="11">
        <f t="shared" ref="J1479:J1542" si="165">IF(I1479&lt;&gt;I1478,H1479,0)</f>
        <v>0</v>
      </c>
      <c r="K1479" s="6">
        <f t="shared" ref="K1479:K1542" si="166">IF(J1479&lt;&gt;0,E1479,K1478)</f>
        <v>5907.5</v>
      </c>
      <c r="L1479" s="4">
        <f t="shared" si="160"/>
        <v>0</v>
      </c>
    </row>
    <row r="1480" spans="1:12" x14ac:dyDescent="0.25">
      <c r="A1480" s="1">
        <v>43237</v>
      </c>
      <c r="B1480">
        <v>5664.8999020000001</v>
      </c>
      <c r="C1480">
        <v>5664.8999020000001</v>
      </c>
      <c r="D1480">
        <v>5521.7998049999997</v>
      </c>
      <c r="E1480">
        <v>5542.25</v>
      </c>
      <c r="F1480" s="4">
        <f t="shared" si="162"/>
        <v>5542.25</v>
      </c>
      <c r="G1480" s="4">
        <f t="shared" si="163"/>
        <v>5742</v>
      </c>
      <c r="H1480" s="4" t="str">
        <f t="shared" si="164"/>
        <v>SELL</v>
      </c>
      <c r="I1480" s="4">
        <f t="shared" si="161"/>
        <v>-1</v>
      </c>
      <c r="J1480" s="11">
        <f t="shared" si="165"/>
        <v>0</v>
      </c>
      <c r="K1480" s="6">
        <f t="shared" si="166"/>
        <v>5907.5</v>
      </c>
      <c r="L1480" s="4">
        <f t="shared" ref="L1480:L1543" si="167">IF(J1480="BUY",(K1479-K1480)/K1479,IF(J1480="SELL",(K1481-K1479)/K1479,0))</f>
        <v>0</v>
      </c>
    </row>
    <row r="1481" spans="1:12" x14ac:dyDescent="0.25">
      <c r="A1481" s="1">
        <v>43238</v>
      </c>
      <c r="B1481">
        <v>5549.2998049999997</v>
      </c>
      <c r="C1481">
        <v>5561.4501950000003</v>
      </c>
      <c r="D1481">
        <v>5486.8500979999999</v>
      </c>
      <c r="E1481">
        <v>5519.1000979999999</v>
      </c>
      <c r="F1481" s="4">
        <f t="shared" si="162"/>
        <v>5519.1000979999999</v>
      </c>
      <c r="G1481" s="4">
        <f t="shared" si="163"/>
        <v>5727.8500979999999</v>
      </c>
      <c r="H1481" s="4" t="str">
        <f t="shared" si="164"/>
        <v>SELL</v>
      </c>
      <c r="I1481" s="4">
        <f t="shared" si="161"/>
        <v>-1</v>
      </c>
      <c r="J1481" s="11">
        <f t="shared" si="165"/>
        <v>0</v>
      </c>
      <c r="K1481" s="6">
        <f t="shared" si="166"/>
        <v>5907.5</v>
      </c>
      <c r="L1481" s="4">
        <f t="shared" si="167"/>
        <v>0</v>
      </c>
    </row>
    <row r="1482" spans="1:12" x14ac:dyDescent="0.25">
      <c r="A1482" s="1">
        <v>43241</v>
      </c>
      <c r="B1482">
        <v>5510.0498049999997</v>
      </c>
      <c r="C1482">
        <v>5577.6000979999999</v>
      </c>
      <c r="D1482">
        <v>5510.0498049999997</v>
      </c>
      <c r="E1482">
        <v>5565.6499020000001</v>
      </c>
      <c r="F1482" s="4">
        <f t="shared" si="162"/>
        <v>5519.1000979999999</v>
      </c>
      <c r="G1482" s="4">
        <f t="shared" si="163"/>
        <v>5685.3999020000001</v>
      </c>
      <c r="H1482" s="4">
        <f t="shared" si="164"/>
        <v>0</v>
      </c>
      <c r="I1482" s="4">
        <f t="shared" si="161"/>
        <v>-1</v>
      </c>
      <c r="J1482" s="11">
        <f t="shared" si="165"/>
        <v>0</v>
      </c>
      <c r="K1482" s="6">
        <f t="shared" si="166"/>
        <v>5907.5</v>
      </c>
      <c r="L1482" s="4">
        <f t="shared" si="167"/>
        <v>0</v>
      </c>
    </row>
    <row r="1483" spans="1:12" x14ac:dyDescent="0.25">
      <c r="A1483" s="1">
        <v>43242</v>
      </c>
      <c r="B1483">
        <v>5565.6499020000001</v>
      </c>
      <c r="C1483">
        <v>5565.6499020000001</v>
      </c>
      <c r="D1483">
        <v>5565.6499020000001</v>
      </c>
      <c r="E1483">
        <v>5565.6499020000001</v>
      </c>
      <c r="F1483" s="4">
        <f t="shared" si="162"/>
        <v>5519.1000979999999</v>
      </c>
      <c r="G1483" s="4">
        <f t="shared" si="163"/>
        <v>5685.3999020000001</v>
      </c>
      <c r="H1483" s="4">
        <f t="shared" si="164"/>
        <v>0</v>
      </c>
      <c r="I1483" s="4">
        <f t="shared" si="161"/>
        <v>-1</v>
      </c>
      <c r="J1483" s="11">
        <f t="shared" si="165"/>
        <v>0</v>
      </c>
      <c r="K1483" s="6">
        <f t="shared" si="166"/>
        <v>5907.5</v>
      </c>
      <c r="L1483" s="4">
        <f t="shared" si="167"/>
        <v>0</v>
      </c>
    </row>
    <row r="1484" spans="1:12" x14ac:dyDescent="0.25">
      <c r="A1484" s="1">
        <v>43243</v>
      </c>
      <c r="B1484">
        <v>5606.7001950000003</v>
      </c>
      <c r="C1484">
        <v>5644.1000979999999</v>
      </c>
      <c r="D1484">
        <v>5557.1000979999999</v>
      </c>
      <c r="E1484">
        <v>5612.3999020000001</v>
      </c>
      <c r="F1484" s="4">
        <f t="shared" si="162"/>
        <v>5519.1000979999999</v>
      </c>
      <c r="G1484" s="4">
        <f t="shared" si="163"/>
        <v>5612.3999020000001</v>
      </c>
      <c r="H1484" s="4">
        <f t="shared" si="164"/>
        <v>0</v>
      </c>
      <c r="I1484" s="4">
        <f t="shared" si="161"/>
        <v>-1</v>
      </c>
      <c r="J1484" s="11">
        <f t="shared" si="165"/>
        <v>0</v>
      </c>
      <c r="K1484" s="6">
        <f t="shared" si="166"/>
        <v>5907.5</v>
      </c>
      <c r="L1484" s="4">
        <f t="shared" si="167"/>
        <v>0</v>
      </c>
    </row>
    <row r="1485" spans="1:12" x14ac:dyDescent="0.25">
      <c r="A1485" s="1">
        <v>43244</v>
      </c>
      <c r="B1485">
        <v>5600.25</v>
      </c>
      <c r="C1485">
        <v>5704.75</v>
      </c>
      <c r="D1485">
        <v>5578.8999020000001</v>
      </c>
      <c r="E1485">
        <v>5699.2998049999997</v>
      </c>
      <c r="F1485" s="4">
        <f t="shared" si="162"/>
        <v>5519.1000979999999</v>
      </c>
      <c r="G1485" s="4">
        <f t="shared" si="163"/>
        <v>5699.2998049999997</v>
      </c>
      <c r="H1485" s="4" t="str">
        <f t="shared" si="164"/>
        <v>BUY</v>
      </c>
      <c r="I1485" s="4">
        <f t="shared" si="161"/>
        <v>1</v>
      </c>
      <c r="J1485" s="11" t="str">
        <f t="shared" si="165"/>
        <v>BUY</v>
      </c>
      <c r="K1485" s="6">
        <f t="shared" si="166"/>
        <v>5699.2998049999997</v>
      </c>
      <c r="L1485" s="4">
        <f t="shared" si="167"/>
        <v>3.5243367752856594E-2</v>
      </c>
    </row>
    <row r="1486" spans="1:12" x14ac:dyDescent="0.25">
      <c r="A1486" s="1">
        <v>43245</v>
      </c>
      <c r="B1486">
        <v>5715.3999020000001</v>
      </c>
      <c r="C1486">
        <v>5754.5498049999997</v>
      </c>
      <c r="D1486">
        <v>5690.2001950000003</v>
      </c>
      <c r="E1486">
        <v>5742.2998049999997</v>
      </c>
      <c r="F1486" s="4">
        <f t="shared" si="162"/>
        <v>5565.6499020000001</v>
      </c>
      <c r="G1486" s="4">
        <f t="shared" si="163"/>
        <v>5742.2998049999997</v>
      </c>
      <c r="H1486" s="4" t="str">
        <f t="shared" si="164"/>
        <v>BUY</v>
      </c>
      <c r="I1486" s="4">
        <f t="shared" si="161"/>
        <v>1</v>
      </c>
      <c r="J1486" s="11">
        <f t="shared" si="165"/>
        <v>0</v>
      </c>
      <c r="K1486" s="6">
        <f t="shared" si="166"/>
        <v>5699.2998049999997</v>
      </c>
      <c r="L1486" s="4">
        <f t="shared" si="167"/>
        <v>0</v>
      </c>
    </row>
    <row r="1487" spans="1:12" x14ac:dyDescent="0.25">
      <c r="A1487" s="1">
        <v>43248</v>
      </c>
      <c r="B1487">
        <v>5742.2998049999997</v>
      </c>
      <c r="C1487">
        <v>5742.2998049999997</v>
      </c>
      <c r="D1487">
        <v>5742.2998049999997</v>
      </c>
      <c r="E1487">
        <v>5742.2998049999997</v>
      </c>
      <c r="F1487" s="4">
        <f t="shared" si="162"/>
        <v>5565.6499020000001</v>
      </c>
      <c r="G1487" s="4">
        <f t="shared" si="163"/>
        <v>5742.2998049999997</v>
      </c>
      <c r="H1487" s="4">
        <f t="shared" si="164"/>
        <v>0</v>
      </c>
      <c r="I1487" s="4">
        <f t="shared" si="161"/>
        <v>1</v>
      </c>
      <c r="J1487" s="11">
        <f t="shared" si="165"/>
        <v>0</v>
      </c>
      <c r="K1487" s="6">
        <f t="shared" si="166"/>
        <v>5699.2998049999997</v>
      </c>
      <c r="L1487" s="4">
        <f t="shared" si="167"/>
        <v>0</v>
      </c>
    </row>
    <row r="1488" spans="1:12" x14ac:dyDescent="0.25">
      <c r="A1488" s="1">
        <v>43249</v>
      </c>
      <c r="B1488">
        <v>5705.4501950000003</v>
      </c>
      <c r="C1488">
        <v>5716.6000979999999</v>
      </c>
      <c r="D1488">
        <v>5496.0498049999997</v>
      </c>
      <c r="E1488">
        <v>5507.8500979999999</v>
      </c>
      <c r="F1488" s="4">
        <f t="shared" si="162"/>
        <v>5507.8500979999999</v>
      </c>
      <c r="G1488" s="4">
        <f t="shared" si="163"/>
        <v>5742.2998049999997</v>
      </c>
      <c r="H1488" s="4" t="str">
        <f t="shared" si="164"/>
        <v>SELL</v>
      </c>
      <c r="I1488" s="4">
        <f t="shared" si="161"/>
        <v>-1</v>
      </c>
      <c r="J1488" s="11" t="str">
        <f t="shared" si="165"/>
        <v>SELL</v>
      </c>
      <c r="K1488" s="6">
        <f t="shared" si="166"/>
        <v>5507.8500979999999</v>
      </c>
      <c r="L1488" s="4">
        <f t="shared" si="167"/>
        <v>-3.3591794352008084E-2</v>
      </c>
    </row>
    <row r="1489" spans="1:12" x14ac:dyDescent="0.25">
      <c r="A1489" s="1">
        <v>43250</v>
      </c>
      <c r="B1489">
        <v>5497.5498049999997</v>
      </c>
      <c r="C1489">
        <v>5499.6499020000001</v>
      </c>
      <c r="D1489">
        <v>5360.6499020000001</v>
      </c>
      <c r="E1489">
        <v>5414.75</v>
      </c>
      <c r="F1489" s="4">
        <f t="shared" si="162"/>
        <v>5414.75</v>
      </c>
      <c r="G1489" s="4">
        <f t="shared" si="163"/>
        <v>5742.2998049999997</v>
      </c>
      <c r="H1489" s="4" t="str">
        <f t="shared" si="164"/>
        <v>SELL</v>
      </c>
      <c r="I1489" s="4">
        <f t="shared" si="161"/>
        <v>-1</v>
      </c>
      <c r="J1489" s="11">
        <f t="shared" si="165"/>
        <v>0</v>
      </c>
      <c r="K1489" s="6">
        <f t="shared" si="166"/>
        <v>5507.8500979999999</v>
      </c>
      <c r="L1489" s="4">
        <f t="shared" si="167"/>
        <v>0</v>
      </c>
    </row>
    <row r="1490" spans="1:12" x14ac:dyDescent="0.25">
      <c r="A1490" s="1">
        <v>43251</v>
      </c>
      <c r="B1490">
        <v>5353.4501950000003</v>
      </c>
      <c r="C1490">
        <v>5417.7998049999997</v>
      </c>
      <c r="D1490">
        <v>5306.3500979999999</v>
      </c>
      <c r="E1490">
        <v>5401.4501950000003</v>
      </c>
      <c r="F1490" s="4">
        <f t="shared" si="162"/>
        <v>5401.4501950000003</v>
      </c>
      <c r="G1490" s="4">
        <f t="shared" si="163"/>
        <v>5742.2998049999997</v>
      </c>
      <c r="H1490" s="4" t="str">
        <f t="shared" si="164"/>
        <v>SELL</v>
      </c>
      <c r="I1490" s="4">
        <f t="shared" si="161"/>
        <v>-1</v>
      </c>
      <c r="J1490" s="11">
        <f t="shared" si="165"/>
        <v>0</v>
      </c>
      <c r="K1490" s="6">
        <f t="shared" si="166"/>
        <v>5507.8500979999999</v>
      </c>
      <c r="L1490" s="4">
        <f t="shared" si="167"/>
        <v>0</v>
      </c>
    </row>
    <row r="1491" spans="1:12" x14ac:dyDescent="0.25">
      <c r="A1491" s="1">
        <v>43252</v>
      </c>
      <c r="B1491">
        <v>5494.4501950000003</v>
      </c>
      <c r="C1491">
        <v>5504.1000979999999</v>
      </c>
      <c r="D1491">
        <v>5268.4501950000003</v>
      </c>
      <c r="E1491">
        <v>5302.5498049999997</v>
      </c>
      <c r="F1491" s="4">
        <f t="shared" si="162"/>
        <v>5302.5498049999997</v>
      </c>
      <c r="G1491" s="4">
        <f t="shared" si="163"/>
        <v>5742.2998049999997</v>
      </c>
      <c r="H1491" s="4" t="str">
        <f t="shared" si="164"/>
        <v>SELL</v>
      </c>
      <c r="I1491" s="4">
        <f t="shared" si="161"/>
        <v>-1</v>
      </c>
      <c r="J1491" s="11">
        <f t="shared" si="165"/>
        <v>0</v>
      </c>
      <c r="K1491" s="6">
        <f t="shared" si="166"/>
        <v>5507.8500979999999</v>
      </c>
      <c r="L1491" s="4">
        <f t="shared" si="167"/>
        <v>0</v>
      </c>
    </row>
    <row r="1492" spans="1:12" x14ac:dyDescent="0.25">
      <c r="A1492" s="1">
        <v>43255</v>
      </c>
      <c r="B1492">
        <v>5282.7998049999997</v>
      </c>
      <c r="C1492">
        <v>5418.9501950000003</v>
      </c>
      <c r="D1492">
        <v>5254.0498049999997</v>
      </c>
      <c r="E1492">
        <v>5408.4501950000003</v>
      </c>
      <c r="F1492" s="4">
        <f t="shared" si="162"/>
        <v>5302.5498049999997</v>
      </c>
      <c r="G1492" s="4">
        <f t="shared" si="163"/>
        <v>5507.8500979999999</v>
      </c>
      <c r="H1492" s="4">
        <f t="shared" si="164"/>
        <v>0</v>
      </c>
      <c r="I1492" s="4">
        <f t="shared" si="161"/>
        <v>-1</v>
      </c>
      <c r="J1492" s="11">
        <f t="shared" si="165"/>
        <v>0</v>
      </c>
      <c r="K1492" s="6">
        <f t="shared" si="166"/>
        <v>5507.8500979999999</v>
      </c>
      <c r="L1492" s="4">
        <f t="shared" si="167"/>
        <v>0</v>
      </c>
    </row>
    <row r="1493" spans="1:12" x14ac:dyDescent="0.25">
      <c r="A1493" s="1">
        <v>43256</v>
      </c>
      <c r="B1493">
        <v>5428.75</v>
      </c>
      <c r="C1493">
        <v>5478.7998049999997</v>
      </c>
      <c r="D1493">
        <v>5377.7998049999997</v>
      </c>
      <c r="E1493">
        <v>5471.75</v>
      </c>
      <c r="F1493" s="4">
        <f t="shared" si="162"/>
        <v>5302.5498049999997</v>
      </c>
      <c r="G1493" s="4">
        <f t="shared" si="163"/>
        <v>5471.75</v>
      </c>
      <c r="H1493" s="4">
        <f t="shared" si="164"/>
        <v>0</v>
      </c>
      <c r="I1493" s="4">
        <f t="shared" si="161"/>
        <v>-1</v>
      </c>
      <c r="J1493" s="11">
        <f t="shared" si="165"/>
        <v>0</v>
      </c>
      <c r="K1493" s="6">
        <f t="shared" si="166"/>
        <v>5507.8500979999999</v>
      </c>
      <c r="L1493" s="4">
        <f t="shared" si="167"/>
        <v>0</v>
      </c>
    </row>
    <row r="1494" spans="1:12" x14ac:dyDescent="0.25">
      <c r="A1494" s="1">
        <v>43257</v>
      </c>
      <c r="B1494">
        <v>5499.3999020000001</v>
      </c>
      <c r="C1494">
        <v>5528.7001950000003</v>
      </c>
      <c r="D1494">
        <v>5454.4501950000003</v>
      </c>
      <c r="E1494">
        <v>5476.5</v>
      </c>
      <c r="F1494" s="4">
        <f t="shared" si="162"/>
        <v>5302.5498049999997</v>
      </c>
      <c r="G1494" s="4">
        <f t="shared" si="163"/>
        <v>5476.5</v>
      </c>
      <c r="H1494" s="4" t="str">
        <f t="shared" si="164"/>
        <v>BUY</v>
      </c>
      <c r="I1494" s="4">
        <f t="shared" si="161"/>
        <v>1</v>
      </c>
      <c r="J1494" s="11" t="str">
        <f t="shared" si="165"/>
        <v>BUY</v>
      </c>
      <c r="K1494" s="6">
        <f t="shared" si="166"/>
        <v>5476.5</v>
      </c>
      <c r="L1494" s="4">
        <f t="shared" si="167"/>
        <v>5.6918938319297533E-3</v>
      </c>
    </row>
    <row r="1495" spans="1:12" x14ac:dyDescent="0.25">
      <c r="A1495" s="1">
        <v>43258</v>
      </c>
      <c r="B1495">
        <v>5426.5</v>
      </c>
      <c r="C1495">
        <v>5427.3999020000001</v>
      </c>
      <c r="D1495">
        <v>5274.25</v>
      </c>
      <c r="E1495">
        <v>5287.4501950000003</v>
      </c>
      <c r="F1495" s="4">
        <f t="shared" si="162"/>
        <v>5287.4501950000003</v>
      </c>
      <c r="G1495" s="4">
        <f t="shared" si="163"/>
        <v>5476.5</v>
      </c>
      <c r="H1495" s="4" t="str">
        <f t="shared" si="164"/>
        <v>SELL</v>
      </c>
      <c r="I1495" s="4">
        <f t="shared" si="161"/>
        <v>-1</v>
      </c>
      <c r="J1495" s="11" t="str">
        <f t="shared" si="165"/>
        <v>SELL</v>
      </c>
      <c r="K1495" s="6">
        <f t="shared" si="166"/>
        <v>5287.4501950000003</v>
      </c>
      <c r="L1495" s="4">
        <f t="shared" si="167"/>
        <v>-3.452018716333418E-2</v>
      </c>
    </row>
    <row r="1496" spans="1:12" x14ac:dyDescent="0.25">
      <c r="A1496" s="1">
        <v>43259</v>
      </c>
      <c r="B1496">
        <v>5233.4501950000003</v>
      </c>
      <c r="C1496">
        <v>5317.7001950000003</v>
      </c>
      <c r="D1496">
        <v>5118.8500979999999</v>
      </c>
      <c r="E1496">
        <v>5285</v>
      </c>
      <c r="F1496" s="4">
        <f t="shared" si="162"/>
        <v>5285</v>
      </c>
      <c r="G1496" s="4">
        <f t="shared" si="163"/>
        <v>5476.5</v>
      </c>
      <c r="H1496" s="4" t="str">
        <f t="shared" si="164"/>
        <v>SELL</v>
      </c>
      <c r="I1496" s="4">
        <f t="shared" si="161"/>
        <v>-1</v>
      </c>
      <c r="J1496" s="11">
        <f t="shared" si="165"/>
        <v>0</v>
      </c>
      <c r="K1496" s="6">
        <f t="shared" si="166"/>
        <v>5287.4501950000003</v>
      </c>
      <c r="L1496" s="4">
        <f t="shared" si="167"/>
        <v>0</v>
      </c>
    </row>
    <row r="1497" spans="1:12" x14ac:dyDescent="0.25">
      <c r="A1497" s="1">
        <v>43262</v>
      </c>
      <c r="B1497">
        <v>5316.5</v>
      </c>
      <c r="C1497">
        <v>5428.8999020000001</v>
      </c>
      <c r="D1497">
        <v>5303</v>
      </c>
      <c r="E1497">
        <v>5409.0498049999997</v>
      </c>
      <c r="F1497" s="4">
        <f t="shared" si="162"/>
        <v>5285</v>
      </c>
      <c r="G1497" s="4">
        <f t="shared" si="163"/>
        <v>5476.5</v>
      </c>
      <c r="H1497" s="4">
        <f t="shared" si="164"/>
        <v>0</v>
      </c>
      <c r="I1497" s="4">
        <f t="shared" si="161"/>
        <v>-1</v>
      </c>
      <c r="J1497" s="11">
        <f t="shared" si="165"/>
        <v>0</v>
      </c>
      <c r="K1497" s="6">
        <f t="shared" si="166"/>
        <v>5287.4501950000003</v>
      </c>
      <c r="L1497" s="4">
        <f t="shared" si="167"/>
        <v>0</v>
      </c>
    </row>
    <row r="1498" spans="1:12" x14ac:dyDescent="0.25">
      <c r="A1498" s="1">
        <v>43263</v>
      </c>
      <c r="B1498">
        <v>5407.4501950000003</v>
      </c>
      <c r="C1498">
        <v>5493.2998049999997</v>
      </c>
      <c r="D1498">
        <v>5360.2001950000003</v>
      </c>
      <c r="E1498">
        <v>5471.7998049999997</v>
      </c>
      <c r="F1498" s="4">
        <f t="shared" si="162"/>
        <v>5285</v>
      </c>
      <c r="G1498" s="4">
        <f t="shared" si="163"/>
        <v>5476.5</v>
      </c>
      <c r="H1498" s="4">
        <f t="shared" si="164"/>
        <v>0</v>
      </c>
      <c r="I1498" s="4">
        <f t="shared" si="161"/>
        <v>-1</v>
      </c>
      <c r="J1498" s="11">
        <f t="shared" si="165"/>
        <v>0</v>
      </c>
      <c r="K1498" s="6">
        <f t="shared" si="166"/>
        <v>5287.4501950000003</v>
      </c>
      <c r="L1498" s="4">
        <f t="shared" si="167"/>
        <v>0</v>
      </c>
    </row>
    <row r="1499" spans="1:12" x14ac:dyDescent="0.25">
      <c r="A1499" s="1">
        <v>43264</v>
      </c>
      <c r="B1499">
        <v>5480.25</v>
      </c>
      <c r="C1499">
        <v>5564.8999020000001</v>
      </c>
      <c r="D1499">
        <v>5478.8500979999999</v>
      </c>
      <c r="E1499">
        <v>5550.75</v>
      </c>
      <c r="F1499" s="4">
        <f t="shared" si="162"/>
        <v>5285</v>
      </c>
      <c r="G1499" s="4">
        <f t="shared" si="163"/>
        <v>5550.75</v>
      </c>
      <c r="H1499" s="4" t="str">
        <f t="shared" si="164"/>
        <v>BUY</v>
      </c>
      <c r="I1499" s="4">
        <f t="shared" si="161"/>
        <v>1</v>
      </c>
      <c r="J1499" s="11" t="str">
        <f t="shared" si="165"/>
        <v>BUY</v>
      </c>
      <c r="K1499" s="6">
        <f t="shared" si="166"/>
        <v>5550.75</v>
      </c>
      <c r="L1499" s="4">
        <f t="shared" si="167"/>
        <v>-4.9797122486181573E-2</v>
      </c>
    </row>
    <row r="1500" spans="1:12" x14ac:dyDescent="0.25">
      <c r="A1500" s="1">
        <v>43265</v>
      </c>
      <c r="B1500">
        <v>5574.7001950000003</v>
      </c>
      <c r="C1500">
        <v>5580.9501950000003</v>
      </c>
      <c r="D1500">
        <v>5323.75</v>
      </c>
      <c r="E1500">
        <v>5341.4501950000003</v>
      </c>
      <c r="F1500" s="4">
        <f t="shared" si="162"/>
        <v>5285</v>
      </c>
      <c r="G1500" s="4">
        <f t="shared" si="163"/>
        <v>5550.75</v>
      </c>
      <c r="H1500" s="4">
        <f t="shared" si="164"/>
        <v>0</v>
      </c>
      <c r="I1500" s="4">
        <f t="shared" si="161"/>
        <v>1</v>
      </c>
      <c r="J1500" s="11">
        <f t="shared" si="165"/>
        <v>0</v>
      </c>
      <c r="K1500" s="6">
        <f t="shared" si="166"/>
        <v>5550.75</v>
      </c>
      <c r="L1500" s="4">
        <f t="shared" si="167"/>
        <v>0</v>
      </c>
    </row>
    <row r="1501" spans="1:12" x14ac:dyDescent="0.25">
      <c r="A1501" s="1">
        <v>43266</v>
      </c>
      <c r="B1501">
        <v>5358.6499020000001</v>
      </c>
      <c r="C1501">
        <v>5460.25</v>
      </c>
      <c r="D1501">
        <v>5318.8999020000001</v>
      </c>
      <c r="E1501">
        <v>5448.1000979999999</v>
      </c>
      <c r="F1501" s="4">
        <f t="shared" si="162"/>
        <v>5341.4501950000003</v>
      </c>
      <c r="G1501" s="4">
        <f t="shared" si="163"/>
        <v>5550.75</v>
      </c>
      <c r="H1501" s="4">
        <f t="shared" si="164"/>
        <v>0</v>
      </c>
      <c r="I1501" s="4">
        <f t="shared" si="161"/>
        <v>1</v>
      </c>
      <c r="J1501" s="11">
        <f t="shared" si="165"/>
        <v>0</v>
      </c>
      <c r="K1501" s="6">
        <f t="shared" si="166"/>
        <v>5550.75</v>
      </c>
      <c r="L1501" s="4">
        <f t="shared" si="167"/>
        <v>0</v>
      </c>
    </row>
    <row r="1502" spans="1:12" x14ac:dyDescent="0.25">
      <c r="A1502" s="1">
        <v>43269</v>
      </c>
      <c r="B1502">
        <v>5553.75</v>
      </c>
      <c r="C1502">
        <v>5625.75</v>
      </c>
      <c r="D1502">
        <v>5552.7001950000003</v>
      </c>
      <c r="E1502">
        <v>5592.9501950000003</v>
      </c>
      <c r="F1502" s="4">
        <f t="shared" si="162"/>
        <v>5341.4501950000003</v>
      </c>
      <c r="G1502" s="4">
        <f t="shared" si="163"/>
        <v>5592.9501950000003</v>
      </c>
      <c r="H1502" s="4" t="str">
        <f t="shared" si="164"/>
        <v>BUY</v>
      </c>
      <c r="I1502" s="4">
        <f t="shared" si="161"/>
        <v>1</v>
      </c>
      <c r="J1502" s="11">
        <f t="shared" si="165"/>
        <v>0</v>
      </c>
      <c r="K1502" s="6">
        <f t="shared" si="166"/>
        <v>5550.75</v>
      </c>
      <c r="L1502" s="4">
        <f t="shared" si="167"/>
        <v>0</v>
      </c>
    </row>
    <row r="1503" spans="1:12" x14ac:dyDescent="0.25">
      <c r="A1503" s="1">
        <v>43270</v>
      </c>
      <c r="B1503">
        <v>5617.4501950000003</v>
      </c>
      <c r="C1503">
        <v>5688.6000979999999</v>
      </c>
      <c r="D1503">
        <v>5566.1499020000001</v>
      </c>
      <c r="E1503">
        <v>5680.3999020000001</v>
      </c>
      <c r="F1503" s="4">
        <f t="shared" si="162"/>
        <v>5341.4501950000003</v>
      </c>
      <c r="G1503" s="4">
        <f t="shared" si="163"/>
        <v>5680.3999020000001</v>
      </c>
      <c r="H1503" s="4" t="str">
        <f t="shared" si="164"/>
        <v>BUY</v>
      </c>
      <c r="I1503" s="4">
        <f t="shared" si="161"/>
        <v>1</v>
      </c>
      <c r="J1503" s="11">
        <f t="shared" si="165"/>
        <v>0</v>
      </c>
      <c r="K1503" s="6">
        <f t="shared" si="166"/>
        <v>5550.75</v>
      </c>
      <c r="L1503" s="4">
        <f t="shared" si="167"/>
        <v>0</v>
      </c>
    </row>
    <row r="1504" spans="1:12" x14ac:dyDescent="0.25">
      <c r="A1504" s="1">
        <v>43271</v>
      </c>
      <c r="B1504">
        <v>5680.3999020000001</v>
      </c>
      <c r="C1504">
        <v>5680.3999020000001</v>
      </c>
      <c r="D1504">
        <v>5680.3999020000001</v>
      </c>
      <c r="E1504">
        <v>5680.3999020000001</v>
      </c>
      <c r="F1504" s="4">
        <f t="shared" si="162"/>
        <v>5341.4501950000003</v>
      </c>
      <c r="G1504" s="4">
        <f t="shared" si="163"/>
        <v>5680.3999020000001</v>
      </c>
      <c r="H1504" s="4">
        <f t="shared" si="164"/>
        <v>0</v>
      </c>
      <c r="I1504" s="4">
        <f t="shared" si="161"/>
        <v>1</v>
      </c>
      <c r="J1504" s="11">
        <f t="shared" si="165"/>
        <v>0</v>
      </c>
      <c r="K1504" s="6">
        <f t="shared" si="166"/>
        <v>5550.75</v>
      </c>
      <c r="L1504" s="4">
        <f t="shared" si="167"/>
        <v>0</v>
      </c>
    </row>
    <row r="1505" spans="1:12" x14ac:dyDescent="0.25">
      <c r="A1505" s="1">
        <v>43272</v>
      </c>
      <c r="B1505">
        <v>5738.5</v>
      </c>
      <c r="C1505">
        <v>5904.8500979999999</v>
      </c>
      <c r="D1505">
        <v>5738.2001950000003</v>
      </c>
      <c r="E1505">
        <v>5896.75</v>
      </c>
      <c r="F1505" s="4">
        <f t="shared" si="162"/>
        <v>5448.1000979999999</v>
      </c>
      <c r="G1505" s="4">
        <f t="shared" si="163"/>
        <v>5896.75</v>
      </c>
      <c r="H1505" s="4" t="str">
        <f t="shared" si="164"/>
        <v>BUY</v>
      </c>
      <c r="I1505" s="4">
        <f t="shared" si="161"/>
        <v>1</v>
      </c>
      <c r="J1505" s="11">
        <f t="shared" si="165"/>
        <v>0</v>
      </c>
      <c r="K1505" s="6">
        <f t="shared" si="166"/>
        <v>5550.75</v>
      </c>
      <c r="L1505" s="4">
        <f t="shared" si="167"/>
        <v>0</v>
      </c>
    </row>
    <row r="1506" spans="1:12" x14ac:dyDescent="0.25">
      <c r="A1506" s="1">
        <v>43273</v>
      </c>
      <c r="B1506">
        <v>5887.25</v>
      </c>
      <c r="C1506">
        <v>5924.3500979999999</v>
      </c>
      <c r="D1506">
        <v>5832.7001950000003</v>
      </c>
      <c r="E1506">
        <v>5913.1499020000001</v>
      </c>
      <c r="F1506" s="4">
        <f t="shared" si="162"/>
        <v>5592.9501950000003</v>
      </c>
      <c r="G1506" s="4">
        <f t="shared" si="163"/>
        <v>5913.1499020000001</v>
      </c>
      <c r="H1506" s="4" t="str">
        <f t="shared" si="164"/>
        <v>BUY</v>
      </c>
      <c r="I1506" s="4">
        <f t="shared" si="161"/>
        <v>1</v>
      </c>
      <c r="J1506" s="11">
        <f t="shared" si="165"/>
        <v>0</v>
      </c>
      <c r="K1506" s="6">
        <f t="shared" si="166"/>
        <v>5550.75</v>
      </c>
      <c r="L1506" s="4">
        <f t="shared" si="167"/>
        <v>0</v>
      </c>
    </row>
    <row r="1507" spans="1:12" x14ac:dyDescent="0.25">
      <c r="A1507" s="1">
        <v>43276</v>
      </c>
      <c r="B1507">
        <v>5931.1499020000001</v>
      </c>
      <c r="C1507">
        <v>5932</v>
      </c>
      <c r="D1507">
        <v>5815.7998049999997</v>
      </c>
      <c r="E1507">
        <v>5850.7001950000003</v>
      </c>
      <c r="F1507" s="4">
        <f t="shared" si="162"/>
        <v>5680.3999020000001</v>
      </c>
      <c r="G1507" s="4">
        <f t="shared" si="163"/>
        <v>5913.1499020000001</v>
      </c>
      <c r="H1507" s="4">
        <f t="shared" si="164"/>
        <v>0</v>
      </c>
      <c r="I1507" s="4">
        <f t="shared" si="161"/>
        <v>1</v>
      </c>
      <c r="J1507" s="11">
        <f t="shared" si="165"/>
        <v>0</v>
      </c>
      <c r="K1507" s="6">
        <f t="shared" si="166"/>
        <v>5550.75</v>
      </c>
      <c r="L1507" s="4">
        <f t="shared" si="167"/>
        <v>0</v>
      </c>
    </row>
    <row r="1508" spans="1:12" x14ac:dyDescent="0.25">
      <c r="A1508" s="1">
        <v>43277</v>
      </c>
      <c r="B1508">
        <v>5828</v>
      </c>
      <c r="C1508">
        <v>5884.2998049999997</v>
      </c>
      <c r="D1508">
        <v>5822.8999020000001</v>
      </c>
      <c r="E1508">
        <v>5850.6000979999999</v>
      </c>
      <c r="F1508" s="4">
        <f t="shared" si="162"/>
        <v>5680.3999020000001</v>
      </c>
      <c r="G1508" s="4">
        <f t="shared" si="163"/>
        <v>5913.1499020000001</v>
      </c>
      <c r="H1508" s="4">
        <f t="shared" si="164"/>
        <v>0</v>
      </c>
      <c r="I1508" s="4">
        <f t="shared" si="161"/>
        <v>1</v>
      </c>
      <c r="J1508" s="11">
        <f t="shared" si="165"/>
        <v>0</v>
      </c>
      <c r="K1508" s="6">
        <f t="shared" si="166"/>
        <v>5550.75</v>
      </c>
      <c r="L1508" s="4">
        <f t="shared" si="167"/>
        <v>0</v>
      </c>
    </row>
    <row r="1509" spans="1:12" x14ac:dyDescent="0.25">
      <c r="A1509" s="1">
        <v>43278</v>
      </c>
      <c r="B1509">
        <v>5930.2998049999997</v>
      </c>
      <c r="C1509">
        <v>5957.25</v>
      </c>
      <c r="D1509">
        <v>5798.1499020000001</v>
      </c>
      <c r="E1509">
        <v>5840.5498049999997</v>
      </c>
      <c r="F1509" s="4">
        <f t="shared" si="162"/>
        <v>5840.5498049999997</v>
      </c>
      <c r="G1509" s="4">
        <f t="shared" si="163"/>
        <v>5913.1499020000001</v>
      </c>
      <c r="H1509" s="4">
        <f t="shared" si="164"/>
        <v>0</v>
      </c>
      <c r="I1509" s="4">
        <f t="shared" si="161"/>
        <v>1</v>
      </c>
      <c r="J1509" s="11">
        <f t="shared" si="165"/>
        <v>0</v>
      </c>
      <c r="K1509" s="6">
        <f t="shared" si="166"/>
        <v>5550.75</v>
      </c>
      <c r="L1509" s="4">
        <f t="shared" si="167"/>
        <v>0</v>
      </c>
    </row>
    <row r="1510" spans="1:12" x14ac:dyDescent="0.25">
      <c r="A1510" s="1">
        <v>43279</v>
      </c>
      <c r="B1510">
        <v>5824.2001950000003</v>
      </c>
      <c r="C1510">
        <v>5857.7998049999997</v>
      </c>
      <c r="D1510">
        <v>5804.8999020000001</v>
      </c>
      <c r="E1510">
        <v>5850.2001950000003</v>
      </c>
      <c r="F1510" s="4">
        <f t="shared" si="162"/>
        <v>5840.5498049999997</v>
      </c>
      <c r="G1510" s="4">
        <f t="shared" si="163"/>
        <v>5913.1499020000001</v>
      </c>
      <c r="H1510" s="4">
        <f t="shared" si="164"/>
        <v>0</v>
      </c>
      <c r="I1510" s="4">
        <f t="shared" si="161"/>
        <v>1</v>
      </c>
      <c r="J1510" s="11">
        <f t="shared" si="165"/>
        <v>0</v>
      </c>
      <c r="K1510" s="6">
        <f t="shared" si="166"/>
        <v>5550.75</v>
      </c>
      <c r="L1510" s="4">
        <f t="shared" si="167"/>
        <v>0</v>
      </c>
    </row>
    <row r="1511" spans="1:12" x14ac:dyDescent="0.25">
      <c r="A1511" s="1">
        <v>43280</v>
      </c>
      <c r="B1511">
        <v>5872.75</v>
      </c>
      <c r="C1511">
        <v>5916.8999020000001</v>
      </c>
      <c r="D1511">
        <v>5840.2001950000003</v>
      </c>
      <c r="E1511">
        <v>5899.4501950000003</v>
      </c>
      <c r="F1511" s="4">
        <f t="shared" si="162"/>
        <v>5840.5498049999997</v>
      </c>
      <c r="G1511" s="4">
        <f t="shared" si="163"/>
        <v>5899.4501950000003</v>
      </c>
      <c r="H1511" s="4">
        <f t="shared" si="164"/>
        <v>0</v>
      </c>
      <c r="I1511" s="4">
        <f t="shared" si="161"/>
        <v>1</v>
      </c>
      <c r="J1511" s="11">
        <f t="shared" si="165"/>
        <v>0</v>
      </c>
      <c r="K1511" s="6">
        <f t="shared" si="166"/>
        <v>5550.75</v>
      </c>
      <c r="L1511" s="4">
        <f t="shared" si="167"/>
        <v>0</v>
      </c>
    </row>
    <row r="1512" spans="1:12" x14ac:dyDescent="0.25">
      <c r="A1512" s="1">
        <v>43283</v>
      </c>
      <c r="B1512">
        <v>6044.1499020000001</v>
      </c>
      <c r="C1512">
        <v>6142.5</v>
      </c>
      <c r="D1512">
        <v>6040.1499020000001</v>
      </c>
      <c r="E1512">
        <v>6115.5498049999997</v>
      </c>
      <c r="F1512" s="4">
        <f t="shared" si="162"/>
        <v>5840.5498049999997</v>
      </c>
      <c r="G1512" s="4">
        <f t="shared" si="163"/>
        <v>6115.5498049999997</v>
      </c>
      <c r="H1512" s="4" t="str">
        <f t="shared" si="164"/>
        <v>BUY</v>
      </c>
      <c r="I1512" s="4">
        <f t="shared" si="161"/>
        <v>1</v>
      </c>
      <c r="J1512" s="11">
        <f t="shared" si="165"/>
        <v>0</v>
      </c>
      <c r="K1512" s="6">
        <f t="shared" si="166"/>
        <v>5550.75</v>
      </c>
      <c r="L1512" s="4">
        <f t="shared" si="167"/>
        <v>0</v>
      </c>
    </row>
    <row r="1513" spans="1:12" x14ac:dyDescent="0.25">
      <c r="A1513" s="1">
        <v>43284</v>
      </c>
      <c r="B1513">
        <v>6104.5498049999997</v>
      </c>
      <c r="C1513">
        <v>6130.9501950000003</v>
      </c>
      <c r="D1513">
        <v>5932.8500979999999</v>
      </c>
      <c r="E1513">
        <v>6012.1000979999999</v>
      </c>
      <c r="F1513" s="4">
        <f t="shared" si="162"/>
        <v>5840.5498049999997</v>
      </c>
      <c r="G1513" s="4">
        <f t="shared" si="163"/>
        <v>6115.5498049999997</v>
      </c>
      <c r="H1513" s="4">
        <f t="shared" si="164"/>
        <v>0</v>
      </c>
      <c r="I1513" s="4">
        <f t="shared" si="161"/>
        <v>1</v>
      </c>
      <c r="J1513" s="11">
        <f t="shared" si="165"/>
        <v>0</v>
      </c>
      <c r="K1513" s="6">
        <f t="shared" si="166"/>
        <v>5550.75</v>
      </c>
      <c r="L1513" s="4">
        <f t="shared" si="167"/>
        <v>0</v>
      </c>
    </row>
    <row r="1514" spans="1:12" x14ac:dyDescent="0.25">
      <c r="A1514" s="1">
        <v>43285</v>
      </c>
      <c r="B1514">
        <v>5945.7998049999997</v>
      </c>
      <c r="C1514">
        <v>5989.3999020000001</v>
      </c>
      <c r="D1514">
        <v>5871.3999020000001</v>
      </c>
      <c r="E1514">
        <v>5889.75</v>
      </c>
      <c r="F1514" s="4">
        <f t="shared" si="162"/>
        <v>5850.2001950000003</v>
      </c>
      <c r="G1514" s="4">
        <f t="shared" si="163"/>
        <v>6115.5498049999997</v>
      </c>
      <c r="H1514" s="4">
        <f t="shared" si="164"/>
        <v>0</v>
      </c>
      <c r="I1514" s="4">
        <f t="shared" si="161"/>
        <v>1</v>
      </c>
      <c r="J1514" s="11">
        <f t="shared" si="165"/>
        <v>0</v>
      </c>
      <c r="K1514" s="6">
        <f t="shared" si="166"/>
        <v>5550.75</v>
      </c>
      <c r="L1514" s="4">
        <f t="shared" si="167"/>
        <v>0</v>
      </c>
    </row>
    <row r="1515" spans="1:12" x14ac:dyDescent="0.25">
      <c r="A1515" s="1">
        <v>43286</v>
      </c>
      <c r="B1515">
        <v>5855</v>
      </c>
      <c r="C1515">
        <v>5938.3999020000001</v>
      </c>
      <c r="D1515">
        <v>5854.5498049999997</v>
      </c>
      <c r="E1515">
        <v>5892.4501950000003</v>
      </c>
      <c r="F1515" s="4">
        <f t="shared" si="162"/>
        <v>5889.75</v>
      </c>
      <c r="G1515" s="4">
        <f t="shared" si="163"/>
        <v>6115.5498049999997</v>
      </c>
      <c r="H1515" s="4">
        <f t="shared" si="164"/>
        <v>0</v>
      </c>
      <c r="I1515" s="4">
        <f t="shared" si="161"/>
        <v>1</v>
      </c>
      <c r="J1515" s="11">
        <f t="shared" si="165"/>
        <v>0</v>
      </c>
      <c r="K1515" s="6">
        <f t="shared" si="166"/>
        <v>5550.75</v>
      </c>
      <c r="L1515" s="4">
        <f t="shared" si="167"/>
        <v>0</v>
      </c>
    </row>
    <row r="1516" spans="1:12" x14ac:dyDescent="0.25">
      <c r="A1516" s="1">
        <v>43287</v>
      </c>
      <c r="B1516">
        <v>5901.5498049999997</v>
      </c>
      <c r="C1516">
        <v>5910.5498049999997</v>
      </c>
      <c r="D1516">
        <v>5811.1000979999999</v>
      </c>
      <c r="E1516">
        <v>5873.8500979999999</v>
      </c>
      <c r="F1516" s="4">
        <f t="shared" si="162"/>
        <v>5873.8500979999999</v>
      </c>
      <c r="G1516" s="4">
        <f t="shared" si="163"/>
        <v>6115.5498049999997</v>
      </c>
      <c r="H1516" s="4" t="str">
        <f t="shared" si="164"/>
        <v>SELL</v>
      </c>
      <c r="I1516" s="4">
        <f t="shared" si="161"/>
        <v>-1</v>
      </c>
      <c r="J1516" s="11" t="str">
        <f t="shared" si="165"/>
        <v>SELL</v>
      </c>
      <c r="K1516" s="6">
        <f t="shared" si="166"/>
        <v>5873.8500979999999</v>
      </c>
      <c r="L1516" s="4">
        <f t="shared" si="167"/>
        <v>5.8208367878214637E-2</v>
      </c>
    </row>
    <row r="1517" spans="1:12" x14ac:dyDescent="0.25">
      <c r="A1517" s="1">
        <v>43290</v>
      </c>
      <c r="B1517">
        <v>5872.7998049999997</v>
      </c>
      <c r="C1517">
        <v>5917.6499020000001</v>
      </c>
      <c r="D1517">
        <v>5864.1000979999999</v>
      </c>
      <c r="E1517">
        <v>5882.25</v>
      </c>
      <c r="F1517" s="4">
        <f t="shared" si="162"/>
        <v>5873.8500979999999</v>
      </c>
      <c r="G1517" s="4">
        <f t="shared" si="163"/>
        <v>6012.1000979999999</v>
      </c>
      <c r="H1517" s="4">
        <f t="shared" si="164"/>
        <v>0</v>
      </c>
      <c r="I1517" s="4">
        <f t="shared" si="161"/>
        <v>-1</v>
      </c>
      <c r="J1517" s="11">
        <f t="shared" si="165"/>
        <v>0</v>
      </c>
      <c r="K1517" s="6">
        <f t="shared" si="166"/>
        <v>5873.8500979999999</v>
      </c>
      <c r="L1517" s="4">
        <f t="shared" si="167"/>
        <v>0</v>
      </c>
    </row>
    <row r="1518" spans="1:12" x14ac:dyDescent="0.25">
      <c r="A1518" s="1">
        <v>43291</v>
      </c>
      <c r="B1518">
        <v>5905.5498049999997</v>
      </c>
      <c r="C1518">
        <v>5909.2001950000003</v>
      </c>
      <c r="D1518">
        <v>5819.2998049999997</v>
      </c>
      <c r="E1518">
        <v>5833.2001950000003</v>
      </c>
      <c r="F1518" s="4">
        <f t="shared" si="162"/>
        <v>5833.2001950000003</v>
      </c>
      <c r="G1518" s="4">
        <f t="shared" si="163"/>
        <v>5892.4501950000003</v>
      </c>
      <c r="H1518" s="4" t="str">
        <f t="shared" si="164"/>
        <v>SELL</v>
      </c>
      <c r="I1518" s="4">
        <f t="shared" si="161"/>
        <v>-1</v>
      </c>
      <c r="J1518" s="11">
        <f t="shared" si="165"/>
        <v>0</v>
      </c>
      <c r="K1518" s="6">
        <f t="shared" si="166"/>
        <v>5873.8500979999999</v>
      </c>
      <c r="L1518" s="4">
        <f t="shared" si="167"/>
        <v>0</v>
      </c>
    </row>
    <row r="1519" spans="1:12" x14ac:dyDescent="0.25">
      <c r="A1519" s="1">
        <v>43292</v>
      </c>
      <c r="B1519">
        <v>5801.0498049999997</v>
      </c>
      <c r="C1519">
        <v>5810.2001950000003</v>
      </c>
      <c r="D1519">
        <v>5718.5</v>
      </c>
      <c r="E1519">
        <v>5735.2998049999997</v>
      </c>
      <c r="F1519" s="4">
        <f t="shared" si="162"/>
        <v>5735.2998049999997</v>
      </c>
      <c r="G1519" s="4">
        <f t="shared" si="163"/>
        <v>5892.4501950000003</v>
      </c>
      <c r="H1519" s="4" t="str">
        <f t="shared" si="164"/>
        <v>SELL</v>
      </c>
      <c r="I1519" s="4">
        <f t="shared" si="161"/>
        <v>-1</v>
      </c>
      <c r="J1519" s="11">
        <f t="shared" si="165"/>
        <v>0</v>
      </c>
      <c r="K1519" s="6">
        <f t="shared" si="166"/>
        <v>5873.8500979999999</v>
      </c>
      <c r="L1519" s="4">
        <f t="shared" si="167"/>
        <v>0</v>
      </c>
    </row>
    <row r="1520" spans="1:12" x14ac:dyDescent="0.25">
      <c r="A1520" s="1">
        <v>43293</v>
      </c>
      <c r="B1520">
        <v>5756.1000979999999</v>
      </c>
      <c r="C1520">
        <v>5786.4501950000003</v>
      </c>
      <c r="D1520">
        <v>5700.9501950000003</v>
      </c>
      <c r="E1520">
        <v>5780.0498049999997</v>
      </c>
      <c r="F1520" s="4">
        <f t="shared" si="162"/>
        <v>5735.2998049999997</v>
      </c>
      <c r="G1520" s="4">
        <f t="shared" si="163"/>
        <v>5882.25</v>
      </c>
      <c r="H1520" s="4">
        <f t="shared" si="164"/>
        <v>0</v>
      </c>
      <c r="I1520" s="4">
        <f t="shared" si="161"/>
        <v>-1</v>
      </c>
      <c r="J1520" s="11">
        <f t="shared" si="165"/>
        <v>0</v>
      </c>
      <c r="K1520" s="6">
        <f t="shared" si="166"/>
        <v>5873.8500979999999</v>
      </c>
      <c r="L1520" s="4">
        <f t="shared" si="167"/>
        <v>0</v>
      </c>
    </row>
    <row r="1521" spans="1:12" x14ac:dyDescent="0.25">
      <c r="A1521" s="1">
        <v>43294</v>
      </c>
      <c r="B1521">
        <v>5819.1000979999999</v>
      </c>
      <c r="C1521">
        <v>5917.6000979999999</v>
      </c>
      <c r="D1521">
        <v>5802.7001950000003</v>
      </c>
      <c r="E1521">
        <v>5909.7001950000003</v>
      </c>
      <c r="F1521" s="4">
        <f t="shared" si="162"/>
        <v>5735.2998049999997</v>
      </c>
      <c r="G1521" s="4">
        <f t="shared" si="163"/>
        <v>5909.7001950000003</v>
      </c>
      <c r="H1521" s="4" t="str">
        <f t="shared" si="164"/>
        <v>BUY</v>
      </c>
      <c r="I1521" s="4">
        <f t="shared" si="161"/>
        <v>1</v>
      </c>
      <c r="J1521" s="11" t="str">
        <f t="shared" si="165"/>
        <v>BUY</v>
      </c>
      <c r="K1521" s="6">
        <f t="shared" si="166"/>
        <v>5909.7001950000003</v>
      </c>
      <c r="L1521" s="4">
        <f t="shared" si="167"/>
        <v>-6.1033387645025427E-3</v>
      </c>
    </row>
    <row r="1522" spans="1:12" x14ac:dyDescent="0.25">
      <c r="A1522" s="1">
        <v>43297</v>
      </c>
      <c r="B1522">
        <v>5891.2998049999997</v>
      </c>
      <c r="C1522">
        <v>5950.4501950000003</v>
      </c>
      <c r="D1522">
        <v>5885</v>
      </c>
      <c r="E1522">
        <v>5907.2998049999997</v>
      </c>
      <c r="F1522" s="4">
        <f t="shared" si="162"/>
        <v>5735.2998049999997</v>
      </c>
      <c r="G1522" s="4">
        <f t="shared" si="163"/>
        <v>5909.7001950000003</v>
      </c>
      <c r="H1522" s="4">
        <f t="shared" si="164"/>
        <v>0</v>
      </c>
      <c r="I1522" s="4">
        <f t="shared" si="161"/>
        <v>1</v>
      </c>
      <c r="J1522" s="11">
        <f t="shared" si="165"/>
        <v>0</v>
      </c>
      <c r="K1522" s="6">
        <f t="shared" si="166"/>
        <v>5909.7001950000003</v>
      </c>
      <c r="L1522" s="4">
        <f t="shared" si="167"/>
        <v>0</v>
      </c>
    </row>
    <row r="1523" spans="1:12" x14ac:dyDescent="0.25">
      <c r="A1523" s="1">
        <v>43298</v>
      </c>
      <c r="B1523">
        <v>5889.0498049999997</v>
      </c>
      <c r="C1523">
        <v>5912</v>
      </c>
      <c r="D1523">
        <v>5825.8500979999999</v>
      </c>
      <c r="E1523">
        <v>5906.1499020000001</v>
      </c>
      <c r="F1523" s="4">
        <f t="shared" si="162"/>
        <v>5735.2998049999997</v>
      </c>
      <c r="G1523" s="4">
        <f t="shared" si="163"/>
        <v>5909.7001950000003</v>
      </c>
      <c r="H1523" s="4">
        <f t="shared" si="164"/>
        <v>0</v>
      </c>
      <c r="I1523" s="4">
        <f t="shared" si="161"/>
        <v>1</v>
      </c>
      <c r="J1523" s="11">
        <f t="shared" si="165"/>
        <v>0</v>
      </c>
      <c r="K1523" s="6">
        <f t="shared" si="166"/>
        <v>5909.7001950000003</v>
      </c>
      <c r="L1523" s="4">
        <f t="shared" si="167"/>
        <v>0</v>
      </c>
    </row>
    <row r="1524" spans="1:12" x14ac:dyDescent="0.25">
      <c r="A1524" s="1">
        <v>43299</v>
      </c>
      <c r="B1524">
        <v>5975</v>
      </c>
      <c r="C1524">
        <v>5981.7001950000003</v>
      </c>
      <c r="D1524">
        <v>5913</v>
      </c>
      <c r="E1524">
        <v>5928.3999020000001</v>
      </c>
      <c r="F1524" s="4">
        <f t="shared" si="162"/>
        <v>5780.0498049999997</v>
      </c>
      <c r="G1524" s="4">
        <f t="shared" si="163"/>
        <v>5928.3999020000001</v>
      </c>
      <c r="H1524" s="4" t="str">
        <f t="shared" si="164"/>
        <v>BUY</v>
      </c>
      <c r="I1524" s="4">
        <f t="shared" si="161"/>
        <v>1</v>
      </c>
      <c r="J1524" s="11">
        <f t="shared" si="165"/>
        <v>0</v>
      </c>
      <c r="K1524" s="6">
        <f t="shared" si="166"/>
        <v>5909.7001950000003</v>
      </c>
      <c r="L1524" s="4">
        <f t="shared" si="167"/>
        <v>0</v>
      </c>
    </row>
    <row r="1525" spans="1:12" x14ac:dyDescent="0.25">
      <c r="A1525" s="1">
        <v>43300</v>
      </c>
      <c r="B1525">
        <v>5893.25</v>
      </c>
      <c r="C1525">
        <v>6015.5</v>
      </c>
      <c r="D1525">
        <v>5877.1000979999999</v>
      </c>
      <c r="E1525">
        <v>6007.4501950000003</v>
      </c>
      <c r="F1525" s="4">
        <f t="shared" si="162"/>
        <v>5906.1499020000001</v>
      </c>
      <c r="G1525" s="4">
        <f t="shared" si="163"/>
        <v>6007.4501950000003</v>
      </c>
      <c r="H1525" s="4" t="str">
        <f t="shared" si="164"/>
        <v>BUY</v>
      </c>
      <c r="I1525" s="4">
        <f t="shared" si="161"/>
        <v>1</v>
      </c>
      <c r="J1525" s="11">
        <f t="shared" si="165"/>
        <v>0</v>
      </c>
      <c r="K1525" s="6">
        <f t="shared" si="166"/>
        <v>5909.7001950000003</v>
      </c>
      <c r="L1525" s="4">
        <f t="shared" si="167"/>
        <v>0</v>
      </c>
    </row>
    <row r="1526" spans="1:12" x14ac:dyDescent="0.25">
      <c r="A1526" s="1">
        <v>43301</v>
      </c>
      <c r="B1526">
        <v>6001.0498049999997</v>
      </c>
      <c r="C1526">
        <v>6033.9501950000003</v>
      </c>
      <c r="D1526">
        <v>5979.7998049999997</v>
      </c>
      <c r="E1526">
        <v>6020.9501950000003</v>
      </c>
      <c r="F1526" s="4">
        <f t="shared" si="162"/>
        <v>5906.1499020000001</v>
      </c>
      <c r="G1526" s="4">
        <f t="shared" si="163"/>
        <v>6020.9501950000003</v>
      </c>
      <c r="H1526" s="4" t="str">
        <f t="shared" si="164"/>
        <v>BUY</v>
      </c>
      <c r="I1526" s="4">
        <f t="shared" si="161"/>
        <v>1</v>
      </c>
      <c r="J1526" s="11">
        <f t="shared" si="165"/>
        <v>0</v>
      </c>
      <c r="K1526" s="6">
        <f t="shared" si="166"/>
        <v>5909.7001950000003</v>
      </c>
      <c r="L1526" s="4">
        <f t="shared" si="167"/>
        <v>0</v>
      </c>
    </row>
    <row r="1527" spans="1:12" x14ac:dyDescent="0.25">
      <c r="A1527" s="1">
        <v>43304</v>
      </c>
      <c r="B1527">
        <v>6104.8500979999999</v>
      </c>
      <c r="C1527">
        <v>6107.6000979999999</v>
      </c>
      <c r="D1527">
        <v>6046.3999020000001</v>
      </c>
      <c r="E1527">
        <v>6096.2001950000003</v>
      </c>
      <c r="F1527" s="4">
        <f t="shared" si="162"/>
        <v>5906.1499020000001</v>
      </c>
      <c r="G1527" s="4">
        <f t="shared" si="163"/>
        <v>6096.2001950000003</v>
      </c>
      <c r="H1527" s="4" t="str">
        <f t="shared" si="164"/>
        <v>BUY</v>
      </c>
      <c r="I1527" s="4">
        <f t="shared" si="161"/>
        <v>1</v>
      </c>
      <c r="J1527" s="11">
        <f t="shared" si="165"/>
        <v>0</v>
      </c>
      <c r="K1527" s="6">
        <f t="shared" si="166"/>
        <v>5909.7001950000003</v>
      </c>
      <c r="L1527" s="4">
        <f t="shared" si="167"/>
        <v>0</v>
      </c>
    </row>
    <row r="1528" spans="1:12" x14ac:dyDescent="0.25">
      <c r="A1528" s="1">
        <v>43305</v>
      </c>
      <c r="B1528">
        <v>6093</v>
      </c>
      <c r="C1528">
        <v>6124.1000979999999</v>
      </c>
      <c r="D1528">
        <v>6082.8999020000001</v>
      </c>
      <c r="E1528">
        <v>6112.7001950000003</v>
      </c>
      <c r="F1528" s="4">
        <f t="shared" si="162"/>
        <v>5928.3999020000001</v>
      </c>
      <c r="G1528" s="4">
        <f t="shared" si="163"/>
        <v>6112.7001950000003</v>
      </c>
      <c r="H1528" s="4" t="str">
        <f t="shared" si="164"/>
        <v>BUY</v>
      </c>
      <c r="I1528" s="4">
        <f t="shared" si="161"/>
        <v>1</v>
      </c>
      <c r="J1528" s="11">
        <f t="shared" si="165"/>
        <v>0</v>
      </c>
      <c r="K1528" s="6">
        <f t="shared" si="166"/>
        <v>5909.7001950000003</v>
      </c>
      <c r="L1528" s="4">
        <f t="shared" si="167"/>
        <v>0</v>
      </c>
    </row>
    <row r="1529" spans="1:12" x14ac:dyDescent="0.25">
      <c r="A1529" s="1">
        <v>43306</v>
      </c>
      <c r="B1529">
        <v>6147.5498049999997</v>
      </c>
      <c r="C1529">
        <v>6156.2998049999997</v>
      </c>
      <c r="D1529">
        <v>6056.5498049999997</v>
      </c>
      <c r="E1529">
        <v>6089.0498049999997</v>
      </c>
      <c r="F1529" s="4">
        <f t="shared" si="162"/>
        <v>6007.4501950000003</v>
      </c>
      <c r="G1529" s="4">
        <f t="shared" si="163"/>
        <v>6112.7001950000003</v>
      </c>
      <c r="H1529" s="4">
        <f t="shared" si="164"/>
        <v>0</v>
      </c>
      <c r="I1529" s="4">
        <f t="shared" si="161"/>
        <v>1</v>
      </c>
      <c r="J1529" s="11">
        <f t="shared" si="165"/>
        <v>0</v>
      </c>
      <c r="K1529" s="6">
        <f t="shared" si="166"/>
        <v>5909.7001950000003</v>
      </c>
      <c r="L1529" s="4">
        <f t="shared" si="167"/>
        <v>0</v>
      </c>
    </row>
    <row r="1530" spans="1:12" x14ac:dyDescent="0.25">
      <c r="A1530" s="1">
        <v>43307</v>
      </c>
      <c r="B1530">
        <v>6098.5</v>
      </c>
      <c r="C1530">
        <v>6110.75</v>
      </c>
      <c r="D1530">
        <v>6032.5498049999997</v>
      </c>
      <c r="E1530">
        <v>6045.8500979999999</v>
      </c>
      <c r="F1530" s="4">
        <f t="shared" si="162"/>
        <v>6020.9501950000003</v>
      </c>
      <c r="G1530" s="4">
        <f t="shared" si="163"/>
        <v>6112.7001950000003</v>
      </c>
      <c r="H1530" s="4">
        <f t="shared" si="164"/>
        <v>0</v>
      </c>
      <c r="I1530" s="4">
        <f t="shared" si="161"/>
        <v>1</v>
      </c>
      <c r="J1530" s="11">
        <f t="shared" si="165"/>
        <v>0</v>
      </c>
      <c r="K1530" s="6">
        <f t="shared" si="166"/>
        <v>5909.7001950000003</v>
      </c>
      <c r="L1530" s="4">
        <f t="shared" si="167"/>
        <v>0</v>
      </c>
    </row>
    <row r="1531" spans="1:12" x14ac:dyDescent="0.25">
      <c r="A1531" s="1">
        <v>43308</v>
      </c>
      <c r="B1531">
        <v>6070.8999020000001</v>
      </c>
      <c r="C1531">
        <v>6201.4501950000003</v>
      </c>
      <c r="D1531">
        <v>6070.8999020000001</v>
      </c>
      <c r="E1531">
        <v>6189.3500979999999</v>
      </c>
      <c r="F1531" s="4">
        <f t="shared" si="162"/>
        <v>6045.8500979999999</v>
      </c>
      <c r="G1531" s="4">
        <f t="shared" si="163"/>
        <v>6189.3500979999999</v>
      </c>
      <c r="H1531" s="4" t="str">
        <f t="shared" si="164"/>
        <v>BUY</v>
      </c>
      <c r="I1531" s="4">
        <f t="shared" si="161"/>
        <v>1</v>
      </c>
      <c r="J1531" s="11">
        <f t="shared" si="165"/>
        <v>0</v>
      </c>
      <c r="K1531" s="6">
        <f t="shared" si="166"/>
        <v>5909.7001950000003</v>
      </c>
      <c r="L1531" s="4">
        <f t="shared" si="167"/>
        <v>0</v>
      </c>
    </row>
    <row r="1532" spans="1:12" x14ac:dyDescent="0.25">
      <c r="A1532" s="1">
        <v>43311</v>
      </c>
      <c r="B1532">
        <v>6202</v>
      </c>
      <c r="C1532">
        <v>6218.9501950000003</v>
      </c>
      <c r="D1532">
        <v>6163.2998049999997</v>
      </c>
      <c r="E1532">
        <v>6204.9501950000003</v>
      </c>
      <c r="F1532" s="4">
        <f t="shared" si="162"/>
        <v>6045.8500979999999</v>
      </c>
      <c r="G1532" s="4">
        <f t="shared" si="163"/>
        <v>6204.9501950000003</v>
      </c>
      <c r="H1532" s="4" t="str">
        <f t="shared" si="164"/>
        <v>BUY</v>
      </c>
      <c r="I1532" s="4">
        <f t="shared" si="161"/>
        <v>1</v>
      </c>
      <c r="J1532" s="11">
        <f t="shared" si="165"/>
        <v>0</v>
      </c>
      <c r="K1532" s="6">
        <f t="shared" si="166"/>
        <v>5909.7001950000003</v>
      </c>
      <c r="L1532" s="4">
        <f t="shared" si="167"/>
        <v>0</v>
      </c>
    </row>
    <row r="1533" spans="1:12" x14ac:dyDescent="0.25">
      <c r="A1533" s="1">
        <v>43312</v>
      </c>
      <c r="B1533">
        <v>6192.2998049999997</v>
      </c>
      <c r="C1533">
        <v>6220.1000979999999</v>
      </c>
      <c r="D1533">
        <v>6181.7998049999997</v>
      </c>
      <c r="E1533">
        <v>6202.7998049999997</v>
      </c>
      <c r="F1533" s="4">
        <f t="shared" si="162"/>
        <v>6045.8500979999999</v>
      </c>
      <c r="G1533" s="4">
        <f t="shared" si="163"/>
        <v>6204.9501950000003</v>
      </c>
      <c r="H1533" s="4">
        <f t="shared" si="164"/>
        <v>0</v>
      </c>
      <c r="I1533" s="4">
        <f t="shared" si="161"/>
        <v>1</v>
      </c>
      <c r="J1533" s="11">
        <f t="shared" si="165"/>
        <v>0</v>
      </c>
      <c r="K1533" s="6">
        <f t="shared" si="166"/>
        <v>5909.7001950000003</v>
      </c>
      <c r="L1533" s="4">
        <f t="shared" si="167"/>
        <v>0</v>
      </c>
    </row>
    <row r="1534" spans="1:12" x14ac:dyDescent="0.25">
      <c r="A1534" s="1">
        <v>43313</v>
      </c>
      <c r="B1534">
        <v>6209.5498049999997</v>
      </c>
      <c r="C1534">
        <v>6217.9501950000003</v>
      </c>
      <c r="D1534">
        <v>6116.6000979999999</v>
      </c>
      <c r="E1534">
        <v>6178.3500979999999</v>
      </c>
      <c r="F1534" s="4">
        <f t="shared" si="162"/>
        <v>6045.8500979999999</v>
      </c>
      <c r="G1534" s="4">
        <f t="shared" si="163"/>
        <v>6204.9501950000003</v>
      </c>
      <c r="H1534" s="4">
        <f t="shared" si="164"/>
        <v>0</v>
      </c>
      <c r="I1534" s="4">
        <f t="shared" si="161"/>
        <v>1</v>
      </c>
      <c r="J1534" s="11">
        <f t="shared" si="165"/>
        <v>0</v>
      </c>
      <c r="K1534" s="6">
        <f t="shared" si="166"/>
        <v>5909.7001950000003</v>
      </c>
      <c r="L1534" s="4">
        <f t="shared" si="167"/>
        <v>0</v>
      </c>
    </row>
    <row r="1535" spans="1:12" x14ac:dyDescent="0.25">
      <c r="A1535" s="1">
        <v>43314</v>
      </c>
      <c r="B1535">
        <v>6162.7998049999997</v>
      </c>
      <c r="C1535">
        <v>6252.4501950000003</v>
      </c>
      <c r="D1535">
        <v>6142.9501950000003</v>
      </c>
      <c r="E1535">
        <v>6164.3500979999999</v>
      </c>
      <c r="F1535" s="4">
        <f t="shared" si="162"/>
        <v>6164.3500979999999</v>
      </c>
      <c r="G1535" s="4">
        <f t="shared" si="163"/>
        <v>6204.9501950000003</v>
      </c>
      <c r="H1535" s="4">
        <f t="shared" si="164"/>
        <v>0</v>
      </c>
      <c r="I1535" s="4">
        <f t="shared" si="161"/>
        <v>1</v>
      </c>
      <c r="J1535" s="11">
        <f t="shared" si="165"/>
        <v>0</v>
      </c>
      <c r="K1535" s="6">
        <f t="shared" si="166"/>
        <v>5909.7001950000003</v>
      </c>
      <c r="L1535" s="4">
        <f t="shared" si="167"/>
        <v>0</v>
      </c>
    </row>
    <row r="1536" spans="1:12" x14ac:dyDescent="0.25">
      <c r="A1536" s="1">
        <v>43315</v>
      </c>
      <c r="B1536">
        <v>6154</v>
      </c>
      <c r="C1536">
        <v>6174.75</v>
      </c>
      <c r="D1536">
        <v>6125.9501950000003</v>
      </c>
      <c r="E1536">
        <v>6144.8999020000001</v>
      </c>
      <c r="F1536" s="4">
        <f t="shared" si="162"/>
        <v>6144.8999020000001</v>
      </c>
      <c r="G1536" s="4">
        <f t="shared" si="163"/>
        <v>6204.9501950000003</v>
      </c>
      <c r="H1536" s="4" t="str">
        <f t="shared" si="164"/>
        <v>SELL</v>
      </c>
      <c r="I1536" s="4">
        <f t="shared" si="161"/>
        <v>-1</v>
      </c>
      <c r="J1536" s="11" t="str">
        <f t="shared" si="165"/>
        <v>SELL</v>
      </c>
      <c r="K1536" s="6">
        <f t="shared" si="166"/>
        <v>6144.8999020000001</v>
      </c>
      <c r="L1536" s="4">
        <f t="shared" si="167"/>
        <v>3.979892367450287E-2</v>
      </c>
    </row>
    <row r="1537" spans="1:12" x14ac:dyDescent="0.25">
      <c r="A1537" s="1">
        <v>43318</v>
      </c>
      <c r="B1537">
        <v>6155.1000979999999</v>
      </c>
      <c r="C1537">
        <v>6168.75</v>
      </c>
      <c r="D1537">
        <v>6094.1000979999999</v>
      </c>
      <c r="E1537">
        <v>6101.1000979999999</v>
      </c>
      <c r="F1537" s="4">
        <f t="shared" si="162"/>
        <v>6101.1000979999999</v>
      </c>
      <c r="G1537" s="4">
        <f t="shared" si="163"/>
        <v>6202.7998049999997</v>
      </c>
      <c r="H1537" s="4" t="str">
        <f t="shared" si="164"/>
        <v>SELL</v>
      </c>
      <c r="I1537" s="4">
        <f t="shared" si="161"/>
        <v>-1</v>
      </c>
      <c r="J1537" s="11">
        <f t="shared" si="165"/>
        <v>0</v>
      </c>
      <c r="K1537" s="6">
        <f t="shared" si="166"/>
        <v>6144.8999020000001</v>
      </c>
      <c r="L1537" s="4">
        <f t="shared" si="167"/>
        <v>0</v>
      </c>
    </row>
    <row r="1538" spans="1:12" x14ac:dyDescent="0.25">
      <c r="A1538" s="1">
        <v>43319</v>
      </c>
      <c r="B1538">
        <v>6107.5498049999997</v>
      </c>
      <c r="C1538">
        <v>6228.0498049999997</v>
      </c>
      <c r="D1538">
        <v>6079.2001950000003</v>
      </c>
      <c r="E1538">
        <v>6220.8999020000001</v>
      </c>
      <c r="F1538" s="4">
        <f t="shared" si="162"/>
        <v>6101.1000979999999</v>
      </c>
      <c r="G1538" s="4">
        <f t="shared" si="163"/>
        <v>6220.8999020000001</v>
      </c>
      <c r="H1538" s="4" t="str">
        <f t="shared" si="164"/>
        <v>BUY</v>
      </c>
      <c r="I1538" s="4">
        <f t="shared" si="161"/>
        <v>1</v>
      </c>
      <c r="J1538" s="11" t="str">
        <f t="shared" si="165"/>
        <v>BUY</v>
      </c>
      <c r="K1538" s="6">
        <f t="shared" si="166"/>
        <v>6220.8999020000001</v>
      </c>
      <c r="L1538" s="4">
        <f t="shared" si="167"/>
        <v>-1.2367980148100385E-2</v>
      </c>
    </row>
    <row r="1539" spans="1:12" x14ac:dyDescent="0.25">
      <c r="A1539" s="1">
        <v>43320</v>
      </c>
      <c r="B1539">
        <v>6230.7998049999997</v>
      </c>
      <c r="C1539">
        <v>6269.2001950000003</v>
      </c>
      <c r="D1539">
        <v>6222.6000979999999</v>
      </c>
      <c r="E1539">
        <v>6251.7001950000003</v>
      </c>
      <c r="F1539" s="4">
        <f t="shared" si="162"/>
        <v>6101.1000979999999</v>
      </c>
      <c r="G1539" s="4">
        <f t="shared" si="163"/>
        <v>6251.7001950000003</v>
      </c>
      <c r="H1539" s="4" t="str">
        <f t="shared" si="164"/>
        <v>BUY</v>
      </c>
      <c r="I1539" s="4">
        <f t="shared" si="161"/>
        <v>1</v>
      </c>
      <c r="J1539" s="11">
        <f t="shared" si="165"/>
        <v>0</v>
      </c>
      <c r="K1539" s="6">
        <f t="shared" si="166"/>
        <v>6220.8999020000001</v>
      </c>
      <c r="L1539" s="4">
        <f t="shared" si="167"/>
        <v>0</v>
      </c>
    </row>
    <row r="1540" spans="1:12" x14ac:dyDescent="0.25">
      <c r="A1540" s="1">
        <v>43321</v>
      </c>
      <c r="B1540">
        <v>6237.1499020000001</v>
      </c>
      <c r="C1540">
        <v>6309.0498049999997</v>
      </c>
      <c r="D1540">
        <v>6235.8999020000001</v>
      </c>
      <c r="E1540">
        <v>6299.1499020000001</v>
      </c>
      <c r="F1540" s="4">
        <f t="shared" si="162"/>
        <v>6101.1000979999999</v>
      </c>
      <c r="G1540" s="4">
        <f t="shared" si="163"/>
        <v>6299.1499020000001</v>
      </c>
      <c r="H1540" s="4" t="str">
        <f t="shared" si="164"/>
        <v>BUY</v>
      </c>
      <c r="I1540" s="4">
        <f t="shared" si="161"/>
        <v>1</v>
      </c>
      <c r="J1540" s="11">
        <f t="shared" si="165"/>
        <v>0</v>
      </c>
      <c r="K1540" s="6">
        <f t="shared" si="166"/>
        <v>6220.8999020000001</v>
      </c>
      <c r="L1540" s="4">
        <f t="shared" si="167"/>
        <v>0</v>
      </c>
    </row>
    <row r="1541" spans="1:12" x14ac:dyDescent="0.25">
      <c r="A1541" s="1">
        <v>43322</v>
      </c>
      <c r="B1541">
        <v>6289.75</v>
      </c>
      <c r="C1541">
        <v>6332.6000979999999</v>
      </c>
      <c r="D1541">
        <v>6286.9501950000003</v>
      </c>
      <c r="E1541">
        <v>6307.2001950000003</v>
      </c>
      <c r="F1541" s="4">
        <f t="shared" si="162"/>
        <v>6101.1000979999999</v>
      </c>
      <c r="G1541" s="4">
        <f t="shared" si="163"/>
        <v>6307.2001950000003</v>
      </c>
      <c r="H1541" s="4" t="str">
        <f t="shared" si="164"/>
        <v>BUY</v>
      </c>
      <c r="I1541" s="4">
        <f t="shared" si="161"/>
        <v>1</v>
      </c>
      <c r="J1541" s="11">
        <f t="shared" si="165"/>
        <v>0</v>
      </c>
      <c r="K1541" s="6">
        <f t="shared" si="166"/>
        <v>6220.8999020000001</v>
      </c>
      <c r="L1541" s="4">
        <f t="shared" si="167"/>
        <v>0</v>
      </c>
    </row>
    <row r="1542" spans="1:12" x14ac:dyDescent="0.25">
      <c r="A1542" s="1">
        <v>43325</v>
      </c>
      <c r="B1542">
        <v>6282.1499020000001</v>
      </c>
      <c r="C1542">
        <v>6304.75</v>
      </c>
      <c r="D1542">
        <v>6244.2998049999997</v>
      </c>
      <c r="E1542">
        <v>6253.1499020000001</v>
      </c>
      <c r="F1542" s="4">
        <f t="shared" si="162"/>
        <v>6220.8999020000001</v>
      </c>
      <c r="G1542" s="4">
        <f t="shared" si="163"/>
        <v>6307.2001950000003</v>
      </c>
      <c r="H1542" s="4">
        <f t="shared" si="164"/>
        <v>0</v>
      </c>
      <c r="I1542" s="4">
        <f t="shared" ref="I1542:I1605" si="168">IF(AND(H1542="BUY",I1541&lt;&gt;1),1,IF(AND(H1542="SELL",I1541&lt;&gt;-1),-1,I1541))</f>
        <v>1</v>
      </c>
      <c r="J1542" s="11">
        <f t="shared" si="165"/>
        <v>0</v>
      </c>
      <c r="K1542" s="6">
        <f t="shared" si="166"/>
        <v>6220.8999020000001</v>
      </c>
      <c r="L1542" s="4">
        <f t="shared" si="167"/>
        <v>0</v>
      </c>
    </row>
    <row r="1543" spans="1:12" x14ac:dyDescent="0.25">
      <c r="A1543" s="1">
        <v>43326</v>
      </c>
      <c r="B1543">
        <v>6260.5498049999997</v>
      </c>
      <c r="C1543">
        <v>6269.7001950000003</v>
      </c>
      <c r="D1543">
        <v>6208.7001950000003</v>
      </c>
      <c r="E1543">
        <v>6215.1499020000001</v>
      </c>
      <c r="F1543" s="4">
        <f t="shared" ref="F1543:F1606" si="169">MIN(E1539:E1543)</f>
        <v>6215.1499020000001</v>
      </c>
      <c r="G1543" s="4">
        <f t="shared" ref="G1543:G1606" si="170">MAX(E1539:E1543)</f>
        <v>6307.2001950000003</v>
      </c>
      <c r="H1543" s="4" t="str">
        <f t="shared" ref="H1543:H1606" si="171">IF(E1543&gt;G1542,"BUY",IF(E1543&lt;F1542,"SELL",0))</f>
        <v>SELL</v>
      </c>
      <c r="I1543" s="4">
        <f t="shared" si="168"/>
        <v>-1</v>
      </c>
      <c r="J1543" s="11" t="str">
        <f t="shared" ref="J1543:J1606" si="172">IF(I1543&lt;&gt;I1542,H1543,0)</f>
        <v>SELL</v>
      </c>
      <c r="K1543" s="6">
        <f t="shared" ref="K1543:K1606" si="173">IF(J1543&lt;&gt;0,E1543,K1542)</f>
        <v>6215.1499020000001</v>
      </c>
      <c r="L1543" s="4">
        <f t="shared" si="167"/>
        <v>-9.2430357192395797E-4</v>
      </c>
    </row>
    <row r="1544" spans="1:12" x14ac:dyDescent="0.25">
      <c r="A1544" s="1">
        <v>43327</v>
      </c>
      <c r="B1544">
        <v>6228.8999020000001</v>
      </c>
      <c r="C1544">
        <v>6288.9501950000003</v>
      </c>
      <c r="D1544">
        <v>6180.7998049999997</v>
      </c>
      <c r="E1544">
        <v>6187.25</v>
      </c>
      <c r="F1544" s="4">
        <f t="shared" si="169"/>
        <v>6187.25</v>
      </c>
      <c r="G1544" s="4">
        <f t="shared" si="170"/>
        <v>6307.2001950000003</v>
      </c>
      <c r="H1544" s="4" t="str">
        <f t="shared" si="171"/>
        <v>SELL</v>
      </c>
      <c r="I1544" s="4">
        <f t="shared" si="168"/>
        <v>-1</v>
      </c>
      <c r="J1544" s="11">
        <f t="shared" si="172"/>
        <v>0</v>
      </c>
      <c r="K1544" s="6">
        <f t="shared" si="173"/>
        <v>6215.1499020000001</v>
      </c>
      <c r="L1544" s="4">
        <f t="shared" ref="L1544:L1607" si="174">IF(J1544="BUY",(K1543-K1544)/K1543,IF(J1544="SELL",(K1545-K1543)/K1543,0))</f>
        <v>0</v>
      </c>
    </row>
    <row r="1545" spans="1:12" x14ac:dyDescent="0.25">
      <c r="A1545" s="1">
        <v>43328</v>
      </c>
      <c r="B1545">
        <v>6170.1499020000001</v>
      </c>
      <c r="C1545">
        <v>6185.1499020000001</v>
      </c>
      <c r="D1545">
        <v>6120.9501950000003</v>
      </c>
      <c r="E1545">
        <v>6140.75</v>
      </c>
      <c r="F1545" s="4">
        <f t="shared" si="169"/>
        <v>6140.75</v>
      </c>
      <c r="G1545" s="4">
        <f t="shared" si="170"/>
        <v>6307.2001950000003</v>
      </c>
      <c r="H1545" s="4" t="str">
        <f t="shared" si="171"/>
        <v>SELL</v>
      </c>
      <c r="I1545" s="4">
        <f t="shared" si="168"/>
        <v>-1</v>
      </c>
      <c r="J1545" s="11">
        <f t="shared" si="172"/>
        <v>0</v>
      </c>
      <c r="K1545" s="6">
        <f t="shared" si="173"/>
        <v>6215.1499020000001</v>
      </c>
      <c r="L1545" s="4">
        <f t="shared" si="174"/>
        <v>0</v>
      </c>
    </row>
    <row r="1546" spans="1:12" x14ac:dyDescent="0.25">
      <c r="A1546" s="1">
        <v>43329</v>
      </c>
      <c r="B1546">
        <v>6110.3999020000001</v>
      </c>
      <c r="C1546">
        <v>6141.6499020000001</v>
      </c>
      <c r="D1546">
        <v>6067.75</v>
      </c>
      <c r="E1546">
        <v>6078.7998049999997</v>
      </c>
      <c r="F1546" s="4">
        <f t="shared" si="169"/>
        <v>6078.7998049999997</v>
      </c>
      <c r="G1546" s="4">
        <f t="shared" si="170"/>
        <v>6253.1499020000001</v>
      </c>
      <c r="H1546" s="4" t="str">
        <f t="shared" si="171"/>
        <v>SELL</v>
      </c>
      <c r="I1546" s="4">
        <f t="shared" si="168"/>
        <v>-1</v>
      </c>
      <c r="J1546" s="11">
        <f t="shared" si="172"/>
        <v>0</v>
      </c>
      <c r="K1546" s="6">
        <f t="shared" si="173"/>
        <v>6215.1499020000001</v>
      </c>
      <c r="L1546" s="4">
        <f t="shared" si="174"/>
        <v>0</v>
      </c>
    </row>
    <row r="1547" spans="1:12" x14ac:dyDescent="0.25">
      <c r="A1547" s="1">
        <v>43332</v>
      </c>
      <c r="B1547">
        <v>6087.25</v>
      </c>
      <c r="C1547">
        <v>6108.7001950000003</v>
      </c>
      <c r="D1547">
        <v>6011.75</v>
      </c>
      <c r="E1547">
        <v>6018.0498049999997</v>
      </c>
      <c r="F1547" s="4">
        <f t="shared" si="169"/>
        <v>6018.0498049999997</v>
      </c>
      <c r="G1547" s="4">
        <f t="shared" si="170"/>
        <v>6215.1499020000001</v>
      </c>
      <c r="H1547" s="4" t="str">
        <f t="shared" si="171"/>
        <v>SELL</v>
      </c>
      <c r="I1547" s="4">
        <f t="shared" si="168"/>
        <v>-1</v>
      </c>
      <c r="J1547" s="11">
        <f t="shared" si="172"/>
        <v>0</v>
      </c>
      <c r="K1547" s="6">
        <f t="shared" si="173"/>
        <v>6215.1499020000001</v>
      </c>
      <c r="L1547" s="4">
        <f t="shared" si="174"/>
        <v>0</v>
      </c>
    </row>
    <row r="1548" spans="1:12" x14ac:dyDescent="0.25">
      <c r="A1548" s="1">
        <v>43333</v>
      </c>
      <c r="B1548">
        <v>5998.8500979999999</v>
      </c>
      <c r="C1548">
        <v>6042.25</v>
      </c>
      <c r="D1548">
        <v>5972.4501950000003</v>
      </c>
      <c r="E1548">
        <v>5989.6000979999999</v>
      </c>
      <c r="F1548" s="4">
        <f t="shared" si="169"/>
        <v>5989.6000979999999</v>
      </c>
      <c r="G1548" s="4">
        <f t="shared" si="170"/>
        <v>6187.25</v>
      </c>
      <c r="H1548" s="4" t="str">
        <f t="shared" si="171"/>
        <v>SELL</v>
      </c>
      <c r="I1548" s="4">
        <f t="shared" si="168"/>
        <v>-1</v>
      </c>
      <c r="J1548" s="11">
        <f t="shared" si="172"/>
        <v>0</v>
      </c>
      <c r="K1548" s="6">
        <f t="shared" si="173"/>
        <v>6215.1499020000001</v>
      </c>
      <c r="L1548" s="4">
        <f t="shared" si="174"/>
        <v>0</v>
      </c>
    </row>
    <row r="1549" spans="1:12" x14ac:dyDescent="0.25">
      <c r="A1549" s="1">
        <v>43334</v>
      </c>
      <c r="B1549">
        <v>6037</v>
      </c>
      <c r="C1549">
        <v>6101.6499020000001</v>
      </c>
      <c r="D1549">
        <v>6036.6499020000001</v>
      </c>
      <c r="E1549">
        <v>6056.1499020000001</v>
      </c>
      <c r="F1549" s="4">
        <f t="shared" si="169"/>
        <v>5989.6000979999999</v>
      </c>
      <c r="G1549" s="4">
        <f t="shared" si="170"/>
        <v>6140.75</v>
      </c>
      <c r="H1549" s="4">
        <f t="shared" si="171"/>
        <v>0</v>
      </c>
      <c r="I1549" s="4">
        <f t="shared" si="168"/>
        <v>-1</v>
      </c>
      <c r="J1549" s="11">
        <f t="shared" si="172"/>
        <v>0</v>
      </c>
      <c r="K1549" s="6">
        <f t="shared" si="173"/>
        <v>6215.1499020000001</v>
      </c>
      <c r="L1549" s="4">
        <f t="shared" si="174"/>
        <v>0</v>
      </c>
    </row>
    <row r="1550" spans="1:12" x14ac:dyDescent="0.25">
      <c r="A1550" s="1">
        <v>43335</v>
      </c>
      <c r="B1550">
        <v>6111.0498049999997</v>
      </c>
      <c r="C1550">
        <v>6196.7998049999997</v>
      </c>
      <c r="D1550">
        <v>6110.3999020000001</v>
      </c>
      <c r="E1550">
        <v>6189</v>
      </c>
      <c r="F1550" s="4">
        <f t="shared" si="169"/>
        <v>5989.6000979999999</v>
      </c>
      <c r="G1550" s="4">
        <f t="shared" si="170"/>
        <v>6189</v>
      </c>
      <c r="H1550" s="4" t="str">
        <f t="shared" si="171"/>
        <v>BUY</v>
      </c>
      <c r="I1550" s="4">
        <f t="shared" si="168"/>
        <v>1</v>
      </c>
      <c r="J1550" s="11" t="str">
        <f t="shared" si="172"/>
        <v>BUY</v>
      </c>
      <c r="K1550" s="6">
        <f t="shared" si="173"/>
        <v>6189</v>
      </c>
      <c r="L1550" s="4">
        <f t="shared" si="174"/>
        <v>4.2074450998495182E-3</v>
      </c>
    </row>
    <row r="1551" spans="1:12" x14ac:dyDescent="0.25">
      <c r="A1551" s="1">
        <v>43336</v>
      </c>
      <c r="B1551">
        <v>6197.25</v>
      </c>
      <c r="C1551">
        <v>6212.3999020000001</v>
      </c>
      <c r="D1551">
        <v>6180.2001950000003</v>
      </c>
      <c r="E1551">
        <v>6203.3500979999999</v>
      </c>
      <c r="F1551" s="4">
        <f t="shared" si="169"/>
        <v>5989.6000979999999</v>
      </c>
      <c r="G1551" s="4">
        <f t="shared" si="170"/>
        <v>6203.3500979999999</v>
      </c>
      <c r="H1551" s="4" t="str">
        <f t="shared" si="171"/>
        <v>BUY</v>
      </c>
      <c r="I1551" s="4">
        <f t="shared" si="168"/>
        <v>1</v>
      </c>
      <c r="J1551" s="11">
        <f t="shared" si="172"/>
        <v>0</v>
      </c>
      <c r="K1551" s="6">
        <f t="shared" si="173"/>
        <v>6189</v>
      </c>
      <c r="L1551" s="4">
        <f t="shared" si="174"/>
        <v>0</v>
      </c>
    </row>
    <row r="1552" spans="1:12" x14ac:dyDescent="0.25">
      <c r="A1552" s="1">
        <v>43339</v>
      </c>
      <c r="B1552">
        <v>6186.8500979999999</v>
      </c>
      <c r="C1552">
        <v>6204.3500979999999</v>
      </c>
      <c r="D1552">
        <v>6106.9501950000003</v>
      </c>
      <c r="E1552">
        <v>6122.8999020000001</v>
      </c>
      <c r="F1552" s="4">
        <f t="shared" si="169"/>
        <v>5989.6000979999999</v>
      </c>
      <c r="G1552" s="4">
        <f t="shared" si="170"/>
        <v>6203.3500979999999</v>
      </c>
      <c r="H1552" s="4">
        <f t="shared" si="171"/>
        <v>0</v>
      </c>
      <c r="I1552" s="4">
        <f t="shared" si="168"/>
        <v>1</v>
      </c>
      <c r="J1552" s="11">
        <f t="shared" si="172"/>
        <v>0</v>
      </c>
      <c r="K1552" s="6">
        <f t="shared" si="173"/>
        <v>6189</v>
      </c>
      <c r="L1552" s="4">
        <f t="shared" si="174"/>
        <v>0</v>
      </c>
    </row>
    <row r="1553" spans="1:12" x14ac:dyDescent="0.25">
      <c r="A1553" s="1">
        <v>43340</v>
      </c>
      <c r="B1553">
        <v>6096.5</v>
      </c>
      <c r="C1553">
        <v>6097.3500979999999</v>
      </c>
      <c r="D1553">
        <v>5985.3999020000001</v>
      </c>
      <c r="E1553">
        <v>5999.0498049999997</v>
      </c>
      <c r="F1553" s="4">
        <f t="shared" si="169"/>
        <v>5999.0498049999997</v>
      </c>
      <c r="G1553" s="4">
        <f t="shared" si="170"/>
        <v>6203.3500979999999</v>
      </c>
      <c r="H1553" s="4">
        <f t="shared" si="171"/>
        <v>0</v>
      </c>
      <c r="I1553" s="4">
        <f t="shared" si="168"/>
        <v>1</v>
      </c>
      <c r="J1553" s="11">
        <f t="shared" si="172"/>
        <v>0</v>
      </c>
      <c r="K1553" s="6">
        <f t="shared" si="173"/>
        <v>6189</v>
      </c>
      <c r="L1553" s="4">
        <f t="shared" si="174"/>
        <v>0</v>
      </c>
    </row>
    <row r="1554" spans="1:12" x14ac:dyDescent="0.25">
      <c r="A1554" s="1">
        <v>43341</v>
      </c>
      <c r="B1554">
        <v>6027.3500979999999</v>
      </c>
      <c r="C1554">
        <v>6049.6000979999999</v>
      </c>
      <c r="D1554">
        <v>5972.7998049999997</v>
      </c>
      <c r="E1554">
        <v>5995.4501950000003</v>
      </c>
      <c r="F1554" s="4">
        <f t="shared" si="169"/>
        <v>5995.4501950000003</v>
      </c>
      <c r="G1554" s="4">
        <f t="shared" si="170"/>
        <v>6203.3500979999999</v>
      </c>
      <c r="H1554" s="4" t="str">
        <f t="shared" si="171"/>
        <v>SELL</v>
      </c>
      <c r="I1554" s="4">
        <f t="shared" si="168"/>
        <v>-1</v>
      </c>
      <c r="J1554" s="11" t="str">
        <f t="shared" si="172"/>
        <v>SELL</v>
      </c>
      <c r="K1554" s="6">
        <f t="shared" si="173"/>
        <v>5995.4501950000003</v>
      </c>
      <c r="L1554" s="4">
        <f t="shared" si="174"/>
        <v>-3.1273195185005598E-2</v>
      </c>
    </row>
    <row r="1555" spans="1:12" x14ac:dyDescent="0.25">
      <c r="A1555" s="1">
        <v>43342</v>
      </c>
      <c r="B1555">
        <v>6035.9501950000003</v>
      </c>
      <c r="C1555">
        <v>6123.5</v>
      </c>
      <c r="D1555">
        <v>6035.9501950000003</v>
      </c>
      <c r="E1555">
        <v>6115.3500979999999</v>
      </c>
      <c r="F1555" s="4">
        <f t="shared" si="169"/>
        <v>5995.4501950000003</v>
      </c>
      <c r="G1555" s="4">
        <f t="shared" si="170"/>
        <v>6203.3500979999999</v>
      </c>
      <c r="H1555" s="4">
        <f t="shared" si="171"/>
        <v>0</v>
      </c>
      <c r="I1555" s="4">
        <f t="shared" si="168"/>
        <v>-1</v>
      </c>
      <c r="J1555" s="11">
        <f t="shared" si="172"/>
        <v>0</v>
      </c>
      <c r="K1555" s="6">
        <f t="shared" si="173"/>
        <v>5995.4501950000003</v>
      </c>
      <c r="L1555" s="4">
        <f t="shared" si="174"/>
        <v>0</v>
      </c>
    </row>
    <row r="1556" spans="1:12" x14ac:dyDescent="0.25">
      <c r="A1556" s="1">
        <v>43343</v>
      </c>
      <c r="B1556">
        <v>6099.25</v>
      </c>
      <c r="C1556">
        <v>6112.7001950000003</v>
      </c>
      <c r="D1556">
        <v>6047.75</v>
      </c>
      <c r="E1556">
        <v>6059.1000979999999</v>
      </c>
      <c r="F1556" s="4">
        <f t="shared" si="169"/>
        <v>5995.4501950000003</v>
      </c>
      <c r="G1556" s="4">
        <f t="shared" si="170"/>
        <v>6122.8999020000001</v>
      </c>
      <c r="H1556" s="4">
        <f t="shared" si="171"/>
        <v>0</v>
      </c>
      <c r="I1556" s="4">
        <f t="shared" si="168"/>
        <v>-1</v>
      </c>
      <c r="J1556" s="11">
        <f t="shared" si="172"/>
        <v>0</v>
      </c>
      <c r="K1556" s="6">
        <f t="shared" si="173"/>
        <v>5995.4501950000003</v>
      </c>
      <c r="L1556" s="4">
        <f t="shared" si="174"/>
        <v>0</v>
      </c>
    </row>
    <row r="1557" spans="1:12" x14ac:dyDescent="0.25">
      <c r="A1557" s="1">
        <v>43346</v>
      </c>
      <c r="B1557">
        <v>6062.7001950000003</v>
      </c>
      <c r="C1557">
        <v>6074</v>
      </c>
      <c r="D1557">
        <v>6030.2998049999997</v>
      </c>
      <c r="E1557">
        <v>6057.1000979999999</v>
      </c>
      <c r="F1557" s="4">
        <f t="shared" si="169"/>
        <v>5995.4501950000003</v>
      </c>
      <c r="G1557" s="4">
        <f t="shared" si="170"/>
        <v>6115.3500979999999</v>
      </c>
      <c r="H1557" s="4">
        <f t="shared" si="171"/>
        <v>0</v>
      </c>
      <c r="I1557" s="4">
        <f t="shared" si="168"/>
        <v>-1</v>
      </c>
      <c r="J1557" s="11">
        <f t="shared" si="172"/>
        <v>0</v>
      </c>
      <c r="K1557" s="6">
        <f t="shared" si="173"/>
        <v>5995.4501950000003</v>
      </c>
      <c r="L1557" s="4">
        <f t="shared" si="174"/>
        <v>0</v>
      </c>
    </row>
    <row r="1558" spans="1:12" x14ac:dyDescent="0.25">
      <c r="A1558" s="1">
        <v>43347</v>
      </c>
      <c r="B1558">
        <v>6092</v>
      </c>
      <c r="C1558">
        <v>6112.9501950000003</v>
      </c>
      <c r="D1558">
        <v>6068.2998049999997</v>
      </c>
      <c r="E1558">
        <v>6091.8500979999999</v>
      </c>
      <c r="F1558" s="4">
        <f t="shared" si="169"/>
        <v>5995.4501950000003</v>
      </c>
      <c r="G1558" s="4">
        <f t="shared" si="170"/>
        <v>6115.3500979999999</v>
      </c>
      <c r="H1558" s="4">
        <f t="shared" si="171"/>
        <v>0</v>
      </c>
      <c r="I1558" s="4">
        <f t="shared" si="168"/>
        <v>-1</v>
      </c>
      <c r="J1558" s="11">
        <f t="shared" si="172"/>
        <v>0</v>
      </c>
      <c r="K1558" s="6">
        <f t="shared" si="173"/>
        <v>5995.4501950000003</v>
      </c>
      <c r="L1558" s="4">
        <f t="shared" si="174"/>
        <v>0</v>
      </c>
    </row>
    <row r="1559" spans="1:12" x14ac:dyDescent="0.25">
      <c r="A1559" s="1">
        <v>43348</v>
      </c>
      <c r="B1559">
        <v>6103.8999020000001</v>
      </c>
      <c r="C1559">
        <v>6182.5</v>
      </c>
      <c r="D1559">
        <v>6103.7998049999997</v>
      </c>
      <c r="E1559">
        <v>6176.1000979999999</v>
      </c>
      <c r="F1559" s="4">
        <f t="shared" si="169"/>
        <v>6057.1000979999999</v>
      </c>
      <c r="G1559" s="4">
        <f t="shared" si="170"/>
        <v>6176.1000979999999</v>
      </c>
      <c r="H1559" s="4" t="str">
        <f t="shared" si="171"/>
        <v>BUY</v>
      </c>
      <c r="I1559" s="4">
        <f t="shared" si="168"/>
        <v>1</v>
      </c>
      <c r="J1559" s="11" t="str">
        <f t="shared" si="172"/>
        <v>BUY</v>
      </c>
      <c r="K1559" s="6">
        <f t="shared" si="173"/>
        <v>6176.1000979999999</v>
      </c>
      <c r="L1559" s="4">
        <f t="shared" si="174"/>
        <v>-3.0131165654691847E-2</v>
      </c>
    </row>
    <row r="1560" spans="1:12" x14ac:dyDescent="0.25">
      <c r="A1560" s="1">
        <v>43349</v>
      </c>
      <c r="B1560">
        <v>6171.1499020000001</v>
      </c>
      <c r="C1560">
        <v>6228.7001950000003</v>
      </c>
      <c r="D1560">
        <v>6171.1499020000001</v>
      </c>
      <c r="E1560">
        <v>6217.8500979999999</v>
      </c>
      <c r="F1560" s="4">
        <f t="shared" si="169"/>
        <v>6057.1000979999999</v>
      </c>
      <c r="G1560" s="4">
        <f t="shared" si="170"/>
        <v>6217.8500979999999</v>
      </c>
      <c r="H1560" s="4" t="str">
        <f t="shared" si="171"/>
        <v>BUY</v>
      </c>
      <c r="I1560" s="4">
        <f t="shared" si="168"/>
        <v>1</v>
      </c>
      <c r="J1560" s="11">
        <f t="shared" si="172"/>
        <v>0</v>
      </c>
      <c r="K1560" s="6">
        <f t="shared" si="173"/>
        <v>6176.1000979999999</v>
      </c>
      <c r="L1560" s="4">
        <f t="shared" si="174"/>
        <v>0</v>
      </c>
    </row>
    <row r="1561" spans="1:12" x14ac:dyDescent="0.25">
      <c r="A1561" s="1">
        <v>43350</v>
      </c>
      <c r="B1561">
        <v>6204.25</v>
      </c>
      <c r="C1561">
        <v>6225.3999020000001</v>
      </c>
      <c r="D1561">
        <v>6191.3999020000001</v>
      </c>
      <c r="E1561">
        <v>6201.8500979999999</v>
      </c>
      <c r="F1561" s="4">
        <f t="shared" si="169"/>
        <v>6057.1000979999999</v>
      </c>
      <c r="G1561" s="4">
        <f t="shared" si="170"/>
        <v>6217.8500979999999</v>
      </c>
      <c r="H1561" s="4">
        <f t="shared" si="171"/>
        <v>0</v>
      </c>
      <c r="I1561" s="4">
        <f t="shared" si="168"/>
        <v>1</v>
      </c>
      <c r="J1561" s="11">
        <f t="shared" si="172"/>
        <v>0</v>
      </c>
      <c r="K1561" s="6">
        <f t="shared" si="173"/>
        <v>6176.1000979999999</v>
      </c>
      <c r="L1561" s="4">
        <f t="shared" si="174"/>
        <v>0</v>
      </c>
    </row>
    <row r="1562" spans="1:12" x14ac:dyDescent="0.25">
      <c r="A1562" s="1">
        <v>43353</v>
      </c>
      <c r="B1562">
        <v>6187.9501950000003</v>
      </c>
      <c r="C1562">
        <v>6209.1499020000001</v>
      </c>
      <c r="D1562">
        <v>6149.8999020000001</v>
      </c>
      <c r="E1562">
        <v>6160.9501950000003</v>
      </c>
      <c r="F1562" s="4">
        <f t="shared" si="169"/>
        <v>6091.8500979999999</v>
      </c>
      <c r="G1562" s="4">
        <f t="shared" si="170"/>
        <v>6217.8500979999999</v>
      </c>
      <c r="H1562" s="4">
        <f t="shared" si="171"/>
        <v>0</v>
      </c>
      <c r="I1562" s="4">
        <f t="shared" si="168"/>
        <v>1</v>
      </c>
      <c r="J1562" s="11">
        <f t="shared" si="172"/>
        <v>0</v>
      </c>
      <c r="K1562" s="6">
        <f t="shared" si="173"/>
        <v>6176.1000979999999</v>
      </c>
      <c r="L1562" s="4">
        <f t="shared" si="174"/>
        <v>0</v>
      </c>
    </row>
    <row r="1563" spans="1:12" x14ac:dyDescent="0.25">
      <c r="A1563" s="1">
        <v>43354</v>
      </c>
      <c r="B1563">
        <v>6262.4501950000003</v>
      </c>
      <c r="C1563">
        <v>6300.5498049999997</v>
      </c>
      <c r="D1563">
        <v>6232</v>
      </c>
      <c r="E1563">
        <v>6241.1000979999999</v>
      </c>
      <c r="F1563" s="4">
        <f t="shared" si="169"/>
        <v>6160.9501950000003</v>
      </c>
      <c r="G1563" s="4">
        <f t="shared" si="170"/>
        <v>6241.1000979999999</v>
      </c>
      <c r="H1563" s="4" t="str">
        <f t="shared" si="171"/>
        <v>BUY</v>
      </c>
      <c r="I1563" s="4">
        <f t="shared" si="168"/>
        <v>1</v>
      </c>
      <c r="J1563" s="11">
        <f t="shared" si="172"/>
        <v>0</v>
      </c>
      <c r="K1563" s="6">
        <f t="shared" si="173"/>
        <v>6176.1000979999999</v>
      </c>
      <c r="L1563" s="4">
        <f t="shared" si="174"/>
        <v>0</v>
      </c>
    </row>
    <row r="1564" spans="1:12" x14ac:dyDescent="0.25">
      <c r="A1564" s="1">
        <v>43355</v>
      </c>
      <c r="B1564">
        <v>6234.3999020000001</v>
      </c>
      <c r="C1564">
        <v>6275.3500979999999</v>
      </c>
      <c r="D1564">
        <v>6230.75</v>
      </c>
      <c r="E1564">
        <v>6259.8999020000001</v>
      </c>
      <c r="F1564" s="4">
        <f t="shared" si="169"/>
        <v>6160.9501950000003</v>
      </c>
      <c r="G1564" s="4">
        <f t="shared" si="170"/>
        <v>6259.8999020000001</v>
      </c>
      <c r="H1564" s="4" t="str">
        <f t="shared" si="171"/>
        <v>BUY</v>
      </c>
      <c r="I1564" s="4">
        <f t="shared" si="168"/>
        <v>1</v>
      </c>
      <c r="J1564" s="11">
        <f t="shared" si="172"/>
        <v>0</v>
      </c>
      <c r="K1564" s="6">
        <f t="shared" si="173"/>
        <v>6176.1000979999999</v>
      </c>
      <c r="L1564" s="4">
        <f t="shared" si="174"/>
        <v>0</v>
      </c>
    </row>
    <row r="1565" spans="1:12" x14ac:dyDescent="0.25">
      <c r="A1565" s="1">
        <v>43356</v>
      </c>
      <c r="B1565">
        <v>6415</v>
      </c>
      <c r="C1565">
        <v>6415.25</v>
      </c>
      <c r="D1565">
        <v>6345</v>
      </c>
      <c r="E1565">
        <v>6363.8999020000001</v>
      </c>
      <c r="F1565" s="4">
        <f t="shared" si="169"/>
        <v>6160.9501950000003</v>
      </c>
      <c r="G1565" s="4">
        <f t="shared" si="170"/>
        <v>6363.8999020000001</v>
      </c>
      <c r="H1565" s="4" t="str">
        <f t="shared" si="171"/>
        <v>BUY</v>
      </c>
      <c r="I1565" s="4">
        <f t="shared" si="168"/>
        <v>1</v>
      </c>
      <c r="J1565" s="11">
        <f t="shared" si="172"/>
        <v>0</v>
      </c>
      <c r="K1565" s="6">
        <f t="shared" si="173"/>
        <v>6176.1000979999999</v>
      </c>
      <c r="L1565" s="4">
        <f t="shared" si="174"/>
        <v>0</v>
      </c>
    </row>
    <row r="1566" spans="1:12" x14ac:dyDescent="0.25">
      <c r="A1566" s="1">
        <v>43357</v>
      </c>
      <c r="B1566">
        <v>6354.7001950000003</v>
      </c>
      <c r="C1566">
        <v>6362.25</v>
      </c>
      <c r="D1566">
        <v>6307.5498049999997</v>
      </c>
      <c r="E1566">
        <v>6332.8500979999999</v>
      </c>
      <c r="F1566" s="4">
        <f t="shared" si="169"/>
        <v>6160.9501950000003</v>
      </c>
      <c r="G1566" s="4">
        <f t="shared" si="170"/>
        <v>6363.8999020000001</v>
      </c>
      <c r="H1566" s="4">
        <f t="shared" si="171"/>
        <v>0</v>
      </c>
      <c r="I1566" s="4">
        <f t="shared" si="168"/>
        <v>1</v>
      </c>
      <c r="J1566" s="11">
        <f t="shared" si="172"/>
        <v>0</v>
      </c>
      <c r="K1566" s="6">
        <f t="shared" si="173"/>
        <v>6176.1000979999999</v>
      </c>
      <c r="L1566" s="4">
        <f t="shared" si="174"/>
        <v>0</v>
      </c>
    </row>
    <row r="1567" spans="1:12" x14ac:dyDescent="0.25">
      <c r="A1567" s="1">
        <v>43360</v>
      </c>
      <c r="B1567">
        <v>6307.2001950000003</v>
      </c>
      <c r="C1567">
        <v>6326.6000979999999</v>
      </c>
      <c r="D1567">
        <v>6280.25</v>
      </c>
      <c r="E1567">
        <v>6307.8999020000001</v>
      </c>
      <c r="F1567" s="4">
        <f t="shared" si="169"/>
        <v>6241.1000979999999</v>
      </c>
      <c r="G1567" s="4">
        <f t="shared" si="170"/>
        <v>6363.8999020000001</v>
      </c>
      <c r="H1567" s="4">
        <f t="shared" si="171"/>
        <v>0</v>
      </c>
      <c r="I1567" s="4">
        <f t="shared" si="168"/>
        <v>1</v>
      </c>
      <c r="J1567" s="11">
        <f t="shared" si="172"/>
        <v>0</v>
      </c>
      <c r="K1567" s="6">
        <f t="shared" si="173"/>
        <v>6176.1000979999999</v>
      </c>
      <c r="L1567" s="4">
        <f t="shared" si="174"/>
        <v>0</v>
      </c>
    </row>
    <row r="1568" spans="1:12" x14ac:dyDescent="0.25">
      <c r="A1568" s="1">
        <v>43361</v>
      </c>
      <c r="B1568">
        <v>6276.75</v>
      </c>
      <c r="C1568">
        <v>6286.8500979999999</v>
      </c>
      <c r="D1568">
        <v>6230.5498049999997</v>
      </c>
      <c r="E1568">
        <v>6237.0498049999997</v>
      </c>
      <c r="F1568" s="4">
        <f t="shared" si="169"/>
        <v>6237.0498049999997</v>
      </c>
      <c r="G1568" s="4">
        <f t="shared" si="170"/>
        <v>6363.8999020000001</v>
      </c>
      <c r="H1568" s="4" t="str">
        <f t="shared" si="171"/>
        <v>SELL</v>
      </c>
      <c r="I1568" s="4">
        <f t="shared" si="168"/>
        <v>-1</v>
      </c>
      <c r="J1568" s="11" t="str">
        <f t="shared" si="172"/>
        <v>SELL</v>
      </c>
      <c r="K1568" s="6">
        <f t="shared" si="173"/>
        <v>6237.0498049999997</v>
      </c>
      <c r="L1568" s="4">
        <f t="shared" si="174"/>
        <v>9.8686397618032527E-3</v>
      </c>
    </row>
    <row r="1569" spans="1:12" x14ac:dyDescent="0.25">
      <c r="A1569" s="1">
        <v>43362</v>
      </c>
      <c r="B1569">
        <v>6201.2998049999997</v>
      </c>
      <c r="C1569">
        <v>6208.6000979999999</v>
      </c>
      <c r="D1569">
        <v>6161.3999020000001</v>
      </c>
      <c r="E1569">
        <v>6168.3999020000001</v>
      </c>
      <c r="F1569" s="4">
        <f t="shared" si="169"/>
        <v>6168.3999020000001</v>
      </c>
      <c r="G1569" s="4">
        <f t="shared" si="170"/>
        <v>6363.8999020000001</v>
      </c>
      <c r="H1569" s="4" t="str">
        <f t="shared" si="171"/>
        <v>SELL</v>
      </c>
      <c r="I1569" s="4">
        <f t="shared" si="168"/>
        <v>-1</v>
      </c>
      <c r="J1569" s="11">
        <f t="shared" si="172"/>
        <v>0</v>
      </c>
      <c r="K1569" s="6">
        <f t="shared" si="173"/>
        <v>6237.0498049999997</v>
      </c>
      <c r="L1569" s="4">
        <f t="shared" si="174"/>
        <v>0</v>
      </c>
    </row>
    <row r="1570" spans="1:12" x14ac:dyDescent="0.25">
      <c r="A1570" s="1">
        <v>43363</v>
      </c>
      <c r="B1570">
        <v>6168.3500979999999</v>
      </c>
      <c r="C1570">
        <v>6183.25</v>
      </c>
      <c r="D1570">
        <v>6146.0498049999997</v>
      </c>
      <c r="E1570">
        <v>6154.7001950000003</v>
      </c>
      <c r="F1570" s="4">
        <f t="shared" si="169"/>
        <v>6154.7001950000003</v>
      </c>
      <c r="G1570" s="4">
        <f t="shared" si="170"/>
        <v>6332.8500979999999</v>
      </c>
      <c r="H1570" s="4" t="str">
        <f t="shared" si="171"/>
        <v>SELL</v>
      </c>
      <c r="I1570" s="4">
        <f t="shared" si="168"/>
        <v>-1</v>
      </c>
      <c r="J1570" s="11">
        <f t="shared" si="172"/>
        <v>0</v>
      </c>
      <c r="K1570" s="6">
        <f t="shared" si="173"/>
        <v>6237.0498049999997</v>
      </c>
      <c r="L1570" s="4">
        <f t="shared" si="174"/>
        <v>0</v>
      </c>
    </row>
    <row r="1571" spans="1:12" x14ac:dyDescent="0.25">
      <c r="A1571" s="1">
        <v>43364</v>
      </c>
      <c r="B1571">
        <v>6178.2001950000003</v>
      </c>
      <c r="C1571">
        <v>6190.5498049999997</v>
      </c>
      <c r="D1571">
        <v>6133</v>
      </c>
      <c r="E1571">
        <v>6139.0498049999997</v>
      </c>
      <c r="F1571" s="4">
        <f t="shared" si="169"/>
        <v>6139.0498049999997</v>
      </c>
      <c r="G1571" s="4">
        <f t="shared" si="170"/>
        <v>6307.8999020000001</v>
      </c>
      <c r="H1571" s="4" t="str">
        <f t="shared" si="171"/>
        <v>SELL</v>
      </c>
      <c r="I1571" s="4">
        <f t="shared" si="168"/>
        <v>-1</v>
      </c>
      <c r="J1571" s="11">
        <f t="shared" si="172"/>
        <v>0</v>
      </c>
      <c r="K1571" s="6">
        <f t="shared" si="173"/>
        <v>6237.0498049999997</v>
      </c>
      <c r="L1571" s="4">
        <f t="shared" si="174"/>
        <v>0</v>
      </c>
    </row>
    <row r="1572" spans="1:12" x14ac:dyDescent="0.25">
      <c r="A1572" s="1">
        <v>43367</v>
      </c>
      <c r="B1572">
        <v>6129.9501950000003</v>
      </c>
      <c r="C1572">
        <v>6236</v>
      </c>
      <c r="D1572">
        <v>6129.9501950000003</v>
      </c>
      <c r="E1572">
        <v>6217.1499020000001</v>
      </c>
      <c r="F1572" s="4">
        <f t="shared" si="169"/>
        <v>6139.0498049999997</v>
      </c>
      <c r="G1572" s="4">
        <f t="shared" si="170"/>
        <v>6237.0498049999997</v>
      </c>
      <c r="H1572" s="4">
        <f t="shared" si="171"/>
        <v>0</v>
      </c>
      <c r="I1572" s="4">
        <f t="shared" si="168"/>
        <v>-1</v>
      </c>
      <c r="J1572" s="11">
        <f t="shared" si="172"/>
        <v>0</v>
      </c>
      <c r="K1572" s="6">
        <f t="shared" si="173"/>
        <v>6237.0498049999997</v>
      </c>
      <c r="L1572" s="4">
        <f t="shared" si="174"/>
        <v>0</v>
      </c>
    </row>
    <row r="1573" spans="1:12" x14ac:dyDescent="0.25">
      <c r="A1573" s="1">
        <v>43368</v>
      </c>
      <c r="B1573">
        <v>6253.8999020000001</v>
      </c>
      <c r="C1573">
        <v>6263.75</v>
      </c>
      <c r="D1573">
        <v>6150.7001950000003</v>
      </c>
      <c r="E1573">
        <v>6166.6499020000001</v>
      </c>
      <c r="F1573" s="4">
        <f t="shared" si="169"/>
        <v>6139.0498049999997</v>
      </c>
      <c r="G1573" s="4">
        <f t="shared" si="170"/>
        <v>6217.1499020000001</v>
      </c>
      <c r="H1573" s="4">
        <f t="shared" si="171"/>
        <v>0</v>
      </c>
      <c r="I1573" s="4">
        <f t="shared" si="168"/>
        <v>-1</v>
      </c>
      <c r="J1573" s="11">
        <f t="shared" si="172"/>
        <v>0</v>
      </c>
      <c r="K1573" s="6">
        <f t="shared" si="173"/>
        <v>6237.0498049999997</v>
      </c>
      <c r="L1573" s="4">
        <f t="shared" si="174"/>
        <v>0</v>
      </c>
    </row>
    <row r="1574" spans="1:12" x14ac:dyDescent="0.25">
      <c r="A1574" s="1">
        <v>43369</v>
      </c>
      <c r="B1574">
        <v>6179.9501950000003</v>
      </c>
      <c r="C1574">
        <v>6284.5</v>
      </c>
      <c r="D1574">
        <v>6170.3500979999999</v>
      </c>
      <c r="E1574">
        <v>6274.25</v>
      </c>
      <c r="F1574" s="4">
        <f t="shared" si="169"/>
        <v>6139.0498049999997</v>
      </c>
      <c r="G1574" s="4">
        <f t="shared" si="170"/>
        <v>6274.25</v>
      </c>
      <c r="H1574" s="4" t="str">
        <f t="shared" si="171"/>
        <v>BUY</v>
      </c>
      <c r="I1574" s="4">
        <f t="shared" si="168"/>
        <v>1</v>
      </c>
      <c r="J1574" s="11" t="str">
        <f t="shared" si="172"/>
        <v>BUY</v>
      </c>
      <c r="K1574" s="6">
        <f t="shared" si="173"/>
        <v>6274.25</v>
      </c>
      <c r="L1574" s="4">
        <f t="shared" si="174"/>
        <v>-5.9643896013429941E-3</v>
      </c>
    </row>
    <row r="1575" spans="1:12" x14ac:dyDescent="0.25">
      <c r="A1575" s="1">
        <v>43370</v>
      </c>
      <c r="B1575">
        <v>6267.2001950000003</v>
      </c>
      <c r="C1575">
        <v>6317.5</v>
      </c>
      <c r="D1575">
        <v>6266.9501950000003</v>
      </c>
      <c r="E1575">
        <v>6284.5</v>
      </c>
      <c r="F1575" s="4">
        <f t="shared" si="169"/>
        <v>6139.0498049999997</v>
      </c>
      <c r="G1575" s="4">
        <f t="shared" si="170"/>
        <v>6284.5</v>
      </c>
      <c r="H1575" s="4" t="str">
        <f t="shared" si="171"/>
        <v>BUY</v>
      </c>
      <c r="I1575" s="4">
        <f t="shared" si="168"/>
        <v>1</v>
      </c>
      <c r="J1575" s="11">
        <f t="shared" si="172"/>
        <v>0</v>
      </c>
      <c r="K1575" s="6">
        <f t="shared" si="173"/>
        <v>6274.25</v>
      </c>
      <c r="L1575" s="4">
        <f t="shared" si="174"/>
        <v>0</v>
      </c>
    </row>
    <row r="1576" spans="1:12" x14ac:dyDescent="0.25">
      <c r="A1576" s="1">
        <v>43371</v>
      </c>
      <c r="B1576">
        <v>6296.4501950000003</v>
      </c>
      <c r="C1576">
        <v>6301.5</v>
      </c>
      <c r="D1576">
        <v>6262</v>
      </c>
      <c r="E1576">
        <v>6268.3999020000001</v>
      </c>
      <c r="F1576" s="4">
        <f t="shared" si="169"/>
        <v>6166.6499020000001</v>
      </c>
      <c r="G1576" s="4">
        <f t="shared" si="170"/>
        <v>6284.5</v>
      </c>
      <c r="H1576" s="4">
        <f t="shared" si="171"/>
        <v>0</v>
      </c>
      <c r="I1576" s="4">
        <f t="shared" si="168"/>
        <v>1</v>
      </c>
      <c r="J1576" s="11">
        <f t="shared" si="172"/>
        <v>0</v>
      </c>
      <c r="K1576" s="6">
        <f t="shared" si="173"/>
        <v>6274.25</v>
      </c>
      <c r="L1576" s="4">
        <f t="shared" si="174"/>
        <v>0</v>
      </c>
    </row>
    <row r="1577" spans="1:12" x14ac:dyDescent="0.25">
      <c r="A1577" s="1">
        <v>43374</v>
      </c>
      <c r="B1577">
        <v>6270.1000979999999</v>
      </c>
      <c r="C1577">
        <v>6302.75</v>
      </c>
      <c r="D1577">
        <v>6259.4501950000003</v>
      </c>
      <c r="E1577">
        <v>6278.8999020000001</v>
      </c>
      <c r="F1577" s="4">
        <f t="shared" si="169"/>
        <v>6166.6499020000001</v>
      </c>
      <c r="G1577" s="4">
        <f t="shared" si="170"/>
        <v>6284.5</v>
      </c>
      <c r="H1577" s="4">
        <f t="shared" si="171"/>
        <v>0</v>
      </c>
      <c r="I1577" s="4">
        <f t="shared" si="168"/>
        <v>1</v>
      </c>
      <c r="J1577" s="11">
        <f t="shared" si="172"/>
        <v>0</v>
      </c>
      <c r="K1577" s="6">
        <f t="shared" si="173"/>
        <v>6274.25</v>
      </c>
      <c r="L1577" s="4">
        <f t="shared" si="174"/>
        <v>0</v>
      </c>
    </row>
    <row r="1578" spans="1:12" x14ac:dyDescent="0.25">
      <c r="A1578" s="1">
        <v>43375</v>
      </c>
      <c r="B1578">
        <v>6292.7998049999997</v>
      </c>
      <c r="C1578">
        <v>6324.8999020000001</v>
      </c>
      <c r="D1578">
        <v>6289.3999020000001</v>
      </c>
      <c r="E1578">
        <v>6313.7998049999997</v>
      </c>
      <c r="F1578" s="4">
        <f t="shared" si="169"/>
        <v>6268.3999020000001</v>
      </c>
      <c r="G1578" s="4">
        <f t="shared" si="170"/>
        <v>6313.7998049999997</v>
      </c>
      <c r="H1578" s="4" t="str">
        <f t="shared" si="171"/>
        <v>BUY</v>
      </c>
      <c r="I1578" s="4">
        <f t="shared" si="168"/>
        <v>1</v>
      </c>
      <c r="J1578" s="11">
        <f t="shared" si="172"/>
        <v>0</v>
      </c>
      <c r="K1578" s="6">
        <f t="shared" si="173"/>
        <v>6274.25</v>
      </c>
      <c r="L1578" s="4">
        <f t="shared" si="174"/>
        <v>0</v>
      </c>
    </row>
    <row r="1579" spans="1:12" x14ac:dyDescent="0.25">
      <c r="A1579" s="1">
        <v>43376</v>
      </c>
      <c r="B1579">
        <v>6336.3999020000001</v>
      </c>
      <c r="C1579">
        <v>6344.0498049999997</v>
      </c>
      <c r="D1579">
        <v>6273.1499020000001</v>
      </c>
      <c r="E1579">
        <v>6291.1000979999999</v>
      </c>
      <c r="F1579" s="4">
        <f t="shared" si="169"/>
        <v>6268.3999020000001</v>
      </c>
      <c r="G1579" s="4">
        <f t="shared" si="170"/>
        <v>6313.7998049999997</v>
      </c>
      <c r="H1579" s="4">
        <f t="shared" si="171"/>
        <v>0</v>
      </c>
      <c r="I1579" s="4">
        <f t="shared" si="168"/>
        <v>1</v>
      </c>
      <c r="J1579" s="11">
        <f t="shared" si="172"/>
        <v>0</v>
      </c>
      <c r="K1579" s="6">
        <f t="shared" si="173"/>
        <v>6274.25</v>
      </c>
      <c r="L1579" s="4">
        <f t="shared" si="174"/>
        <v>0</v>
      </c>
    </row>
    <row r="1580" spans="1:12" x14ac:dyDescent="0.25">
      <c r="A1580" s="1">
        <v>43377</v>
      </c>
      <c r="B1580">
        <v>6307.3500979999999</v>
      </c>
      <c r="C1580">
        <v>6317.2998049999997</v>
      </c>
      <c r="D1580">
        <v>6287.2998049999997</v>
      </c>
      <c r="E1580">
        <v>6304</v>
      </c>
      <c r="F1580" s="4">
        <f t="shared" si="169"/>
        <v>6268.3999020000001</v>
      </c>
      <c r="G1580" s="4">
        <f t="shared" si="170"/>
        <v>6313.7998049999997</v>
      </c>
      <c r="H1580" s="4">
        <f t="shared" si="171"/>
        <v>0</v>
      </c>
      <c r="I1580" s="4">
        <f t="shared" si="168"/>
        <v>1</v>
      </c>
      <c r="J1580" s="11">
        <f t="shared" si="172"/>
        <v>0</v>
      </c>
      <c r="K1580" s="6">
        <f t="shared" si="173"/>
        <v>6274.25</v>
      </c>
      <c r="L1580" s="4">
        <f t="shared" si="174"/>
        <v>0</v>
      </c>
    </row>
    <row r="1581" spans="1:12" x14ac:dyDescent="0.25">
      <c r="A1581" s="1">
        <v>43378</v>
      </c>
      <c r="B1581">
        <v>6301.25</v>
      </c>
      <c r="C1581">
        <v>6358.2998049999997</v>
      </c>
      <c r="D1581">
        <v>6211.2998049999997</v>
      </c>
      <c r="E1581">
        <v>6221.1499020000001</v>
      </c>
      <c r="F1581" s="4">
        <f t="shared" si="169"/>
        <v>6221.1499020000001</v>
      </c>
      <c r="G1581" s="4">
        <f t="shared" si="170"/>
        <v>6313.7998049999997</v>
      </c>
      <c r="H1581" s="4" t="str">
        <f t="shared" si="171"/>
        <v>SELL</v>
      </c>
      <c r="I1581" s="4">
        <f t="shared" si="168"/>
        <v>-1</v>
      </c>
      <c r="J1581" s="11" t="str">
        <f t="shared" si="172"/>
        <v>SELL</v>
      </c>
      <c r="K1581" s="6">
        <f t="shared" si="173"/>
        <v>6221.1499020000001</v>
      </c>
      <c r="L1581" s="4">
        <f t="shared" si="174"/>
        <v>-8.4631785472367039E-3</v>
      </c>
    </row>
    <row r="1582" spans="1:12" x14ac:dyDescent="0.25">
      <c r="A1582" s="1">
        <v>43381</v>
      </c>
      <c r="B1582">
        <v>6194.5498049999997</v>
      </c>
      <c r="C1582">
        <v>6221.7001950000003</v>
      </c>
      <c r="D1582">
        <v>6171.25</v>
      </c>
      <c r="E1582">
        <v>6211.1499020000001</v>
      </c>
      <c r="F1582" s="4">
        <f t="shared" si="169"/>
        <v>6211.1499020000001</v>
      </c>
      <c r="G1582" s="4">
        <f t="shared" si="170"/>
        <v>6313.7998049999997</v>
      </c>
      <c r="H1582" s="4" t="str">
        <f t="shared" si="171"/>
        <v>SELL</v>
      </c>
      <c r="I1582" s="4">
        <f t="shared" si="168"/>
        <v>-1</v>
      </c>
      <c r="J1582" s="11">
        <f t="shared" si="172"/>
        <v>0</v>
      </c>
      <c r="K1582" s="6">
        <f t="shared" si="173"/>
        <v>6221.1499020000001</v>
      </c>
      <c r="L1582" s="4">
        <f t="shared" si="174"/>
        <v>0</v>
      </c>
    </row>
    <row r="1583" spans="1:12" x14ac:dyDescent="0.25">
      <c r="A1583" s="1">
        <v>43382</v>
      </c>
      <c r="B1583">
        <v>6220.8500979999999</v>
      </c>
      <c r="C1583">
        <v>6224.7001950000003</v>
      </c>
      <c r="D1583">
        <v>6170.25</v>
      </c>
      <c r="E1583">
        <v>6191.4501950000003</v>
      </c>
      <c r="F1583" s="4">
        <f t="shared" si="169"/>
        <v>6191.4501950000003</v>
      </c>
      <c r="G1583" s="4">
        <f t="shared" si="170"/>
        <v>6304</v>
      </c>
      <c r="H1583" s="4" t="str">
        <f t="shared" si="171"/>
        <v>SELL</v>
      </c>
      <c r="I1583" s="4">
        <f t="shared" si="168"/>
        <v>-1</v>
      </c>
      <c r="J1583" s="11">
        <f t="shared" si="172"/>
        <v>0</v>
      </c>
      <c r="K1583" s="6">
        <f t="shared" si="173"/>
        <v>6221.1499020000001</v>
      </c>
      <c r="L1583" s="4">
        <f t="shared" si="174"/>
        <v>0</v>
      </c>
    </row>
    <row r="1584" spans="1:12" x14ac:dyDescent="0.25">
      <c r="A1584" s="1">
        <v>43383</v>
      </c>
      <c r="B1584">
        <v>6203.8999020000001</v>
      </c>
      <c r="C1584">
        <v>6221.5</v>
      </c>
      <c r="D1584">
        <v>6144.75</v>
      </c>
      <c r="E1584">
        <v>6162.25</v>
      </c>
      <c r="F1584" s="4">
        <f t="shared" si="169"/>
        <v>6162.25</v>
      </c>
      <c r="G1584" s="4">
        <f t="shared" si="170"/>
        <v>6304</v>
      </c>
      <c r="H1584" s="4" t="str">
        <f t="shared" si="171"/>
        <v>SELL</v>
      </c>
      <c r="I1584" s="4">
        <f t="shared" si="168"/>
        <v>-1</v>
      </c>
      <c r="J1584" s="11">
        <f t="shared" si="172"/>
        <v>0</v>
      </c>
      <c r="K1584" s="6">
        <f t="shared" si="173"/>
        <v>6221.1499020000001</v>
      </c>
      <c r="L1584" s="4">
        <f t="shared" si="174"/>
        <v>0</v>
      </c>
    </row>
    <row r="1585" spans="1:12" x14ac:dyDescent="0.25">
      <c r="A1585" s="1">
        <v>43384</v>
      </c>
      <c r="B1585">
        <v>6178.0498049999997</v>
      </c>
      <c r="C1585">
        <v>6192.1000979999999</v>
      </c>
      <c r="D1585">
        <v>6160.3500979999999</v>
      </c>
      <c r="E1585">
        <v>6174.6000979999999</v>
      </c>
      <c r="F1585" s="4">
        <f t="shared" si="169"/>
        <v>6162.25</v>
      </c>
      <c r="G1585" s="4">
        <f t="shared" si="170"/>
        <v>6221.1499020000001</v>
      </c>
      <c r="H1585" s="4">
        <f t="shared" si="171"/>
        <v>0</v>
      </c>
      <c r="I1585" s="4">
        <f t="shared" si="168"/>
        <v>-1</v>
      </c>
      <c r="J1585" s="11">
        <f t="shared" si="172"/>
        <v>0</v>
      </c>
      <c r="K1585" s="6">
        <f t="shared" si="173"/>
        <v>6221.1499020000001</v>
      </c>
      <c r="L1585" s="4">
        <f t="shared" si="174"/>
        <v>0</v>
      </c>
    </row>
    <row r="1586" spans="1:12" x14ac:dyDescent="0.25">
      <c r="A1586" s="1">
        <v>43385</v>
      </c>
      <c r="B1586">
        <v>6181.7001950000003</v>
      </c>
      <c r="C1586">
        <v>6188.0498049999997</v>
      </c>
      <c r="D1586">
        <v>6148.25</v>
      </c>
      <c r="E1586">
        <v>6168.3500979999999</v>
      </c>
      <c r="F1586" s="4">
        <f t="shared" si="169"/>
        <v>6162.25</v>
      </c>
      <c r="G1586" s="4">
        <f t="shared" si="170"/>
        <v>6211.1499020000001</v>
      </c>
      <c r="H1586" s="4">
        <f t="shared" si="171"/>
        <v>0</v>
      </c>
      <c r="I1586" s="4">
        <f t="shared" si="168"/>
        <v>-1</v>
      </c>
      <c r="J1586" s="11">
        <f t="shared" si="172"/>
        <v>0</v>
      </c>
      <c r="K1586" s="6">
        <f t="shared" si="173"/>
        <v>6221.1499020000001</v>
      </c>
      <c r="L1586" s="4">
        <f t="shared" si="174"/>
        <v>0</v>
      </c>
    </row>
    <row r="1587" spans="1:12" x14ac:dyDescent="0.25">
      <c r="A1587" s="1">
        <v>43388</v>
      </c>
      <c r="B1587">
        <v>6178.8500979999999</v>
      </c>
      <c r="C1587">
        <v>6239.1000979999999</v>
      </c>
      <c r="D1587">
        <v>6139.6000979999999</v>
      </c>
      <c r="E1587">
        <v>6171.4501950000003</v>
      </c>
      <c r="F1587" s="4">
        <f t="shared" si="169"/>
        <v>6162.25</v>
      </c>
      <c r="G1587" s="4">
        <f t="shared" si="170"/>
        <v>6191.4501950000003</v>
      </c>
      <c r="H1587" s="4">
        <f t="shared" si="171"/>
        <v>0</v>
      </c>
      <c r="I1587" s="4">
        <f t="shared" si="168"/>
        <v>-1</v>
      </c>
      <c r="J1587" s="11">
        <f t="shared" si="172"/>
        <v>0</v>
      </c>
      <c r="K1587" s="6">
        <f t="shared" si="173"/>
        <v>6221.1499020000001</v>
      </c>
      <c r="L1587" s="4">
        <f t="shared" si="174"/>
        <v>0</v>
      </c>
    </row>
    <row r="1588" spans="1:12" x14ac:dyDescent="0.25">
      <c r="A1588" s="1">
        <v>43389</v>
      </c>
      <c r="B1588">
        <v>6189.5498049999997</v>
      </c>
      <c r="C1588">
        <v>6288.2001950000003</v>
      </c>
      <c r="D1588">
        <v>6189.5498049999997</v>
      </c>
      <c r="E1588">
        <v>6272.75</v>
      </c>
      <c r="F1588" s="4">
        <f t="shared" si="169"/>
        <v>6162.25</v>
      </c>
      <c r="G1588" s="4">
        <f t="shared" si="170"/>
        <v>6272.75</v>
      </c>
      <c r="H1588" s="4" t="str">
        <f t="shared" si="171"/>
        <v>BUY</v>
      </c>
      <c r="I1588" s="4">
        <f t="shared" si="168"/>
        <v>1</v>
      </c>
      <c r="J1588" s="11" t="str">
        <f t="shared" si="172"/>
        <v>BUY</v>
      </c>
      <c r="K1588" s="6">
        <f t="shared" si="173"/>
        <v>6272.75</v>
      </c>
      <c r="L1588" s="4">
        <f t="shared" si="174"/>
        <v>-8.2943023095153647E-3</v>
      </c>
    </row>
    <row r="1589" spans="1:12" x14ac:dyDescent="0.25">
      <c r="A1589" s="1">
        <v>43390</v>
      </c>
      <c r="B1589">
        <v>6260.25</v>
      </c>
      <c r="C1589">
        <v>6280.3500979999999</v>
      </c>
      <c r="D1589">
        <v>6234.1499020000001</v>
      </c>
      <c r="E1589">
        <v>6241.8500979999999</v>
      </c>
      <c r="F1589" s="4">
        <f t="shared" si="169"/>
        <v>6168.3500979999999</v>
      </c>
      <c r="G1589" s="4">
        <f t="shared" si="170"/>
        <v>6272.75</v>
      </c>
      <c r="H1589" s="4">
        <f t="shared" si="171"/>
        <v>0</v>
      </c>
      <c r="I1589" s="4">
        <f t="shared" si="168"/>
        <v>1</v>
      </c>
      <c r="J1589" s="11">
        <f t="shared" si="172"/>
        <v>0</v>
      </c>
      <c r="K1589" s="6">
        <f t="shared" si="173"/>
        <v>6272.75</v>
      </c>
      <c r="L1589" s="4">
        <f t="shared" si="174"/>
        <v>0</v>
      </c>
    </row>
    <row r="1590" spans="1:12" x14ac:dyDescent="0.25">
      <c r="A1590" s="1">
        <v>43391</v>
      </c>
      <c r="B1590">
        <v>6265.9501950000003</v>
      </c>
      <c r="C1590">
        <v>6325.2001950000003</v>
      </c>
      <c r="D1590">
        <v>6265.2998049999997</v>
      </c>
      <c r="E1590">
        <v>6320.8999020000001</v>
      </c>
      <c r="F1590" s="4">
        <f t="shared" si="169"/>
        <v>6168.3500979999999</v>
      </c>
      <c r="G1590" s="4">
        <f t="shared" si="170"/>
        <v>6320.8999020000001</v>
      </c>
      <c r="H1590" s="4" t="str">
        <f t="shared" si="171"/>
        <v>BUY</v>
      </c>
      <c r="I1590" s="4">
        <f t="shared" si="168"/>
        <v>1</v>
      </c>
      <c r="J1590" s="11">
        <f t="shared" si="172"/>
        <v>0</v>
      </c>
      <c r="K1590" s="6">
        <f t="shared" si="173"/>
        <v>6272.75</v>
      </c>
      <c r="L1590" s="4">
        <f t="shared" si="174"/>
        <v>0</v>
      </c>
    </row>
    <row r="1591" spans="1:12" x14ac:dyDescent="0.25">
      <c r="A1591" s="1">
        <v>43392</v>
      </c>
      <c r="B1591">
        <v>6341.3500979999999</v>
      </c>
      <c r="C1591">
        <v>6346.5</v>
      </c>
      <c r="D1591">
        <v>6299.8500979999999</v>
      </c>
      <c r="E1591">
        <v>6318.8999020000001</v>
      </c>
      <c r="F1591" s="4">
        <f t="shared" si="169"/>
        <v>6171.4501950000003</v>
      </c>
      <c r="G1591" s="4">
        <f t="shared" si="170"/>
        <v>6320.8999020000001</v>
      </c>
      <c r="H1591" s="4">
        <f t="shared" si="171"/>
        <v>0</v>
      </c>
      <c r="I1591" s="4">
        <f t="shared" si="168"/>
        <v>1</v>
      </c>
      <c r="J1591" s="11">
        <f t="shared" si="172"/>
        <v>0</v>
      </c>
      <c r="K1591" s="6">
        <f t="shared" si="173"/>
        <v>6272.75</v>
      </c>
      <c r="L1591" s="4">
        <f t="shared" si="174"/>
        <v>0</v>
      </c>
    </row>
    <row r="1592" spans="1:12" x14ac:dyDescent="0.25">
      <c r="A1592" s="1">
        <v>43395</v>
      </c>
      <c r="B1592">
        <v>6306.25</v>
      </c>
      <c r="C1592">
        <v>6327.1000979999999</v>
      </c>
      <c r="D1592">
        <v>6246.3500979999999</v>
      </c>
      <c r="E1592">
        <v>6261.6499020000001</v>
      </c>
      <c r="F1592" s="4">
        <f t="shared" si="169"/>
        <v>6241.8500979999999</v>
      </c>
      <c r="G1592" s="4">
        <f t="shared" si="170"/>
        <v>6320.8999020000001</v>
      </c>
      <c r="H1592" s="4">
        <f t="shared" si="171"/>
        <v>0</v>
      </c>
      <c r="I1592" s="4">
        <f t="shared" si="168"/>
        <v>1</v>
      </c>
      <c r="J1592" s="11">
        <f t="shared" si="172"/>
        <v>0</v>
      </c>
      <c r="K1592" s="6">
        <f t="shared" si="173"/>
        <v>6272.75</v>
      </c>
      <c r="L1592" s="4">
        <f t="shared" si="174"/>
        <v>0</v>
      </c>
    </row>
    <row r="1593" spans="1:12" x14ac:dyDescent="0.25">
      <c r="A1593" s="1">
        <v>43396</v>
      </c>
      <c r="B1593">
        <v>6261.75</v>
      </c>
      <c r="C1593">
        <v>6307.4501950000003</v>
      </c>
      <c r="D1593">
        <v>6243.3500979999999</v>
      </c>
      <c r="E1593">
        <v>6303.9501950000003</v>
      </c>
      <c r="F1593" s="4">
        <f t="shared" si="169"/>
        <v>6241.8500979999999</v>
      </c>
      <c r="G1593" s="4">
        <f t="shared" si="170"/>
        <v>6320.8999020000001</v>
      </c>
      <c r="H1593" s="4">
        <f t="shared" si="171"/>
        <v>0</v>
      </c>
      <c r="I1593" s="4">
        <f t="shared" si="168"/>
        <v>1</v>
      </c>
      <c r="J1593" s="11">
        <f t="shared" si="172"/>
        <v>0</v>
      </c>
      <c r="K1593" s="6">
        <f t="shared" si="173"/>
        <v>6272.75</v>
      </c>
      <c r="L1593" s="4">
        <f t="shared" si="174"/>
        <v>0</v>
      </c>
    </row>
    <row r="1594" spans="1:12" x14ac:dyDescent="0.25">
      <c r="A1594" s="1">
        <v>43397</v>
      </c>
      <c r="B1594">
        <v>6320.1499020000001</v>
      </c>
      <c r="C1594">
        <v>6330.2998049999997</v>
      </c>
      <c r="D1594">
        <v>6297.8999020000001</v>
      </c>
      <c r="E1594">
        <v>6313.7998049999997</v>
      </c>
      <c r="F1594" s="4">
        <f t="shared" si="169"/>
        <v>6261.6499020000001</v>
      </c>
      <c r="G1594" s="4">
        <f t="shared" si="170"/>
        <v>6320.8999020000001</v>
      </c>
      <c r="H1594" s="4">
        <f t="shared" si="171"/>
        <v>0</v>
      </c>
      <c r="I1594" s="4">
        <f t="shared" si="168"/>
        <v>1</v>
      </c>
      <c r="J1594" s="11">
        <f t="shared" si="172"/>
        <v>0</v>
      </c>
      <c r="K1594" s="6">
        <f t="shared" si="173"/>
        <v>6272.75</v>
      </c>
      <c r="L1594" s="4">
        <f t="shared" si="174"/>
        <v>0</v>
      </c>
    </row>
    <row r="1595" spans="1:12" x14ac:dyDescent="0.25">
      <c r="A1595" s="1">
        <v>43398</v>
      </c>
      <c r="B1595">
        <v>6309.0498049999997</v>
      </c>
      <c r="C1595">
        <v>6349.9501950000003</v>
      </c>
      <c r="D1595">
        <v>6287.4501950000003</v>
      </c>
      <c r="E1595">
        <v>6338.9501950000003</v>
      </c>
      <c r="F1595" s="4">
        <f t="shared" si="169"/>
        <v>6261.6499020000001</v>
      </c>
      <c r="G1595" s="4">
        <f t="shared" si="170"/>
        <v>6338.9501950000003</v>
      </c>
      <c r="H1595" s="4" t="str">
        <f t="shared" si="171"/>
        <v>BUY</v>
      </c>
      <c r="I1595" s="4">
        <f t="shared" si="168"/>
        <v>1</v>
      </c>
      <c r="J1595" s="11">
        <f t="shared" si="172"/>
        <v>0</v>
      </c>
      <c r="K1595" s="6">
        <f t="shared" si="173"/>
        <v>6272.75</v>
      </c>
      <c r="L1595" s="4">
        <f t="shared" si="174"/>
        <v>0</v>
      </c>
    </row>
    <row r="1596" spans="1:12" x14ac:dyDescent="0.25">
      <c r="A1596" s="1">
        <v>43399</v>
      </c>
      <c r="B1596">
        <v>6325.9501950000003</v>
      </c>
      <c r="C1596">
        <v>6355.6000979999999</v>
      </c>
      <c r="D1596">
        <v>6316.3999020000001</v>
      </c>
      <c r="E1596">
        <v>6345.6499020000001</v>
      </c>
      <c r="F1596" s="4">
        <f t="shared" si="169"/>
        <v>6261.6499020000001</v>
      </c>
      <c r="G1596" s="4">
        <f t="shared" si="170"/>
        <v>6345.6499020000001</v>
      </c>
      <c r="H1596" s="4" t="str">
        <f t="shared" si="171"/>
        <v>BUY</v>
      </c>
      <c r="I1596" s="4">
        <f t="shared" si="168"/>
        <v>1</v>
      </c>
      <c r="J1596" s="11">
        <f t="shared" si="172"/>
        <v>0</v>
      </c>
      <c r="K1596" s="6">
        <f t="shared" si="173"/>
        <v>6272.75</v>
      </c>
      <c r="L1596" s="4">
        <f t="shared" si="174"/>
        <v>0</v>
      </c>
    </row>
    <row r="1597" spans="1:12" x14ac:dyDescent="0.25">
      <c r="A1597" s="1">
        <v>43402</v>
      </c>
      <c r="B1597">
        <v>6301.6499020000001</v>
      </c>
      <c r="C1597">
        <v>6331.4501950000003</v>
      </c>
      <c r="D1597">
        <v>6263.8999020000001</v>
      </c>
      <c r="E1597">
        <v>6266.75</v>
      </c>
      <c r="F1597" s="4">
        <f t="shared" si="169"/>
        <v>6266.75</v>
      </c>
      <c r="G1597" s="4">
        <f t="shared" si="170"/>
        <v>6345.6499020000001</v>
      </c>
      <c r="H1597" s="4">
        <f t="shared" si="171"/>
        <v>0</v>
      </c>
      <c r="I1597" s="4">
        <f t="shared" si="168"/>
        <v>1</v>
      </c>
      <c r="J1597" s="11">
        <f t="shared" si="172"/>
        <v>0</v>
      </c>
      <c r="K1597" s="6">
        <f t="shared" si="173"/>
        <v>6272.75</v>
      </c>
      <c r="L1597" s="4">
        <f t="shared" si="174"/>
        <v>0</v>
      </c>
    </row>
    <row r="1598" spans="1:12" x14ac:dyDescent="0.25">
      <c r="A1598" s="1">
        <v>43403</v>
      </c>
      <c r="B1598">
        <v>6186.2998049999997</v>
      </c>
      <c r="C1598">
        <v>6188.5498049999997</v>
      </c>
      <c r="D1598">
        <v>6130.25</v>
      </c>
      <c r="E1598">
        <v>6135.8500979999999</v>
      </c>
      <c r="F1598" s="4">
        <f t="shared" si="169"/>
        <v>6135.8500979999999</v>
      </c>
      <c r="G1598" s="4">
        <f t="shared" si="170"/>
        <v>6345.6499020000001</v>
      </c>
      <c r="H1598" s="4" t="str">
        <f t="shared" si="171"/>
        <v>SELL</v>
      </c>
      <c r="I1598" s="4">
        <f t="shared" si="168"/>
        <v>-1</v>
      </c>
      <c r="J1598" s="11" t="str">
        <f t="shared" si="172"/>
        <v>SELL</v>
      </c>
      <c r="K1598" s="6">
        <f t="shared" si="173"/>
        <v>6135.8500979999999</v>
      </c>
      <c r="L1598" s="4">
        <f t="shared" si="174"/>
        <v>-2.1824542983539932E-2</v>
      </c>
    </row>
    <row r="1599" spans="1:12" x14ac:dyDescent="0.25">
      <c r="A1599" s="1">
        <v>43404</v>
      </c>
      <c r="B1599">
        <v>6131.8500979999999</v>
      </c>
      <c r="C1599">
        <v>6163.6000979999999</v>
      </c>
      <c r="D1599">
        <v>6085.9501950000003</v>
      </c>
      <c r="E1599">
        <v>6126.25</v>
      </c>
      <c r="F1599" s="4">
        <f t="shared" si="169"/>
        <v>6126.25</v>
      </c>
      <c r="G1599" s="4">
        <f t="shared" si="170"/>
        <v>6345.6499020000001</v>
      </c>
      <c r="H1599" s="4" t="str">
        <f t="shared" si="171"/>
        <v>SELL</v>
      </c>
      <c r="I1599" s="4">
        <f t="shared" si="168"/>
        <v>-1</v>
      </c>
      <c r="J1599" s="11">
        <f t="shared" si="172"/>
        <v>0</v>
      </c>
      <c r="K1599" s="6">
        <f t="shared" si="173"/>
        <v>6135.8500979999999</v>
      </c>
      <c r="L1599" s="4">
        <f t="shared" si="174"/>
        <v>0</v>
      </c>
    </row>
    <row r="1600" spans="1:12" x14ac:dyDescent="0.25">
      <c r="A1600" s="1">
        <v>43405</v>
      </c>
      <c r="B1600">
        <v>6161</v>
      </c>
      <c r="C1600">
        <v>6170.4501950000003</v>
      </c>
      <c r="D1600">
        <v>6109.7998049999997</v>
      </c>
      <c r="E1600">
        <v>6120.25</v>
      </c>
      <c r="F1600" s="4">
        <f t="shared" si="169"/>
        <v>6120.25</v>
      </c>
      <c r="G1600" s="4">
        <f t="shared" si="170"/>
        <v>6345.6499020000001</v>
      </c>
      <c r="H1600" s="4" t="str">
        <f t="shared" si="171"/>
        <v>SELL</v>
      </c>
      <c r="I1600" s="4">
        <f t="shared" si="168"/>
        <v>-1</v>
      </c>
      <c r="J1600" s="11">
        <f t="shared" si="172"/>
        <v>0</v>
      </c>
      <c r="K1600" s="6">
        <f t="shared" si="173"/>
        <v>6135.8500979999999</v>
      </c>
      <c r="L1600" s="4">
        <f t="shared" si="174"/>
        <v>0</v>
      </c>
    </row>
    <row r="1601" spans="1:12" x14ac:dyDescent="0.25">
      <c r="A1601" s="1">
        <v>43406</v>
      </c>
      <c r="B1601">
        <v>6067</v>
      </c>
      <c r="C1601">
        <v>6082.8500979999999</v>
      </c>
      <c r="D1601">
        <v>6027.25</v>
      </c>
      <c r="E1601">
        <v>6073.7001950000003</v>
      </c>
      <c r="F1601" s="4">
        <f t="shared" si="169"/>
        <v>6073.7001950000003</v>
      </c>
      <c r="G1601" s="4">
        <f t="shared" si="170"/>
        <v>6266.75</v>
      </c>
      <c r="H1601" s="4" t="str">
        <f t="shared" si="171"/>
        <v>SELL</v>
      </c>
      <c r="I1601" s="4">
        <f t="shared" si="168"/>
        <v>-1</v>
      </c>
      <c r="J1601" s="11">
        <f t="shared" si="172"/>
        <v>0</v>
      </c>
      <c r="K1601" s="6">
        <f t="shared" si="173"/>
        <v>6135.8500979999999</v>
      </c>
      <c r="L1601" s="4">
        <f t="shared" si="174"/>
        <v>0</v>
      </c>
    </row>
    <row r="1602" spans="1:12" x14ac:dyDescent="0.25">
      <c r="A1602" s="1">
        <v>43409</v>
      </c>
      <c r="B1602">
        <v>6082.75</v>
      </c>
      <c r="C1602">
        <v>6097.8500979999999</v>
      </c>
      <c r="D1602">
        <v>6067.3500979999999</v>
      </c>
      <c r="E1602">
        <v>6089.5</v>
      </c>
      <c r="F1602" s="4">
        <f t="shared" si="169"/>
        <v>6073.7001950000003</v>
      </c>
      <c r="G1602" s="4">
        <f t="shared" si="170"/>
        <v>6135.8500979999999</v>
      </c>
      <c r="H1602" s="4">
        <f t="shared" si="171"/>
        <v>0</v>
      </c>
      <c r="I1602" s="4">
        <f t="shared" si="168"/>
        <v>-1</v>
      </c>
      <c r="J1602" s="11">
        <f t="shared" si="172"/>
        <v>0</v>
      </c>
      <c r="K1602" s="6">
        <f t="shared" si="173"/>
        <v>6135.8500979999999</v>
      </c>
      <c r="L1602" s="4">
        <f t="shared" si="174"/>
        <v>0</v>
      </c>
    </row>
    <row r="1603" spans="1:12" x14ac:dyDescent="0.25">
      <c r="A1603" s="1">
        <v>43410</v>
      </c>
      <c r="B1603">
        <v>6058.7998049999997</v>
      </c>
      <c r="C1603">
        <v>6074.8500979999999</v>
      </c>
      <c r="D1603">
        <v>5994.4501950000003</v>
      </c>
      <c r="E1603">
        <v>6001.7998049999997</v>
      </c>
      <c r="F1603" s="4">
        <f t="shared" si="169"/>
        <v>6001.7998049999997</v>
      </c>
      <c r="G1603" s="4">
        <f t="shared" si="170"/>
        <v>6126.25</v>
      </c>
      <c r="H1603" s="4" t="str">
        <f t="shared" si="171"/>
        <v>SELL</v>
      </c>
      <c r="I1603" s="4">
        <f t="shared" si="168"/>
        <v>-1</v>
      </c>
      <c r="J1603" s="11">
        <f t="shared" si="172"/>
        <v>0</v>
      </c>
      <c r="K1603" s="6">
        <f t="shared" si="173"/>
        <v>6135.8500979999999</v>
      </c>
      <c r="L1603" s="4">
        <f t="shared" si="174"/>
        <v>0</v>
      </c>
    </row>
    <row r="1604" spans="1:12" x14ac:dyDescent="0.25">
      <c r="A1604" s="1">
        <v>43411</v>
      </c>
      <c r="B1604">
        <v>5947.6000979999999</v>
      </c>
      <c r="C1604">
        <v>6017.7998049999997</v>
      </c>
      <c r="D1604">
        <v>5933.2998049999997</v>
      </c>
      <c r="E1604">
        <v>6000.8999020000001</v>
      </c>
      <c r="F1604" s="4">
        <f t="shared" si="169"/>
        <v>6000.8999020000001</v>
      </c>
      <c r="G1604" s="4">
        <f t="shared" si="170"/>
        <v>6120.25</v>
      </c>
      <c r="H1604" s="4" t="str">
        <f t="shared" si="171"/>
        <v>SELL</v>
      </c>
      <c r="I1604" s="4">
        <f t="shared" si="168"/>
        <v>-1</v>
      </c>
      <c r="J1604" s="11">
        <f t="shared" si="172"/>
        <v>0</v>
      </c>
      <c r="K1604" s="6">
        <f t="shared" si="173"/>
        <v>6135.8500979999999</v>
      </c>
      <c r="L1604" s="4">
        <f t="shared" si="174"/>
        <v>0</v>
      </c>
    </row>
    <row r="1605" spans="1:12" x14ac:dyDescent="0.25">
      <c r="A1605" s="1">
        <v>43412</v>
      </c>
      <c r="B1605">
        <v>6004.25</v>
      </c>
      <c r="C1605">
        <v>6028.0498049999997</v>
      </c>
      <c r="D1605">
        <v>5962.0498049999997</v>
      </c>
      <c r="E1605">
        <v>6022.3999020000001</v>
      </c>
      <c r="F1605" s="4">
        <f t="shared" si="169"/>
        <v>6000.8999020000001</v>
      </c>
      <c r="G1605" s="4">
        <f t="shared" si="170"/>
        <v>6089.5</v>
      </c>
      <c r="H1605" s="4">
        <f t="shared" si="171"/>
        <v>0</v>
      </c>
      <c r="I1605" s="4">
        <f t="shared" si="168"/>
        <v>-1</v>
      </c>
      <c r="J1605" s="11">
        <f t="shared" si="172"/>
        <v>0</v>
      </c>
      <c r="K1605" s="6">
        <f t="shared" si="173"/>
        <v>6135.8500979999999</v>
      </c>
      <c r="L1605" s="4">
        <f t="shared" si="174"/>
        <v>0</v>
      </c>
    </row>
    <row r="1606" spans="1:12" x14ac:dyDescent="0.25">
      <c r="A1606" s="1">
        <v>43413</v>
      </c>
      <c r="B1606">
        <v>6028.3500979999999</v>
      </c>
      <c r="C1606">
        <v>6048.3500979999999</v>
      </c>
      <c r="D1606">
        <v>5965.3999020000001</v>
      </c>
      <c r="E1606">
        <v>6036.2998049999997</v>
      </c>
      <c r="F1606" s="4">
        <f t="shared" si="169"/>
        <v>6000.8999020000001</v>
      </c>
      <c r="G1606" s="4">
        <f t="shared" si="170"/>
        <v>6089.5</v>
      </c>
      <c r="H1606" s="4">
        <f t="shared" si="171"/>
        <v>0</v>
      </c>
      <c r="I1606" s="4">
        <f t="shared" ref="I1606:I1669" si="175">IF(AND(H1606="BUY",I1605&lt;&gt;1),1,IF(AND(H1606="SELL",I1605&lt;&gt;-1),-1,I1605))</f>
        <v>-1</v>
      </c>
      <c r="J1606" s="11">
        <f t="shared" si="172"/>
        <v>0</v>
      </c>
      <c r="K1606" s="6">
        <f t="shared" si="173"/>
        <v>6135.8500979999999</v>
      </c>
      <c r="L1606" s="4">
        <f t="shared" si="174"/>
        <v>0</v>
      </c>
    </row>
    <row r="1607" spans="1:12" x14ac:dyDescent="0.25">
      <c r="A1607" s="1">
        <v>43416</v>
      </c>
      <c r="B1607">
        <v>6077.6499020000001</v>
      </c>
      <c r="C1607">
        <v>6079.9501950000003</v>
      </c>
      <c r="D1607">
        <v>6030.8999020000001</v>
      </c>
      <c r="E1607">
        <v>6063.2001950000003</v>
      </c>
      <c r="F1607" s="4">
        <f t="shared" ref="F1607:F1670" si="176">MIN(E1603:E1607)</f>
        <v>6000.8999020000001</v>
      </c>
      <c r="G1607" s="4">
        <f t="shared" ref="G1607:G1670" si="177">MAX(E1603:E1607)</f>
        <v>6063.2001950000003</v>
      </c>
      <c r="H1607" s="4">
        <f t="shared" ref="H1607:H1670" si="178">IF(E1607&gt;G1606,"BUY",IF(E1607&lt;F1606,"SELL",0))</f>
        <v>0</v>
      </c>
      <c r="I1607" s="4">
        <f t="shared" si="175"/>
        <v>-1</v>
      </c>
      <c r="J1607" s="11">
        <f t="shared" ref="J1607:J1670" si="179">IF(I1607&lt;&gt;I1606,H1607,0)</f>
        <v>0</v>
      </c>
      <c r="K1607" s="6">
        <f t="shared" ref="K1607:K1670" si="180">IF(J1607&lt;&gt;0,E1607,K1606)</f>
        <v>6135.8500979999999</v>
      </c>
      <c r="L1607" s="4">
        <f t="shared" si="174"/>
        <v>0</v>
      </c>
    </row>
    <row r="1608" spans="1:12" x14ac:dyDescent="0.25">
      <c r="A1608" s="1">
        <v>43417</v>
      </c>
      <c r="B1608">
        <v>6072.7998049999997</v>
      </c>
      <c r="C1608">
        <v>6083.0498049999997</v>
      </c>
      <c r="D1608">
        <v>6046.3999020000001</v>
      </c>
      <c r="E1608">
        <v>6053.4501950000003</v>
      </c>
      <c r="F1608" s="4">
        <f t="shared" si="176"/>
        <v>6000.8999020000001</v>
      </c>
      <c r="G1608" s="4">
        <f t="shared" si="177"/>
        <v>6063.2001950000003</v>
      </c>
      <c r="H1608" s="4">
        <f t="shared" si="178"/>
        <v>0</v>
      </c>
      <c r="I1608" s="4">
        <f t="shared" si="175"/>
        <v>-1</v>
      </c>
      <c r="J1608" s="11">
        <f t="shared" si="179"/>
        <v>0</v>
      </c>
      <c r="K1608" s="6">
        <f t="shared" si="180"/>
        <v>6135.8500979999999</v>
      </c>
      <c r="L1608" s="4">
        <f t="shared" ref="L1608:L1671" si="181">IF(J1608="BUY",(K1607-K1608)/K1607,IF(J1608="SELL",(K1609-K1607)/K1607,0))</f>
        <v>0</v>
      </c>
    </row>
    <row r="1609" spans="1:12" x14ac:dyDescent="0.25">
      <c r="A1609" s="1">
        <v>43418</v>
      </c>
      <c r="B1609">
        <v>6072.4501950000003</v>
      </c>
      <c r="C1609">
        <v>6081.8500979999999</v>
      </c>
      <c r="D1609">
        <v>6053.25</v>
      </c>
      <c r="E1609">
        <v>6062.7001950000003</v>
      </c>
      <c r="F1609" s="4">
        <f t="shared" si="176"/>
        <v>6022.3999020000001</v>
      </c>
      <c r="G1609" s="4">
        <f t="shared" si="177"/>
        <v>6063.2001950000003</v>
      </c>
      <c r="H1609" s="4">
        <f t="shared" si="178"/>
        <v>0</v>
      </c>
      <c r="I1609" s="4">
        <f t="shared" si="175"/>
        <v>-1</v>
      </c>
      <c r="J1609" s="11">
        <f t="shared" si="179"/>
        <v>0</v>
      </c>
      <c r="K1609" s="6">
        <f t="shared" si="180"/>
        <v>6135.8500979999999</v>
      </c>
      <c r="L1609" s="4">
        <f t="shared" si="181"/>
        <v>0</v>
      </c>
    </row>
    <row r="1610" spans="1:12" x14ac:dyDescent="0.25">
      <c r="A1610" s="1">
        <v>43419</v>
      </c>
      <c r="B1610">
        <v>6085.3500979999999</v>
      </c>
      <c r="C1610">
        <v>6106.6000979999999</v>
      </c>
      <c r="D1610">
        <v>6077.3999020000001</v>
      </c>
      <c r="E1610">
        <v>6084</v>
      </c>
      <c r="F1610" s="4">
        <f t="shared" si="176"/>
        <v>6036.2998049999997</v>
      </c>
      <c r="G1610" s="4">
        <f t="shared" si="177"/>
        <v>6084</v>
      </c>
      <c r="H1610" s="4" t="str">
        <f t="shared" si="178"/>
        <v>BUY</v>
      </c>
      <c r="I1610" s="4">
        <f t="shared" si="175"/>
        <v>1</v>
      </c>
      <c r="J1610" s="11" t="str">
        <f t="shared" si="179"/>
        <v>BUY</v>
      </c>
      <c r="K1610" s="6">
        <f t="shared" si="180"/>
        <v>6084</v>
      </c>
      <c r="L1610" s="4">
        <f t="shared" si="181"/>
        <v>8.4503527908709169E-3</v>
      </c>
    </row>
    <row r="1611" spans="1:12" x14ac:dyDescent="0.25">
      <c r="A1611" s="1">
        <v>43420</v>
      </c>
      <c r="B1611">
        <v>6087.5498049999997</v>
      </c>
      <c r="C1611">
        <v>6094.3999020000001</v>
      </c>
      <c r="D1611">
        <v>5991.1000979999999</v>
      </c>
      <c r="E1611">
        <v>6001.1000979999999</v>
      </c>
      <c r="F1611" s="4">
        <f t="shared" si="176"/>
        <v>6001.1000979999999</v>
      </c>
      <c r="G1611" s="4">
        <f t="shared" si="177"/>
        <v>6084</v>
      </c>
      <c r="H1611" s="4" t="str">
        <f t="shared" si="178"/>
        <v>SELL</v>
      </c>
      <c r="I1611" s="4">
        <f t="shared" si="175"/>
        <v>-1</v>
      </c>
      <c r="J1611" s="11" t="str">
        <f t="shared" si="179"/>
        <v>SELL</v>
      </c>
      <c r="K1611" s="6">
        <f t="shared" si="180"/>
        <v>6001.1000979999999</v>
      </c>
      <c r="L1611" s="4">
        <f t="shared" si="181"/>
        <v>-1.3625887902695612E-2</v>
      </c>
    </row>
    <row r="1612" spans="1:12" x14ac:dyDescent="0.25">
      <c r="A1612" s="1">
        <v>43423</v>
      </c>
      <c r="B1612">
        <v>6023.75</v>
      </c>
      <c r="C1612">
        <v>6056.3999020000001</v>
      </c>
      <c r="D1612">
        <v>5984.6000979999999</v>
      </c>
      <c r="E1612">
        <v>6048.3500979999999</v>
      </c>
      <c r="F1612" s="4">
        <f t="shared" si="176"/>
        <v>6001.1000979999999</v>
      </c>
      <c r="G1612" s="4">
        <f t="shared" si="177"/>
        <v>6084</v>
      </c>
      <c r="H1612" s="4">
        <f t="shared" si="178"/>
        <v>0</v>
      </c>
      <c r="I1612" s="4">
        <f t="shared" si="175"/>
        <v>-1</v>
      </c>
      <c r="J1612" s="11">
        <f t="shared" si="179"/>
        <v>0</v>
      </c>
      <c r="K1612" s="6">
        <f t="shared" si="180"/>
        <v>6001.1000979999999</v>
      </c>
      <c r="L1612" s="4">
        <f t="shared" si="181"/>
        <v>0</v>
      </c>
    </row>
    <row r="1613" spans="1:12" x14ac:dyDescent="0.25">
      <c r="A1613" s="1">
        <v>43424</v>
      </c>
      <c r="B1613">
        <v>6057.1000979999999</v>
      </c>
      <c r="C1613">
        <v>6080.6499020000001</v>
      </c>
      <c r="D1613">
        <v>6038.2998049999997</v>
      </c>
      <c r="E1613">
        <v>6073.2998049999997</v>
      </c>
      <c r="F1613" s="4">
        <f t="shared" si="176"/>
        <v>6001.1000979999999</v>
      </c>
      <c r="G1613" s="4">
        <f t="shared" si="177"/>
        <v>6084</v>
      </c>
      <c r="H1613" s="4">
        <f t="shared" si="178"/>
        <v>0</v>
      </c>
      <c r="I1613" s="4">
        <f t="shared" si="175"/>
        <v>-1</v>
      </c>
      <c r="J1613" s="11">
        <f t="shared" si="179"/>
        <v>0</v>
      </c>
      <c r="K1613" s="6">
        <f t="shared" si="180"/>
        <v>6001.1000979999999</v>
      </c>
      <c r="L1613" s="4">
        <f t="shared" si="181"/>
        <v>0</v>
      </c>
    </row>
    <row r="1614" spans="1:12" x14ac:dyDescent="0.25">
      <c r="A1614" s="1">
        <v>43425</v>
      </c>
      <c r="B1614">
        <v>6071.2998049999997</v>
      </c>
      <c r="C1614">
        <v>6141.7001950000003</v>
      </c>
      <c r="D1614">
        <v>6066.7998049999997</v>
      </c>
      <c r="E1614">
        <v>6127.1000979999999</v>
      </c>
      <c r="F1614" s="4">
        <f t="shared" si="176"/>
        <v>6001.1000979999999</v>
      </c>
      <c r="G1614" s="4">
        <f t="shared" si="177"/>
        <v>6127.1000979999999</v>
      </c>
      <c r="H1614" s="4" t="str">
        <f t="shared" si="178"/>
        <v>BUY</v>
      </c>
      <c r="I1614" s="4">
        <f t="shared" si="175"/>
        <v>1</v>
      </c>
      <c r="J1614" s="11" t="str">
        <f t="shared" si="179"/>
        <v>BUY</v>
      </c>
      <c r="K1614" s="6">
        <f t="shared" si="180"/>
        <v>6127.1000979999999</v>
      </c>
      <c r="L1614" s="4">
        <f t="shared" si="181"/>
        <v>-2.0996150362829692E-2</v>
      </c>
    </row>
    <row r="1615" spans="1:12" x14ac:dyDescent="0.25">
      <c r="A1615" s="1">
        <v>43426</v>
      </c>
      <c r="B1615">
        <v>6132.0498049999997</v>
      </c>
      <c r="C1615">
        <v>6160.3500979999999</v>
      </c>
      <c r="D1615">
        <v>6125.75</v>
      </c>
      <c r="E1615">
        <v>6152.75</v>
      </c>
      <c r="F1615" s="4">
        <f t="shared" si="176"/>
        <v>6001.1000979999999</v>
      </c>
      <c r="G1615" s="4">
        <f t="shared" si="177"/>
        <v>6152.75</v>
      </c>
      <c r="H1615" s="4" t="str">
        <f t="shared" si="178"/>
        <v>BUY</v>
      </c>
      <c r="I1615" s="4">
        <f t="shared" si="175"/>
        <v>1</v>
      </c>
      <c r="J1615" s="11">
        <f t="shared" si="179"/>
        <v>0</v>
      </c>
      <c r="K1615" s="6">
        <f t="shared" si="180"/>
        <v>6127.1000979999999</v>
      </c>
      <c r="L1615" s="4">
        <f t="shared" si="181"/>
        <v>0</v>
      </c>
    </row>
    <row r="1616" spans="1:12" x14ac:dyDescent="0.25">
      <c r="A1616" s="1">
        <v>43427</v>
      </c>
      <c r="B1616">
        <v>6127.1499020000001</v>
      </c>
      <c r="C1616">
        <v>6129.1000979999999</v>
      </c>
      <c r="D1616">
        <v>6086.4501950000003</v>
      </c>
      <c r="E1616">
        <v>6091.4501950000003</v>
      </c>
      <c r="F1616" s="4">
        <f t="shared" si="176"/>
        <v>6048.3500979999999</v>
      </c>
      <c r="G1616" s="4">
        <f t="shared" si="177"/>
        <v>6152.75</v>
      </c>
      <c r="H1616" s="4">
        <f t="shared" si="178"/>
        <v>0</v>
      </c>
      <c r="I1616" s="4">
        <f t="shared" si="175"/>
        <v>1</v>
      </c>
      <c r="J1616" s="11">
        <f t="shared" si="179"/>
        <v>0</v>
      </c>
      <c r="K1616" s="6">
        <f t="shared" si="180"/>
        <v>6127.1000979999999</v>
      </c>
      <c r="L1616" s="4">
        <f t="shared" si="181"/>
        <v>0</v>
      </c>
    </row>
    <row r="1617" spans="1:12" x14ac:dyDescent="0.25">
      <c r="A1617" s="1">
        <v>43430</v>
      </c>
      <c r="B1617">
        <v>6108.2998049999997</v>
      </c>
      <c r="C1617">
        <v>6159.6499020000001</v>
      </c>
      <c r="D1617">
        <v>6108</v>
      </c>
      <c r="E1617">
        <v>6155.4501950000003</v>
      </c>
      <c r="F1617" s="4">
        <f t="shared" si="176"/>
        <v>6073.2998049999997</v>
      </c>
      <c r="G1617" s="4">
        <f t="shared" si="177"/>
        <v>6155.4501950000003</v>
      </c>
      <c r="H1617" s="4" t="str">
        <f t="shared" si="178"/>
        <v>BUY</v>
      </c>
      <c r="I1617" s="4">
        <f t="shared" si="175"/>
        <v>1</v>
      </c>
      <c r="J1617" s="11">
        <f t="shared" si="179"/>
        <v>0</v>
      </c>
      <c r="K1617" s="6">
        <f t="shared" si="180"/>
        <v>6127.1000979999999</v>
      </c>
      <c r="L1617" s="4">
        <f t="shared" si="181"/>
        <v>0</v>
      </c>
    </row>
    <row r="1618" spans="1:12" x14ac:dyDescent="0.25">
      <c r="A1618" s="1">
        <v>43431</v>
      </c>
      <c r="B1618">
        <v>6140.9501950000003</v>
      </c>
      <c r="C1618">
        <v>6191.8500979999999</v>
      </c>
      <c r="D1618">
        <v>6130.7998049999997</v>
      </c>
      <c r="E1618">
        <v>6186.1000979999999</v>
      </c>
      <c r="F1618" s="4">
        <f t="shared" si="176"/>
        <v>6091.4501950000003</v>
      </c>
      <c r="G1618" s="4">
        <f t="shared" si="177"/>
        <v>6186.1000979999999</v>
      </c>
      <c r="H1618" s="4" t="str">
        <f t="shared" si="178"/>
        <v>BUY</v>
      </c>
      <c r="I1618" s="4">
        <f t="shared" si="175"/>
        <v>1</v>
      </c>
      <c r="J1618" s="11">
        <f t="shared" si="179"/>
        <v>0</v>
      </c>
      <c r="K1618" s="6">
        <f t="shared" si="180"/>
        <v>6127.1000979999999</v>
      </c>
      <c r="L1618" s="4">
        <f t="shared" si="181"/>
        <v>0</v>
      </c>
    </row>
    <row r="1619" spans="1:12" x14ac:dyDescent="0.25">
      <c r="A1619" s="1">
        <v>43432</v>
      </c>
      <c r="B1619">
        <v>6205.7001950000003</v>
      </c>
      <c r="C1619">
        <v>6216.8500979999999</v>
      </c>
      <c r="D1619">
        <v>6176.6000979999999</v>
      </c>
      <c r="E1619">
        <v>6200.0498049999997</v>
      </c>
      <c r="F1619" s="4">
        <f t="shared" si="176"/>
        <v>6091.4501950000003</v>
      </c>
      <c r="G1619" s="4">
        <f t="shared" si="177"/>
        <v>6200.0498049999997</v>
      </c>
      <c r="H1619" s="4" t="str">
        <f t="shared" si="178"/>
        <v>BUY</v>
      </c>
      <c r="I1619" s="4">
        <f t="shared" si="175"/>
        <v>1</v>
      </c>
      <c r="J1619" s="11">
        <f t="shared" si="179"/>
        <v>0</v>
      </c>
      <c r="K1619" s="6">
        <f t="shared" si="180"/>
        <v>6127.1000979999999</v>
      </c>
      <c r="L1619" s="4">
        <f t="shared" si="181"/>
        <v>0</v>
      </c>
    </row>
    <row r="1620" spans="1:12" x14ac:dyDescent="0.25">
      <c r="A1620" s="1">
        <v>43433</v>
      </c>
      <c r="B1620">
        <v>6202.4501950000003</v>
      </c>
      <c r="C1620">
        <v>6245.9501950000003</v>
      </c>
      <c r="D1620">
        <v>6202.1000979999999</v>
      </c>
      <c r="E1620">
        <v>6238.7998049999997</v>
      </c>
      <c r="F1620" s="4">
        <f t="shared" si="176"/>
        <v>6091.4501950000003</v>
      </c>
      <c r="G1620" s="4">
        <f t="shared" si="177"/>
        <v>6238.7998049999997</v>
      </c>
      <c r="H1620" s="4" t="str">
        <f t="shared" si="178"/>
        <v>BUY</v>
      </c>
      <c r="I1620" s="4">
        <f t="shared" si="175"/>
        <v>1</v>
      </c>
      <c r="J1620" s="11">
        <f t="shared" si="179"/>
        <v>0</v>
      </c>
      <c r="K1620" s="6">
        <f t="shared" si="180"/>
        <v>6127.1000979999999</v>
      </c>
      <c r="L1620" s="4">
        <f t="shared" si="181"/>
        <v>0</v>
      </c>
    </row>
    <row r="1621" spans="1:12" x14ac:dyDescent="0.25">
      <c r="A1621" s="1">
        <v>43434</v>
      </c>
      <c r="B1621">
        <v>6228.4501950000003</v>
      </c>
      <c r="C1621">
        <v>6282.7001950000003</v>
      </c>
      <c r="D1621">
        <v>6228.1000979999999</v>
      </c>
      <c r="E1621">
        <v>6276.9501950000003</v>
      </c>
      <c r="F1621" s="4">
        <f t="shared" si="176"/>
        <v>6155.4501950000003</v>
      </c>
      <c r="G1621" s="4">
        <f t="shared" si="177"/>
        <v>6276.9501950000003</v>
      </c>
      <c r="H1621" s="4" t="str">
        <f t="shared" si="178"/>
        <v>BUY</v>
      </c>
      <c r="I1621" s="4">
        <f t="shared" si="175"/>
        <v>1</v>
      </c>
      <c r="J1621" s="11">
        <f t="shared" si="179"/>
        <v>0</v>
      </c>
      <c r="K1621" s="6">
        <f t="shared" si="180"/>
        <v>6127.1000979999999</v>
      </c>
      <c r="L1621" s="4">
        <f t="shared" si="181"/>
        <v>0</v>
      </c>
    </row>
    <row r="1622" spans="1:12" x14ac:dyDescent="0.25">
      <c r="A1622" s="1">
        <v>43437</v>
      </c>
      <c r="B1622">
        <v>6264.3500979999999</v>
      </c>
      <c r="C1622">
        <v>6277.75</v>
      </c>
      <c r="D1622">
        <v>6212.25</v>
      </c>
      <c r="E1622">
        <v>6221.4501950000003</v>
      </c>
      <c r="F1622" s="4">
        <f t="shared" si="176"/>
        <v>6186.1000979999999</v>
      </c>
      <c r="G1622" s="4">
        <f t="shared" si="177"/>
        <v>6276.9501950000003</v>
      </c>
      <c r="H1622" s="4">
        <f t="shared" si="178"/>
        <v>0</v>
      </c>
      <c r="I1622" s="4">
        <f t="shared" si="175"/>
        <v>1</v>
      </c>
      <c r="J1622" s="11">
        <f t="shared" si="179"/>
        <v>0</v>
      </c>
      <c r="K1622" s="6">
        <f t="shared" si="180"/>
        <v>6127.1000979999999</v>
      </c>
      <c r="L1622" s="4">
        <f t="shared" si="181"/>
        <v>0</v>
      </c>
    </row>
    <row r="1623" spans="1:12" x14ac:dyDescent="0.25">
      <c r="A1623" s="1">
        <v>43438</v>
      </c>
      <c r="B1623">
        <v>6216.75</v>
      </c>
      <c r="C1623">
        <v>6302.1499020000001</v>
      </c>
      <c r="D1623">
        <v>6215.7001950000003</v>
      </c>
      <c r="E1623">
        <v>6297.9501950000003</v>
      </c>
      <c r="F1623" s="4">
        <f t="shared" si="176"/>
        <v>6200.0498049999997</v>
      </c>
      <c r="G1623" s="4">
        <f t="shared" si="177"/>
        <v>6297.9501950000003</v>
      </c>
      <c r="H1623" s="4" t="str">
        <f t="shared" si="178"/>
        <v>BUY</v>
      </c>
      <c r="I1623" s="4">
        <f t="shared" si="175"/>
        <v>1</v>
      </c>
      <c r="J1623" s="11">
        <f t="shared" si="179"/>
        <v>0</v>
      </c>
      <c r="K1623" s="6">
        <f t="shared" si="180"/>
        <v>6127.1000979999999</v>
      </c>
      <c r="L1623" s="4">
        <f t="shared" si="181"/>
        <v>0</v>
      </c>
    </row>
    <row r="1624" spans="1:12" x14ac:dyDescent="0.25">
      <c r="A1624" s="1">
        <v>43439</v>
      </c>
      <c r="B1624">
        <v>6328.4501950000003</v>
      </c>
      <c r="C1624">
        <v>6336.25</v>
      </c>
      <c r="D1624">
        <v>6287.7998049999997</v>
      </c>
      <c r="E1624">
        <v>6328.6499020000001</v>
      </c>
      <c r="F1624" s="4">
        <f t="shared" si="176"/>
        <v>6221.4501950000003</v>
      </c>
      <c r="G1624" s="4">
        <f t="shared" si="177"/>
        <v>6328.6499020000001</v>
      </c>
      <c r="H1624" s="4" t="str">
        <f t="shared" si="178"/>
        <v>BUY</v>
      </c>
      <c r="I1624" s="4">
        <f t="shared" si="175"/>
        <v>1</v>
      </c>
      <c r="J1624" s="11">
        <f t="shared" si="179"/>
        <v>0</v>
      </c>
      <c r="K1624" s="6">
        <f t="shared" si="180"/>
        <v>6127.1000979999999</v>
      </c>
      <c r="L1624" s="4">
        <f t="shared" si="181"/>
        <v>0</v>
      </c>
    </row>
    <row r="1625" spans="1:12" x14ac:dyDescent="0.25">
      <c r="A1625" s="1">
        <v>43440</v>
      </c>
      <c r="B1625">
        <v>6344.75</v>
      </c>
      <c r="C1625">
        <v>6406.6000979999999</v>
      </c>
      <c r="D1625">
        <v>6339.7001950000003</v>
      </c>
      <c r="E1625">
        <v>6401.1499020000001</v>
      </c>
      <c r="F1625" s="4">
        <f t="shared" si="176"/>
        <v>6221.4501950000003</v>
      </c>
      <c r="G1625" s="4">
        <f t="shared" si="177"/>
        <v>6401.1499020000001</v>
      </c>
      <c r="H1625" s="4" t="str">
        <f t="shared" si="178"/>
        <v>BUY</v>
      </c>
      <c r="I1625" s="4">
        <f t="shared" si="175"/>
        <v>1</v>
      </c>
      <c r="J1625" s="11">
        <f t="shared" si="179"/>
        <v>0</v>
      </c>
      <c r="K1625" s="6">
        <f t="shared" si="180"/>
        <v>6127.1000979999999</v>
      </c>
      <c r="L1625" s="4">
        <f t="shared" si="181"/>
        <v>0</v>
      </c>
    </row>
    <row r="1626" spans="1:12" x14ac:dyDescent="0.25">
      <c r="A1626" s="1">
        <v>43441</v>
      </c>
      <c r="B1626">
        <v>6413.9501950000003</v>
      </c>
      <c r="C1626">
        <v>6537.7998049999997</v>
      </c>
      <c r="D1626">
        <v>6413.5498049999997</v>
      </c>
      <c r="E1626">
        <v>6526.6499020000001</v>
      </c>
      <c r="F1626" s="4">
        <f t="shared" si="176"/>
        <v>6221.4501950000003</v>
      </c>
      <c r="G1626" s="4">
        <f t="shared" si="177"/>
        <v>6526.6499020000001</v>
      </c>
      <c r="H1626" s="4" t="str">
        <f t="shared" si="178"/>
        <v>BUY</v>
      </c>
      <c r="I1626" s="4">
        <f t="shared" si="175"/>
        <v>1</v>
      </c>
      <c r="J1626" s="11">
        <f t="shared" si="179"/>
        <v>0</v>
      </c>
      <c r="K1626" s="6">
        <f t="shared" si="180"/>
        <v>6127.1000979999999</v>
      </c>
      <c r="L1626" s="4">
        <f t="shared" si="181"/>
        <v>0</v>
      </c>
    </row>
    <row r="1627" spans="1:12" x14ac:dyDescent="0.25">
      <c r="A1627" s="1">
        <v>43444</v>
      </c>
      <c r="B1627">
        <v>6491.7001950000003</v>
      </c>
      <c r="C1627">
        <v>6562.2001950000003</v>
      </c>
      <c r="D1627">
        <v>6487.3500979999999</v>
      </c>
      <c r="E1627">
        <v>6537.25</v>
      </c>
      <c r="F1627" s="4">
        <f t="shared" si="176"/>
        <v>6297.9501950000003</v>
      </c>
      <c r="G1627" s="4">
        <f t="shared" si="177"/>
        <v>6537.25</v>
      </c>
      <c r="H1627" s="4" t="str">
        <f t="shared" si="178"/>
        <v>BUY</v>
      </c>
      <c r="I1627" s="4">
        <f t="shared" si="175"/>
        <v>1</v>
      </c>
      <c r="J1627" s="11">
        <f t="shared" si="179"/>
        <v>0</v>
      </c>
      <c r="K1627" s="6">
        <f t="shared" si="180"/>
        <v>6127.1000979999999</v>
      </c>
      <c r="L1627" s="4">
        <f t="shared" si="181"/>
        <v>0</v>
      </c>
    </row>
    <row r="1628" spans="1:12" x14ac:dyDescent="0.25">
      <c r="A1628" s="1">
        <v>43445</v>
      </c>
      <c r="B1628">
        <v>6537.3500979999999</v>
      </c>
      <c r="C1628">
        <v>6562.8500979999999</v>
      </c>
      <c r="D1628">
        <v>6494.25</v>
      </c>
      <c r="E1628">
        <v>6511.8999020000001</v>
      </c>
      <c r="F1628" s="4">
        <f t="shared" si="176"/>
        <v>6328.6499020000001</v>
      </c>
      <c r="G1628" s="4">
        <f t="shared" si="177"/>
        <v>6537.25</v>
      </c>
      <c r="H1628" s="4">
        <f t="shared" si="178"/>
        <v>0</v>
      </c>
      <c r="I1628" s="4">
        <f t="shared" si="175"/>
        <v>1</v>
      </c>
      <c r="J1628" s="11">
        <f t="shared" si="179"/>
        <v>0</v>
      </c>
      <c r="K1628" s="6">
        <f t="shared" si="180"/>
        <v>6127.1000979999999</v>
      </c>
      <c r="L1628" s="4">
        <f t="shared" si="181"/>
        <v>0</v>
      </c>
    </row>
    <row r="1629" spans="1:12" x14ac:dyDescent="0.25">
      <c r="A1629" s="1">
        <v>43446</v>
      </c>
      <c r="B1629">
        <v>6497.5</v>
      </c>
      <c r="C1629">
        <v>6546.1499020000001</v>
      </c>
      <c r="D1629">
        <v>6487.2998049999997</v>
      </c>
      <c r="E1629">
        <v>6516.8999020000001</v>
      </c>
      <c r="F1629" s="4">
        <f t="shared" si="176"/>
        <v>6401.1499020000001</v>
      </c>
      <c r="G1629" s="4">
        <f t="shared" si="177"/>
        <v>6537.25</v>
      </c>
      <c r="H1629" s="4">
        <f t="shared" si="178"/>
        <v>0</v>
      </c>
      <c r="I1629" s="4">
        <f t="shared" si="175"/>
        <v>1</v>
      </c>
      <c r="J1629" s="11">
        <f t="shared" si="179"/>
        <v>0</v>
      </c>
      <c r="K1629" s="6">
        <f t="shared" si="180"/>
        <v>6127.1000979999999</v>
      </c>
      <c r="L1629" s="4">
        <f t="shared" si="181"/>
        <v>0</v>
      </c>
    </row>
    <row r="1630" spans="1:12" x14ac:dyDescent="0.25">
      <c r="A1630" s="1">
        <v>43447</v>
      </c>
      <c r="B1630">
        <v>6491.75</v>
      </c>
      <c r="C1630">
        <v>6561.4501950000003</v>
      </c>
      <c r="D1630">
        <v>6476.6499020000001</v>
      </c>
      <c r="E1630">
        <v>6493.1000979999999</v>
      </c>
      <c r="F1630" s="4">
        <f t="shared" si="176"/>
        <v>6493.1000979999999</v>
      </c>
      <c r="G1630" s="4">
        <f t="shared" si="177"/>
        <v>6537.25</v>
      </c>
      <c r="H1630" s="4">
        <f t="shared" si="178"/>
        <v>0</v>
      </c>
      <c r="I1630" s="4">
        <f t="shared" si="175"/>
        <v>1</v>
      </c>
      <c r="J1630" s="11">
        <f t="shared" si="179"/>
        <v>0</v>
      </c>
      <c r="K1630" s="6">
        <f t="shared" si="180"/>
        <v>6127.1000979999999</v>
      </c>
      <c r="L1630" s="4">
        <f t="shared" si="181"/>
        <v>0</v>
      </c>
    </row>
    <row r="1631" spans="1:12" x14ac:dyDescent="0.25">
      <c r="A1631" s="1">
        <v>43448</v>
      </c>
      <c r="B1631">
        <v>6447.25</v>
      </c>
      <c r="C1631">
        <v>6518.4501950000003</v>
      </c>
      <c r="D1631">
        <v>6432.7001950000003</v>
      </c>
      <c r="E1631">
        <v>6504.2001950000003</v>
      </c>
      <c r="F1631" s="4">
        <f t="shared" si="176"/>
        <v>6493.1000979999999</v>
      </c>
      <c r="G1631" s="4">
        <f t="shared" si="177"/>
        <v>6537.25</v>
      </c>
      <c r="H1631" s="4">
        <f t="shared" si="178"/>
        <v>0</v>
      </c>
      <c r="I1631" s="4">
        <f t="shared" si="175"/>
        <v>1</v>
      </c>
      <c r="J1631" s="11">
        <f t="shared" si="179"/>
        <v>0</v>
      </c>
      <c r="K1631" s="6">
        <f t="shared" si="180"/>
        <v>6127.1000979999999</v>
      </c>
      <c r="L1631" s="4">
        <f t="shared" si="181"/>
        <v>0</v>
      </c>
    </row>
    <row r="1632" spans="1:12" x14ac:dyDescent="0.25">
      <c r="A1632" s="1">
        <v>43451</v>
      </c>
      <c r="B1632">
        <v>6532.4501950000003</v>
      </c>
      <c r="C1632">
        <v>6574.9501950000003</v>
      </c>
      <c r="D1632">
        <v>6497.6499020000001</v>
      </c>
      <c r="E1632">
        <v>6516.6499020000001</v>
      </c>
      <c r="F1632" s="4">
        <f t="shared" si="176"/>
        <v>6493.1000979999999</v>
      </c>
      <c r="G1632" s="4">
        <f t="shared" si="177"/>
        <v>6516.8999020000001</v>
      </c>
      <c r="H1632" s="4">
        <f t="shared" si="178"/>
        <v>0</v>
      </c>
      <c r="I1632" s="4">
        <f t="shared" si="175"/>
        <v>1</v>
      </c>
      <c r="J1632" s="11">
        <f t="shared" si="179"/>
        <v>0</v>
      </c>
      <c r="K1632" s="6">
        <f t="shared" si="180"/>
        <v>6127.1000979999999</v>
      </c>
      <c r="L1632" s="4">
        <f t="shared" si="181"/>
        <v>0</v>
      </c>
    </row>
    <row r="1633" spans="1:12" x14ac:dyDescent="0.25">
      <c r="A1633" s="1">
        <v>43452</v>
      </c>
      <c r="B1633">
        <v>6530</v>
      </c>
      <c r="C1633">
        <v>6541.2001950000003</v>
      </c>
      <c r="D1633">
        <v>6506</v>
      </c>
      <c r="E1633">
        <v>6524.0498049999997</v>
      </c>
      <c r="F1633" s="4">
        <f t="shared" si="176"/>
        <v>6493.1000979999999</v>
      </c>
      <c r="G1633" s="4">
        <f t="shared" si="177"/>
        <v>6524.0498049999997</v>
      </c>
      <c r="H1633" s="4" t="str">
        <f t="shared" si="178"/>
        <v>BUY</v>
      </c>
      <c r="I1633" s="4">
        <f t="shared" si="175"/>
        <v>1</v>
      </c>
      <c r="J1633" s="11">
        <f t="shared" si="179"/>
        <v>0</v>
      </c>
      <c r="K1633" s="6">
        <f t="shared" si="180"/>
        <v>6127.1000979999999</v>
      </c>
      <c r="L1633" s="4">
        <f t="shared" si="181"/>
        <v>0</v>
      </c>
    </row>
    <row r="1634" spans="1:12" x14ac:dyDescent="0.25">
      <c r="A1634" s="1">
        <v>43453</v>
      </c>
      <c r="B1634">
        <v>6508.3500979999999</v>
      </c>
      <c r="C1634">
        <v>6523.6499020000001</v>
      </c>
      <c r="D1634">
        <v>6473.25</v>
      </c>
      <c r="E1634">
        <v>6483.1000979999999</v>
      </c>
      <c r="F1634" s="4">
        <f t="shared" si="176"/>
        <v>6483.1000979999999</v>
      </c>
      <c r="G1634" s="4">
        <f t="shared" si="177"/>
        <v>6524.0498049999997</v>
      </c>
      <c r="H1634" s="4" t="str">
        <f t="shared" si="178"/>
        <v>SELL</v>
      </c>
      <c r="I1634" s="4">
        <f t="shared" si="175"/>
        <v>-1</v>
      </c>
      <c r="J1634" s="11" t="str">
        <f t="shared" si="179"/>
        <v>SELL</v>
      </c>
      <c r="K1634" s="6">
        <f t="shared" si="180"/>
        <v>6483.1000979999999</v>
      </c>
      <c r="L1634" s="4">
        <f t="shared" si="181"/>
        <v>5.8102527183488489E-2</v>
      </c>
    </row>
    <row r="1635" spans="1:12" x14ac:dyDescent="0.25">
      <c r="A1635" s="1">
        <v>43454</v>
      </c>
      <c r="B1635">
        <v>6515.2001950000003</v>
      </c>
      <c r="C1635">
        <v>6522.8999020000001</v>
      </c>
      <c r="D1635">
        <v>6485.7001950000003</v>
      </c>
      <c r="E1635">
        <v>6493.2001950000003</v>
      </c>
      <c r="F1635" s="4">
        <f t="shared" si="176"/>
        <v>6483.1000979999999</v>
      </c>
      <c r="G1635" s="4">
        <f t="shared" si="177"/>
        <v>6524.0498049999997</v>
      </c>
      <c r="H1635" s="4">
        <f t="shared" si="178"/>
        <v>0</v>
      </c>
      <c r="I1635" s="4">
        <f t="shared" si="175"/>
        <v>-1</v>
      </c>
      <c r="J1635" s="11">
        <f t="shared" si="179"/>
        <v>0</v>
      </c>
      <c r="K1635" s="6">
        <f t="shared" si="180"/>
        <v>6483.1000979999999</v>
      </c>
      <c r="L1635" s="4">
        <f t="shared" si="181"/>
        <v>0</v>
      </c>
    </row>
    <row r="1636" spans="1:12" x14ac:dyDescent="0.25">
      <c r="A1636" s="1">
        <v>43455</v>
      </c>
      <c r="B1636">
        <v>6510.5</v>
      </c>
      <c r="C1636">
        <v>6591.5</v>
      </c>
      <c r="D1636">
        <v>6510.5</v>
      </c>
      <c r="E1636">
        <v>6583.5</v>
      </c>
      <c r="F1636" s="4">
        <f t="shared" si="176"/>
        <v>6483.1000979999999</v>
      </c>
      <c r="G1636" s="4">
        <f t="shared" si="177"/>
        <v>6583.5</v>
      </c>
      <c r="H1636" s="4" t="str">
        <f t="shared" si="178"/>
        <v>BUY</v>
      </c>
      <c r="I1636" s="4">
        <f t="shared" si="175"/>
        <v>1</v>
      </c>
      <c r="J1636" s="11" t="str">
        <f t="shared" si="179"/>
        <v>BUY</v>
      </c>
      <c r="K1636" s="6">
        <f t="shared" si="180"/>
        <v>6583.5</v>
      </c>
      <c r="L1636" s="4">
        <f t="shared" si="181"/>
        <v>-1.5486403184021934E-2</v>
      </c>
    </row>
    <row r="1637" spans="1:12" x14ac:dyDescent="0.25">
      <c r="A1637" s="1">
        <v>43458</v>
      </c>
      <c r="B1637">
        <v>6550.1000979999999</v>
      </c>
      <c r="C1637">
        <v>6595.5498049999997</v>
      </c>
      <c r="D1637">
        <v>6544.8500979999999</v>
      </c>
      <c r="E1637">
        <v>6589.75</v>
      </c>
      <c r="F1637" s="4">
        <f t="shared" si="176"/>
        <v>6483.1000979999999</v>
      </c>
      <c r="G1637" s="4">
        <f t="shared" si="177"/>
        <v>6589.75</v>
      </c>
      <c r="H1637" s="4" t="str">
        <f t="shared" si="178"/>
        <v>BUY</v>
      </c>
      <c r="I1637" s="4">
        <f t="shared" si="175"/>
        <v>1</v>
      </c>
      <c r="J1637" s="11">
        <f t="shared" si="179"/>
        <v>0</v>
      </c>
      <c r="K1637" s="6">
        <f t="shared" si="180"/>
        <v>6583.5</v>
      </c>
      <c r="L1637" s="4">
        <f t="shared" si="181"/>
        <v>0</v>
      </c>
    </row>
    <row r="1638" spans="1:12" x14ac:dyDescent="0.25">
      <c r="A1638" s="1">
        <v>43459</v>
      </c>
      <c r="B1638">
        <v>6615.6499020000001</v>
      </c>
      <c r="C1638">
        <v>6627.4501950000003</v>
      </c>
      <c r="D1638">
        <v>6580.6000979999999</v>
      </c>
      <c r="E1638">
        <v>6601.3999020000001</v>
      </c>
      <c r="F1638" s="4">
        <f t="shared" si="176"/>
        <v>6483.1000979999999</v>
      </c>
      <c r="G1638" s="4">
        <f t="shared" si="177"/>
        <v>6601.3999020000001</v>
      </c>
      <c r="H1638" s="4" t="str">
        <f t="shared" si="178"/>
        <v>BUY</v>
      </c>
      <c r="I1638" s="4">
        <f t="shared" si="175"/>
        <v>1</v>
      </c>
      <c r="J1638" s="11">
        <f t="shared" si="179"/>
        <v>0</v>
      </c>
      <c r="K1638" s="6">
        <f t="shared" si="180"/>
        <v>6583.5</v>
      </c>
      <c r="L1638" s="4">
        <f t="shared" si="181"/>
        <v>0</v>
      </c>
    </row>
    <row r="1639" spans="1:12" x14ac:dyDescent="0.25">
      <c r="A1639" s="1">
        <v>43460</v>
      </c>
      <c r="B1639">
        <v>6613.1000979999999</v>
      </c>
      <c r="C1639">
        <v>6673.9501950000003</v>
      </c>
      <c r="D1639">
        <v>6599.5</v>
      </c>
      <c r="E1639">
        <v>6641.75</v>
      </c>
      <c r="F1639" s="4">
        <f t="shared" si="176"/>
        <v>6493.2001950000003</v>
      </c>
      <c r="G1639" s="4">
        <f t="shared" si="177"/>
        <v>6641.75</v>
      </c>
      <c r="H1639" s="4" t="str">
        <f t="shared" si="178"/>
        <v>BUY</v>
      </c>
      <c r="I1639" s="4">
        <f t="shared" si="175"/>
        <v>1</v>
      </c>
      <c r="J1639" s="11">
        <f t="shared" si="179"/>
        <v>0</v>
      </c>
      <c r="K1639" s="6">
        <f t="shared" si="180"/>
        <v>6583.5</v>
      </c>
      <c r="L1639" s="4">
        <f t="shared" si="181"/>
        <v>0</v>
      </c>
    </row>
    <row r="1640" spans="1:12" x14ac:dyDescent="0.25">
      <c r="A1640" s="1">
        <v>43461</v>
      </c>
      <c r="B1640">
        <v>6673.0498049999997</v>
      </c>
      <c r="C1640">
        <v>6702.6000979999999</v>
      </c>
      <c r="D1640">
        <v>6643.7998049999997</v>
      </c>
      <c r="E1640">
        <v>6695.8999020000001</v>
      </c>
      <c r="F1640" s="4">
        <f t="shared" si="176"/>
        <v>6583.5</v>
      </c>
      <c r="G1640" s="4">
        <f t="shared" si="177"/>
        <v>6695.8999020000001</v>
      </c>
      <c r="H1640" s="4" t="str">
        <f t="shared" si="178"/>
        <v>BUY</v>
      </c>
      <c r="I1640" s="4">
        <f t="shared" si="175"/>
        <v>1</v>
      </c>
      <c r="J1640" s="11">
        <f t="shared" si="179"/>
        <v>0</v>
      </c>
      <c r="K1640" s="6">
        <f t="shared" si="180"/>
        <v>6583.5</v>
      </c>
      <c r="L1640" s="4">
        <f t="shared" si="181"/>
        <v>0</v>
      </c>
    </row>
    <row r="1641" spans="1:12" x14ac:dyDescent="0.25">
      <c r="A1641" s="1">
        <v>43462</v>
      </c>
      <c r="B1641">
        <v>6723.1499020000001</v>
      </c>
      <c r="C1641">
        <v>6730.0498049999997</v>
      </c>
      <c r="D1641">
        <v>6662.3999020000001</v>
      </c>
      <c r="E1641">
        <v>6704.2001950000003</v>
      </c>
      <c r="F1641" s="4">
        <f t="shared" si="176"/>
        <v>6589.75</v>
      </c>
      <c r="G1641" s="4">
        <f t="shared" si="177"/>
        <v>6704.2001950000003</v>
      </c>
      <c r="H1641" s="4" t="str">
        <f t="shared" si="178"/>
        <v>BUY</v>
      </c>
      <c r="I1641" s="4">
        <f t="shared" si="175"/>
        <v>1</v>
      </c>
      <c r="J1641" s="11">
        <f t="shared" si="179"/>
        <v>0</v>
      </c>
      <c r="K1641" s="6">
        <f t="shared" si="180"/>
        <v>6583.5</v>
      </c>
      <c r="L1641" s="4">
        <f t="shared" si="181"/>
        <v>0</v>
      </c>
    </row>
    <row r="1642" spans="1:12" x14ac:dyDescent="0.25">
      <c r="A1642" s="1">
        <v>43465</v>
      </c>
      <c r="B1642">
        <v>6729.5</v>
      </c>
      <c r="C1642">
        <v>6732.25</v>
      </c>
      <c r="D1642">
        <v>6675.4501950000003</v>
      </c>
      <c r="E1642">
        <v>6721.0498049999997</v>
      </c>
      <c r="F1642" s="4">
        <f t="shared" si="176"/>
        <v>6601.3999020000001</v>
      </c>
      <c r="G1642" s="4">
        <f t="shared" si="177"/>
        <v>6721.0498049999997</v>
      </c>
      <c r="H1642" s="4" t="str">
        <f t="shared" si="178"/>
        <v>BUY</v>
      </c>
      <c r="I1642" s="4">
        <f t="shared" si="175"/>
        <v>1</v>
      </c>
      <c r="J1642" s="11">
        <f t="shared" si="179"/>
        <v>0</v>
      </c>
      <c r="K1642" s="6">
        <f t="shared" si="180"/>
        <v>6583.5</v>
      </c>
      <c r="L1642" s="4">
        <f t="shared" si="181"/>
        <v>0</v>
      </c>
    </row>
    <row r="1643" spans="1:12" x14ac:dyDescent="0.25">
      <c r="A1643" s="1">
        <v>43466</v>
      </c>
      <c r="B1643">
        <v>6757.6000979999999</v>
      </c>
      <c r="C1643">
        <v>6763.5</v>
      </c>
      <c r="D1643">
        <v>6723.6000979999999</v>
      </c>
      <c r="E1643">
        <v>6752.5498049999997</v>
      </c>
      <c r="F1643" s="4">
        <f t="shared" si="176"/>
        <v>6641.75</v>
      </c>
      <c r="G1643" s="4">
        <f t="shared" si="177"/>
        <v>6752.5498049999997</v>
      </c>
      <c r="H1643" s="4" t="str">
        <f t="shared" si="178"/>
        <v>BUY</v>
      </c>
      <c r="I1643" s="4">
        <f t="shared" si="175"/>
        <v>1</v>
      </c>
      <c r="J1643" s="11">
        <f t="shared" si="179"/>
        <v>0</v>
      </c>
      <c r="K1643" s="6">
        <f t="shared" si="180"/>
        <v>6583.5</v>
      </c>
      <c r="L1643" s="4">
        <f t="shared" si="181"/>
        <v>0</v>
      </c>
    </row>
    <row r="1644" spans="1:12" x14ac:dyDescent="0.25">
      <c r="A1644" s="1">
        <v>43467</v>
      </c>
      <c r="B1644">
        <v>6772.0498049999997</v>
      </c>
      <c r="C1644">
        <v>6776.75</v>
      </c>
      <c r="D1644">
        <v>6696.8999020000001</v>
      </c>
      <c r="E1644">
        <v>6736.1000979999999</v>
      </c>
      <c r="F1644" s="4">
        <f t="shared" si="176"/>
        <v>6695.8999020000001</v>
      </c>
      <c r="G1644" s="4">
        <f t="shared" si="177"/>
        <v>6752.5498049999997</v>
      </c>
      <c r="H1644" s="4">
        <f t="shared" si="178"/>
        <v>0</v>
      </c>
      <c r="I1644" s="4">
        <f t="shared" si="175"/>
        <v>1</v>
      </c>
      <c r="J1644" s="11">
        <f t="shared" si="179"/>
        <v>0</v>
      </c>
      <c r="K1644" s="6">
        <f t="shared" si="180"/>
        <v>6583.5</v>
      </c>
      <c r="L1644" s="4">
        <f t="shared" si="181"/>
        <v>0</v>
      </c>
    </row>
    <row r="1645" spans="1:12" x14ac:dyDescent="0.25">
      <c r="A1645" s="1">
        <v>43468</v>
      </c>
      <c r="B1645">
        <v>6741.8500979999999</v>
      </c>
      <c r="C1645">
        <v>6741.8500979999999</v>
      </c>
      <c r="D1645">
        <v>6685.1499020000001</v>
      </c>
      <c r="E1645">
        <v>6694.3500979999999</v>
      </c>
      <c r="F1645" s="4">
        <f t="shared" si="176"/>
        <v>6694.3500979999999</v>
      </c>
      <c r="G1645" s="4">
        <f t="shared" si="177"/>
        <v>6752.5498049999997</v>
      </c>
      <c r="H1645" s="4" t="str">
        <f t="shared" si="178"/>
        <v>SELL</v>
      </c>
      <c r="I1645" s="4">
        <f t="shared" si="175"/>
        <v>-1</v>
      </c>
      <c r="J1645" s="11" t="str">
        <f t="shared" si="179"/>
        <v>SELL</v>
      </c>
      <c r="K1645" s="6">
        <f t="shared" si="180"/>
        <v>6694.3500979999999</v>
      </c>
      <c r="L1645" s="4">
        <f t="shared" si="181"/>
        <v>1.6837563302194863E-2</v>
      </c>
    </row>
    <row r="1646" spans="1:12" x14ac:dyDescent="0.25">
      <c r="A1646" s="1">
        <v>43469</v>
      </c>
      <c r="B1646">
        <v>6694.25</v>
      </c>
      <c r="C1646">
        <v>6725.1499020000001</v>
      </c>
      <c r="D1646">
        <v>6650.3999020000001</v>
      </c>
      <c r="E1646">
        <v>6695.0498049999997</v>
      </c>
      <c r="F1646" s="4">
        <f t="shared" si="176"/>
        <v>6694.3500979999999</v>
      </c>
      <c r="G1646" s="4">
        <f t="shared" si="177"/>
        <v>6752.5498049999997</v>
      </c>
      <c r="H1646" s="4">
        <f t="shared" si="178"/>
        <v>0</v>
      </c>
      <c r="I1646" s="4">
        <f t="shared" si="175"/>
        <v>-1</v>
      </c>
      <c r="J1646" s="11">
        <f t="shared" si="179"/>
        <v>0</v>
      </c>
      <c r="K1646" s="6">
        <f t="shared" si="180"/>
        <v>6694.3500979999999</v>
      </c>
      <c r="L1646" s="4">
        <f t="shared" si="181"/>
        <v>0</v>
      </c>
    </row>
    <row r="1647" spans="1:12" x14ac:dyDescent="0.25">
      <c r="A1647" s="1">
        <v>43472</v>
      </c>
      <c r="B1647">
        <v>6722</v>
      </c>
      <c r="C1647">
        <v>6808.7001950000003</v>
      </c>
      <c r="D1647">
        <v>6705.1000979999999</v>
      </c>
      <c r="E1647">
        <v>6796.2001950000003</v>
      </c>
      <c r="F1647" s="4">
        <f t="shared" si="176"/>
        <v>6694.3500979999999</v>
      </c>
      <c r="G1647" s="4">
        <f t="shared" si="177"/>
        <v>6796.2001950000003</v>
      </c>
      <c r="H1647" s="4" t="str">
        <f t="shared" si="178"/>
        <v>BUY</v>
      </c>
      <c r="I1647" s="4">
        <f t="shared" si="175"/>
        <v>1</v>
      </c>
      <c r="J1647" s="11" t="str">
        <f t="shared" si="179"/>
        <v>BUY</v>
      </c>
      <c r="K1647" s="6">
        <f t="shared" si="180"/>
        <v>6796.2001950000003</v>
      </c>
      <c r="L1647" s="4">
        <f t="shared" si="181"/>
        <v>-1.5214336792817145E-2</v>
      </c>
    </row>
    <row r="1648" spans="1:12" x14ac:dyDescent="0.25">
      <c r="A1648" s="1">
        <v>43473</v>
      </c>
      <c r="B1648">
        <v>6803.0498049999997</v>
      </c>
      <c r="C1648">
        <v>6819.0498049999997</v>
      </c>
      <c r="D1648">
        <v>6777.2998049999997</v>
      </c>
      <c r="E1648">
        <v>6796.3999020000001</v>
      </c>
      <c r="F1648" s="4">
        <f t="shared" si="176"/>
        <v>6694.3500979999999</v>
      </c>
      <c r="G1648" s="4">
        <f t="shared" si="177"/>
        <v>6796.3999020000001</v>
      </c>
      <c r="H1648" s="4" t="str">
        <f t="shared" si="178"/>
        <v>BUY</v>
      </c>
      <c r="I1648" s="4">
        <f t="shared" si="175"/>
        <v>1</v>
      </c>
      <c r="J1648" s="11">
        <f t="shared" si="179"/>
        <v>0</v>
      </c>
      <c r="K1648" s="6">
        <f t="shared" si="180"/>
        <v>6796.2001950000003</v>
      </c>
      <c r="L1648" s="4">
        <f t="shared" si="181"/>
        <v>0</v>
      </c>
    </row>
    <row r="1649" spans="1:12" x14ac:dyDescent="0.25">
      <c r="A1649" s="1">
        <v>43474</v>
      </c>
      <c r="B1649">
        <v>6758.3500979999999</v>
      </c>
      <c r="C1649">
        <v>6789.3500979999999</v>
      </c>
      <c r="D1649">
        <v>6743.1499020000001</v>
      </c>
      <c r="E1649">
        <v>6776.2998049999997</v>
      </c>
      <c r="F1649" s="4">
        <f t="shared" si="176"/>
        <v>6694.3500979999999</v>
      </c>
      <c r="G1649" s="4">
        <f t="shared" si="177"/>
        <v>6796.3999020000001</v>
      </c>
      <c r="H1649" s="4">
        <f t="shared" si="178"/>
        <v>0</v>
      </c>
      <c r="I1649" s="4">
        <f t="shared" si="175"/>
        <v>1</v>
      </c>
      <c r="J1649" s="11">
        <f t="shared" si="179"/>
        <v>0</v>
      </c>
      <c r="K1649" s="6">
        <f t="shared" si="180"/>
        <v>6796.2001950000003</v>
      </c>
      <c r="L1649" s="4">
        <f t="shared" si="181"/>
        <v>0</v>
      </c>
    </row>
    <row r="1650" spans="1:12" x14ac:dyDescent="0.25">
      <c r="A1650" s="1">
        <v>43475</v>
      </c>
      <c r="B1650">
        <v>6792.7001950000003</v>
      </c>
      <c r="C1650">
        <v>6813.3999020000001</v>
      </c>
      <c r="D1650">
        <v>6711.75</v>
      </c>
      <c r="E1650">
        <v>6733.1000979999999</v>
      </c>
      <c r="F1650" s="4">
        <f t="shared" si="176"/>
        <v>6695.0498049999997</v>
      </c>
      <c r="G1650" s="4">
        <f t="shared" si="177"/>
        <v>6796.3999020000001</v>
      </c>
      <c r="H1650" s="4">
        <f t="shared" si="178"/>
        <v>0</v>
      </c>
      <c r="I1650" s="4">
        <f t="shared" si="175"/>
        <v>1</v>
      </c>
      <c r="J1650" s="11">
        <f t="shared" si="179"/>
        <v>0</v>
      </c>
      <c r="K1650" s="6">
        <f t="shared" si="180"/>
        <v>6796.2001950000003</v>
      </c>
      <c r="L1650" s="4">
        <f t="shared" si="181"/>
        <v>0</v>
      </c>
    </row>
    <row r="1651" spans="1:12" x14ac:dyDescent="0.25">
      <c r="A1651" s="1">
        <v>43476</v>
      </c>
      <c r="B1651">
        <v>6727.25</v>
      </c>
      <c r="C1651">
        <v>6748.6499020000001</v>
      </c>
      <c r="D1651">
        <v>6665.1499020000001</v>
      </c>
      <c r="E1651">
        <v>6675.2998049999997</v>
      </c>
      <c r="F1651" s="4">
        <f t="shared" si="176"/>
        <v>6675.2998049999997</v>
      </c>
      <c r="G1651" s="4">
        <f t="shared" si="177"/>
        <v>6796.3999020000001</v>
      </c>
      <c r="H1651" s="4" t="str">
        <f t="shared" si="178"/>
        <v>SELL</v>
      </c>
      <c r="I1651" s="4">
        <f t="shared" si="175"/>
        <v>-1</v>
      </c>
      <c r="J1651" s="11" t="str">
        <f t="shared" si="179"/>
        <v>SELL</v>
      </c>
      <c r="K1651" s="6">
        <f t="shared" si="180"/>
        <v>6675.2998049999997</v>
      </c>
      <c r="L1651" s="4">
        <f t="shared" si="181"/>
        <v>-1.7789409748251345E-2</v>
      </c>
    </row>
    <row r="1652" spans="1:12" x14ac:dyDescent="0.25">
      <c r="A1652" s="1">
        <v>43479</v>
      </c>
      <c r="B1652">
        <v>6695.4501950000003</v>
      </c>
      <c r="C1652">
        <v>6783.0498049999997</v>
      </c>
      <c r="D1652">
        <v>6684.3999020000001</v>
      </c>
      <c r="E1652">
        <v>6779.3999020000001</v>
      </c>
      <c r="F1652" s="4">
        <f t="shared" si="176"/>
        <v>6675.2998049999997</v>
      </c>
      <c r="G1652" s="4">
        <f t="shared" si="177"/>
        <v>6796.3999020000001</v>
      </c>
      <c r="H1652" s="4">
        <f t="shared" si="178"/>
        <v>0</v>
      </c>
      <c r="I1652" s="4">
        <f t="shared" si="175"/>
        <v>-1</v>
      </c>
      <c r="J1652" s="11">
        <f t="shared" si="179"/>
        <v>0</v>
      </c>
      <c r="K1652" s="6">
        <f t="shared" si="180"/>
        <v>6675.2998049999997</v>
      </c>
      <c r="L1652" s="4">
        <f t="shared" si="181"/>
        <v>0</v>
      </c>
    </row>
    <row r="1653" spans="1:12" x14ac:dyDescent="0.25">
      <c r="A1653" s="1">
        <v>43480</v>
      </c>
      <c r="B1653">
        <v>6789.25</v>
      </c>
      <c r="C1653">
        <v>6825.4501950000003</v>
      </c>
      <c r="D1653">
        <v>6786.8999020000001</v>
      </c>
      <c r="E1653">
        <v>6817.6499020000001</v>
      </c>
      <c r="F1653" s="4">
        <f t="shared" si="176"/>
        <v>6675.2998049999997</v>
      </c>
      <c r="G1653" s="4">
        <f t="shared" si="177"/>
        <v>6817.6499020000001</v>
      </c>
      <c r="H1653" s="4" t="str">
        <f t="shared" si="178"/>
        <v>BUY</v>
      </c>
      <c r="I1653" s="4">
        <f t="shared" si="175"/>
        <v>1</v>
      </c>
      <c r="J1653" s="11" t="str">
        <f t="shared" si="179"/>
        <v>BUY</v>
      </c>
      <c r="K1653" s="6">
        <f t="shared" si="180"/>
        <v>6817.6499020000001</v>
      </c>
      <c r="L1653" s="4">
        <f t="shared" si="181"/>
        <v>-2.1324899428992832E-2</v>
      </c>
    </row>
    <row r="1654" spans="1:12" x14ac:dyDescent="0.25">
      <c r="A1654" s="1">
        <v>43481</v>
      </c>
      <c r="B1654">
        <v>6822.8999020000001</v>
      </c>
      <c r="C1654">
        <v>6838</v>
      </c>
      <c r="D1654">
        <v>6806.25</v>
      </c>
      <c r="E1654">
        <v>6815.3500979999999</v>
      </c>
      <c r="F1654" s="4">
        <f t="shared" si="176"/>
        <v>6675.2998049999997</v>
      </c>
      <c r="G1654" s="4">
        <f t="shared" si="177"/>
        <v>6817.6499020000001</v>
      </c>
      <c r="H1654" s="4">
        <f t="shared" si="178"/>
        <v>0</v>
      </c>
      <c r="I1654" s="4">
        <f t="shared" si="175"/>
        <v>1</v>
      </c>
      <c r="J1654" s="11">
        <f t="shared" si="179"/>
        <v>0</v>
      </c>
      <c r="K1654" s="6">
        <f t="shared" si="180"/>
        <v>6817.6499020000001</v>
      </c>
      <c r="L1654" s="4">
        <f t="shared" si="181"/>
        <v>0</v>
      </c>
    </row>
    <row r="1655" spans="1:12" x14ac:dyDescent="0.25">
      <c r="A1655" s="1">
        <v>43482</v>
      </c>
      <c r="B1655">
        <v>6823.25</v>
      </c>
      <c r="C1655">
        <v>6861.6000979999999</v>
      </c>
      <c r="D1655">
        <v>6820.75</v>
      </c>
      <c r="E1655">
        <v>6840.7998049999997</v>
      </c>
      <c r="F1655" s="4">
        <f t="shared" si="176"/>
        <v>6675.2998049999997</v>
      </c>
      <c r="G1655" s="4">
        <f t="shared" si="177"/>
        <v>6840.7998049999997</v>
      </c>
      <c r="H1655" s="4" t="str">
        <f t="shared" si="178"/>
        <v>BUY</v>
      </c>
      <c r="I1655" s="4">
        <f t="shared" si="175"/>
        <v>1</v>
      </c>
      <c r="J1655" s="11">
        <f t="shared" si="179"/>
        <v>0</v>
      </c>
      <c r="K1655" s="6">
        <f t="shared" si="180"/>
        <v>6817.6499020000001</v>
      </c>
      <c r="L1655" s="4">
        <f t="shared" si="181"/>
        <v>0</v>
      </c>
    </row>
    <row r="1656" spans="1:12" x14ac:dyDescent="0.25">
      <c r="A1656" s="1">
        <v>43483</v>
      </c>
      <c r="B1656">
        <v>6855.7998049999997</v>
      </c>
      <c r="C1656">
        <v>6869.8500979999999</v>
      </c>
      <c r="D1656">
        <v>6772.8500979999999</v>
      </c>
      <c r="E1656">
        <v>6782.75</v>
      </c>
      <c r="F1656" s="4">
        <f t="shared" si="176"/>
        <v>6779.3999020000001</v>
      </c>
      <c r="G1656" s="4">
        <f t="shared" si="177"/>
        <v>6840.7998049999997</v>
      </c>
      <c r="H1656" s="4">
        <f t="shared" si="178"/>
        <v>0</v>
      </c>
      <c r="I1656" s="4">
        <f t="shared" si="175"/>
        <v>1</v>
      </c>
      <c r="J1656" s="11">
        <f t="shared" si="179"/>
        <v>0</v>
      </c>
      <c r="K1656" s="6">
        <f t="shared" si="180"/>
        <v>6817.6499020000001</v>
      </c>
      <c r="L1656" s="4">
        <f t="shared" si="181"/>
        <v>0</v>
      </c>
    </row>
    <row r="1657" spans="1:12" x14ac:dyDescent="0.25">
      <c r="A1657" s="1">
        <v>43486</v>
      </c>
      <c r="B1657">
        <v>6778.5498049999997</v>
      </c>
      <c r="C1657">
        <v>6786.25</v>
      </c>
      <c r="D1657">
        <v>6750.2998049999997</v>
      </c>
      <c r="E1657">
        <v>6761.25</v>
      </c>
      <c r="F1657" s="4">
        <f t="shared" si="176"/>
        <v>6761.25</v>
      </c>
      <c r="G1657" s="4">
        <f t="shared" si="177"/>
        <v>6840.7998049999997</v>
      </c>
      <c r="H1657" s="4" t="str">
        <f t="shared" si="178"/>
        <v>SELL</v>
      </c>
      <c r="I1657" s="4">
        <f t="shared" si="175"/>
        <v>-1</v>
      </c>
      <c r="J1657" s="11" t="str">
        <f t="shared" si="179"/>
        <v>SELL</v>
      </c>
      <c r="K1657" s="6">
        <f t="shared" si="180"/>
        <v>6761.25</v>
      </c>
      <c r="L1657" s="4">
        <f t="shared" si="181"/>
        <v>-8.2726310107908083E-3</v>
      </c>
    </row>
    <row r="1658" spans="1:12" x14ac:dyDescent="0.25">
      <c r="A1658" s="1">
        <v>43487</v>
      </c>
      <c r="B1658">
        <v>6769</v>
      </c>
      <c r="C1658">
        <v>6779.7001950000003</v>
      </c>
      <c r="D1658">
        <v>6708.6499020000001</v>
      </c>
      <c r="E1658">
        <v>6715.25</v>
      </c>
      <c r="F1658" s="4">
        <f t="shared" si="176"/>
        <v>6715.25</v>
      </c>
      <c r="G1658" s="4">
        <f t="shared" si="177"/>
        <v>6840.7998049999997</v>
      </c>
      <c r="H1658" s="4" t="str">
        <f t="shared" si="178"/>
        <v>SELL</v>
      </c>
      <c r="I1658" s="4">
        <f t="shared" si="175"/>
        <v>-1</v>
      </c>
      <c r="J1658" s="11">
        <f t="shared" si="179"/>
        <v>0</v>
      </c>
      <c r="K1658" s="6">
        <f t="shared" si="180"/>
        <v>6761.25</v>
      </c>
      <c r="L1658" s="4">
        <f t="shared" si="181"/>
        <v>0</v>
      </c>
    </row>
    <row r="1659" spans="1:12" x14ac:dyDescent="0.25">
      <c r="A1659" s="1">
        <v>43488</v>
      </c>
      <c r="B1659">
        <v>6724.9501950000003</v>
      </c>
      <c r="C1659">
        <v>6780.1499020000001</v>
      </c>
      <c r="D1659">
        <v>6656.7998049999997</v>
      </c>
      <c r="E1659">
        <v>6696.3999020000001</v>
      </c>
      <c r="F1659" s="4">
        <f t="shared" si="176"/>
        <v>6696.3999020000001</v>
      </c>
      <c r="G1659" s="4">
        <f t="shared" si="177"/>
        <v>6840.7998049999997</v>
      </c>
      <c r="H1659" s="4" t="str">
        <f t="shared" si="178"/>
        <v>SELL</v>
      </c>
      <c r="I1659" s="4">
        <f t="shared" si="175"/>
        <v>-1</v>
      </c>
      <c r="J1659" s="11">
        <f t="shared" si="179"/>
        <v>0</v>
      </c>
      <c r="K1659" s="6">
        <f t="shared" si="180"/>
        <v>6761.25</v>
      </c>
      <c r="L1659" s="4">
        <f t="shared" si="181"/>
        <v>0</v>
      </c>
    </row>
    <row r="1660" spans="1:12" x14ac:dyDescent="0.25">
      <c r="A1660" s="1">
        <v>43489</v>
      </c>
      <c r="B1660">
        <v>6709.9501950000003</v>
      </c>
      <c r="C1660">
        <v>6737.6499020000001</v>
      </c>
      <c r="D1660">
        <v>6689.5</v>
      </c>
      <c r="E1660">
        <v>6694.7998049999997</v>
      </c>
      <c r="F1660" s="4">
        <f t="shared" si="176"/>
        <v>6694.7998049999997</v>
      </c>
      <c r="G1660" s="4">
        <f t="shared" si="177"/>
        <v>6782.75</v>
      </c>
      <c r="H1660" s="4" t="str">
        <f t="shared" si="178"/>
        <v>SELL</v>
      </c>
      <c r="I1660" s="4">
        <f t="shared" si="175"/>
        <v>-1</v>
      </c>
      <c r="J1660" s="11">
        <f t="shared" si="179"/>
        <v>0</v>
      </c>
      <c r="K1660" s="6">
        <f t="shared" si="180"/>
        <v>6761.25</v>
      </c>
      <c r="L1660" s="4">
        <f t="shared" si="181"/>
        <v>0</v>
      </c>
    </row>
    <row r="1661" spans="1:12" x14ac:dyDescent="0.25">
      <c r="A1661" s="1">
        <v>43490</v>
      </c>
      <c r="B1661">
        <v>6681.6499020000001</v>
      </c>
      <c r="C1661">
        <v>6741.0498049999997</v>
      </c>
      <c r="D1661">
        <v>6680.4501950000003</v>
      </c>
      <c r="E1661">
        <v>6699.3500979999999</v>
      </c>
      <c r="F1661" s="4">
        <f t="shared" si="176"/>
        <v>6694.7998049999997</v>
      </c>
      <c r="G1661" s="4">
        <f t="shared" si="177"/>
        <v>6761.25</v>
      </c>
      <c r="H1661" s="4">
        <f t="shared" si="178"/>
        <v>0</v>
      </c>
      <c r="I1661" s="4">
        <f t="shared" si="175"/>
        <v>-1</v>
      </c>
      <c r="J1661" s="11">
        <f t="shared" si="179"/>
        <v>0</v>
      </c>
      <c r="K1661" s="6">
        <f t="shared" si="180"/>
        <v>6761.25</v>
      </c>
      <c r="L1661" s="4">
        <f t="shared" si="181"/>
        <v>0</v>
      </c>
    </row>
    <row r="1662" spans="1:12" x14ac:dyDescent="0.25">
      <c r="A1662" s="1">
        <v>43493</v>
      </c>
      <c r="B1662">
        <v>6719.25</v>
      </c>
      <c r="C1662">
        <v>6743.4501950000003</v>
      </c>
      <c r="D1662">
        <v>6701.8999020000001</v>
      </c>
      <c r="E1662">
        <v>6715.2998049999997</v>
      </c>
      <c r="F1662" s="4">
        <f t="shared" si="176"/>
        <v>6694.7998049999997</v>
      </c>
      <c r="G1662" s="4">
        <f t="shared" si="177"/>
        <v>6715.2998049999997</v>
      </c>
      <c r="H1662" s="4">
        <f t="shared" si="178"/>
        <v>0</v>
      </c>
      <c r="I1662" s="4">
        <f t="shared" si="175"/>
        <v>-1</v>
      </c>
      <c r="J1662" s="11">
        <f t="shared" si="179"/>
        <v>0</v>
      </c>
      <c r="K1662" s="6">
        <f t="shared" si="180"/>
        <v>6761.25</v>
      </c>
      <c r="L1662" s="4">
        <f t="shared" si="181"/>
        <v>0</v>
      </c>
    </row>
    <row r="1663" spans="1:12" x14ac:dyDescent="0.25">
      <c r="A1663" s="1">
        <v>43494</v>
      </c>
      <c r="B1663">
        <v>6708.6000979999999</v>
      </c>
      <c r="C1663">
        <v>6718.75</v>
      </c>
      <c r="D1663">
        <v>6642.8999020000001</v>
      </c>
      <c r="E1663">
        <v>6652.5498049999997</v>
      </c>
      <c r="F1663" s="4">
        <f t="shared" si="176"/>
        <v>6652.5498049999997</v>
      </c>
      <c r="G1663" s="4">
        <f t="shared" si="177"/>
        <v>6715.2998049999997</v>
      </c>
      <c r="H1663" s="4" t="str">
        <f t="shared" si="178"/>
        <v>SELL</v>
      </c>
      <c r="I1663" s="4">
        <f t="shared" si="175"/>
        <v>-1</v>
      </c>
      <c r="J1663" s="11">
        <f t="shared" si="179"/>
        <v>0</v>
      </c>
      <c r="K1663" s="6">
        <f t="shared" si="180"/>
        <v>6761.25</v>
      </c>
      <c r="L1663" s="4">
        <f t="shared" si="181"/>
        <v>0</v>
      </c>
    </row>
    <row r="1664" spans="1:12" x14ac:dyDescent="0.25">
      <c r="A1664" s="1">
        <v>43495</v>
      </c>
      <c r="B1664">
        <v>6669.8999020000001</v>
      </c>
      <c r="C1664">
        <v>6688.3999020000001</v>
      </c>
      <c r="D1664">
        <v>6638.5498049999997</v>
      </c>
      <c r="E1664">
        <v>6659.8500979999999</v>
      </c>
      <c r="F1664" s="4">
        <f t="shared" si="176"/>
        <v>6652.5498049999997</v>
      </c>
      <c r="G1664" s="4">
        <f t="shared" si="177"/>
        <v>6715.2998049999997</v>
      </c>
      <c r="H1664" s="4">
        <f t="shared" si="178"/>
        <v>0</v>
      </c>
      <c r="I1664" s="4">
        <f t="shared" si="175"/>
        <v>-1</v>
      </c>
      <c r="J1664" s="11">
        <f t="shared" si="179"/>
        <v>0</v>
      </c>
      <c r="K1664" s="6">
        <f t="shared" si="180"/>
        <v>6761.25</v>
      </c>
      <c r="L1664" s="4">
        <f t="shared" si="181"/>
        <v>0</v>
      </c>
    </row>
    <row r="1665" spans="1:12" x14ac:dyDescent="0.25">
      <c r="A1665" s="1">
        <v>43496</v>
      </c>
      <c r="B1665">
        <v>6654.1499020000001</v>
      </c>
      <c r="C1665">
        <v>6871.3500979999999</v>
      </c>
      <c r="D1665">
        <v>6652.1499020000001</v>
      </c>
      <c r="E1665">
        <v>6858.7998049999997</v>
      </c>
      <c r="F1665" s="4">
        <f t="shared" si="176"/>
        <v>6652.5498049999997</v>
      </c>
      <c r="G1665" s="4">
        <f t="shared" si="177"/>
        <v>6858.7998049999997</v>
      </c>
      <c r="H1665" s="4" t="str">
        <f t="shared" si="178"/>
        <v>BUY</v>
      </c>
      <c r="I1665" s="4">
        <f t="shared" si="175"/>
        <v>1</v>
      </c>
      <c r="J1665" s="11" t="str">
        <f t="shared" si="179"/>
        <v>BUY</v>
      </c>
      <c r="K1665" s="6">
        <f t="shared" si="180"/>
        <v>6858.7998049999997</v>
      </c>
      <c r="L1665" s="4">
        <f t="shared" si="181"/>
        <v>-1.4427776668515385E-2</v>
      </c>
    </row>
    <row r="1666" spans="1:12" x14ac:dyDescent="0.25">
      <c r="A1666" s="1">
        <v>43497</v>
      </c>
      <c r="B1666">
        <v>6863.3999020000001</v>
      </c>
      <c r="C1666">
        <v>7020.0498049999997</v>
      </c>
      <c r="D1666">
        <v>6862.8999020000001</v>
      </c>
      <c r="E1666">
        <v>7014.25</v>
      </c>
      <c r="F1666" s="4">
        <f t="shared" si="176"/>
        <v>6652.5498049999997</v>
      </c>
      <c r="G1666" s="4">
        <f t="shared" si="177"/>
        <v>7014.25</v>
      </c>
      <c r="H1666" s="4" t="str">
        <f t="shared" si="178"/>
        <v>BUY</v>
      </c>
      <c r="I1666" s="4">
        <f t="shared" si="175"/>
        <v>1</v>
      </c>
      <c r="J1666" s="11">
        <f t="shared" si="179"/>
        <v>0</v>
      </c>
      <c r="K1666" s="6">
        <f t="shared" si="180"/>
        <v>6858.7998049999997</v>
      </c>
      <c r="L1666" s="4">
        <f t="shared" si="181"/>
        <v>0</v>
      </c>
    </row>
    <row r="1667" spans="1:12" x14ac:dyDescent="0.25">
      <c r="A1667" s="1">
        <v>43500</v>
      </c>
      <c r="B1667">
        <v>7080</v>
      </c>
      <c r="C1667">
        <v>7172.3500979999999</v>
      </c>
      <c r="D1667">
        <v>7067.1499020000001</v>
      </c>
      <c r="E1667">
        <v>7108.75</v>
      </c>
      <c r="F1667" s="4">
        <f t="shared" si="176"/>
        <v>6652.5498049999997</v>
      </c>
      <c r="G1667" s="4">
        <f t="shared" si="177"/>
        <v>7108.75</v>
      </c>
      <c r="H1667" s="4" t="str">
        <f t="shared" si="178"/>
        <v>BUY</v>
      </c>
      <c r="I1667" s="4">
        <f t="shared" si="175"/>
        <v>1</v>
      </c>
      <c r="J1667" s="11">
        <f t="shared" si="179"/>
        <v>0</v>
      </c>
      <c r="K1667" s="6">
        <f t="shared" si="180"/>
        <v>6858.7998049999997</v>
      </c>
      <c r="L1667" s="4">
        <f t="shared" si="181"/>
        <v>0</v>
      </c>
    </row>
    <row r="1668" spans="1:12" x14ac:dyDescent="0.25">
      <c r="A1668" s="1">
        <v>43501</v>
      </c>
      <c r="B1668">
        <v>7112</v>
      </c>
      <c r="C1668">
        <v>7142.25</v>
      </c>
      <c r="D1668">
        <v>7080.8999020000001</v>
      </c>
      <c r="E1668">
        <v>7108.75</v>
      </c>
      <c r="F1668" s="4">
        <f t="shared" si="176"/>
        <v>6659.8500979999999</v>
      </c>
      <c r="G1668" s="4">
        <f t="shared" si="177"/>
        <v>7108.75</v>
      </c>
      <c r="H1668" s="4">
        <f t="shared" si="178"/>
        <v>0</v>
      </c>
      <c r="I1668" s="4">
        <f t="shared" si="175"/>
        <v>1</v>
      </c>
      <c r="J1668" s="11">
        <f t="shared" si="179"/>
        <v>0</v>
      </c>
      <c r="K1668" s="6">
        <f t="shared" si="180"/>
        <v>6858.7998049999997</v>
      </c>
      <c r="L1668" s="4">
        <f t="shared" si="181"/>
        <v>0</v>
      </c>
    </row>
    <row r="1669" spans="1:12" x14ac:dyDescent="0.25">
      <c r="A1669" s="1">
        <v>43502</v>
      </c>
      <c r="B1669">
        <v>7111.2998049999997</v>
      </c>
      <c r="C1669">
        <v>7152.5498049999997</v>
      </c>
      <c r="D1669">
        <v>7082.5498049999997</v>
      </c>
      <c r="E1669">
        <v>7123.1499020000001</v>
      </c>
      <c r="F1669" s="4">
        <f t="shared" si="176"/>
        <v>6858.7998049999997</v>
      </c>
      <c r="G1669" s="4">
        <f t="shared" si="177"/>
        <v>7123.1499020000001</v>
      </c>
      <c r="H1669" s="4" t="str">
        <f t="shared" si="178"/>
        <v>BUY</v>
      </c>
      <c r="I1669" s="4">
        <f t="shared" si="175"/>
        <v>1</v>
      </c>
      <c r="J1669" s="11">
        <f t="shared" si="179"/>
        <v>0</v>
      </c>
      <c r="K1669" s="6">
        <f t="shared" si="180"/>
        <v>6858.7998049999997</v>
      </c>
      <c r="L1669" s="4">
        <f t="shared" si="181"/>
        <v>0</v>
      </c>
    </row>
    <row r="1670" spans="1:12" x14ac:dyDescent="0.25">
      <c r="A1670" s="1">
        <v>43503</v>
      </c>
      <c r="B1670">
        <v>7270.2001950000003</v>
      </c>
      <c r="C1670">
        <v>7563.5</v>
      </c>
      <c r="D1670">
        <v>7130.6499020000001</v>
      </c>
      <c r="E1670">
        <v>7203</v>
      </c>
      <c r="F1670" s="4">
        <f t="shared" si="176"/>
        <v>7014.25</v>
      </c>
      <c r="G1670" s="4">
        <f t="shared" si="177"/>
        <v>7203</v>
      </c>
      <c r="H1670" s="4" t="str">
        <f t="shared" si="178"/>
        <v>BUY</v>
      </c>
      <c r="I1670" s="4">
        <f t="shared" ref="I1670:I1733" si="182">IF(AND(H1670="BUY",I1669&lt;&gt;1),1,IF(AND(H1670="SELL",I1669&lt;&gt;-1),-1,I1669))</f>
        <v>1</v>
      </c>
      <c r="J1670" s="11">
        <f t="shared" si="179"/>
        <v>0</v>
      </c>
      <c r="K1670" s="6">
        <f t="shared" si="180"/>
        <v>6858.7998049999997</v>
      </c>
      <c r="L1670" s="4">
        <f t="shared" si="181"/>
        <v>0</v>
      </c>
    </row>
    <row r="1671" spans="1:12" x14ac:dyDescent="0.25">
      <c r="A1671" s="1">
        <v>43504</v>
      </c>
      <c r="B1671">
        <v>7276.8500979999999</v>
      </c>
      <c r="C1671">
        <v>7291.1000979999999</v>
      </c>
      <c r="D1671">
        <v>7193.5498049999997</v>
      </c>
      <c r="E1671">
        <v>7263.5498049999997</v>
      </c>
      <c r="F1671" s="4">
        <f t="shared" ref="F1671:F1734" si="183">MIN(E1667:E1671)</f>
        <v>7108.75</v>
      </c>
      <c r="G1671" s="4">
        <f t="shared" ref="G1671:G1734" si="184">MAX(E1667:E1671)</f>
        <v>7263.5498049999997</v>
      </c>
      <c r="H1671" s="4" t="str">
        <f t="shared" ref="H1671:H1734" si="185">IF(E1671&gt;G1670,"BUY",IF(E1671&lt;F1670,"SELL",0))</f>
        <v>BUY</v>
      </c>
      <c r="I1671" s="4">
        <f t="shared" si="182"/>
        <v>1</v>
      </c>
      <c r="J1671" s="11">
        <f t="shared" ref="J1671:J1734" si="186">IF(I1671&lt;&gt;I1670,H1671,0)</f>
        <v>0</v>
      </c>
      <c r="K1671" s="6">
        <f t="shared" ref="K1671:K1734" si="187">IF(J1671&lt;&gt;0,E1671,K1670)</f>
        <v>6858.7998049999997</v>
      </c>
      <c r="L1671" s="4">
        <f t="shared" si="181"/>
        <v>0</v>
      </c>
    </row>
    <row r="1672" spans="1:12" x14ac:dyDescent="0.25">
      <c r="A1672" s="1">
        <v>43507</v>
      </c>
      <c r="B1672">
        <v>7309.9501950000003</v>
      </c>
      <c r="C1672">
        <v>7353.6499020000001</v>
      </c>
      <c r="D1672">
        <v>7247.7001950000003</v>
      </c>
      <c r="E1672">
        <v>7275.5</v>
      </c>
      <c r="F1672" s="4">
        <f t="shared" si="183"/>
        <v>7108.75</v>
      </c>
      <c r="G1672" s="4">
        <f t="shared" si="184"/>
        <v>7275.5</v>
      </c>
      <c r="H1672" s="4" t="str">
        <f t="shared" si="185"/>
        <v>BUY</v>
      </c>
      <c r="I1672" s="4">
        <f t="shared" si="182"/>
        <v>1</v>
      </c>
      <c r="J1672" s="11">
        <f t="shared" si="186"/>
        <v>0</v>
      </c>
      <c r="K1672" s="6">
        <f t="shared" si="187"/>
        <v>6858.7998049999997</v>
      </c>
      <c r="L1672" s="4">
        <f t="shared" ref="L1672:L1735" si="188">IF(J1672="BUY",(K1671-K1672)/K1671,IF(J1672="SELL",(K1673-K1671)/K1671,0))</f>
        <v>0</v>
      </c>
    </row>
    <row r="1673" spans="1:12" x14ac:dyDescent="0.25">
      <c r="A1673" s="1">
        <v>43508</v>
      </c>
      <c r="B1673">
        <v>7274.8500979999999</v>
      </c>
      <c r="C1673">
        <v>7287.1499020000001</v>
      </c>
      <c r="D1673">
        <v>7206.7001950000003</v>
      </c>
      <c r="E1673">
        <v>7252.8999020000001</v>
      </c>
      <c r="F1673" s="4">
        <f t="shared" si="183"/>
        <v>7123.1499020000001</v>
      </c>
      <c r="G1673" s="4">
        <f t="shared" si="184"/>
        <v>7275.5</v>
      </c>
      <c r="H1673" s="4">
        <f t="shared" si="185"/>
        <v>0</v>
      </c>
      <c r="I1673" s="4">
        <f t="shared" si="182"/>
        <v>1</v>
      </c>
      <c r="J1673" s="11">
        <f t="shared" si="186"/>
        <v>0</v>
      </c>
      <c r="K1673" s="6">
        <f t="shared" si="187"/>
        <v>6858.7998049999997</v>
      </c>
      <c r="L1673" s="4">
        <f t="shared" si="188"/>
        <v>0</v>
      </c>
    </row>
    <row r="1674" spans="1:12" x14ac:dyDescent="0.25">
      <c r="A1674" s="1">
        <v>43509</v>
      </c>
      <c r="B1674">
        <v>7289.9501950000003</v>
      </c>
      <c r="C1674">
        <v>7319.5498049999997</v>
      </c>
      <c r="D1674">
        <v>7258.1499020000001</v>
      </c>
      <c r="E1674">
        <v>7276.3999020000001</v>
      </c>
      <c r="F1674" s="4">
        <f t="shared" si="183"/>
        <v>7203</v>
      </c>
      <c r="G1674" s="4">
        <f t="shared" si="184"/>
        <v>7276.3999020000001</v>
      </c>
      <c r="H1674" s="4" t="str">
        <f t="shared" si="185"/>
        <v>BUY</v>
      </c>
      <c r="I1674" s="4">
        <f t="shared" si="182"/>
        <v>1</v>
      </c>
      <c r="J1674" s="11">
        <f t="shared" si="186"/>
        <v>0</v>
      </c>
      <c r="K1674" s="6">
        <f t="shared" si="187"/>
        <v>6858.7998049999997</v>
      </c>
      <c r="L1674" s="4">
        <f t="shared" si="188"/>
        <v>0</v>
      </c>
    </row>
    <row r="1675" spans="1:12" x14ac:dyDescent="0.25">
      <c r="A1675" s="1">
        <v>43510</v>
      </c>
      <c r="B1675">
        <v>7306.5</v>
      </c>
      <c r="C1675">
        <v>7381</v>
      </c>
      <c r="D1675">
        <v>7293.8999020000001</v>
      </c>
      <c r="E1675">
        <v>7367.1000979999999</v>
      </c>
      <c r="F1675" s="4">
        <f t="shared" si="183"/>
        <v>7252.8999020000001</v>
      </c>
      <c r="G1675" s="4">
        <f t="shared" si="184"/>
        <v>7367.1000979999999</v>
      </c>
      <c r="H1675" s="4" t="str">
        <f t="shared" si="185"/>
        <v>BUY</v>
      </c>
      <c r="I1675" s="4">
        <f t="shared" si="182"/>
        <v>1</v>
      </c>
      <c r="J1675" s="11">
        <f t="shared" si="186"/>
        <v>0</v>
      </c>
      <c r="K1675" s="6">
        <f t="shared" si="187"/>
        <v>6858.7998049999997</v>
      </c>
      <c r="L1675" s="4">
        <f t="shared" si="188"/>
        <v>0</v>
      </c>
    </row>
    <row r="1676" spans="1:12" x14ac:dyDescent="0.25">
      <c r="A1676" s="1">
        <v>43511</v>
      </c>
      <c r="B1676">
        <v>7428.75</v>
      </c>
      <c r="C1676">
        <v>7504</v>
      </c>
      <c r="D1676">
        <v>7269.0498049999997</v>
      </c>
      <c r="E1676">
        <v>7359.0498049999997</v>
      </c>
      <c r="F1676" s="4">
        <f t="shared" si="183"/>
        <v>7252.8999020000001</v>
      </c>
      <c r="G1676" s="4">
        <f t="shared" si="184"/>
        <v>7367.1000979999999</v>
      </c>
      <c r="H1676" s="4">
        <f t="shared" si="185"/>
        <v>0</v>
      </c>
      <c r="I1676" s="4">
        <f t="shared" si="182"/>
        <v>1</v>
      </c>
      <c r="J1676" s="11">
        <f t="shared" si="186"/>
        <v>0</v>
      </c>
      <c r="K1676" s="6">
        <f t="shared" si="187"/>
        <v>6858.7998049999997</v>
      </c>
      <c r="L1676" s="4">
        <f t="shared" si="188"/>
        <v>0</v>
      </c>
    </row>
    <row r="1677" spans="1:12" x14ac:dyDescent="0.25">
      <c r="A1677" s="1">
        <v>43514</v>
      </c>
      <c r="B1677">
        <v>7363.1000979999999</v>
      </c>
      <c r="C1677">
        <v>7372.9501950000003</v>
      </c>
      <c r="D1677">
        <v>7274.75</v>
      </c>
      <c r="E1677">
        <v>7318</v>
      </c>
      <c r="F1677" s="4">
        <f t="shared" si="183"/>
        <v>7252.8999020000001</v>
      </c>
      <c r="G1677" s="4">
        <f t="shared" si="184"/>
        <v>7367.1000979999999</v>
      </c>
      <c r="H1677" s="4">
        <f t="shared" si="185"/>
        <v>0</v>
      </c>
      <c r="I1677" s="4">
        <f t="shared" si="182"/>
        <v>1</v>
      </c>
      <c r="J1677" s="11">
        <f t="shared" si="186"/>
        <v>0</v>
      </c>
      <c r="K1677" s="6">
        <f t="shared" si="187"/>
        <v>6858.7998049999997</v>
      </c>
      <c r="L1677" s="4">
        <f t="shared" si="188"/>
        <v>0</v>
      </c>
    </row>
    <row r="1678" spans="1:12" x14ac:dyDescent="0.25">
      <c r="A1678" s="1">
        <v>43515</v>
      </c>
      <c r="B1678">
        <v>7324.9501950000003</v>
      </c>
      <c r="C1678">
        <v>7344.75</v>
      </c>
      <c r="D1678">
        <v>7302.6000979999999</v>
      </c>
      <c r="E1678">
        <v>7329.6499020000001</v>
      </c>
      <c r="F1678" s="4">
        <f t="shared" si="183"/>
        <v>7276.3999020000001</v>
      </c>
      <c r="G1678" s="4">
        <f t="shared" si="184"/>
        <v>7367.1000979999999</v>
      </c>
      <c r="H1678" s="4">
        <f t="shared" si="185"/>
        <v>0</v>
      </c>
      <c r="I1678" s="4">
        <f t="shared" si="182"/>
        <v>1</v>
      </c>
      <c r="J1678" s="11">
        <f t="shared" si="186"/>
        <v>0</v>
      </c>
      <c r="K1678" s="6">
        <f t="shared" si="187"/>
        <v>6858.7998049999997</v>
      </c>
      <c r="L1678" s="4">
        <f t="shared" si="188"/>
        <v>0</v>
      </c>
    </row>
    <row r="1679" spans="1:12" x14ac:dyDescent="0.25">
      <c r="A1679" s="1">
        <v>43516</v>
      </c>
      <c r="B1679">
        <v>7316.6000979999999</v>
      </c>
      <c r="C1679">
        <v>7325.3999020000001</v>
      </c>
      <c r="D1679">
        <v>7224.3999020000001</v>
      </c>
      <c r="E1679">
        <v>7235.6499020000001</v>
      </c>
      <c r="F1679" s="4">
        <f t="shared" si="183"/>
        <v>7235.6499020000001</v>
      </c>
      <c r="G1679" s="4">
        <f t="shared" si="184"/>
        <v>7367.1000979999999</v>
      </c>
      <c r="H1679" s="4" t="str">
        <f t="shared" si="185"/>
        <v>SELL</v>
      </c>
      <c r="I1679" s="4">
        <f t="shared" si="182"/>
        <v>-1</v>
      </c>
      <c r="J1679" s="11" t="str">
        <f t="shared" si="186"/>
        <v>SELL</v>
      </c>
      <c r="K1679" s="6">
        <f t="shared" si="187"/>
        <v>7235.6499020000001</v>
      </c>
      <c r="L1679" s="4">
        <f t="shared" si="188"/>
        <v>5.4944029234572547E-2</v>
      </c>
    </row>
    <row r="1680" spans="1:12" x14ac:dyDescent="0.25">
      <c r="A1680" s="1">
        <v>43517</v>
      </c>
      <c r="B1680">
        <v>7254.8500979999999</v>
      </c>
      <c r="C1680">
        <v>7272.5</v>
      </c>
      <c r="D1680">
        <v>7118.4501950000003</v>
      </c>
      <c r="E1680">
        <v>7229.9501950000003</v>
      </c>
      <c r="F1680" s="4">
        <f t="shared" si="183"/>
        <v>7229.9501950000003</v>
      </c>
      <c r="G1680" s="4">
        <f t="shared" si="184"/>
        <v>7359.0498049999997</v>
      </c>
      <c r="H1680" s="4" t="str">
        <f t="shared" si="185"/>
        <v>SELL</v>
      </c>
      <c r="I1680" s="4">
        <f t="shared" si="182"/>
        <v>-1</v>
      </c>
      <c r="J1680" s="11">
        <f t="shared" si="186"/>
        <v>0</v>
      </c>
      <c r="K1680" s="6">
        <f t="shared" si="187"/>
        <v>7235.6499020000001</v>
      </c>
      <c r="L1680" s="4">
        <f t="shared" si="188"/>
        <v>0</v>
      </c>
    </row>
    <row r="1681" spans="1:12" x14ac:dyDescent="0.25">
      <c r="A1681" s="1">
        <v>43518</v>
      </c>
      <c r="B1681">
        <v>7264.0498049999997</v>
      </c>
      <c r="C1681">
        <v>7368.6000979999999</v>
      </c>
      <c r="D1681">
        <v>7239.5</v>
      </c>
      <c r="E1681">
        <v>7362.5</v>
      </c>
      <c r="F1681" s="4">
        <f t="shared" si="183"/>
        <v>7229.9501950000003</v>
      </c>
      <c r="G1681" s="4">
        <f t="shared" si="184"/>
        <v>7362.5</v>
      </c>
      <c r="H1681" s="4" t="str">
        <f t="shared" si="185"/>
        <v>BUY</v>
      </c>
      <c r="I1681" s="4">
        <f t="shared" si="182"/>
        <v>1</v>
      </c>
      <c r="J1681" s="11" t="str">
        <f t="shared" si="186"/>
        <v>BUY</v>
      </c>
      <c r="K1681" s="6">
        <f t="shared" si="187"/>
        <v>7362.5</v>
      </c>
      <c r="L1681" s="4">
        <f t="shared" si="188"/>
        <v>-1.75312652931062E-2</v>
      </c>
    </row>
    <row r="1682" spans="1:12" x14ac:dyDescent="0.25">
      <c r="A1682" s="1">
        <v>43521</v>
      </c>
      <c r="B1682">
        <v>7375.3500979999999</v>
      </c>
      <c r="C1682">
        <v>7424.9501950000003</v>
      </c>
      <c r="D1682">
        <v>7342.1499020000001</v>
      </c>
      <c r="E1682">
        <v>7415.8500979999999</v>
      </c>
      <c r="F1682" s="4">
        <f t="shared" si="183"/>
        <v>7229.9501950000003</v>
      </c>
      <c r="G1682" s="4">
        <f t="shared" si="184"/>
        <v>7415.8500979999999</v>
      </c>
      <c r="H1682" s="4" t="str">
        <f t="shared" si="185"/>
        <v>BUY</v>
      </c>
      <c r="I1682" s="4">
        <f t="shared" si="182"/>
        <v>1</v>
      </c>
      <c r="J1682" s="11">
        <f t="shared" si="186"/>
        <v>0</v>
      </c>
      <c r="K1682" s="6">
        <f t="shared" si="187"/>
        <v>7362.5</v>
      </c>
      <c r="L1682" s="4">
        <f t="shared" si="188"/>
        <v>0</v>
      </c>
    </row>
    <row r="1683" spans="1:12" x14ac:dyDescent="0.25">
      <c r="A1683" s="1">
        <v>43522</v>
      </c>
      <c r="B1683">
        <v>7417.5498049999997</v>
      </c>
      <c r="C1683">
        <v>7433.2998049999997</v>
      </c>
      <c r="D1683">
        <v>7391.3500979999999</v>
      </c>
      <c r="E1683">
        <v>7402.25</v>
      </c>
      <c r="F1683" s="4">
        <f t="shared" si="183"/>
        <v>7229.9501950000003</v>
      </c>
      <c r="G1683" s="4">
        <f t="shared" si="184"/>
        <v>7415.8500979999999</v>
      </c>
      <c r="H1683" s="4">
        <f t="shared" si="185"/>
        <v>0</v>
      </c>
      <c r="I1683" s="4">
        <f t="shared" si="182"/>
        <v>1</v>
      </c>
      <c r="J1683" s="11">
        <f t="shared" si="186"/>
        <v>0</v>
      </c>
      <c r="K1683" s="6">
        <f t="shared" si="187"/>
        <v>7362.5</v>
      </c>
      <c r="L1683" s="4">
        <f t="shared" si="188"/>
        <v>0</v>
      </c>
    </row>
    <row r="1684" spans="1:12" x14ac:dyDescent="0.25">
      <c r="A1684" s="1">
        <v>43523</v>
      </c>
      <c r="B1684">
        <v>7399.75</v>
      </c>
      <c r="C1684">
        <v>7484.7001950000003</v>
      </c>
      <c r="D1684">
        <v>7360.5</v>
      </c>
      <c r="E1684">
        <v>7474.1000979999999</v>
      </c>
      <c r="F1684" s="4">
        <f t="shared" si="183"/>
        <v>7229.9501950000003</v>
      </c>
      <c r="G1684" s="4">
        <f t="shared" si="184"/>
        <v>7474.1000979999999</v>
      </c>
      <c r="H1684" s="4" t="str">
        <f t="shared" si="185"/>
        <v>BUY</v>
      </c>
      <c r="I1684" s="4">
        <f t="shared" si="182"/>
        <v>1</v>
      </c>
      <c r="J1684" s="11">
        <f t="shared" si="186"/>
        <v>0</v>
      </c>
      <c r="K1684" s="6">
        <f t="shared" si="187"/>
        <v>7362.5</v>
      </c>
      <c r="L1684" s="4">
        <f t="shared" si="188"/>
        <v>0</v>
      </c>
    </row>
    <row r="1685" spans="1:12" x14ac:dyDescent="0.25">
      <c r="A1685" s="1">
        <v>43524</v>
      </c>
      <c r="B1685">
        <v>7521.5</v>
      </c>
      <c r="C1685">
        <v>7592.7001950000003</v>
      </c>
      <c r="D1685">
        <v>7497.6499020000001</v>
      </c>
      <c r="E1685">
        <v>7583.3999020000001</v>
      </c>
      <c r="F1685" s="4">
        <f t="shared" si="183"/>
        <v>7362.5</v>
      </c>
      <c r="G1685" s="4">
        <f t="shared" si="184"/>
        <v>7583.3999020000001</v>
      </c>
      <c r="H1685" s="4" t="str">
        <f t="shared" si="185"/>
        <v>BUY</v>
      </c>
      <c r="I1685" s="4">
        <f t="shared" si="182"/>
        <v>1</v>
      </c>
      <c r="J1685" s="11">
        <f t="shared" si="186"/>
        <v>0</v>
      </c>
      <c r="K1685" s="6">
        <f t="shared" si="187"/>
        <v>7362.5</v>
      </c>
      <c r="L1685" s="4">
        <f t="shared" si="188"/>
        <v>0</v>
      </c>
    </row>
    <row r="1686" spans="1:12" x14ac:dyDescent="0.25">
      <c r="A1686" s="1">
        <v>43525</v>
      </c>
      <c r="B1686">
        <v>7621.6499020000001</v>
      </c>
      <c r="C1686">
        <v>7673.7001950000003</v>
      </c>
      <c r="D1686">
        <v>7580.25</v>
      </c>
      <c r="E1686">
        <v>7654.6000979999999</v>
      </c>
      <c r="F1686" s="4">
        <f t="shared" si="183"/>
        <v>7402.25</v>
      </c>
      <c r="G1686" s="4">
        <f t="shared" si="184"/>
        <v>7654.6000979999999</v>
      </c>
      <c r="H1686" s="4" t="str">
        <f t="shared" si="185"/>
        <v>BUY</v>
      </c>
      <c r="I1686" s="4">
        <f t="shared" si="182"/>
        <v>1</v>
      </c>
      <c r="J1686" s="11">
        <f t="shared" si="186"/>
        <v>0</v>
      </c>
      <c r="K1686" s="6">
        <f t="shared" si="187"/>
        <v>7362.5</v>
      </c>
      <c r="L1686" s="4">
        <f t="shared" si="188"/>
        <v>0</v>
      </c>
    </row>
    <row r="1687" spans="1:12" x14ac:dyDescent="0.25">
      <c r="A1687" s="1">
        <v>43528</v>
      </c>
      <c r="B1687">
        <v>7679.0498049999997</v>
      </c>
      <c r="C1687">
        <v>7683.2001950000003</v>
      </c>
      <c r="D1687">
        <v>7579.2998049999997</v>
      </c>
      <c r="E1687">
        <v>7656.3999020000001</v>
      </c>
      <c r="F1687" s="4">
        <f t="shared" si="183"/>
        <v>7402.25</v>
      </c>
      <c r="G1687" s="4">
        <f t="shared" si="184"/>
        <v>7656.3999020000001</v>
      </c>
      <c r="H1687" s="4" t="str">
        <f t="shared" si="185"/>
        <v>BUY</v>
      </c>
      <c r="I1687" s="4">
        <f t="shared" si="182"/>
        <v>1</v>
      </c>
      <c r="J1687" s="11">
        <f t="shared" si="186"/>
        <v>0</v>
      </c>
      <c r="K1687" s="6">
        <f t="shared" si="187"/>
        <v>7362.5</v>
      </c>
      <c r="L1687" s="4">
        <f t="shared" si="188"/>
        <v>0</v>
      </c>
    </row>
    <row r="1688" spans="1:12" x14ac:dyDescent="0.25">
      <c r="A1688" s="1">
        <v>43529</v>
      </c>
      <c r="B1688">
        <v>7672.3999020000001</v>
      </c>
      <c r="C1688">
        <v>7700.0498049999997</v>
      </c>
      <c r="D1688">
        <v>7589.0498049999997</v>
      </c>
      <c r="E1688">
        <v>7626.8500979999999</v>
      </c>
      <c r="F1688" s="4">
        <f t="shared" si="183"/>
        <v>7474.1000979999999</v>
      </c>
      <c r="G1688" s="4">
        <f t="shared" si="184"/>
        <v>7656.3999020000001</v>
      </c>
      <c r="H1688" s="4">
        <f t="shared" si="185"/>
        <v>0</v>
      </c>
      <c r="I1688" s="4">
        <f t="shared" si="182"/>
        <v>1</v>
      </c>
      <c r="J1688" s="11">
        <f t="shared" si="186"/>
        <v>0</v>
      </c>
      <c r="K1688" s="6">
        <f t="shared" si="187"/>
        <v>7362.5</v>
      </c>
      <c r="L1688" s="4">
        <f t="shared" si="188"/>
        <v>0</v>
      </c>
    </row>
    <row r="1689" spans="1:12" x14ac:dyDescent="0.25">
      <c r="A1689" s="1">
        <v>43530</v>
      </c>
      <c r="B1689">
        <v>7641.2998049999997</v>
      </c>
      <c r="C1689">
        <v>7658</v>
      </c>
      <c r="D1689">
        <v>7593.7998049999997</v>
      </c>
      <c r="E1689">
        <v>7649.8999020000001</v>
      </c>
      <c r="F1689" s="4">
        <f t="shared" si="183"/>
        <v>7583.3999020000001</v>
      </c>
      <c r="G1689" s="4">
        <f t="shared" si="184"/>
        <v>7656.3999020000001</v>
      </c>
      <c r="H1689" s="4">
        <f t="shared" si="185"/>
        <v>0</v>
      </c>
      <c r="I1689" s="4">
        <f t="shared" si="182"/>
        <v>1</v>
      </c>
      <c r="J1689" s="11">
        <f t="shared" si="186"/>
        <v>0</v>
      </c>
      <c r="K1689" s="6">
        <f t="shared" si="187"/>
        <v>7362.5</v>
      </c>
      <c r="L1689" s="4">
        <f t="shared" si="188"/>
        <v>0</v>
      </c>
    </row>
    <row r="1690" spans="1:12" x14ac:dyDescent="0.25">
      <c r="A1690" s="1">
        <v>43531</v>
      </c>
      <c r="B1690">
        <v>7668.2001950000003</v>
      </c>
      <c r="C1690">
        <v>7678.5</v>
      </c>
      <c r="D1690">
        <v>7525.3500979999999</v>
      </c>
      <c r="E1690">
        <v>7542.1000979999999</v>
      </c>
      <c r="F1690" s="4">
        <f t="shared" si="183"/>
        <v>7542.1000979999999</v>
      </c>
      <c r="G1690" s="4">
        <f t="shared" si="184"/>
        <v>7656.3999020000001</v>
      </c>
      <c r="H1690" s="4" t="str">
        <f t="shared" si="185"/>
        <v>SELL</v>
      </c>
      <c r="I1690" s="4">
        <f t="shared" si="182"/>
        <v>-1</v>
      </c>
      <c r="J1690" s="11" t="str">
        <f t="shared" si="186"/>
        <v>SELL</v>
      </c>
      <c r="K1690" s="6">
        <f t="shared" si="187"/>
        <v>7542.1000979999999</v>
      </c>
      <c r="L1690" s="4">
        <f t="shared" si="188"/>
        <v>2.4393901256366708E-2</v>
      </c>
    </row>
    <row r="1691" spans="1:12" x14ac:dyDescent="0.25">
      <c r="A1691" s="1">
        <v>43532</v>
      </c>
      <c r="B1691">
        <v>7534.7998049999997</v>
      </c>
      <c r="C1691">
        <v>7548.6000979999999</v>
      </c>
      <c r="D1691">
        <v>7487.5498049999997</v>
      </c>
      <c r="E1691">
        <v>7533.5498049999997</v>
      </c>
      <c r="F1691" s="4">
        <f t="shared" si="183"/>
        <v>7533.5498049999997</v>
      </c>
      <c r="G1691" s="4">
        <f t="shared" si="184"/>
        <v>7656.3999020000001</v>
      </c>
      <c r="H1691" s="4" t="str">
        <f t="shared" si="185"/>
        <v>SELL</v>
      </c>
      <c r="I1691" s="4">
        <f t="shared" si="182"/>
        <v>-1</v>
      </c>
      <c r="J1691" s="11">
        <f t="shared" si="186"/>
        <v>0</v>
      </c>
      <c r="K1691" s="6">
        <f t="shared" si="187"/>
        <v>7542.1000979999999</v>
      </c>
      <c r="L1691" s="4">
        <f t="shared" si="188"/>
        <v>0</v>
      </c>
    </row>
    <row r="1692" spans="1:12" x14ac:dyDescent="0.25">
      <c r="A1692" s="1">
        <v>43535</v>
      </c>
      <c r="B1692">
        <v>7525.0498049999997</v>
      </c>
      <c r="C1692">
        <v>7637.6000979999999</v>
      </c>
      <c r="D1692">
        <v>7509.25</v>
      </c>
      <c r="E1692">
        <v>7631.7001950000003</v>
      </c>
      <c r="F1692" s="4">
        <f t="shared" si="183"/>
        <v>7533.5498049999997</v>
      </c>
      <c r="G1692" s="4">
        <f t="shared" si="184"/>
        <v>7649.8999020000001</v>
      </c>
      <c r="H1692" s="4">
        <f t="shared" si="185"/>
        <v>0</v>
      </c>
      <c r="I1692" s="4">
        <f t="shared" si="182"/>
        <v>-1</v>
      </c>
      <c r="J1692" s="11">
        <f t="shared" si="186"/>
        <v>0</v>
      </c>
      <c r="K1692" s="6">
        <f t="shared" si="187"/>
        <v>7542.1000979999999</v>
      </c>
      <c r="L1692" s="4">
        <f t="shared" si="188"/>
        <v>0</v>
      </c>
    </row>
    <row r="1693" spans="1:12" x14ac:dyDescent="0.25">
      <c r="A1693" s="1">
        <v>43536</v>
      </c>
      <c r="B1693">
        <v>7636.0498049999997</v>
      </c>
      <c r="C1693">
        <v>7663</v>
      </c>
      <c r="D1693">
        <v>7515.5</v>
      </c>
      <c r="E1693">
        <v>7558.2001950000003</v>
      </c>
      <c r="F1693" s="4">
        <f t="shared" si="183"/>
        <v>7533.5498049999997</v>
      </c>
      <c r="G1693" s="4">
        <f t="shared" si="184"/>
        <v>7649.8999020000001</v>
      </c>
      <c r="H1693" s="4">
        <f t="shared" si="185"/>
        <v>0</v>
      </c>
      <c r="I1693" s="4">
        <f t="shared" si="182"/>
        <v>-1</v>
      </c>
      <c r="J1693" s="11">
        <f t="shared" si="186"/>
        <v>0</v>
      </c>
      <c r="K1693" s="6">
        <f t="shared" si="187"/>
        <v>7542.1000979999999</v>
      </c>
      <c r="L1693" s="4">
        <f t="shared" si="188"/>
        <v>0</v>
      </c>
    </row>
    <row r="1694" spans="1:12" x14ac:dyDescent="0.25">
      <c r="A1694" s="1">
        <v>43537</v>
      </c>
      <c r="B1694">
        <v>7580.0498049999997</v>
      </c>
      <c r="C1694">
        <v>7606.4501950000003</v>
      </c>
      <c r="D1694">
        <v>7502.5498049999997</v>
      </c>
      <c r="E1694">
        <v>7540.7001950000003</v>
      </c>
      <c r="F1694" s="4">
        <f t="shared" si="183"/>
        <v>7533.5498049999997</v>
      </c>
      <c r="G1694" s="4">
        <f t="shared" si="184"/>
        <v>7631.7001950000003</v>
      </c>
      <c r="H1694" s="4">
        <f t="shared" si="185"/>
        <v>0</v>
      </c>
      <c r="I1694" s="4">
        <f t="shared" si="182"/>
        <v>-1</v>
      </c>
      <c r="J1694" s="11">
        <f t="shared" si="186"/>
        <v>0</v>
      </c>
      <c r="K1694" s="6">
        <f t="shared" si="187"/>
        <v>7542.1000979999999</v>
      </c>
      <c r="L1694" s="4">
        <f t="shared" si="188"/>
        <v>0</v>
      </c>
    </row>
    <row r="1695" spans="1:12" x14ac:dyDescent="0.25">
      <c r="A1695" s="1">
        <v>43538</v>
      </c>
      <c r="B1695">
        <v>7543.2998049999997</v>
      </c>
      <c r="C1695">
        <v>7560.5498049999997</v>
      </c>
      <c r="D1695">
        <v>7497.2998049999997</v>
      </c>
      <c r="E1695">
        <v>7511.4501950000003</v>
      </c>
      <c r="F1695" s="4">
        <f t="shared" si="183"/>
        <v>7511.4501950000003</v>
      </c>
      <c r="G1695" s="4">
        <f t="shared" si="184"/>
        <v>7631.7001950000003</v>
      </c>
      <c r="H1695" s="4" t="str">
        <f t="shared" si="185"/>
        <v>SELL</v>
      </c>
      <c r="I1695" s="4">
        <f t="shared" si="182"/>
        <v>-1</v>
      </c>
      <c r="J1695" s="11">
        <f t="shared" si="186"/>
        <v>0</v>
      </c>
      <c r="K1695" s="6">
        <f t="shared" si="187"/>
        <v>7542.1000979999999</v>
      </c>
      <c r="L1695" s="4">
        <f t="shared" si="188"/>
        <v>0</v>
      </c>
    </row>
    <row r="1696" spans="1:12" x14ac:dyDescent="0.25">
      <c r="A1696" s="1">
        <v>43539</v>
      </c>
      <c r="B1696">
        <v>7514</v>
      </c>
      <c r="C1696">
        <v>7534.7998049999997</v>
      </c>
      <c r="D1696">
        <v>7441.6000979999999</v>
      </c>
      <c r="E1696">
        <v>7493.3500979999999</v>
      </c>
      <c r="F1696" s="4">
        <f t="shared" si="183"/>
        <v>7493.3500979999999</v>
      </c>
      <c r="G1696" s="4">
        <f t="shared" si="184"/>
        <v>7631.7001950000003</v>
      </c>
      <c r="H1696" s="4" t="str">
        <f t="shared" si="185"/>
        <v>SELL</v>
      </c>
      <c r="I1696" s="4">
        <f t="shared" si="182"/>
        <v>-1</v>
      </c>
      <c r="J1696" s="11">
        <f t="shared" si="186"/>
        <v>0</v>
      </c>
      <c r="K1696" s="6">
        <f t="shared" si="187"/>
        <v>7542.1000979999999</v>
      </c>
      <c r="L1696" s="4">
        <f t="shared" si="188"/>
        <v>0</v>
      </c>
    </row>
    <row r="1697" spans="1:12" x14ac:dyDescent="0.25">
      <c r="A1697" s="1">
        <v>43542</v>
      </c>
      <c r="B1697">
        <v>7515.2001950000003</v>
      </c>
      <c r="C1697">
        <v>7593.3500979999999</v>
      </c>
      <c r="D1697">
        <v>7515.2001950000003</v>
      </c>
      <c r="E1697">
        <v>7580.2001950000003</v>
      </c>
      <c r="F1697" s="4">
        <f t="shared" si="183"/>
        <v>7493.3500979999999</v>
      </c>
      <c r="G1697" s="4">
        <f t="shared" si="184"/>
        <v>7580.2001950000003</v>
      </c>
      <c r="H1697" s="4">
        <f t="shared" si="185"/>
        <v>0</v>
      </c>
      <c r="I1697" s="4">
        <f t="shared" si="182"/>
        <v>-1</v>
      </c>
      <c r="J1697" s="11">
        <f t="shared" si="186"/>
        <v>0</v>
      </c>
      <c r="K1697" s="6">
        <f t="shared" si="187"/>
        <v>7542.1000979999999</v>
      </c>
      <c r="L1697" s="4">
        <f t="shared" si="188"/>
        <v>0</v>
      </c>
    </row>
    <row r="1698" spans="1:12" x14ac:dyDescent="0.25">
      <c r="A1698" s="1">
        <v>43543</v>
      </c>
      <c r="B1698">
        <v>7588.5498049999997</v>
      </c>
      <c r="C1698">
        <v>7589.25</v>
      </c>
      <c r="D1698">
        <v>7557.0498049999997</v>
      </c>
      <c r="E1698">
        <v>7569.25</v>
      </c>
      <c r="F1698" s="4">
        <f t="shared" si="183"/>
        <v>7493.3500979999999</v>
      </c>
      <c r="G1698" s="4">
        <f t="shared" si="184"/>
        <v>7580.2001950000003</v>
      </c>
      <c r="H1698" s="4">
        <f t="shared" si="185"/>
        <v>0</v>
      </c>
      <c r="I1698" s="4">
        <f t="shared" si="182"/>
        <v>-1</v>
      </c>
      <c r="J1698" s="11">
        <f t="shared" si="186"/>
        <v>0</v>
      </c>
      <c r="K1698" s="6">
        <f t="shared" si="187"/>
        <v>7542.1000979999999</v>
      </c>
      <c r="L1698" s="4">
        <f t="shared" si="188"/>
        <v>0</v>
      </c>
    </row>
    <row r="1699" spans="1:12" x14ac:dyDescent="0.25">
      <c r="A1699" s="1">
        <v>43544</v>
      </c>
      <c r="B1699">
        <v>7554.1000979999999</v>
      </c>
      <c r="C1699">
        <v>7570.2001950000003</v>
      </c>
      <c r="D1699">
        <v>7481.2998049999997</v>
      </c>
      <c r="E1699">
        <v>7493.2001950000003</v>
      </c>
      <c r="F1699" s="4">
        <f t="shared" si="183"/>
        <v>7493.2001950000003</v>
      </c>
      <c r="G1699" s="4">
        <f t="shared" si="184"/>
        <v>7580.2001950000003</v>
      </c>
      <c r="H1699" s="4" t="str">
        <f t="shared" si="185"/>
        <v>SELL</v>
      </c>
      <c r="I1699" s="4">
        <f t="shared" si="182"/>
        <v>-1</v>
      </c>
      <c r="J1699" s="11">
        <f t="shared" si="186"/>
        <v>0</v>
      </c>
      <c r="K1699" s="6">
        <f t="shared" si="187"/>
        <v>7542.1000979999999</v>
      </c>
      <c r="L1699" s="4">
        <f t="shared" si="188"/>
        <v>0</v>
      </c>
    </row>
    <row r="1700" spans="1:12" x14ac:dyDescent="0.25">
      <c r="A1700" s="1">
        <v>43545</v>
      </c>
      <c r="B1700">
        <v>7514.2001950000003</v>
      </c>
      <c r="C1700">
        <v>7538.75</v>
      </c>
      <c r="D1700">
        <v>7482.2998049999997</v>
      </c>
      <c r="E1700">
        <v>7508.7998049999997</v>
      </c>
      <c r="F1700" s="4">
        <f t="shared" si="183"/>
        <v>7493.2001950000003</v>
      </c>
      <c r="G1700" s="4">
        <f t="shared" si="184"/>
        <v>7580.2001950000003</v>
      </c>
      <c r="H1700" s="4">
        <f t="shared" si="185"/>
        <v>0</v>
      </c>
      <c r="I1700" s="4">
        <f t="shared" si="182"/>
        <v>-1</v>
      </c>
      <c r="J1700" s="11">
        <f t="shared" si="186"/>
        <v>0</v>
      </c>
      <c r="K1700" s="6">
        <f t="shared" si="187"/>
        <v>7542.1000979999999</v>
      </c>
      <c r="L1700" s="4">
        <f t="shared" si="188"/>
        <v>0</v>
      </c>
    </row>
    <row r="1701" spans="1:12" x14ac:dyDescent="0.25">
      <c r="A1701" s="1">
        <v>43546</v>
      </c>
      <c r="B1701">
        <v>7534.0498049999997</v>
      </c>
      <c r="C1701">
        <v>7623.6499020000001</v>
      </c>
      <c r="D1701">
        <v>7531.6000979999999</v>
      </c>
      <c r="E1701">
        <v>7611.3500979999999</v>
      </c>
      <c r="F1701" s="4">
        <f t="shared" si="183"/>
        <v>7493.2001950000003</v>
      </c>
      <c r="G1701" s="4">
        <f t="shared" si="184"/>
        <v>7611.3500979999999</v>
      </c>
      <c r="H1701" s="4" t="str">
        <f t="shared" si="185"/>
        <v>BUY</v>
      </c>
      <c r="I1701" s="4">
        <f t="shared" si="182"/>
        <v>1</v>
      </c>
      <c r="J1701" s="11" t="str">
        <f t="shared" si="186"/>
        <v>BUY</v>
      </c>
      <c r="K1701" s="6">
        <f t="shared" si="187"/>
        <v>7611.3500979999999</v>
      </c>
      <c r="L1701" s="4">
        <f t="shared" si="188"/>
        <v>-9.1817927500542698E-3</v>
      </c>
    </row>
    <row r="1702" spans="1:12" x14ac:dyDescent="0.25">
      <c r="A1702" s="1">
        <v>43549</v>
      </c>
      <c r="B1702">
        <v>7629</v>
      </c>
      <c r="C1702">
        <v>7649.5</v>
      </c>
      <c r="D1702">
        <v>7618.1499020000001</v>
      </c>
      <c r="E1702">
        <v>7634.7001950000003</v>
      </c>
      <c r="F1702" s="4">
        <f t="shared" si="183"/>
        <v>7493.2001950000003</v>
      </c>
      <c r="G1702" s="4">
        <f t="shared" si="184"/>
        <v>7634.7001950000003</v>
      </c>
      <c r="H1702" s="4" t="str">
        <f t="shared" si="185"/>
        <v>BUY</v>
      </c>
      <c r="I1702" s="4">
        <f t="shared" si="182"/>
        <v>1</v>
      </c>
      <c r="J1702" s="11">
        <f t="shared" si="186"/>
        <v>0</v>
      </c>
      <c r="K1702" s="6">
        <f t="shared" si="187"/>
        <v>7611.3500979999999</v>
      </c>
      <c r="L1702" s="4">
        <f t="shared" si="188"/>
        <v>0</v>
      </c>
    </row>
    <row r="1703" spans="1:12" x14ac:dyDescent="0.25">
      <c r="A1703" s="1">
        <v>43550</v>
      </c>
      <c r="B1703">
        <v>7683.0498049999997</v>
      </c>
      <c r="C1703">
        <v>7732.3999020000001</v>
      </c>
      <c r="D1703">
        <v>7677.2998049999997</v>
      </c>
      <c r="E1703">
        <v>7725.1499020000001</v>
      </c>
      <c r="F1703" s="4">
        <f t="shared" si="183"/>
        <v>7493.2001950000003</v>
      </c>
      <c r="G1703" s="4">
        <f t="shared" si="184"/>
        <v>7725.1499020000001</v>
      </c>
      <c r="H1703" s="4" t="str">
        <f t="shared" si="185"/>
        <v>BUY</v>
      </c>
      <c r="I1703" s="4">
        <f t="shared" si="182"/>
        <v>1</v>
      </c>
      <c r="J1703" s="11">
        <f t="shared" si="186"/>
        <v>0</v>
      </c>
      <c r="K1703" s="6">
        <f t="shared" si="187"/>
        <v>7611.3500979999999</v>
      </c>
      <c r="L1703" s="4">
        <f t="shared" si="188"/>
        <v>0</v>
      </c>
    </row>
    <row r="1704" spans="1:12" x14ac:dyDescent="0.25">
      <c r="A1704" s="1">
        <v>43551</v>
      </c>
      <c r="B1704">
        <v>7734.3500979999999</v>
      </c>
      <c r="C1704">
        <v>7754.6499020000001</v>
      </c>
      <c r="D1704">
        <v>7706.7998049999997</v>
      </c>
      <c r="E1704">
        <v>7714.7998049999997</v>
      </c>
      <c r="F1704" s="4">
        <f t="shared" si="183"/>
        <v>7508.7998049999997</v>
      </c>
      <c r="G1704" s="4">
        <f t="shared" si="184"/>
        <v>7725.1499020000001</v>
      </c>
      <c r="H1704" s="4">
        <f t="shared" si="185"/>
        <v>0</v>
      </c>
      <c r="I1704" s="4">
        <f t="shared" si="182"/>
        <v>1</v>
      </c>
      <c r="J1704" s="11">
        <f t="shared" si="186"/>
        <v>0</v>
      </c>
      <c r="K1704" s="6">
        <f t="shared" si="187"/>
        <v>7611.3500979999999</v>
      </c>
      <c r="L1704" s="4">
        <f t="shared" si="188"/>
        <v>0</v>
      </c>
    </row>
    <row r="1705" spans="1:12" x14ac:dyDescent="0.25">
      <c r="A1705" s="1">
        <v>43552</v>
      </c>
      <c r="B1705">
        <v>7718.1000979999999</v>
      </c>
      <c r="C1705">
        <v>7758</v>
      </c>
      <c r="D1705">
        <v>7661.2998049999997</v>
      </c>
      <c r="E1705">
        <v>7751.6000979999999</v>
      </c>
      <c r="F1705" s="4">
        <f t="shared" si="183"/>
        <v>7611.3500979999999</v>
      </c>
      <c r="G1705" s="4">
        <f t="shared" si="184"/>
        <v>7751.6000979999999</v>
      </c>
      <c r="H1705" s="4" t="str">
        <f t="shared" si="185"/>
        <v>BUY</v>
      </c>
      <c r="I1705" s="4">
        <f t="shared" si="182"/>
        <v>1</v>
      </c>
      <c r="J1705" s="11">
        <f t="shared" si="186"/>
        <v>0</v>
      </c>
      <c r="K1705" s="6">
        <f t="shared" si="187"/>
        <v>7611.3500979999999</v>
      </c>
      <c r="L1705" s="4">
        <f t="shared" si="188"/>
        <v>0</v>
      </c>
    </row>
    <row r="1706" spans="1:12" x14ac:dyDescent="0.25">
      <c r="A1706" s="1">
        <v>43553</v>
      </c>
      <c r="B1706">
        <v>7780.3999020000001</v>
      </c>
      <c r="C1706">
        <v>7792</v>
      </c>
      <c r="D1706">
        <v>7755.1000979999999</v>
      </c>
      <c r="E1706">
        <v>7787.1499020000001</v>
      </c>
      <c r="F1706" s="4">
        <f t="shared" si="183"/>
        <v>7634.7001950000003</v>
      </c>
      <c r="G1706" s="4">
        <f t="shared" si="184"/>
        <v>7787.1499020000001</v>
      </c>
      <c r="H1706" s="4" t="str">
        <f t="shared" si="185"/>
        <v>BUY</v>
      </c>
      <c r="I1706" s="4">
        <f t="shared" si="182"/>
        <v>1</v>
      </c>
      <c r="J1706" s="11">
        <f t="shared" si="186"/>
        <v>0</v>
      </c>
      <c r="K1706" s="6">
        <f t="shared" si="187"/>
        <v>7611.3500979999999</v>
      </c>
      <c r="L1706" s="4">
        <f t="shared" si="188"/>
        <v>0</v>
      </c>
    </row>
    <row r="1707" spans="1:12" x14ac:dyDescent="0.25">
      <c r="A1707" s="1">
        <v>43556</v>
      </c>
      <c r="B1707">
        <v>7804.0498049999997</v>
      </c>
      <c r="C1707">
        <v>7808.8500979999999</v>
      </c>
      <c r="D1707">
        <v>7595.8999020000001</v>
      </c>
      <c r="E1707">
        <v>7623.2001950000003</v>
      </c>
      <c r="F1707" s="4">
        <f t="shared" si="183"/>
        <v>7623.2001950000003</v>
      </c>
      <c r="G1707" s="4">
        <f t="shared" si="184"/>
        <v>7787.1499020000001</v>
      </c>
      <c r="H1707" s="4" t="str">
        <f t="shared" si="185"/>
        <v>SELL</v>
      </c>
      <c r="I1707" s="4">
        <f t="shared" si="182"/>
        <v>-1</v>
      </c>
      <c r="J1707" s="11" t="str">
        <f t="shared" si="186"/>
        <v>SELL</v>
      </c>
      <c r="K1707" s="6">
        <f t="shared" si="187"/>
        <v>7623.2001950000003</v>
      </c>
      <c r="L1707" s="4">
        <f t="shared" si="188"/>
        <v>1.5568981649016849E-3</v>
      </c>
    </row>
    <row r="1708" spans="1:12" x14ac:dyDescent="0.25">
      <c r="A1708" s="1">
        <v>43557</v>
      </c>
      <c r="B1708">
        <v>7637.9501950000003</v>
      </c>
      <c r="C1708">
        <v>7650.1000979999999</v>
      </c>
      <c r="D1708">
        <v>7551.6499020000001</v>
      </c>
      <c r="E1708">
        <v>7585</v>
      </c>
      <c r="F1708" s="4">
        <f t="shared" si="183"/>
        <v>7585</v>
      </c>
      <c r="G1708" s="4">
        <f t="shared" si="184"/>
        <v>7787.1499020000001</v>
      </c>
      <c r="H1708" s="4" t="str">
        <f t="shared" si="185"/>
        <v>SELL</v>
      </c>
      <c r="I1708" s="4">
        <f t="shared" si="182"/>
        <v>-1</v>
      </c>
      <c r="J1708" s="11">
        <f t="shared" si="186"/>
        <v>0</v>
      </c>
      <c r="K1708" s="6">
        <f t="shared" si="187"/>
        <v>7623.2001950000003</v>
      </c>
      <c r="L1708" s="4">
        <f t="shared" si="188"/>
        <v>0</v>
      </c>
    </row>
    <row r="1709" spans="1:12" x14ac:dyDescent="0.25">
      <c r="A1709" s="1">
        <v>43558</v>
      </c>
      <c r="B1709">
        <v>7589.5</v>
      </c>
      <c r="C1709">
        <v>7731.0498049999997</v>
      </c>
      <c r="D1709">
        <v>7479.0498049999997</v>
      </c>
      <c r="E1709">
        <v>7567.75</v>
      </c>
      <c r="F1709" s="4">
        <f t="shared" si="183"/>
        <v>7567.75</v>
      </c>
      <c r="G1709" s="4">
        <f t="shared" si="184"/>
        <v>7787.1499020000001</v>
      </c>
      <c r="H1709" s="4" t="str">
        <f t="shared" si="185"/>
        <v>SELL</v>
      </c>
      <c r="I1709" s="4">
        <f t="shared" si="182"/>
        <v>-1</v>
      </c>
      <c r="J1709" s="11">
        <f t="shared" si="186"/>
        <v>0</v>
      </c>
      <c r="K1709" s="6">
        <f t="shared" si="187"/>
        <v>7623.2001950000003</v>
      </c>
      <c r="L1709" s="4">
        <f t="shared" si="188"/>
        <v>0</v>
      </c>
    </row>
    <row r="1710" spans="1:12" x14ac:dyDescent="0.25">
      <c r="A1710" s="1">
        <v>43559</v>
      </c>
      <c r="B1710">
        <v>7584.1000979999999</v>
      </c>
      <c r="C1710">
        <v>7625.8500979999999</v>
      </c>
      <c r="D1710">
        <v>7447.2001950000003</v>
      </c>
      <c r="E1710">
        <v>7459.6000979999999</v>
      </c>
      <c r="F1710" s="4">
        <f t="shared" si="183"/>
        <v>7459.6000979999999</v>
      </c>
      <c r="G1710" s="4">
        <f t="shared" si="184"/>
        <v>7787.1499020000001</v>
      </c>
      <c r="H1710" s="4" t="str">
        <f t="shared" si="185"/>
        <v>SELL</v>
      </c>
      <c r="I1710" s="4">
        <f t="shared" si="182"/>
        <v>-1</v>
      </c>
      <c r="J1710" s="11">
        <f t="shared" si="186"/>
        <v>0</v>
      </c>
      <c r="K1710" s="6">
        <f t="shared" si="187"/>
        <v>7623.2001950000003</v>
      </c>
      <c r="L1710" s="4">
        <f t="shared" si="188"/>
        <v>0</v>
      </c>
    </row>
    <row r="1711" spans="1:12" x14ac:dyDescent="0.25">
      <c r="A1711" s="1">
        <v>43560</v>
      </c>
      <c r="B1711">
        <v>7469</v>
      </c>
      <c r="C1711">
        <v>7478.4501950000003</v>
      </c>
      <c r="D1711">
        <v>7422.1499020000001</v>
      </c>
      <c r="E1711">
        <v>7454.1499020000001</v>
      </c>
      <c r="F1711" s="4">
        <f t="shared" si="183"/>
        <v>7454.1499020000001</v>
      </c>
      <c r="G1711" s="4">
        <f t="shared" si="184"/>
        <v>7623.2001950000003</v>
      </c>
      <c r="H1711" s="4" t="str">
        <f t="shared" si="185"/>
        <v>SELL</v>
      </c>
      <c r="I1711" s="4">
        <f t="shared" si="182"/>
        <v>-1</v>
      </c>
      <c r="J1711" s="11">
        <f t="shared" si="186"/>
        <v>0</v>
      </c>
      <c r="K1711" s="6">
        <f t="shared" si="187"/>
        <v>7623.2001950000003</v>
      </c>
      <c r="L1711" s="4">
        <f t="shared" si="188"/>
        <v>0</v>
      </c>
    </row>
    <row r="1712" spans="1:12" x14ac:dyDescent="0.25">
      <c r="A1712" s="1">
        <v>43563</v>
      </c>
      <c r="B1712">
        <v>7491.2998049999997</v>
      </c>
      <c r="C1712">
        <v>7534.8999020000001</v>
      </c>
      <c r="D1712">
        <v>7459.1499020000001</v>
      </c>
      <c r="E1712">
        <v>7526.6499020000001</v>
      </c>
      <c r="F1712" s="4">
        <f t="shared" si="183"/>
        <v>7454.1499020000001</v>
      </c>
      <c r="G1712" s="4">
        <f t="shared" si="184"/>
        <v>7585</v>
      </c>
      <c r="H1712" s="4">
        <f t="shared" si="185"/>
        <v>0</v>
      </c>
      <c r="I1712" s="4">
        <f t="shared" si="182"/>
        <v>-1</v>
      </c>
      <c r="J1712" s="11">
        <f t="shared" si="186"/>
        <v>0</v>
      </c>
      <c r="K1712" s="6">
        <f t="shared" si="187"/>
        <v>7623.2001950000003</v>
      </c>
      <c r="L1712" s="4">
        <f t="shared" si="188"/>
        <v>0</v>
      </c>
    </row>
    <row r="1713" spans="1:12" x14ac:dyDescent="0.25">
      <c r="A1713" s="1">
        <v>43564</v>
      </c>
      <c r="B1713">
        <v>7564.1499020000001</v>
      </c>
      <c r="C1713">
        <v>7640.1000979999999</v>
      </c>
      <c r="D1713">
        <v>7532.4501950000003</v>
      </c>
      <c r="E1713">
        <v>7624.3999020000001</v>
      </c>
      <c r="F1713" s="4">
        <f t="shared" si="183"/>
        <v>7454.1499020000001</v>
      </c>
      <c r="G1713" s="4">
        <f t="shared" si="184"/>
        <v>7624.3999020000001</v>
      </c>
      <c r="H1713" s="4" t="str">
        <f t="shared" si="185"/>
        <v>BUY</v>
      </c>
      <c r="I1713" s="4">
        <f t="shared" si="182"/>
        <v>1</v>
      </c>
      <c r="J1713" s="11" t="str">
        <f t="shared" si="186"/>
        <v>BUY</v>
      </c>
      <c r="K1713" s="6">
        <f t="shared" si="187"/>
        <v>7624.3999020000001</v>
      </c>
      <c r="L1713" s="4">
        <f t="shared" si="188"/>
        <v>-1.5737576992752215E-4</v>
      </c>
    </row>
    <row r="1714" spans="1:12" x14ac:dyDescent="0.25">
      <c r="A1714" s="1">
        <v>43565</v>
      </c>
      <c r="B1714">
        <v>7612.7001950000003</v>
      </c>
      <c r="C1714">
        <v>7655.6499020000001</v>
      </c>
      <c r="D1714">
        <v>7612.7001950000003</v>
      </c>
      <c r="E1714">
        <v>7640.4501950000003</v>
      </c>
      <c r="F1714" s="4">
        <f t="shared" si="183"/>
        <v>7454.1499020000001</v>
      </c>
      <c r="G1714" s="4">
        <f t="shared" si="184"/>
        <v>7640.4501950000003</v>
      </c>
      <c r="H1714" s="4" t="str">
        <f t="shared" si="185"/>
        <v>BUY</v>
      </c>
      <c r="I1714" s="4">
        <f t="shared" si="182"/>
        <v>1</v>
      </c>
      <c r="J1714" s="11">
        <f t="shared" si="186"/>
        <v>0</v>
      </c>
      <c r="K1714" s="6">
        <f t="shared" si="187"/>
        <v>7624.3999020000001</v>
      </c>
      <c r="L1714" s="4">
        <f t="shared" si="188"/>
        <v>0</v>
      </c>
    </row>
    <row r="1715" spans="1:12" x14ac:dyDescent="0.25">
      <c r="A1715" s="1">
        <v>43566</v>
      </c>
      <c r="B1715">
        <v>7630.25</v>
      </c>
      <c r="C1715">
        <v>7685</v>
      </c>
      <c r="D1715">
        <v>7595.5</v>
      </c>
      <c r="E1715">
        <v>7663.8999020000001</v>
      </c>
      <c r="F1715" s="4">
        <f t="shared" si="183"/>
        <v>7454.1499020000001</v>
      </c>
      <c r="G1715" s="4">
        <f t="shared" si="184"/>
        <v>7663.8999020000001</v>
      </c>
      <c r="H1715" s="4" t="str">
        <f t="shared" si="185"/>
        <v>BUY</v>
      </c>
      <c r="I1715" s="4">
        <f t="shared" si="182"/>
        <v>1</v>
      </c>
      <c r="J1715" s="11">
        <f t="shared" si="186"/>
        <v>0</v>
      </c>
      <c r="K1715" s="6">
        <f t="shared" si="187"/>
        <v>7624.3999020000001</v>
      </c>
      <c r="L1715" s="4">
        <f t="shared" si="188"/>
        <v>0</v>
      </c>
    </row>
    <row r="1716" spans="1:12" x14ac:dyDescent="0.25">
      <c r="A1716" s="1">
        <v>43567</v>
      </c>
      <c r="B1716">
        <v>7701.6499020000001</v>
      </c>
      <c r="C1716">
        <v>7722.1000979999999</v>
      </c>
      <c r="D1716">
        <v>7674</v>
      </c>
      <c r="E1716">
        <v>7684.2001950000003</v>
      </c>
      <c r="F1716" s="4">
        <f t="shared" si="183"/>
        <v>7526.6499020000001</v>
      </c>
      <c r="G1716" s="4">
        <f t="shared" si="184"/>
        <v>7684.2001950000003</v>
      </c>
      <c r="H1716" s="4" t="str">
        <f t="shared" si="185"/>
        <v>BUY</v>
      </c>
      <c r="I1716" s="4">
        <f t="shared" si="182"/>
        <v>1</v>
      </c>
      <c r="J1716" s="11">
        <f t="shared" si="186"/>
        <v>0</v>
      </c>
      <c r="K1716" s="6">
        <f t="shared" si="187"/>
        <v>7624.3999020000001</v>
      </c>
      <c r="L1716" s="4">
        <f t="shared" si="188"/>
        <v>0</v>
      </c>
    </row>
    <row r="1717" spans="1:12" x14ac:dyDescent="0.25">
      <c r="A1717" s="1">
        <v>43570</v>
      </c>
      <c r="B1717">
        <v>7708.2001950000003</v>
      </c>
      <c r="C1717">
        <v>7773.8500979999999</v>
      </c>
      <c r="D1717">
        <v>7704.7998049999997</v>
      </c>
      <c r="E1717">
        <v>7767.8500979999999</v>
      </c>
      <c r="F1717" s="4">
        <f t="shared" si="183"/>
        <v>7624.3999020000001</v>
      </c>
      <c r="G1717" s="4">
        <f t="shared" si="184"/>
        <v>7767.8500979999999</v>
      </c>
      <c r="H1717" s="4" t="str">
        <f t="shared" si="185"/>
        <v>BUY</v>
      </c>
      <c r="I1717" s="4">
        <f t="shared" si="182"/>
        <v>1</v>
      </c>
      <c r="J1717" s="11">
        <f t="shared" si="186"/>
        <v>0</v>
      </c>
      <c r="K1717" s="6">
        <f t="shared" si="187"/>
        <v>7624.3999020000001</v>
      </c>
      <c r="L1717" s="4">
        <f t="shared" si="188"/>
        <v>0</v>
      </c>
    </row>
    <row r="1718" spans="1:12" x14ac:dyDescent="0.25">
      <c r="A1718" s="1">
        <v>43571</v>
      </c>
      <c r="B1718">
        <v>7794.8999020000001</v>
      </c>
      <c r="C1718">
        <v>7809.2001950000003</v>
      </c>
      <c r="D1718">
        <v>7752.8999020000001</v>
      </c>
      <c r="E1718">
        <v>7795.75</v>
      </c>
      <c r="F1718" s="4">
        <f t="shared" si="183"/>
        <v>7640.4501950000003</v>
      </c>
      <c r="G1718" s="4">
        <f t="shared" si="184"/>
        <v>7795.75</v>
      </c>
      <c r="H1718" s="4" t="str">
        <f t="shared" si="185"/>
        <v>BUY</v>
      </c>
      <c r="I1718" s="4">
        <f t="shared" si="182"/>
        <v>1</v>
      </c>
      <c r="J1718" s="11">
        <f t="shared" si="186"/>
        <v>0</v>
      </c>
      <c r="K1718" s="6">
        <f t="shared" si="187"/>
        <v>7624.3999020000001</v>
      </c>
      <c r="L1718" s="4">
        <f t="shared" si="188"/>
        <v>0</v>
      </c>
    </row>
    <row r="1719" spans="1:12" x14ac:dyDescent="0.25">
      <c r="A1719" s="1">
        <v>43572</v>
      </c>
      <c r="B1719">
        <v>7796.25</v>
      </c>
      <c r="C1719">
        <v>7835.6499020000001</v>
      </c>
      <c r="D1719">
        <v>7771.6499020000001</v>
      </c>
      <c r="E1719">
        <v>7830.6000979999999</v>
      </c>
      <c r="F1719" s="4">
        <f t="shared" si="183"/>
        <v>7663.8999020000001</v>
      </c>
      <c r="G1719" s="4">
        <f t="shared" si="184"/>
        <v>7830.6000979999999</v>
      </c>
      <c r="H1719" s="4" t="str">
        <f t="shared" si="185"/>
        <v>BUY</v>
      </c>
      <c r="I1719" s="4">
        <f t="shared" si="182"/>
        <v>1</v>
      </c>
      <c r="J1719" s="11">
        <f t="shared" si="186"/>
        <v>0</v>
      </c>
      <c r="K1719" s="6">
        <f t="shared" si="187"/>
        <v>7624.3999020000001</v>
      </c>
      <c r="L1719" s="4">
        <f t="shared" si="188"/>
        <v>0</v>
      </c>
    </row>
    <row r="1720" spans="1:12" x14ac:dyDescent="0.25">
      <c r="A1720" s="1">
        <v>43573</v>
      </c>
      <c r="B1720">
        <v>7828.2001950000003</v>
      </c>
      <c r="C1720">
        <v>7840.9501950000003</v>
      </c>
      <c r="D1720">
        <v>7748.6000979999999</v>
      </c>
      <c r="E1720">
        <v>7790.4501950000003</v>
      </c>
      <c r="F1720" s="4">
        <f t="shared" si="183"/>
        <v>7684.2001950000003</v>
      </c>
      <c r="G1720" s="4">
        <f t="shared" si="184"/>
        <v>7830.6000979999999</v>
      </c>
      <c r="H1720" s="4">
        <f t="shared" si="185"/>
        <v>0</v>
      </c>
      <c r="I1720" s="4">
        <f t="shared" si="182"/>
        <v>1</v>
      </c>
      <c r="J1720" s="11">
        <f t="shared" si="186"/>
        <v>0</v>
      </c>
      <c r="K1720" s="6">
        <f t="shared" si="187"/>
        <v>7624.3999020000001</v>
      </c>
      <c r="L1720" s="4">
        <f t="shared" si="188"/>
        <v>0</v>
      </c>
    </row>
    <row r="1721" spans="1:12" x14ac:dyDescent="0.25">
      <c r="A1721" s="1">
        <v>43574</v>
      </c>
      <c r="B1721">
        <v>7792.8999020000001</v>
      </c>
      <c r="C1721">
        <v>7799.8999020000001</v>
      </c>
      <c r="D1721">
        <v>7722.6499020000001</v>
      </c>
      <c r="E1721">
        <v>7748.7001950000003</v>
      </c>
      <c r="F1721" s="4">
        <f t="shared" si="183"/>
        <v>7748.7001950000003</v>
      </c>
      <c r="G1721" s="4">
        <f t="shared" si="184"/>
        <v>7830.6000979999999</v>
      </c>
      <c r="H1721" s="4">
        <f t="shared" si="185"/>
        <v>0</v>
      </c>
      <c r="I1721" s="4">
        <f t="shared" si="182"/>
        <v>1</v>
      </c>
      <c r="J1721" s="11">
        <f t="shared" si="186"/>
        <v>0</v>
      </c>
      <c r="K1721" s="6">
        <f t="shared" si="187"/>
        <v>7624.3999020000001</v>
      </c>
      <c r="L1721" s="4">
        <f t="shared" si="188"/>
        <v>0</v>
      </c>
    </row>
    <row r="1722" spans="1:12" x14ac:dyDescent="0.25">
      <c r="A1722" s="1">
        <v>43577</v>
      </c>
      <c r="B1722">
        <v>7746.2001950000003</v>
      </c>
      <c r="C1722">
        <v>7798.7001950000003</v>
      </c>
      <c r="D1722">
        <v>7707.6000979999999</v>
      </c>
      <c r="E1722">
        <v>7791.3999020000001</v>
      </c>
      <c r="F1722" s="4">
        <f t="shared" si="183"/>
        <v>7748.7001950000003</v>
      </c>
      <c r="G1722" s="4">
        <f t="shared" si="184"/>
        <v>7830.6000979999999</v>
      </c>
      <c r="H1722" s="4">
        <f t="shared" si="185"/>
        <v>0</v>
      </c>
      <c r="I1722" s="4">
        <f t="shared" si="182"/>
        <v>1</v>
      </c>
      <c r="J1722" s="11">
        <f t="shared" si="186"/>
        <v>0</v>
      </c>
      <c r="K1722" s="6">
        <f t="shared" si="187"/>
        <v>7624.3999020000001</v>
      </c>
      <c r="L1722" s="4">
        <f t="shared" si="188"/>
        <v>0</v>
      </c>
    </row>
    <row r="1723" spans="1:12" x14ac:dyDescent="0.25">
      <c r="A1723" s="1">
        <v>43578</v>
      </c>
      <c r="B1723">
        <v>7784.6499020000001</v>
      </c>
      <c r="C1723">
        <v>7791.8500979999999</v>
      </c>
      <c r="D1723">
        <v>7711.1499020000001</v>
      </c>
      <c r="E1723">
        <v>7721.2998049999997</v>
      </c>
      <c r="F1723" s="4">
        <f t="shared" si="183"/>
        <v>7721.2998049999997</v>
      </c>
      <c r="G1723" s="4">
        <f t="shared" si="184"/>
        <v>7830.6000979999999</v>
      </c>
      <c r="H1723" s="4" t="str">
        <f t="shared" si="185"/>
        <v>SELL</v>
      </c>
      <c r="I1723" s="4">
        <f t="shared" si="182"/>
        <v>-1</v>
      </c>
      <c r="J1723" s="11" t="str">
        <f t="shared" si="186"/>
        <v>SELL</v>
      </c>
      <c r="K1723" s="6">
        <f t="shared" si="187"/>
        <v>7721.2998049999997</v>
      </c>
      <c r="L1723" s="4">
        <f t="shared" si="188"/>
        <v>1.2709184230300036E-2</v>
      </c>
    </row>
    <row r="1724" spans="1:12" x14ac:dyDescent="0.25">
      <c r="A1724" s="1">
        <v>43579</v>
      </c>
      <c r="B1724">
        <v>7662.5</v>
      </c>
      <c r="C1724">
        <v>7716.7001950000003</v>
      </c>
      <c r="D1724">
        <v>7593.8999020000001</v>
      </c>
      <c r="E1724">
        <v>7602.6000979999999</v>
      </c>
      <c r="F1724" s="4">
        <f t="shared" si="183"/>
        <v>7602.6000979999999</v>
      </c>
      <c r="G1724" s="4">
        <f t="shared" si="184"/>
        <v>7791.3999020000001</v>
      </c>
      <c r="H1724" s="4" t="str">
        <f t="shared" si="185"/>
        <v>SELL</v>
      </c>
      <c r="I1724" s="4">
        <f t="shared" si="182"/>
        <v>-1</v>
      </c>
      <c r="J1724" s="11">
        <f t="shared" si="186"/>
        <v>0</v>
      </c>
      <c r="K1724" s="6">
        <f t="shared" si="187"/>
        <v>7721.2998049999997</v>
      </c>
      <c r="L1724" s="4">
        <f t="shared" si="188"/>
        <v>0</v>
      </c>
    </row>
    <row r="1725" spans="1:12" x14ac:dyDescent="0.25">
      <c r="A1725" s="1">
        <v>43580</v>
      </c>
      <c r="B1725">
        <v>7639.5498049999997</v>
      </c>
      <c r="C1725">
        <v>7694.7998049999997</v>
      </c>
      <c r="D1725">
        <v>7622.0498049999997</v>
      </c>
      <c r="E1725">
        <v>7683.6499020000001</v>
      </c>
      <c r="F1725" s="4">
        <f t="shared" si="183"/>
        <v>7602.6000979999999</v>
      </c>
      <c r="G1725" s="4">
        <f t="shared" si="184"/>
        <v>7791.3999020000001</v>
      </c>
      <c r="H1725" s="4">
        <f t="shared" si="185"/>
        <v>0</v>
      </c>
      <c r="I1725" s="4">
        <f t="shared" si="182"/>
        <v>-1</v>
      </c>
      <c r="J1725" s="11">
        <f t="shared" si="186"/>
        <v>0</v>
      </c>
      <c r="K1725" s="6">
        <f t="shared" si="187"/>
        <v>7721.2998049999997</v>
      </c>
      <c r="L1725" s="4">
        <f t="shared" si="188"/>
        <v>0</v>
      </c>
    </row>
    <row r="1726" spans="1:12" x14ac:dyDescent="0.25">
      <c r="A1726" s="1">
        <v>43581</v>
      </c>
      <c r="B1726">
        <v>7706.6499020000001</v>
      </c>
      <c r="C1726">
        <v>7752.4501950000003</v>
      </c>
      <c r="D1726">
        <v>7638.0498049999997</v>
      </c>
      <c r="E1726">
        <v>7746.5498049999997</v>
      </c>
      <c r="F1726" s="4">
        <f t="shared" si="183"/>
        <v>7602.6000979999999</v>
      </c>
      <c r="G1726" s="4">
        <f t="shared" si="184"/>
        <v>7791.3999020000001</v>
      </c>
      <c r="H1726" s="4">
        <f t="shared" si="185"/>
        <v>0</v>
      </c>
      <c r="I1726" s="4">
        <f t="shared" si="182"/>
        <v>-1</v>
      </c>
      <c r="J1726" s="11">
        <f t="shared" si="186"/>
        <v>0</v>
      </c>
      <c r="K1726" s="6">
        <f t="shared" si="187"/>
        <v>7721.2998049999997</v>
      </c>
      <c r="L1726" s="4">
        <f t="shared" si="188"/>
        <v>0</v>
      </c>
    </row>
    <row r="1727" spans="1:12" x14ac:dyDescent="0.25">
      <c r="A1727" s="1">
        <v>43584</v>
      </c>
      <c r="B1727">
        <v>7726.1499020000001</v>
      </c>
      <c r="C1727">
        <v>7740.9501950000003</v>
      </c>
      <c r="D1727">
        <v>7658.9501950000003</v>
      </c>
      <c r="E1727">
        <v>7672.0498049999997</v>
      </c>
      <c r="F1727" s="4">
        <f t="shared" si="183"/>
        <v>7602.6000979999999</v>
      </c>
      <c r="G1727" s="4">
        <f t="shared" si="184"/>
        <v>7746.5498049999997</v>
      </c>
      <c r="H1727" s="4">
        <f t="shared" si="185"/>
        <v>0</v>
      </c>
      <c r="I1727" s="4">
        <f t="shared" si="182"/>
        <v>-1</v>
      </c>
      <c r="J1727" s="11">
        <f t="shared" si="186"/>
        <v>0</v>
      </c>
      <c r="K1727" s="6">
        <f t="shared" si="187"/>
        <v>7721.2998049999997</v>
      </c>
      <c r="L1727" s="4">
        <f t="shared" si="188"/>
        <v>0</v>
      </c>
    </row>
    <row r="1728" spans="1:12" x14ac:dyDescent="0.25">
      <c r="A1728" s="1">
        <v>43585</v>
      </c>
      <c r="B1728">
        <v>7651.1499020000001</v>
      </c>
      <c r="C1728">
        <v>7708.9501950000003</v>
      </c>
      <c r="D1728">
        <v>7630.3999020000001</v>
      </c>
      <c r="E1728">
        <v>7649.25</v>
      </c>
      <c r="F1728" s="4">
        <f t="shared" si="183"/>
        <v>7602.6000979999999</v>
      </c>
      <c r="G1728" s="4">
        <f t="shared" si="184"/>
        <v>7746.5498049999997</v>
      </c>
      <c r="H1728" s="4">
        <f t="shared" si="185"/>
        <v>0</v>
      </c>
      <c r="I1728" s="4">
        <f t="shared" si="182"/>
        <v>-1</v>
      </c>
      <c r="J1728" s="11">
        <f t="shared" si="186"/>
        <v>0</v>
      </c>
      <c r="K1728" s="6">
        <f t="shared" si="187"/>
        <v>7721.2998049999997</v>
      </c>
      <c r="L1728" s="4">
        <f t="shared" si="188"/>
        <v>0</v>
      </c>
    </row>
    <row r="1729" spans="1:12" x14ac:dyDescent="0.25">
      <c r="A1729" s="1">
        <v>43586</v>
      </c>
      <c r="B1729">
        <v>7588.7001950000003</v>
      </c>
      <c r="C1729">
        <v>7592.4501950000003</v>
      </c>
      <c r="D1729">
        <v>7540.1000979999999</v>
      </c>
      <c r="E1729">
        <v>7568.5498049999997</v>
      </c>
      <c r="F1729" s="4">
        <f t="shared" si="183"/>
        <v>7568.5498049999997</v>
      </c>
      <c r="G1729" s="4">
        <f t="shared" si="184"/>
        <v>7746.5498049999997</v>
      </c>
      <c r="H1729" s="4" t="str">
        <f t="shared" si="185"/>
        <v>SELL</v>
      </c>
      <c r="I1729" s="4">
        <f t="shared" si="182"/>
        <v>-1</v>
      </c>
      <c r="J1729" s="11">
        <f t="shared" si="186"/>
        <v>0</v>
      </c>
      <c r="K1729" s="6">
        <f t="shared" si="187"/>
        <v>7721.2998049999997</v>
      </c>
      <c r="L1729" s="4">
        <f t="shared" si="188"/>
        <v>0</v>
      </c>
    </row>
    <row r="1730" spans="1:12" x14ac:dyDescent="0.25">
      <c r="A1730" s="1">
        <v>43587</v>
      </c>
      <c r="B1730">
        <v>7619.8500979999999</v>
      </c>
      <c r="C1730">
        <v>7635.5498049999997</v>
      </c>
      <c r="D1730">
        <v>7598.6000979999999</v>
      </c>
      <c r="E1730">
        <v>7625.9501950000003</v>
      </c>
      <c r="F1730" s="4">
        <f t="shared" si="183"/>
        <v>7568.5498049999997</v>
      </c>
      <c r="G1730" s="4">
        <f t="shared" si="184"/>
        <v>7746.5498049999997</v>
      </c>
      <c r="H1730" s="4">
        <f t="shared" si="185"/>
        <v>0</v>
      </c>
      <c r="I1730" s="4">
        <f t="shared" si="182"/>
        <v>-1</v>
      </c>
      <c r="J1730" s="11">
        <f t="shared" si="186"/>
        <v>0</v>
      </c>
      <c r="K1730" s="6">
        <f t="shared" si="187"/>
        <v>7721.2998049999997</v>
      </c>
      <c r="L1730" s="4">
        <f t="shared" si="188"/>
        <v>0</v>
      </c>
    </row>
    <row r="1731" spans="1:12" x14ac:dyDescent="0.25">
      <c r="A1731" s="1">
        <v>43588</v>
      </c>
      <c r="B1731">
        <v>7688.7998049999997</v>
      </c>
      <c r="C1731">
        <v>7735.75</v>
      </c>
      <c r="D1731">
        <v>7654.7998049999997</v>
      </c>
      <c r="E1731">
        <v>7727.0498049999997</v>
      </c>
      <c r="F1731" s="4">
        <f t="shared" si="183"/>
        <v>7568.5498049999997</v>
      </c>
      <c r="G1731" s="4">
        <f t="shared" si="184"/>
        <v>7727.0498049999997</v>
      </c>
      <c r="H1731" s="4">
        <f t="shared" si="185"/>
        <v>0</v>
      </c>
      <c r="I1731" s="4">
        <f t="shared" si="182"/>
        <v>-1</v>
      </c>
      <c r="J1731" s="11">
        <f t="shared" si="186"/>
        <v>0</v>
      </c>
      <c r="K1731" s="6">
        <f t="shared" si="187"/>
        <v>7721.2998049999997</v>
      </c>
      <c r="L1731" s="4">
        <f t="shared" si="188"/>
        <v>0</v>
      </c>
    </row>
    <row r="1732" spans="1:12" x14ac:dyDescent="0.25">
      <c r="A1732" s="1">
        <v>43591</v>
      </c>
      <c r="B1732">
        <v>7717.2998049999997</v>
      </c>
      <c r="C1732">
        <v>7757.1000979999999</v>
      </c>
      <c r="D1732">
        <v>7695.7001950000003</v>
      </c>
      <c r="E1732">
        <v>7739.5498049999997</v>
      </c>
      <c r="F1732" s="4">
        <f t="shared" si="183"/>
        <v>7568.5498049999997</v>
      </c>
      <c r="G1732" s="4">
        <f t="shared" si="184"/>
        <v>7739.5498049999997</v>
      </c>
      <c r="H1732" s="4" t="str">
        <f t="shared" si="185"/>
        <v>BUY</v>
      </c>
      <c r="I1732" s="4">
        <f t="shared" si="182"/>
        <v>1</v>
      </c>
      <c r="J1732" s="11" t="str">
        <f t="shared" si="186"/>
        <v>BUY</v>
      </c>
      <c r="K1732" s="6">
        <f t="shared" si="187"/>
        <v>7739.5498049999997</v>
      </c>
      <c r="L1732" s="4">
        <f t="shared" si="188"/>
        <v>-2.3635916828643336E-3</v>
      </c>
    </row>
    <row r="1733" spans="1:12" x14ac:dyDescent="0.25">
      <c r="A1733" s="1">
        <v>43592</v>
      </c>
      <c r="B1733">
        <v>7756.1499020000001</v>
      </c>
      <c r="C1733">
        <v>7796.7001950000003</v>
      </c>
      <c r="D1733">
        <v>7739.1000979999999</v>
      </c>
      <c r="E1733">
        <v>7791.7001950000003</v>
      </c>
      <c r="F1733" s="4">
        <f t="shared" si="183"/>
        <v>7568.5498049999997</v>
      </c>
      <c r="G1733" s="4">
        <f t="shared" si="184"/>
        <v>7791.7001950000003</v>
      </c>
      <c r="H1733" s="4" t="str">
        <f t="shared" si="185"/>
        <v>BUY</v>
      </c>
      <c r="I1733" s="4">
        <f t="shared" si="182"/>
        <v>1</v>
      </c>
      <c r="J1733" s="11">
        <f t="shared" si="186"/>
        <v>0</v>
      </c>
      <c r="K1733" s="6">
        <f t="shared" si="187"/>
        <v>7739.5498049999997</v>
      </c>
      <c r="L1733" s="4">
        <f t="shared" si="188"/>
        <v>0</v>
      </c>
    </row>
    <row r="1734" spans="1:12" x14ac:dyDescent="0.25">
      <c r="A1734" s="1">
        <v>43593</v>
      </c>
      <c r="B1734">
        <v>7785.25</v>
      </c>
      <c r="C1734">
        <v>7880.5</v>
      </c>
      <c r="D1734">
        <v>7779.2001950000003</v>
      </c>
      <c r="E1734">
        <v>7874.25</v>
      </c>
      <c r="F1734" s="4">
        <f t="shared" si="183"/>
        <v>7625.9501950000003</v>
      </c>
      <c r="G1734" s="4">
        <f t="shared" si="184"/>
        <v>7874.25</v>
      </c>
      <c r="H1734" s="4" t="str">
        <f t="shared" si="185"/>
        <v>BUY</v>
      </c>
      <c r="I1734" s="4">
        <f t="shared" ref="I1734:I1797" si="189">IF(AND(H1734="BUY",I1733&lt;&gt;1),1,IF(AND(H1734="SELL",I1733&lt;&gt;-1),-1,I1733))</f>
        <v>1</v>
      </c>
      <c r="J1734" s="11">
        <f t="shared" si="186"/>
        <v>0</v>
      </c>
      <c r="K1734" s="6">
        <f t="shared" si="187"/>
        <v>7739.5498049999997</v>
      </c>
      <c r="L1734" s="4">
        <f t="shared" si="188"/>
        <v>0</v>
      </c>
    </row>
    <row r="1735" spans="1:12" x14ac:dyDescent="0.25">
      <c r="A1735" s="1">
        <v>43594</v>
      </c>
      <c r="B1735">
        <v>7901</v>
      </c>
      <c r="C1735">
        <v>7918.5498049999997</v>
      </c>
      <c r="D1735">
        <v>7881.1499020000001</v>
      </c>
      <c r="E1735">
        <v>7897.5</v>
      </c>
      <c r="F1735" s="4">
        <f t="shared" ref="F1735:F1798" si="190">MIN(E1731:E1735)</f>
        <v>7727.0498049999997</v>
      </c>
      <c r="G1735" s="4">
        <f t="shared" ref="G1735:G1798" si="191">MAX(E1731:E1735)</f>
        <v>7897.5</v>
      </c>
      <c r="H1735" s="4" t="str">
        <f t="shared" ref="H1735:H1798" si="192">IF(E1735&gt;G1734,"BUY",IF(E1735&lt;F1734,"SELL",0))</f>
        <v>BUY</v>
      </c>
      <c r="I1735" s="4">
        <f t="shared" si="189"/>
        <v>1</v>
      </c>
      <c r="J1735" s="11">
        <f t="shared" ref="J1735:J1798" si="193">IF(I1735&lt;&gt;I1734,H1735,0)</f>
        <v>0</v>
      </c>
      <c r="K1735" s="6">
        <f t="shared" ref="K1735:K1798" si="194">IF(J1735&lt;&gt;0,E1735,K1734)</f>
        <v>7739.5498049999997</v>
      </c>
      <c r="L1735" s="4">
        <f t="shared" si="188"/>
        <v>0</v>
      </c>
    </row>
    <row r="1736" spans="1:12" x14ac:dyDescent="0.25">
      <c r="A1736" s="1">
        <v>43595</v>
      </c>
      <c r="B1736">
        <v>7915.7998049999997</v>
      </c>
      <c r="C1736">
        <v>7922.7001950000003</v>
      </c>
      <c r="D1736">
        <v>7864.0498049999997</v>
      </c>
      <c r="E1736">
        <v>7875.2998049999997</v>
      </c>
      <c r="F1736" s="4">
        <f t="shared" si="190"/>
        <v>7739.5498049999997</v>
      </c>
      <c r="G1736" s="4">
        <f t="shared" si="191"/>
        <v>7897.5</v>
      </c>
      <c r="H1736" s="4">
        <f t="shared" si="192"/>
        <v>0</v>
      </c>
      <c r="I1736" s="4">
        <f t="shared" si="189"/>
        <v>1</v>
      </c>
      <c r="J1736" s="11">
        <f t="shared" si="193"/>
        <v>0</v>
      </c>
      <c r="K1736" s="6">
        <f t="shared" si="194"/>
        <v>7739.5498049999997</v>
      </c>
      <c r="L1736" s="4">
        <f t="shared" ref="L1736:L1799" si="195">IF(J1736="BUY",(K1735-K1736)/K1735,IF(J1736="SELL",(K1737-K1735)/K1735,0))</f>
        <v>0</v>
      </c>
    </row>
    <row r="1737" spans="1:12" x14ac:dyDescent="0.25">
      <c r="A1737" s="1">
        <v>43598</v>
      </c>
      <c r="B1737">
        <v>7875.3500979999999</v>
      </c>
      <c r="C1737">
        <v>7919.6499020000001</v>
      </c>
      <c r="D1737">
        <v>7855.9501950000003</v>
      </c>
      <c r="E1737">
        <v>7891.1000979999999</v>
      </c>
      <c r="F1737" s="4">
        <f t="shared" si="190"/>
        <v>7791.7001950000003</v>
      </c>
      <c r="G1737" s="4">
        <f t="shared" si="191"/>
        <v>7897.5</v>
      </c>
      <c r="H1737" s="4">
        <f t="shared" si="192"/>
        <v>0</v>
      </c>
      <c r="I1737" s="4">
        <f t="shared" si="189"/>
        <v>1</v>
      </c>
      <c r="J1737" s="11">
        <f t="shared" si="193"/>
        <v>0</v>
      </c>
      <c r="K1737" s="6">
        <f t="shared" si="194"/>
        <v>7739.5498049999997</v>
      </c>
      <c r="L1737" s="4">
        <f t="shared" si="195"/>
        <v>0</v>
      </c>
    </row>
    <row r="1738" spans="1:12" x14ac:dyDescent="0.25">
      <c r="A1738" s="1">
        <v>43599</v>
      </c>
      <c r="B1738">
        <v>7904.5498049999997</v>
      </c>
      <c r="C1738">
        <v>7929.0498049999997</v>
      </c>
      <c r="D1738">
        <v>7900.0498049999997</v>
      </c>
      <c r="E1738">
        <v>7913.2001950000003</v>
      </c>
      <c r="F1738" s="4">
        <f t="shared" si="190"/>
        <v>7874.25</v>
      </c>
      <c r="G1738" s="4">
        <f t="shared" si="191"/>
        <v>7913.2001950000003</v>
      </c>
      <c r="H1738" s="4" t="str">
        <f t="shared" si="192"/>
        <v>BUY</v>
      </c>
      <c r="I1738" s="4">
        <f t="shared" si="189"/>
        <v>1</v>
      </c>
      <c r="J1738" s="11">
        <f t="shared" si="193"/>
        <v>0</v>
      </c>
      <c r="K1738" s="6">
        <f t="shared" si="194"/>
        <v>7739.5498049999997</v>
      </c>
      <c r="L1738" s="4">
        <f t="shared" si="195"/>
        <v>0</v>
      </c>
    </row>
    <row r="1739" spans="1:12" x14ac:dyDescent="0.25">
      <c r="A1739" s="1">
        <v>43600</v>
      </c>
      <c r="B1739">
        <v>7931.75</v>
      </c>
      <c r="C1739">
        <v>7968.25</v>
      </c>
      <c r="D1739">
        <v>7897.9501950000003</v>
      </c>
      <c r="E1739">
        <v>7906.2998049999997</v>
      </c>
      <c r="F1739" s="4">
        <f t="shared" si="190"/>
        <v>7875.2998049999997</v>
      </c>
      <c r="G1739" s="4">
        <f t="shared" si="191"/>
        <v>7913.2001950000003</v>
      </c>
      <c r="H1739" s="4">
        <f t="shared" si="192"/>
        <v>0</v>
      </c>
      <c r="I1739" s="4">
        <f t="shared" si="189"/>
        <v>1</v>
      </c>
      <c r="J1739" s="11">
        <f t="shared" si="193"/>
        <v>0</v>
      </c>
      <c r="K1739" s="6">
        <f t="shared" si="194"/>
        <v>7739.5498049999997</v>
      </c>
      <c r="L1739" s="4">
        <f t="shared" si="195"/>
        <v>0</v>
      </c>
    </row>
    <row r="1740" spans="1:12" x14ac:dyDescent="0.25">
      <c r="A1740" s="1">
        <v>43601</v>
      </c>
      <c r="B1740">
        <v>7874.5</v>
      </c>
      <c r="C1740">
        <v>7915.4501950000003</v>
      </c>
      <c r="D1740">
        <v>7862.4501950000003</v>
      </c>
      <c r="E1740">
        <v>7904.75</v>
      </c>
      <c r="F1740" s="4">
        <f t="shared" si="190"/>
        <v>7875.2998049999997</v>
      </c>
      <c r="G1740" s="4">
        <f t="shared" si="191"/>
        <v>7913.2001950000003</v>
      </c>
      <c r="H1740" s="4">
        <f t="shared" si="192"/>
        <v>0</v>
      </c>
      <c r="I1740" s="4">
        <f t="shared" si="189"/>
        <v>1</v>
      </c>
      <c r="J1740" s="11">
        <f t="shared" si="193"/>
        <v>0</v>
      </c>
      <c r="K1740" s="6">
        <f t="shared" si="194"/>
        <v>7739.5498049999997</v>
      </c>
      <c r="L1740" s="4">
        <f t="shared" si="195"/>
        <v>0</v>
      </c>
    </row>
    <row r="1741" spans="1:12" x14ac:dyDescent="0.25">
      <c r="A1741" s="1">
        <v>43602</v>
      </c>
      <c r="B1741">
        <v>7933.8999020000001</v>
      </c>
      <c r="C1741">
        <v>7946.8500979999999</v>
      </c>
      <c r="D1741">
        <v>7916.5498049999997</v>
      </c>
      <c r="E1741">
        <v>7936.0498049999997</v>
      </c>
      <c r="F1741" s="4">
        <f t="shared" si="190"/>
        <v>7891.1000979999999</v>
      </c>
      <c r="G1741" s="4">
        <f t="shared" si="191"/>
        <v>7936.0498049999997</v>
      </c>
      <c r="H1741" s="4" t="str">
        <f t="shared" si="192"/>
        <v>BUY</v>
      </c>
      <c r="I1741" s="4">
        <f t="shared" si="189"/>
        <v>1</v>
      </c>
      <c r="J1741" s="11">
        <f t="shared" si="193"/>
        <v>0</v>
      </c>
      <c r="K1741" s="6">
        <f t="shared" si="194"/>
        <v>7739.5498049999997</v>
      </c>
      <c r="L1741" s="4">
        <f t="shared" si="195"/>
        <v>0</v>
      </c>
    </row>
    <row r="1742" spans="1:12" x14ac:dyDescent="0.25">
      <c r="A1742" s="1">
        <v>43605</v>
      </c>
      <c r="B1742">
        <v>7942.25</v>
      </c>
      <c r="C1742">
        <v>7967.7998049999997</v>
      </c>
      <c r="D1742">
        <v>7939.2001950000003</v>
      </c>
      <c r="E1742">
        <v>7954.3500979999999</v>
      </c>
      <c r="F1742" s="4">
        <f t="shared" si="190"/>
        <v>7904.75</v>
      </c>
      <c r="G1742" s="4">
        <f t="shared" si="191"/>
        <v>7954.3500979999999</v>
      </c>
      <c r="H1742" s="4" t="str">
        <f t="shared" si="192"/>
        <v>BUY</v>
      </c>
      <c r="I1742" s="4">
        <f t="shared" si="189"/>
        <v>1</v>
      </c>
      <c r="J1742" s="11">
        <f t="shared" si="193"/>
        <v>0</v>
      </c>
      <c r="K1742" s="6">
        <f t="shared" si="194"/>
        <v>7739.5498049999997</v>
      </c>
      <c r="L1742" s="4">
        <f t="shared" si="195"/>
        <v>0</v>
      </c>
    </row>
    <row r="1743" spans="1:12" x14ac:dyDescent="0.25">
      <c r="A1743" s="1">
        <v>43606</v>
      </c>
      <c r="B1743">
        <v>7990.3500979999999</v>
      </c>
      <c r="C1743">
        <v>8035</v>
      </c>
      <c r="D1743">
        <v>7984</v>
      </c>
      <c r="E1743">
        <v>8027.7001950000003</v>
      </c>
      <c r="F1743" s="4">
        <f t="shared" si="190"/>
        <v>7904.75</v>
      </c>
      <c r="G1743" s="4">
        <f t="shared" si="191"/>
        <v>8027.7001950000003</v>
      </c>
      <c r="H1743" s="4" t="str">
        <f t="shared" si="192"/>
        <v>BUY</v>
      </c>
      <c r="I1743" s="4">
        <f t="shared" si="189"/>
        <v>1</v>
      </c>
      <c r="J1743" s="11">
        <f t="shared" si="193"/>
        <v>0</v>
      </c>
      <c r="K1743" s="6">
        <f t="shared" si="194"/>
        <v>7739.5498049999997</v>
      </c>
      <c r="L1743" s="4">
        <f t="shared" si="195"/>
        <v>0</v>
      </c>
    </row>
    <row r="1744" spans="1:12" x14ac:dyDescent="0.25">
      <c r="A1744" s="1">
        <v>43607</v>
      </c>
      <c r="B1744">
        <v>8038.6000979999999</v>
      </c>
      <c r="C1744">
        <v>8101.9501950000003</v>
      </c>
      <c r="D1744">
        <v>8036.5498049999997</v>
      </c>
      <c r="E1744">
        <v>8083.0498049999997</v>
      </c>
      <c r="F1744" s="4">
        <f t="shared" si="190"/>
        <v>7904.75</v>
      </c>
      <c r="G1744" s="4">
        <f t="shared" si="191"/>
        <v>8083.0498049999997</v>
      </c>
      <c r="H1744" s="4" t="str">
        <f t="shared" si="192"/>
        <v>BUY</v>
      </c>
      <c r="I1744" s="4">
        <f t="shared" si="189"/>
        <v>1</v>
      </c>
      <c r="J1744" s="11">
        <f t="shared" si="193"/>
        <v>0</v>
      </c>
      <c r="K1744" s="6">
        <f t="shared" si="194"/>
        <v>7739.5498049999997</v>
      </c>
      <c r="L1744" s="4">
        <f t="shared" si="195"/>
        <v>0</v>
      </c>
    </row>
    <row r="1745" spans="1:12" x14ac:dyDescent="0.25">
      <c r="A1745" s="1">
        <v>43608</v>
      </c>
      <c r="B1745">
        <v>8110.8500979999999</v>
      </c>
      <c r="C1745">
        <v>8141.8999020000001</v>
      </c>
      <c r="D1745">
        <v>8092.25</v>
      </c>
      <c r="E1745">
        <v>8114.6000979999999</v>
      </c>
      <c r="F1745" s="4">
        <f t="shared" si="190"/>
        <v>7936.0498049999997</v>
      </c>
      <c r="G1745" s="4">
        <f t="shared" si="191"/>
        <v>8114.6000979999999</v>
      </c>
      <c r="H1745" s="4" t="str">
        <f t="shared" si="192"/>
        <v>BUY</v>
      </c>
      <c r="I1745" s="4">
        <f t="shared" si="189"/>
        <v>1</v>
      </c>
      <c r="J1745" s="11">
        <f t="shared" si="193"/>
        <v>0</v>
      </c>
      <c r="K1745" s="6">
        <f t="shared" si="194"/>
        <v>7739.5498049999997</v>
      </c>
      <c r="L1745" s="4">
        <f t="shared" si="195"/>
        <v>0</v>
      </c>
    </row>
    <row r="1746" spans="1:12" x14ac:dyDescent="0.25">
      <c r="A1746" s="1">
        <v>43609</v>
      </c>
      <c r="B1746">
        <v>8114.2001950000003</v>
      </c>
      <c r="C1746">
        <v>8114.7998049999997</v>
      </c>
      <c r="D1746">
        <v>8060.8999020000001</v>
      </c>
      <c r="E1746">
        <v>8095.9501950000003</v>
      </c>
      <c r="F1746" s="4">
        <f t="shared" si="190"/>
        <v>7954.3500979999999</v>
      </c>
      <c r="G1746" s="4">
        <f t="shared" si="191"/>
        <v>8114.6000979999999</v>
      </c>
      <c r="H1746" s="4">
        <f t="shared" si="192"/>
        <v>0</v>
      </c>
      <c r="I1746" s="4">
        <f t="shared" si="189"/>
        <v>1</v>
      </c>
      <c r="J1746" s="11">
        <f t="shared" si="193"/>
        <v>0</v>
      </c>
      <c r="K1746" s="6">
        <f t="shared" si="194"/>
        <v>7739.5498049999997</v>
      </c>
      <c r="L1746" s="4">
        <f t="shared" si="195"/>
        <v>0</v>
      </c>
    </row>
    <row r="1747" spans="1:12" x14ac:dyDescent="0.25">
      <c r="A1747" s="1">
        <v>43612</v>
      </c>
      <c r="B1747">
        <v>8099.8999020000001</v>
      </c>
      <c r="C1747">
        <v>8122.7001950000003</v>
      </c>
      <c r="D1747">
        <v>8049.8500979999999</v>
      </c>
      <c r="E1747">
        <v>8086.8500979999999</v>
      </c>
      <c r="F1747" s="4">
        <f t="shared" si="190"/>
        <v>8027.7001950000003</v>
      </c>
      <c r="G1747" s="4">
        <f t="shared" si="191"/>
        <v>8114.6000979999999</v>
      </c>
      <c r="H1747" s="4">
        <f t="shared" si="192"/>
        <v>0</v>
      </c>
      <c r="I1747" s="4">
        <f t="shared" si="189"/>
        <v>1</v>
      </c>
      <c r="J1747" s="11">
        <f t="shared" si="193"/>
        <v>0</v>
      </c>
      <c r="K1747" s="6">
        <f t="shared" si="194"/>
        <v>7739.5498049999997</v>
      </c>
      <c r="L1747" s="4">
        <f t="shared" si="195"/>
        <v>0</v>
      </c>
    </row>
    <row r="1748" spans="1:12" x14ac:dyDescent="0.25">
      <c r="A1748" s="1">
        <v>43613</v>
      </c>
      <c r="B1748">
        <v>8132.9501950000003</v>
      </c>
      <c r="C1748">
        <v>8180.2001950000003</v>
      </c>
      <c r="D1748">
        <v>8126.1499020000001</v>
      </c>
      <c r="E1748">
        <v>8173.8999020000001</v>
      </c>
      <c r="F1748" s="4">
        <f t="shared" si="190"/>
        <v>8083.0498049999997</v>
      </c>
      <c r="G1748" s="4">
        <f t="shared" si="191"/>
        <v>8173.8999020000001</v>
      </c>
      <c r="H1748" s="4" t="str">
        <f t="shared" si="192"/>
        <v>BUY</v>
      </c>
      <c r="I1748" s="4">
        <f t="shared" si="189"/>
        <v>1</v>
      </c>
      <c r="J1748" s="11">
        <f t="shared" si="193"/>
        <v>0</v>
      </c>
      <c r="K1748" s="6">
        <f t="shared" si="194"/>
        <v>7739.5498049999997</v>
      </c>
      <c r="L1748" s="4">
        <f t="shared" si="195"/>
        <v>0</v>
      </c>
    </row>
    <row r="1749" spans="1:12" x14ac:dyDescent="0.25">
      <c r="A1749" s="1">
        <v>43614</v>
      </c>
      <c r="B1749">
        <v>8161.8999020000001</v>
      </c>
      <c r="C1749">
        <v>8174.5498049999997</v>
      </c>
      <c r="D1749">
        <v>8126.5</v>
      </c>
      <c r="E1749">
        <v>8152.9501950000003</v>
      </c>
      <c r="F1749" s="4">
        <f t="shared" si="190"/>
        <v>8086.8500979999999</v>
      </c>
      <c r="G1749" s="4">
        <f t="shared" si="191"/>
        <v>8173.8999020000001</v>
      </c>
      <c r="H1749" s="4">
        <f t="shared" si="192"/>
        <v>0</v>
      </c>
      <c r="I1749" s="4">
        <f t="shared" si="189"/>
        <v>1</v>
      </c>
      <c r="J1749" s="11">
        <f t="shared" si="193"/>
        <v>0</v>
      </c>
      <c r="K1749" s="6">
        <f t="shared" si="194"/>
        <v>7739.5498049999997</v>
      </c>
      <c r="L1749" s="4">
        <f t="shared" si="195"/>
        <v>0</v>
      </c>
    </row>
    <row r="1750" spans="1:12" x14ac:dyDescent="0.25">
      <c r="A1750" s="1">
        <v>43615</v>
      </c>
      <c r="B1750">
        <v>8135.5498049999997</v>
      </c>
      <c r="C1750">
        <v>8135.75</v>
      </c>
      <c r="D1750">
        <v>8082.1000979999999</v>
      </c>
      <c r="E1750">
        <v>8094.1000979999999</v>
      </c>
      <c r="F1750" s="4">
        <f t="shared" si="190"/>
        <v>8086.8500979999999</v>
      </c>
      <c r="G1750" s="4">
        <f t="shared" si="191"/>
        <v>8173.8999020000001</v>
      </c>
      <c r="H1750" s="4">
        <f t="shared" si="192"/>
        <v>0</v>
      </c>
      <c r="I1750" s="4">
        <f t="shared" si="189"/>
        <v>1</v>
      </c>
      <c r="J1750" s="11">
        <f t="shared" si="193"/>
        <v>0</v>
      </c>
      <c r="K1750" s="6">
        <f t="shared" si="194"/>
        <v>7739.5498049999997</v>
      </c>
      <c r="L1750" s="4">
        <f t="shared" si="195"/>
        <v>0</v>
      </c>
    </row>
    <row r="1751" spans="1:12" x14ac:dyDescent="0.25">
      <c r="A1751" s="1">
        <v>43616</v>
      </c>
      <c r="B1751">
        <v>8115.1499020000001</v>
      </c>
      <c r="C1751">
        <v>8127.9501950000003</v>
      </c>
      <c r="D1751">
        <v>8057.2998049999997</v>
      </c>
      <c r="E1751">
        <v>8085.7001950000003</v>
      </c>
      <c r="F1751" s="4">
        <f t="shared" si="190"/>
        <v>8085.7001950000003</v>
      </c>
      <c r="G1751" s="4">
        <f t="shared" si="191"/>
        <v>8173.8999020000001</v>
      </c>
      <c r="H1751" s="4" t="str">
        <f t="shared" si="192"/>
        <v>SELL</v>
      </c>
      <c r="I1751" s="4">
        <f t="shared" si="189"/>
        <v>-1</v>
      </c>
      <c r="J1751" s="11" t="str">
        <f t="shared" si="193"/>
        <v>SELL</v>
      </c>
      <c r="K1751" s="6">
        <f t="shared" si="194"/>
        <v>8085.7001950000003</v>
      </c>
      <c r="L1751" s="4">
        <f t="shared" si="195"/>
        <v>4.4724874019981931E-2</v>
      </c>
    </row>
    <row r="1752" spans="1:12" x14ac:dyDescent="0.25">
      <c r="A1752" s="1">
        <v>43619</v>
      </c>
      <c r="B1752">
        <v>8087.0498049999997</v>
      </c>
      <c r="C1752">
        <v>8114.2998049999997</v>
      </c>
      <c r="D1752">
        <v>8071.6000979999999</v>
      </c>
      <c r="E1752">
        <v>8105.5</v>
      </c>
      <c r="F1752" s="4">
        <f t="shared" si="190"/>
        <v>8085.7001950000003</v>
      </c>
      <c r="G1752" s="4">
        <f t="shared" si="191"/>
        <v>8173.8999020000001</v>
      </c>
      <c r="H1752" s="4">
        <f t="shared" si="192"/>
        <v>0</v>
      </c>
      <c r="I1752" s="4">
        <f t="shared" si="189"/>
        <v>-1</v>
      </c>
      <c r="J1752" s="11">
        <f t="shared" si="193"/>
        <v>0</v>
      </c>
      <c r="K1752" s="6">
        <f t="shared" si="194"/>
        <v>8085.7001950000003</v>
      </c>
      <c r="L1752" s="4">
        <f t="shared" si="195"/>
        <v>0</v>
      </c>
    </row>
    <row r="1753" spans="1:12" x14ac:dyDescent="0.25">
      <c r="A1753" s="1">
        <v>43620</v>
      </c>
      <c r="B1753">
        <v>8070.3500979999999</v>
      </c>
      <c r="C1753">
        <v>8077.2998049999997</v>
      </c>
      <c r="D1753">
        <v>8030</v>
      </c>
      <c r="E1753">
        <v>8042</v>
      </c>
      <c r="F1753" s="4">
        <f t="shared" si="190"/>
        <v>8042</v>
      </c>
      <c r="G1753" s="4">
        <f t="shared" si="191"/>
        <v>8152.9501950000003</v>
      </c>
      <c r="H1753" s="4" t="str">
        <f t="shared" si="192"/>
        <v>SELL</v>
      </c>
      <c r="I1753" s="4">
        <f t="shared" si="189"/>
        <v>-1</v>
      </c>
      <c r="J1753" s="11">
        <f t="shared" si="193"/>
        <v>0</v>
      </c>
      <c r="K1753" s="6">
        <f t="shared" si="194"/>
        <v>8085.7001950000003</v>
      </c>
      <c r="L1753" s="4">
        <f t="shared" si="195"/>
        <v>0</v>
      </c>
    </row>
    <row r="1754" spans="1:12" x14ac:dyDescent="0.25">
      <c r="A1754" s="1">
        <v>43621</v>
      </c>
      <c r="B1754">
        <v>8036.6000979999999</v>
      </c>
      <c r="C1754">
        <v>8044.8999020000001</v>
      </c>
      <c r="D1754">
        <v>7925.1499020000001</v>
      </c>
      <c r="E1754">
        <v>7932.8999020000001</v>
      </c>
      <c r="F1754" s="4">
        <f t="shared" si="190"/>
        <v>7932.8999020000001</v>
      </c>
      <c r="G1754" s="4">
        <f t="shared" si="191"/>
        <v>8105.5</v>
      </c>
      <c r="H1754" s="4" t="str">
        <f t="shared" si="192"/>
        <v>SELL</v>
      </c>
      <c r="I1754" s="4">
        <f t="shared" si="189"/>
        <v>-1</v>
      </c>
      <c r="J1754" s="11">
        <f t="shared" si="193"/>
        <v>0</v>
      </c>
      <c r="K1754" s="6">
        <f t="shared" si="194"/>
        <v>8085.7001950000003</v>
      </c>
      <c r="L1754" s="4">
        <f t="shared" si="195"/>
        <v>0</v>
      </c>
    </row>
    <row r="1755" spans="1:12" x14ac:dyDescent="0.25">
      <c r="A1755" s="1">
        <v>43622</v>
      </c>
      <c r="B1755">
        <v>7971.5</v>
      </c>
      <c r="C1755">
        <v>7990.6499020000001</v>
      </c>
      <c r="D1755">
        <v>7936.9501950000003</v>
      </c>
      <c r="E1755">
        <v>7975.5</v>
      </c>
      <c r="F1755" s="4">
        <f t="shared" si="190"/>
        <v>7932.8999020000001</v>
      </c>
      <c r="G1755" s="4">
        <f t="shared" si="191"/>
        <v>8105.5</v>
      </c>
      <c r="H1755" s="4">
        <f t="shared" si="192"/>
        <v>0</v>
      </c>
      <c r="I1755" s="4">
        <f t="shared" si="189"/>
        <v>-1</v>
      </c>
      <c r="J1755" s="11">
        <f t="shared" si="193"/>
        <v>0</v>
      </c>
      <c r="K1755" s="6">
        <f t="shared" si="194"/>
        <v>8085.7001950000003</v>
      </c>
      <c r="L1755" s="4">
        <f t="shared" si="195"/>
        <v>0</v>
      </c>
    </row>
    <row r="1756" spans="1:12" x14ac:dyDescent="0.25">
      <c r="A1756" s="1">
        <v>43623</v>
      </c>
      <c r="B1756">
        <v>7950.6499020000001</v>
      </c>
      <c r="C1756">
        <v>8120.8500979999999</v>
      </c>
      <c r="D1756">
        <v>7939.7001950000003</v>
      </c>
      <c r="E1756">
        <v>8114.75</v>
      </c>
      <c r="F1756" s="4">
        <f t="shared" si="190"/>
        <v>7932.8999020000001</v>
      </c>
      <c r="G1756" s="4">
        <f t="shared" si="191"/>
        <v>8114.75</v>
      </c>
      <c r="H1756" s="4" t="str">
        <f t="shared" si="192"/>
        <v>BUY</v>
      </c>
      <c r="I1756" s="4">
        <f t="shared" si="189"/>
        <v>1</v>
      </c>
      <c r="J1756" s="11" t="str">
        <f t="shared" si="193"/>
        <v>BUY</v>
      </c>
      <c r="K1756" s="6">
        <f t="shared" si="194"/>
        <v>8114.75</v>
      </c>
      <c r="L1756" s="4">
        <f t="shared" si="195"/>
        <v>-3.5927383280873241E-3</v>
      </c>
    </row>
    <row r="1757" spans="1:12" x14ac:dyDescent="0.25">
      <c r="A1757" s="1">
        <v>43626</v>
      </c>
      <c r="B1757">
        <v>8129.3999020000001</v>
      </c>
      <c r="C1757">
        <v>8160.8999020000001</v>
      </c>
      <c r="D1757">
        <v>8105.3500979999999</v>
      </c>
      <c r="E1757">
        <v>8121.4501950000003</v>
      </c>
      <c r="F1757" s="4">
        <f t="shared" si="190"/>
        <v>7932.8999020000001</v>
      </c>
      <c r="G1757" s="4">
        <f t="shared" si="191"/>
        <v>8121.4501950000003</v>
      </c>
      <c r="H1757" s="4" t="str">
        <f t="shared" si="192"/>
        <v>BUY</v>
      </c>
      <c r="I1757" s="4">
        <f t="shared" si="189"/>
        <v>1</v>
      </c>
      <c r="J1757" s="11">
        <f t="shared" si="193"/>
        <v>0</v>
      </c>
      <c r="K1757" s="6">
        <f t="shared" si="194"/>
        <v>8114.75</v>
      </c>
      <c r="L1757" s="4">
        <f t="shared" si="195"/>
        <v>0</v>
      </c>
    </row>
    <row r="1758" spans="1:12" x14ac:dyDescent="0.25">
      <c r="A1758" s="1">
        <v>43627</v>
      </c>
      <c r="B1758">
        <v>8084.4501950000003</v>
      </c>
      <c r="C1758">
        <v>8159.8999020000001</v>
      </c>
      <c r="D1758">
        <v>8064.7998049999997</v>
      </c>
      <c r="E1758">
        <v>8146.2998049999997</v>
      </c>
      <c r="F1758" s="4">
        <f t="shared" si="190"/>
        <v>7932.8999020000001</v>
      </c>
      <c r="G1758" s="4">
        <f t="shared" si="191"/>
        <v>8146.2998049999997</v>
      </c>
      <c r="H1758" s="4" t="str">
        <f t="shared" si="192"/>
        <v>BUY</v>
      </c>
      <c r="I1758" s="4">
        <f t="shared" si="189"/>
        <v>1</v>
      </c>
      <c r="J1758" s="11">
        <f t="shared" si="193"/>
        <v>0</v>
      </c>
      <c r="K1758" s="6">
        <f t="shared" si="194"/>
        <v>8114.75</v>
      </c>
      <c r="L1758" s="4">
        <f t="shared" si="195"/>
        <v>0</v>
      </c>
    </row>
    <row r="1759" spans="1:12" x14ac:dyDescent="0.25">
      <c r="A1759" s="1">
        <v>43628</v>
      </c>
      <c r="B1759">
        <v>8144.3999020000001</v>
      </c>
      <c r="C1759">
        <v>8159.75</v>
      </c>
      <c r="D1759">
        <v>8008.1000979999999</v>
      </c>
      <c r="E1759">
        <v>8017.5498049999997</v>
      </c>
      <c r="F1759" s="4">
        <f t="shared" si="190"/>
        <v>7975.5</v>
      </c>
      <c r="G1759" s="4">
        <f t="shared" si="191"/>
        <v>8146.2998049999997</v>
      </c>
      <c r="H1759" s="4">
        <f t="shared" si="192"/>
        <v>0</v>
      </c>
      <c r="I1759" s="4">
        <f t="shared" si="189"/>
        <v>1</v>
      </c>
      <c r="J1759" s="11">
        <f t="shared" si="193"/>
        <v>0</v>
      </c>
      <c r="K1759" s="6">
        <f t="shared" si="194"/>
        <v>8114.75</v>
      </c>
      <c r="L1759" s="4">
        <f t="shared" si="195"/>
        <v>0</v>
      </c>
    </row>
    <row r="1760" spans="1:12" x14ac:dyDescent="0.25">
      <c r="A1760" s="1">
        <v>43629</v>
      </c>
      <c r="B1760">
        <v>8015.5498049999997</v>
      </c>
      <c r="C1760">
        <v>8042.0498049999997</v>
      </c>
      <c r="D1760">
        <v>7950.0498049999997</v>
      </c>
      <c r="E1760">
        <v>8002.3999020000001</v>
      </c>
      <c r="F1760" s="4">
        <f t="shared" si="190"/>
        <v>8002.3999020000001</v>
      </c>
      <c r="G1760" s="4">
        <f t="shared" si="191"/>
        <v>8146.2998049999997</v>
      </c>
      <c r="H1760" s="4">
        <f t="shared" si="192"/>
        <v>0</v>
      </c>
      <c r="I1760" s="4">
        <f t="shared" si="189"/>
        <v>1</v>
      </c>
      <c r="J1760" s="11">
        <f t="shared" si="193"/>
        <v>0</v>
      </c>
      <c r="K1760" s="6">
        <f t="shared" si="194"/>
        <v>8114.75</v>
      </c>
      <c r="L1760" s="4">
        <f t="shared" si="195"/>
        <v>0</v>
      </c>
    </row>
    <row r="1761" spans="1:12" x14ac:dyDescent="0.25">
      <c r="A1761" s="1">
        <v>43630</v>
      </c>
      <c r="B1761">
        <v>8003.2998049999997</v>
      </c>
      <c r="C1761">
        <v>8019.2998049999997</v>
      </c>
      <c r="D1761">
        <v>7877.3500979999999</v>
      </c>
      <c r="E1761">
        <v>7911.8500979999999</v>
      </c>
      <c r="F1761" s="4">
        <f t="shared" si="190"/>
        <v>7911.8500979999999</v>
      </c>
      <c r="G1761" s="4">
        <f t="shared" si="191"/>
        <v>8146.2998049999997</v>
      </c>
      <c r="H1761" s="4" t="str">
        <f t="shared" si="192"/>
        <v>SELL</v>
      </c>
      <c r="I1761" s="4">
        <f t="shared" si="189"/>
        <v>-1</v>
      </c>
      <c r="J1761" s="11" t="str">
        <f t="shared" si="193"/>
        <v>SELL</v>
      </c>
      <c r="K1761" s="6">
        <f t="shared" si="194"/>
        <v>7911.8500979999999</v>
      </c>
      <c r="L1761" s="4">
        <f t="shared" si="195"/>
        <v>-2.5003838935272204E-2</v>
      </c>
    </row>
    <row r="1762" spans="1:12" x14ac:dyDescent="0.25">
      <c r="A1762" s="1">
        <v>43633</v>
      </c>
      <c r="B1762">
        <v>7885.8500979999999</v>
      </c>
      <c r="C1762">
        <v>7993.2998049999997</v>
      </c>
      <c r="D1762">
        <v>7841.7998049999997</v>
      </c>
      <c r="E1762">
        <v>7968.8500979999999</v>
      </c>
      <c r="F1762" s="4">
        <f t="shared" si="190"/>
        <v>7911.8500979999999</v>
      </c>
      <c r="G1762" s="4">
        <f t="shared" si="191"/>
        <v>8146.2998049999997</v>
      </c>
      <c r="H1762" s="4">
        <f t="shared" si="192"/>
        <v>0</v>
      </c>
      <c r="I1762" s="4">
        <f t="shared" si="189"/>
        <v>-1</v>
      </c>
      <c r="J1762" s="11">
        <f t="shared" si="193"/>
        <v>0</v>
      </c>
      <c r="K1762" s="6">
        <f t="shared" si="194"/>
        <v>7911.8500979999999</v>
      </c>
      <c r="L1762" s="4">
        <f t="shared" si="195"/>
        <v>0</v>
      </c>
    </row>
    <row r="1763" spans="1:12" x14ac:dyDescent="0.25">
      <c r="A1763" s="1">
        <v>43634</v>
      </c>
      <c r="B1763">
        <v>7978.4501950000003</v>
      </c>
      <c r="C1763">
        <v>7991.75</v>
      </c>
      <c r="D1763">
        <v>7934.7001950000003</v>
      </c>
      <c r="E1763">
        <v>7958.8999020000001</v>
      </c>
      <c r="F1763" s="4">
        <f t="shared" si="190"/>
        <v>7911.8500979999999</v>
      </c>
      <c r="G1763" s="4">
        <f t="shared" si="191"/>
        <v>8017.5498049999997</v>
      </c>
      <c r="H1763" s="4">
        <f t="shared" si="192"/>
        <v>0</v>
      </c>
      <c r="I1763" s="4">
        <f t="shared" si="189"/>
        <v>-1</v>
      </c>
      <c r="J1763" s="11">
        <f t="shared" si="193"/>
        <v>0</v>
      </c>
      <c r="K1763" s="6">
        <f t="shared" si="194"/>
        <v>7911.8500979999999</v>
      </c>
      <c r="L1763" s="4">
        <f t="shared" si="195"/>
        <v>0</v>
      </c>
    </row>
    <row r="1764" spans="1:12" x14ac:dyDescent="0.25">
      <c r="A1764" s="1">
        <v>43635</v>
      </c>
      <c r="B1764">
        <v>7948.7998049999997</v>
      </c>
      <c r="C1764">
        <v>8030.8999020000001</v>
      </c>
      <c r="D1764">
        <v>7923.8500979999999</v>
      </c>
      <c r="E1764">
        <v>7964.7998049999997</v>
      </c>
      <c r="F1764" s="4">
        <f t="shared" si="190"/>
        <v>7911.8500979999999</v>
      </c>
      <c r="G1764" s="4">
        <f t="shared" si="191"/>
        <v>8002.3999020000001</v>
      </c>
      <c r="H1764" s="4">
        <f t="shared" si="192"/>
        <v>0</v>
      </c>
      <c r="I1764" s="4">
        <f t="shared" si="189"/>
        <v>-1</v>
      </c>
      <c r="J1764" s="11">
        <f t="shared" si="193"/>
        <v>0</v>
      </c>
      <c r="K1764" s="6">
        <f t="shared" si="194"/>
        <v>7911.8500979999999</v>
      </c>
      <c r="L1764" s="4">
        <f t="shared" si="195"/>
        <v>0</v>
      </c>
    </row>
    <row r="1765" spans="1:12" x14ac:dyDescent="0.25">
      <c r="A1765" s="1">
        <v>43636</v>
      </c>
      <c r="B1765">
        <v>7960.5</v>
      </c>
      <c r="C1765">
        <v>7977.5</v>
      </c>
      <c r="D1765">
        <v>7936.7001950000003</v>
      </c>
      <c r="E1765">
        <v>7945.5498049999997</v>
      </c>
      <c r="F1765" s="4">
        <f t="shared" si="190"/>
        <v>7911.8500979999999</v>
      </c>
      <c r="G1765" s="4">
        <f t="shared" si="191"/>
        <v>7968.8500979999999</v>
      </c>
      <c r="H1765" s="4">
        <f t="shared" si="192"/>
        <v>0</v>
      </c>
      <c r="I1765" s="4">
        <f t="shared" si="189"/>
        <v>-1</v>
      </c>
      <c r="J1765" s="11">
        <f t="shared" si="193"/>
        <v>0</v>
      </c>
      <c r="K1765" s="6">
        <f t="shared" si="194"/>
        <v>7911.8500979999999</v>
      </c>
      <c r="L1765" s="4">
        <f t="shared" si="195"/>
        <v>0</v>
      </c>
    </row>
    <row r="1766" spans="1:12" x14ac:dyDescent="0.25">
      <c r="A1766" s="1">
        <v>43637</v>
      </c>
      <c r="B1766">
        <v>7897.3999020000001</v>
      </c>
      <c r="C1766">
        <v>7943.0498049999997</v>
      </c>
      <c r="D1766">
        <v>7842.7001950000003</v>
      </c>
      <c r="E1766">
        <v>7852.3999020000001</v>
      </c>
      <c r="F1766" s="4">
        <f t="shared" si="190"/>
        <v>7852.3999020000001</v>
      </c>
      <c r="G1766" s="4">
        <f t="shared" si="191"/>
        <v>7968.8500979999999</v>
      </c>
      <c r="H1766" s="4" t="str">
        <f t="shared" si="192"/>
        <v>SELL</v>
      </c>
      <c r="I1766" s="4">
        <f t="shared" si="189"/>
        <v>-1</v>
      </c>
      <c r="J1766" s="11">
        <f t="shared" si="193"/>
        <v>0</v>
      </c>
      <c r="K1766" s="6">
        <f t="shared" si="194"/>
        <v>7911.8500979999999</v>
      </c>
      <c r="L1766" s="4">
        <f t="shared" si="195"/>
        <v>0</v>
      </c>
    </row>
    <row r="1767" spans="1:12" x14ac:dyDescent="0.25">
      <c r="A1767" s="1">
        <v>43640</v>
      </c>
      <c r="B1767">
        <v>7828.75</v>
      </c>
      <c r="C1767">
        <v>7869.8999020000001</v>
      </c>
      <c r="D1767">
        <v>7815.75</v>
      </c>
      <c r="E1767">
        <v>7842.7001950000003</v>
      </c>
      <c r="F1767" s="4">
        <f t="shared" si="190"/>
        <v>7842.7001950000003</v>
      </c>
      <c r="G1767" s="4">
        <f t="shared" si="191"/>
        <v>7964.7998049999997</v>
      </c>
      <c r="H1767" s="4" t="str">
        <f t="shared" si="192"/>
        <v>SELL</v>
      </c>
      <c r="I1767" s="4">
        <f t="shared" si="189"/>
        <v>-1</v>
      </c>
      <c r="J1767" s="11">
        <f t="shared" si="193"/>
        <v>0</v>
      </c>
      <c r="K1767" s="6">
        <f t="shared" si="194"/>
        <v>7911.8500979999999</v>
      </c>
      <c r="L1767" s="4">
        <f t="shared" si="195"/>
        <v>0</v>
      </c>
    </row>
    <row r="1768" spans="1:12" x14ac:dyDescent="0.25">
      <c r="A1768" s="1">
        <v>43641</v>
      </c>
      <c r="B1768">
        <v>7886.5</v>
      </c>
      <c r="C1768">
        <v>7972.3500979999999</v>
      </c>
      <c r="D1768">
        <v>7886.5</v>
      </c>
      <c r="E1768">
        <v>7960.5498049999997</v>
      </c>
      <c r="F1768" s="4">
        <f t="shared" si="190"/>
        <v>7842.7001950000003</v>
      </c>
      <c r="G1768" s="4">
        <f t="shared" si="191"/>
        <v>7964.7998049999997</v>
      </c>
      <c r="H1768" s="4">
        <f t="shared" si="192"/>
        <v>0</v>
      </c>
      <c r="I1768" s="4">
        <f t="shared" si="189"/>
        <v>-1</v>
      </c>
      <c r="J1768" s="11">
        <f t="shared" si="193"/>
        <v>0</v>
      </c>
      <c r="K1768" s="6">
        <f t="shared" si="194"/>
        <v>7911.8500979999999</v>
      </c>
      <c r="L1768" s="4">
        <f t="shared" si="195"/>
        <v>0</v>
      </c>
    </row>
    <row r="1769" spans="1:12" x14ac:dyDescent="0.25">
      <c r="A1769" s="1">
        <v>43642</v>
      </c>
      <c r="B1769">
        <v>7911</v>
      </c>
      <c r="C1769">
        <v>7924.0498049999997</v>
      </c>
      <c r="D1769">
        <v>7848.4501950000003</v>
      </c>
      <c r="E1769">
        <v>7859.9501950000003</v>
      </c>
      <c r="F1769" s="4">
        <f t="shared" si="190"/>
        <v>7842.7001950000003</v>
      </c>
      <c r="G1769" s="4">
        <f t="shared" si="191"/>
        <v>7960.5498049999997</v>
      </c>
      <c r="H1769" s="4">
        <f t="shared" si="192"/>
        <v>0</v>
      </c>
      <c r="I1769" s="4">
        <f t="shared" si="189"/>
        <v>-1</v>
      </c>
      <c r="J1769" s="11">
        <f t="shared" si="193"/>
        <v>0</v>
      </c>
      <c r="K1769" s="6">
        <f t="shared" si="194"/>
        <v>7911.8500979999999</v>
      </c>
      <c r="L1769" s="4">
        <f t="shared" si="195"/>
        <v>0</v>
      </c>
    </row>
    <row r="1770" spans="1:12" x14ac:dyDescent="0.25">
      <c r="A1770" s="1">
        <v>43643</v>
      </c>
      <c r="B1770">
        <v>7831</v>
      </c>
      <c r="C1770">
        <v>7901.1499020000001</v>
      </c>
      <c r="D1770">
        <v>7796</v>
      </c>
      <c r="E1770">
        <v>7884.25</v>
      </c>
      <c r="F1770" s="4">
        <f t="shared" si="190"/>
        <v>7842.7001950000003</v>
      </c>
      <c r="G1770" s="4">
        <f t="shared" si="191"/>
        <v>7960.5498049999997</v>
      </c>
      <c r="H1770" s="4">
        <f t="shared" si="192"/>
        <v>0</v>
      </c>
      <c r="I1770" s="4">
        <f t="shared" si="189"/>
        <v>-1</v>
      </c>
      <c r="J1770" s="11">
        <f t="shared" si="193"/>
        <v>0</v>
      </c>
      <c r="K1770" s="6">
        <f t="shared" si="194"/>
        <v>7911.8500979999999</v>
      </c>
      <c r="L1770" s="4">
        <f t="shared" si="195"/>
        <v>0</v>
      </c>
    </row>
    <row r="1771" spans="1:12" x14ac:dyDescent="0.25">
      <c r="A1771" s="1">
        <v>43644</v>
      </c>
      <c r="B1771">
        <v>7923.25</v>
      </c>
      <c r="C1771">
        <v>7928</v>
      </c>
      <c r="D1771">
        <v>7825.4501950000003</v>
      </c>
      <c r="E1771">
        <v>7864</v>
      </c>
      <c r="F1771" s="4">
        <f t="shared" si="190"/>
        <v>7842.7001950000003</v>
      </c>
      <c r="G1771" s="4">
        <f t="shared" si="191"/>
        <v>7960.5498049999997</v>
      </c>
      <c r="H1771" s="4">
        <f t="shared" si="192"/>
        <v>0</v>
      </c>
      <c r="I1771" s="4">
        <f t="shared" si="189"/>
        <v>-1</v>
      </c>
      <c r="J1771" s="11">
        <f t="shared" si="193"/>
        <v>0</v>
      </c>
      <c r="K1771" s="6">
        <f t="shared" si="194"/>
        <v>7911.8500979999999</v>
      </c>
      <c r="L1771" s="4">
        <f t="shared" si="195"/>
        <v>0</v>
      </c>
    </row>
    <row r="1772" spans="1:12" x14ac:dyDescent="0.25">
      <c r="A1772" s="1">
        <v>43647</v>
      </c>
      <c r="B1772">
        <v>7837.2998049999997</v>
      </c>
      <c r="C1772">
        <v>7893.8999020000001</v>
      </c>
      <c r="D1772">
        <v>7729.6499020000001</v>
      </c>
      <c r="E1772">
        <v>7748.2001950000003</v>
      </c>
      <c r="F1772" s="4">
        <f t="shared" si="190"/>
        <v>7748.2001950000003</v>
      </c>
      <c r="G1772" s="4">
        <f t="shared" si="191"/>
        <v>7960.5498049999997</v>
      </c>
      <c r="H1772" s="4" t="str">
        <f t="shared" si="192"/>
        <v>SELL</v>
      </c>
      <c r="I1772" s="4">
        <f t="shared" si="189"/>
        <v>-1</v>
      </c>
      <c r="J1772" s="11">
        <f t="shared" si="193"/>
        <v>0</v>
      </c>
      <c r="K1772" s="6">
        <f t="shared" si="194"/>
        <v>7911.8500979999999</v>
      </c>
      <c r="L1772" s="4">
        <f t="shared" si="195"/>
        <v>0</v>
      </c>
    </row>
    <row r="1773" spans="1:12" x14ac:dyDescent="0.25">
      <c r="A1773" s="1">
        <v>43648</v>
      </c>
      <c r="B1773">
        <v>7733.75</v>
      </c>
      <c r="C1773">
        <v>7819.2001950000003</v>
      </c>
      <c r="D1773">
        <v>7723.8500979999999</v>
      </c>
      <c r="E1773">
        <v>7779.7001950000003</v>
      </c>
      <c r="F1773" s="4">
        <f t="shared" si="190"/>
        <v>7748.2001950000003</v>
      </c>
      <c r="G1773" s="4">
        <f t="shared" si="191"/>
        <v>7884.25</v>
      </c>
      <c r="H1773" s="4">
        <f t="shared" si="192"/>
        <v>0</v>
      </c>
      <c r="I1773" s="4">
        <f t="shared" si="189"/>
        <v>-1</v>
      </c>
      <c r="J1773" s="11">
        <f t="shared" si="193"/>
        <v>0</v>
      </c>
      <c r="K1773" s="6">
        <f t="shared" si="194"/>
        <v>7911.8500979999999</v>
      </c>
      <c r="L1773" s="4">
        <f t="shared" si="195"/>
        <v>0</v>
      </c>
    </row>
    <row r="1774" spans="1:12" x14ac:dyDescent="0.25">
      <c r="A1774" s="1">
        <v>43649</v>
      </c>
      <c r="B1774">
        <v>7896.9501950000003</v>
      </c>
      <c r="C1774">
        <v>7905.9501950000003</v>
      </c>
      <c r="D1774">
        <v>7856.9501950000003</v>
      </c>
      <c r="E1774">
        <v>7879.3999020000001</v>
      </c>
      <c r="F1774" s="4">
        <f t="shared" si="190"/>
        <v>7748.2001950000003</v>
      </c>
      <c r="G1774" s="4">
        <f t="shared" si="191"/>
        <v>7884.25</v>
      </c>
      <c r="H1774" s="4">
        <f t="shared" si="192"/>
        <v>0</v>
      </c>
      <c r="I1774" s="4">
        <f t="shared" si="189"/>
        <v>-1</v>
      </c>
      <c r="J1774" s="11">
        <f t="shared" si="193"/>
        <v>0</v>
      </c>
      <c r="K1774" s="6">
        <f t="shared" si="194"/>
        <v>7911.8500979999999</v>
      </c>
      <c r="L1774" s="4">
        <f t="shared" si="195"/>
        <v>0</v>
      </c>
    </row>
    <row r="1775" spans="1:12" x14ac:dyDescent="0.25">
      <c r="A1775" s="1">
        <v>43650</v>
      </c>
      <c r="B1775">
        <v>7906.1499020000001</v>
      </c>
      <c r="C1775">
        <v>7936.6000979999999</v>
      </c>
      <c r="D1775">
        <v>7874.3500979999999</v>
      </c>
      <c r="E1775">
        <v>7927.75</v>
      </c>
      <c r="F1775" s="4">
        <f t="shared" si="190"/>
        <v>7748.2001950000003</v>
      </c>
      <c r="G1775" s="4">
        <f t="shared" si="191"/>
        <v>7927.75</v>
      </c>
      <c r="H1775" s="4" t="str">
        <f t="shared" si="192"/>
        <v>BUY</v>
      </c>
      <c r="I1775" s="4">
        <f t="shared" si="189"/>
        <v>1</v>
      </c>
      <c r="J1775" s="11" t="str">
        <f t="shared" si="193"/>
        <v>BUY</v>
      </c>
      <c r="K1775" s="6">
        <f t="shared" si="194"/>
        <v>7927.75</v>
      </c>
      <c r="L1775" s="4">
        <f t="shared" si="195"/>
        <v>-2.0096313508289766E-3</v>
      </c>
    </row>
    <row r="1776" spans="1:12" x14ac:dyDescent="0.25">
      <c r="A1776" s="1">
        <v>43651</v>
      </c>
      <c r="B1776">
        <v>7997.7998049999997</v>
      </c>
      <c r="C1776">
        <v>8005</v>
      </c>
      <c r="D1776">
        <v>7974.5498049999997</v>
      </c>
      <c r="E1776">
        <v>7995.8999020000001</v>
      </c>
      <c r="F1776" s="4">
        <f t="shared" si="190"/>
        <v>7748.2001950000003</v>
      </c>
      <c r="G1776" s="4">
        <f t="shared" si="191"/>
        <v>7995.8999020000001</v>
      </c>
      <c r="H1776" s="4" t="str">
        <f t="shared" si="192"/>
        <v>BUY</v>
      </c>
      <c r="I1776" s="4">
        <f t="shared" si="189"/>
        <v>1</v>
      </c>
      <c r="J1776" s="11">
        <f t="shared" si="193"/>
        <v>0</v>
      </c>
      <c r="K1776" s="6">
        <f t="shared" si="194"/>
        <v>7927.75</v>
      </c>
      <c r="L1776" s="4">
        <f t="shared" si="195"/>
        <v>0</v>
      </c>
    </row>
    <row r="1777" spans="1:12" x14ac:dyDescent="0.25">
      <c r="A1777" s="1">
        <v>43654</v>
      </c>
      <c r="B1777">
        <v>8027.7001950000003</v>
      </c>
      <c r="C1777">
        <v>8031.75</v>
      </c>
      <c r="D1777">
        <v>8008.8500979999999</v>
      </c>
      <c r="E1777">
        <v>8014.5498049999997</v>
      </c>
      <c r="F1777" s="4">
        <f t="shared" si="190"/>
        <v>7779.7001950000003</v>
      </c>
      <c r="G1777" s="4">
        <f t="shared" si="191"/>
        <v>8014.5498049999997</v>
      </c>
      <c r="H1777" s="4" t="str">
        <f t="shared" si="192"/>
        <v>BUY</v>
      </c>
      <c r="I1777" s="4">
        <f t="shared" si="189"/>
        <v>1</v>
      </c>
      <c r="J1777" s="11">
        <f t="shared" si="193"/>
        <v>0</v>
      </c>
      <c r="K1777" s="6">
        <f t="shared" si="194"/>
        <v>7927.75</v>
      </c>
      <c r="L1777" s="4">
        <f t="shared" si="195"/>
        <v>0</v>
      </c>
    </row>
    <row r="1778" spans="1:12" x14ac:dyDescent="0.25">
      <c r="A1778" s="1">
        <v>43655</v>
      </c>
      <c r="B1778">
        <v>8064.3500979999999</v>
      </c>
      <c r="C1778">
        <v>8064.3999020000001</v>
      </c>
      <c r="D1778">
        <v>7985.6499020000001</v>
      </c>
      <c r="E1778">
        <v>7991.7001950000003</v>
      </c>
      <c r="F1778" s="4">
        <f t="shared" si="190"/>
        <v>7879.3999020000001</v>
      </c>
      <c r="G1778" s="4">
        <f t="shared" si="191"/>
        <v>8014.5498049999997</v>
      </c>
      <c r="H1778" s="4">
        <f t="shared" si="192"/>
        <v>0</v>
      </c>
      <c r="I1778" s="4">
        <f t="shared" si="189"/>
        <v>1</v>
      </c>
      <c r="J1778" s="11">
        <f t="shared" si="193"/>
        <v>0</v>
      </c>
      <c r="K1778" s="6">
        <f t="shared" si="194"/>
        <v>7927.75</v>
      </c>
      <c r="L1778" s="4">
        <f t="shared" si="195"/>
        <v>0</v>
      </c>
    </row>
    <row r="1779" spans="1:12" x14ac:dyDescent="0.25">
      <c r="A1779" s="1">
        <v>43656</v>
      </c>
      <c r="B1779">
        <v>8002.3999020000001</v>
      </c>
      <c r="C1779">
        <v>8037.7998049999997</v>
      </c>
      <c r="D1779">
        <v>7995.0498049999997</v>
      </c>
      <c r="E1779">
        <v>8027.6000979999999</v>
      </c>
      <c r="F1779" s="4">
        <f t="shared" si="190"/>
        <v>7927.75</v>
      </c>
      <c r="G1779" s="4">
        <f t="shared" si="191"/>
        <v>8027.6000979999999</v>
      </c>
      <c r="H1779" s="4" t="str">
        <f t="shared" si="192"/>
        <v>BUY</v>
      </c>
      <c r="I1779" s="4">
        <f t="shared" si="189"/>
        <v>1</v>
      </c>
      <c r="J1779" s="11">
        <f t="shared" si="193"/>
        <v>0</v>
      </c>
      <c r="K1779" s="6">
        <f t="shared" si="194"/>
        <v>7927.75</v>
      </c>
      <c r="L1779" s="4">
        <f t="shared" si="195"/>
        <v>0</v>
      </c>
    </row>
    <row r="1780" spans="1:12" x14ac:dyDescent="0.25">
      <c r="A1780" s="1">
        <v>43657</v>
      </c>
      <c r="B1780">
        <v>8077.0498049999997</v>
      </c>
      <c r="C1780">
        <v>8097.9501950000003</v>
      </c>
      <c r="D1780">
        <v>8052.25</v>
      </c>
      <c r="E1780">
        <v>8090.4501950000003</v>
      </c>
      <c r="F1780" s="4">
        <f t="shared" si="190"/>
        <v>7991.7001950000003</v>
      </c>
      <c r="G1780" s="4">
        <f t="shared" si="191"/>
        <v>8090.4501950000003</v>
      </c>
      <c r="H1780" s="4" t="str">
        <f t="shared" si="192"/>
        <v>BUY</v>
      </c>
      <c r="I1780" s="4">
        <f t="shared" si="189"/>
        <v>1</v>
      </c>
      <c r="J1780" s="11">
        <f t="shared" si="193"/>
        <v>0</v>
      </c>
      <c r="K1780" s="6">
        <f t="shared" si="194"/>
        <v>7927.75</v>
      </c>
      <c r="L1780" s="4">
        <f t="shared" si="195"/>
        <v>0</v>
      </c>
    </row>
    <row r="1781" spans="1:12" x14ac:dyDescent="0.25">
      <c r="A1781" s="1">
        <v>43658</v>
      </c>
      <c r="B1781">
        <v>8085.2001950000003</v>
      </c>
      <c r="C1781">
        <v>8181.5498049999997</v>
      </c>
      <c r="D1781">
        <v>8085.2001950000003</v>
      </c>
      <c r="E1781">
        <v>8169.2001950000003</v>
      </c>
      <c r="F1781" s="4">
        <f t="shared" si="190"/>
        <v>7991.7001950000003</v>
      </c>
      <c r="G1781" s="4">
        <f t="shared" si="191"/>
        <v>8169.2001950000003</v>
      </c>
      <c r="H1781" s="4" t="str">
        <f t="shared" si="192"/>
        <v>BUY</v>
      </c>
      <c r="I1781" s="4">
        <f t="shared" si="189"/>
        <v>1</v>
      </c>
      <c r="J1781" s="11">
        <f t="shared" si="193"/>
        <v>0</v>
      </c>
      <c r="K1781" s="6">
        <f t="shared" si="194"/>
        <v>7927.75</v>
      </c>
      <c r="L1781" s="4">
        <f t="shared" si="195"/>
        <v>0</v>
      </c>
    </row>
    <row r="1782" spans="1:12" x14ac:dyDescent="0.25">
      <c r="A1782" s="1">
        <v>43661</v>
      </c>
      <c r="B1782">
        <v>8200.7998050000006</v>
      </c>
      <c r="C1782">
        <v>8330.75</v>
      </c>
      <c r="D1782">
        <v>8198.0498050000006</v>
      </c>
      <c r="E1782">
        <v>8322.2001949999994</v>
      </c>
      <c r="F1782" s="4">
        <f t="shared" si="190"/>
        <v>7991.7001950000003</v>
      </c>
      <c r="G1782" s="4">
        <f t="shared" si="191"/>
        <v>8322.2001949999994</v>
      </c>
      <c r="H1782" s="4" t="str">
        <f t="shared" si="192"/>
        <v>BUY</v>
      </c>
      <c r="I1782" s="4">
        <f t="shared" si="189"/>
        <v>1</v>
      </c>
      <c r="J1782" s="11">
        <f t="shared" si="193"/>
        <v>0</v>
      </c>
      <c r="K1782" s="6">
        <f t="shared" si="194"/>
        <v>7927.75</v>
      </c>
      <c r="L1782" s="4">
        <f t="shared" si="195"/>
        <v>0</v>
      </c>
    </row>
    <row r="1783" spans="1:12" x14ac:dyDescent="0.25">
      <c r="A1783" s="1">
        <v>43662</v>
      </c>
      <c r="B1783">
        <v>8348.1503909999992</v>
      </c>
      <c r="C1783">
        <v>8350.5996090000008</v>
      </c>
      <c r="D1783">
        <v>8297.6503909999992</v>
      </c>
      <c r="E1783">
        <v>8324.1503909999992</v>
      </c>
      <c r="F1783" s="4">
        <f t="shared" si="190"/>
        <v>8027.6000979999999</v>
      </c>
      <c r="G1783" s="4">
        <f t="shared" si="191"/>
        <v>8324.1503909999992</v>
      </c>
      <c r="H1783" s="4" t="str">
        <f t="shared" si="192"/>
        <v>BUY</v>
      </c>
      <c r="I1783" s="4">
        <f t="shared" si="189"/>
        <v>1</v>
      </c>
      <c r="J1783" s="11">
        <f t="shared" si="193"/>
        <v>0</v>
      </c>
      <c r="K1783" s="6">
        <f t="shared" si="194"/>
        <v>7927.75</v>
      </c>
      <c r="L1783" s="4">
        <f t="shared" si="195"/>
        <v>0</v>
      </c>
    </row>
    <row r="1784" spans="1:12" x14ac:dyDescent="0.25">
      <c r="A1784" s="1">
        <v>43663</v>
      </c>
      <c r="B1784">
        <v>8351.25</v>
      </c>
      <c r="C1784">
        <v>8365.5498050000006</v>
      </c>
      <c r="D1784">
        <v>8323.5</v>
      </c>
      <c r="E1784">
        <v>8338.2998050000006</v>
      </c>
      <c r="F1784" s="4">
        <f t="shared" si="190"/>
        <v>8090.4501950000003</v>
      </c>
      <c r="G1784" s="4">
        <f t="shared" si="191"/>
        <v>8338.2998050000006</v>
      </c>
      <c r="H1784" s="4" t="str">
        <f t="shared" si="192"/>
        <v>BUY</v>
      </c>
      <c r="I1784" s="4">
        <f t="shared" si="189"/>
        <v>1</v>
      </c>
      <c r="J1784" s="11">
        <f t="shared" si="193"/>
        <v>0</v>
      </c>
      <c r="K1784" s="6">
        <f t="shared" si="194"/>
        <v>7927.75</v>
      </c>
      <c r="L1784" s="4">
        <f t="shared" si="195"/>
        <v>0</v>
      </c>
    </row>
    <row r="1785" spans="1:12" x14ac:dyDescent="0.25">
      <c r="A1785" s="1">
        <v>43664</v>
      </c>
      <c r="B1785">
        <v>8331.8496090000008</v>
      </c>
      <c r="C1785">
        <v>8360.3496090000008</v>
      </c>
      <c r="D1785">
        <v>8290.25</v>
      </c>
      <c r="E1785">
        <v>8337</v>
      </c>
      <c r="F1785" s="4">
        <f t="shared" si="190"/>
        <v>8169.2001950000003</v>
      </c>
      <c r="G1785" s="4">
        <f t="shared" si="191"/>
        <v>8338.2998050000006</v>
      </c>
      <c r="H1785" s="4">
        <f t="shared" si="192"/>
        <v>0</v>
      </c>
      <c r="I1785" s="4">
        <f t="shared" si="189"/>
        <v>1</v>
      </c>
      <c r="J1785" s="11">
        <f t="shared" si="193"/>
        <v>0</v>
      </c>
      <c r="K1785" s="6">
        <f t="shared" si="194"/>
        <v>7927.75</v>
      </c>
      <c r="L1785" s="4">
        <f t="shared" si="195"/>
        <v>0</v>
      </c>
    </row>
    <row r="1786" spans="1:12" x14ac:dyDescent="0.25">
      <c r="A1786" s="1">
        <v>43665</v>
      </c>
      <c r="B1786">
        <v>8337.7998050000006</v>
      </c>
      <c r="C1786">
        <v>8383.0498050000006</v>
      </c>
      <c r="D1786">
        <v>8304.4501949999994</v>
      </c>
      <c r="E1786">
        <v>8344.25</v>
      </c>
      <c r="F1786" s="4">
        <f t="shared" si="190"/>
        <v>8322.2001949999994</v>
      </c>
      <c r="G1786" s="4">
        <f t="shared" si="191"/>
        <v>8344.25</v>
      </c>
      <c r="H1786" s="4" t="str">
        <f t="shared" si="192"/>
        <v>BUY</v>
      </c>
      <c r="I1786" s="4">
        <f t="shared" si="189"/>
        <v>1</v>
      </c>
      <c r="J1786" s="11">
        <f t="shared" si="193"/>
        <v>0</v>
      </c>
      <c r="K1786" s="6">
        <f t="shared" si="194"/>
        <v>7927.75</v>
      </c>
      <c r="L1786" s="4">
        <f t="shared" si="195"/>
        <v>0</v>
      </c>
    </row>
    <row r="1787" spans="1:12" x14ac:dyDescent="0.25">
      <c r="A1787" s="1">
        <v>43668</v>
      </c>
      <c r="B1787">
        <v>8354.0996090000008</v>
      </c>
      <c r="C1787">
        <v>8378.7001949999994</v>
      </c>
      <c r="D1787">
        <v>8321.8496090000008</v>
      </c>
      <c r="E1787">
        <v>8362.6503909999992</v>
      </c>
      <c r="F1787" s="4">
        <f t="shared" si="190"/>
        <v>8324.1503909999992</v>
      </c>
      <c r="G1787" s="4">
        <f t="shared" si="191"/>
        <v>8362.6503909999992</v>
      </c>
      <c r="H1787" s="4" t="str">
        <f t="shared" si="192"/>
        <v>BUY</v>
      </c>
      <c r="I1787" s="4">
        <f t="shared" si="189"/>
        <v>1</v>
      </c>
      <c r="J1787" s="11">
        <f t="shared" si="193"/>
        <v>0</v>
      </c>
      <c r="K1787" s="6">
        <f t="shared" si="194"/>
        <v>7927.75</v>
      </c>
      <c r="L1787" s="4">
        <f t="shared" si="195"/>
        <v>0</v>
      </c>
    </row>
    <row r="1788" spans="1:12" x14ac:dyDescent="0.25">
      <c r="A1788" s="1">
        <v>43669</v>
      </c>
      <c r="B1788">
        <v>8378.9003909999992</v>
      </c>
      <c r="C1788">
        <v>8415.0498050000006</v>
      </c>
      <c r="D1788">
        <v>8370.5</v>
      </c>
      <c r="E1788">
        <v>8383.2998050000006</v>
      </c>
      <c r="F1788" s="4">
        <f t="shared" si="190"/>
        <v>8337</v>
      </c>
      <c r="G1788" s="4">
        <f t="shared" si="191"/>
        <v>8383.2998050000006</v>
      </c>
      <c r="H1788" s="4" t="str">
        <f t="shared" si="192"/>
        <v>BUY</v>
      </c>
      <c r="I1788" s="4">
        <f t="shared" si="189"/>
        <v>1</v>
      </c>
      <c r="J1788" s="11">
        <f t="shared" si="193"/>
        <v>0</v>
      </c>
      <c r="K1788" s="6">
        <f t="shared" si="194"/>
        <v>7927.75</v>
      </c>
      <c r="L1788" s="4">
        <f t="shared" si="195"/>
        <v>0</v>
      </c>
    </row>
    <row r="1789" spans="1:12" x14ac:dyDescent="0.25">
      <c r="A1789" s="1">
        <v>43670</v>
      </c>
      <c r="B1789">
        <v>8405.25</v>
      </c>
      <c r="C1789">
        <v>8408</v>
      </c>
      <c r="D1789">
        <v>8320.3496090000008</v>
      </c>
      <c r="E1789">
        <v>8357.8496090000008</v>
      </c>
      <c r="F1789" s="4">
        <f t="shared" si="190"/>
        <v>8337</v>
      </c>
      <c r="G1789" s="4">
        <f t="shared" si="191"/>
        <v>8383.2998050000006</v>
      </c>
      <c r="H1789" s="4">
        <f t="shared" si="192"/>
        <v>0</v>
      </c>
      <c r="I1789" s="4">
        <f t="shared" si="189"/>
        <v>1</v>
      </c>
      <c r="J1789" s="11">
        <f t="shared" si="193"/>
        <v>0</v>
      </c>
      <c r="K1789" s="6">
        <f t="shared" si="194"/>
        <v>7927.75</v>
      </c>
      <c r="L1789" s="4">
        <f t="shared" si="195"/>
        <v>0</v>
      </c>
    </row>
    <row r="1790" spans="1:12" x14ac:dyDescent="0.25">
      <c r="A1790" s="1">
        <v>43671</v>
      </c>
      <c r="B1790">
        <v>8360.7001949999994</v>
      </c>
      <c r="C1790">
        <v>8400.6503909999992</v>
      </c>
      <c r="D1790">
        <v>8346.7998050000006</v>
      </c>
      <c r="E1790">
        <v>8389.9003909999992</v>
      </c>
      <c r="F1790" s="4">
        <f t="shared" si="190"/>
        <v>8344.25</v>
      </c>
      <c r="G1790" s="4">
        <f t="shared" si="191"/>
        <v>8389.9003909999992</v>
      </c>
      <c r="H1790" s="4" t="str">
        <f t="shared" si="192"/>
        <v>BUY</v>
      </c>
      <c r="I1790" s="4">
        <f t="shared" si="189"/>
        <v>1</v>
      </c>
      <c r="J1790" s="11">
        <f t="shared" si="193"/>
        <v>0</v>
      </c>
      <c r="K1790" s="6">
        <f t="shared" si="194"/>
        <v>7927.75</v>
      </c>
      <c r="L1790" s="4">
        <f t="shared" si="195"/>
        <v>0</v>
      </c>
    </row>
    <row r="1791" spans="1:12" x14ac:dyDescent="0.25">
      <c r="A1791" s="1">
        <v>43672</v>
      </c>
      <c r="B1791">
        <v>8378.4003909999992</v>
      </c>
      <c r="C1791">
        <v>8438.0996090000008</v>
      </c>
      <c r="D1791">
        <v>8349.0996090000008</v>
      </c>
      <c r="E1791">
        <v>8430.75</v>
      </c>
      <c r="F1791" s="4">
        <f t="shared" si="190"/>
        <v>8357.8496090000008</v>
      </c>
      <c r="G1791" s="4">
        <f t="shared" si="191"/>
        <v>8430.75</v>
      </c>
      <c r="H1791" s="4" t="str">
        <f t="shared" si="192"/>
        <v>BUY</v>
      </c>
      <c r="I1791" s="4">
        <f t="shared" si="189"/>
        <v>1</v>
      </c>
      <c r="J1791" s="11">
        <f t="shared" si="193"/>
        <v>0</v>
      </c>
      <c r="K1791" s="6">
        <f t="shared" si="194"/>
        <v>7927.75</v>
      </c>
      <c r="L1791" s="4">
        <f t="shared" si="195"/>
        <v>0</v>
      </c>
    </row>
    <row r="1792" spans="1:12" x14ac:dyDescent="0.25">
      <c r="A1792" s="1">
        <v>43675</v>
      </c>
      <c r="B1792">
        <v>8441.25</v>
      </c>
      <c r="C1792">
        <v>8454.5</v>
      </c>
      <c r="D1792">
        <v>8407.25</v>
      </c>
      <c r="E1792">
        <v>8425.9003909999992</v>
      </c>
      <c r="F1792" s="4">
        <f t="shared" si="190"/>
        <v>8357.8496090000008</v>
      </c>
      <c r="G1792" s="4">
        <f t="shared" si="191"/>
        <v>8430.75</v>
      </c>
      <c r="H1792" s="4">
        <f t="shared" si="192"/>
        <v>0</v>
      </c>
      <c r="I1792" s="4">
        <f t="shared" si="189"/>
        <v>1</v>
      </c>
      <c r="J1792" s="11">
        <f t="shared" si="193"/>
        <v>0</v>
      </c>
      <c r="K1792" s="6">
        <f t="shared" si="194"/>
        <v>7927.75</v>
      </c>
      <c r="L1792" s="4">
        <f t="shared" si="195"/>
        <v>0</v>
      </c>
    </row>
    <row r="1793" spans="1:12" x14ac:dyDescent="0.25">
      <c r="A1793" s="1">
        <v>43676</v>
      </c>
      <c r="B1793">
        <v>8440.6503909999992</v>
      </c>
      <c r="C1793">
        <v>8455.6503909999992</v>
      </c>
      <c r="D1793">
        <v>8360.5</v>
      </c>
      <c r="E1793">
        <v>8382.2998050000006</v>
      </c>
      <c r="F1793" s="4">
        <f t="shared" si="190"/>
        <v>8357.8496090000008</v>
      </c>
      <c r="G1793" s="4">
        <f t="shared" si="191"/>
        <v>8430.75</v>
      </c>
      <c r="H1793" s="4">
        <f t="shared" si="192"/>
        <v>0</v>
      </c>
      <c r="I1793" s="4">
        <f t="shared" si="189"/>
        <v>1</v>
      </c>
      <c r="J1793" s="11">
        <f t="shared" si="193"/>
        <v>0</v>
      </c>
      <c r="K1793" s="6">
        <f t="shared" si="194"/>
        <v>7927.75</v>
      </c>
      <c r="L1793" s="4">
        <f t="shared" si="195"/>
        <v>0</v>
      </c>
    </row>
    <row r="1794" spans="1:12" x14ac:dyDescent="0.25">
      <c r="A1794" s="1">
        <v>43677</v>
      </c>
      <c r="B1794">
        <v>8406.5</v>
      </c>
      <c r="C1794">
        <v>8410.8496090000008</v>
      </c>
      <c r="D1794">
        <v>8353.1503909999992</v>
      </c>
      <c r="E1794">
        <v>8401.9003909999992</v>
      </c>
      <c r="F1794" s="4">
        <f t="shared" si="190"/>
        <v>8382.2998050000006</v>
      </c>
      <c r="G1794" s="4">
        <f t="shared" si="191"/>
        <v>8430.75</v>
      </c>
      <c r="H1794" s="4">
        <f t="shared" si="192"/>
        <v>0</v>
      </c>
      <c r="I1794" s="4">
        <f t="shared" si="189"/>
        <v>1</v>
      </c>
      <c r="J1794" s="11">
        <f t="shared" si="193"/>
        <v>0</v>
      </c>
      <c r="K1794" s="6">
        <f t="shared" si="194"/>
        <v>7927.75</v>
      </c>
      <c r="L1794" s="4">
        <f t="shared" si="195"/>
        <v>0</v>
      </c>
    </row>
    <row r="1795" spans="1:12" x14ac:dyDescent="0.25">
      <c r="A1795" s="1">
        <v>43678</v>
      </c>
      <c r="B1795">
        <v>8408.2001949999994</v>
      </c>
      <c r="C1795">
        <v>8489.7998050000006</v>
      </c>
      <c r="D1795">
        <v>8398.5996090000008</v>
      </c>
      <c r="E1795">
        <v>8477.3496090000008</v>
      </c>
      <c r="F1795" s="4">
        <f t="shared" si="190"/>
        <v>8382.2998050000006</v>
      </c>
      <c r="G1795" s="4">
        <f t="shared" si="191"/>
        <v>8477.3496090000008</v>
      </c>
      <c r="H1795" s="4" t="str">
        <f t="shared" si="192"/>
        <v>BUY</v>
      </c>
      <c r="I1795" s="4">
        <f t="shared" si="189"/>
        <v>1</v>
      </c>
      <c r="J1795" s="11">
        <f t="shared" si="193"/>
        <v>0</v>
      </c>
      <c r="K1795" s="6">
        <f t="shared" si="194"/>
        <v>7927.75</v>
      </c>
      <c r="L1795" s="4">
        <f t="shared" si="195"/>
        <v>0</v>
      </c>
    </row>
    <row r="1796" spans="1:12" x14ac:dyDescent="0.25">
      <c r="A1796" s="1">
        <v>43679</v>
      </c>
      <c r="B1796">
        <v>8490.9501949999994</v>
      </c>
      <c r="C1796">
        <v>8534.6503909999992</v>
      </c>
      <c r="D1796">
        <v>8490.7998050000006</v>
      </c>
      <c r="E1796">
        <v>8530.1503909999992</v>
      </c>
      <c r="F1796" s="4">
        <f t="shared" si="190"/>
        <v>8382.2998050000006</v>
      </c>
      <c r="G1796" s="4">
        <f t="shared" si="191"/>
        <v>8530.1503909999992</v>
      </c>
      <c r="H1796" s="4" t="str">
        <f t="shared" si="192"/>
        <v>BUY</v>
      </c>
      <c r="I1796" s="4">
        <f t="shared" si="189"/>
        <v>1</v>
      </c>
      <c r="J1796" s="11">
        <f t="shared" si="193"/>
        <v>0</v>
      </c>
      <c r="K1796" s="6">
        <f t="shared" si="194"/>
        <v>7927.75</v>
      </c>
      <c r="L1796" s="4">
        <f t="shared" si="195"/>
        <v>0</v>
      </c>
    </row>
    <row r="1797" spans="1:12" x14ac:dyDescent="0.25">
      <c r="A1797" s="1">
        <v>43682</v>
      </c>
      <c r="B1797">
        <v>8530.7998050000006</v>
      </c>
      <c r="C1797">
        <v>8535.3496090000008</v>
      </c>
      <c r="D1797">
        <v>8429.4501949999994</v>
      </c>
      <c r="E1797">
        <v>8463.0996090000008</v>
      </c>
      <c r="F1797" s="4">
        <f t="shared" si="190"/>
        <v>8382.2998050000006</v>
      </c>
      <c r="G1797" s="4">
        <f t="shared" si="191"/>
        <v>8530.1503909999992</v>
      </c>
      <c r="H1797" s="4">
        <f t="shared" si="192"/>
        <v>0</v>
      </c>
      <c r="I1797" s="4">
        <f t="shared" si="189"/>
        <v>1</v>
      </c>
      <c r="J1797" s="11">
        <f t="shared" si="193"/>
        <v>0</v>
      </c>
      <c r="K1797" s="6">
        <f t="shared" si="194"/>
        <v>7927.75</v>
      </c>
      <c r="L1797" s="4">
        <f t="shared" si="195"/>
        <v>0</v>
      </c>
    </row>
    <row r="1798" spans="1:12" x14ac:dyDescent="0.25">
      <c r="A1798" s="1">
        <v>43683</v>
      </c>
      <c r="B1798">
        <v>8450.2998050000006</v>
      </c>
      <c r="C1798">
        <v>8500.2998050000006</v>
      </c>
      <c r="D1798">
        <v>8438.6503909999992</v>
      </c>
      <c r="E1798">
        <v>8475.75</v>
      </c>
      <c r="F1798" s="4">
        <f t="shared" si="190"/>
        <v>8401.9003909999992</v>
      </c>
      <c r="G1798" s="4">
        <f t="shared" si="191"/>
        <v>8530.1503909999992</v>
      </c>
      <c r="H1798" s="4">
        <f t="shared" si="192"/>
        <v>0</v>
      </c>
      <c r="I1798" s="4">
        <f t="shared" ref="I1798:I1861" si="196">IF(AND(H1798="BUY",I1797&lt;&gt;1),1,IF(AND(H1798="SELL",I1797&lt;&gt;-1),-1,I1797))</f>
        <v>1</v>
      </c>
      <c r="J1798" s="11">
        <f t="shared" si="193"/>
        <v>0</v>
      </c>
      <c r="K1798" s="6">
        <f t="shared" si="194"/>
        <v>7927.75</v>
      </c>
      <c r="L1798" s="4">
        <f t="shared" si="195"/>
        <v>0</v>
      </c>
    </row>
    <row r="1799" spans="1:12" x14ac:dyDescent="0.25">
      <c r="A1799" s="1">
        <v>43684</v>
      </c>
      <c r="B1799">
        <v>8477.7998050000006</v>
      </c>
      <c r="C1799">
        <v>8506.75</v>
      </c>
      <c r="D1799">
        <v>8456.3496090000008</v>
      </c>
      <c r="E1799">
        <v>8494.2001949999994</v>
      </c>
      <c r="F1799" s="4">
        <f t="shared" ref="F1799:F1862" si="197">MIN(E1795:E1799)</f>
        <v>8463.0996090000008</v>
      </c>
      <c r="G1799" s="4">
        <f t="shared" ref="G1799:G1862" si="198">MAX(E1795:E1799)</f>
        <v>8530.1503909999992</v>
      </c>
      <c r="H1799" s="4">
        <f t="shared" ref="H1799:H1862" si="199">IF(E1799&gt;G1798,"BUY",IF(E1799&lt;F1798,"SELL",0))</f>
        <v>0</v>
      </c>
      <c r="I1799" s="4">
        <f t="shared" si="196"/>
        <v>1</v>
      </c>
      <c r="J1799" s="11">
        <f t="shared" ref="J1799:J1862" si="200">IF(I1799&lt;&gt;I1798,H1799,0)</f>
        <v>0</v>
      </c>
      <c r="K1799" s="6">
        <f t="shared" ref="K1799:K1862" si="201">IF(J1799&lt;&gt;0,E1799,K1798)</f>
        <v>7927.75</v>
      </c>
      <c r="L1799" s="4">
        <f t="shared" si="195"/>
        <v>0</v>
      </c>
    </row>
    <row r="1800" spans="1:12" x14ac:dyDescent="0.25">
      <c r="A1800" s="1">
        <v>43685</v>
      </c>
      <c r="B1800">
        <v>8516.7998050000006</v>
      </c>
      <c r="C1800">
        <v>8617</v>
      </c>
      <c r="D1800">
        <v>8516.25</v>
      </c>
      <c r="E1800">
        <v>8588.25</v>
      </c>
      <c r="F1800" s="4">
        <f t="shared" si="197"/>
        <v>8463.0996090000008</v>
      </c>
      <c r="G1800" s="4">
        <f t="shared" si="198"/>
        <v>8588.25</v>
      </c>
      <c r="H1800" s="4" t="str">
        <f t="shared" si="199"/>
        <v>BUY</v>
      </c>
      <c r="I1800" s="4">
        <f t="shared" si="196"/>
        <v>1</v>
      </c>
      <c r="J1800" s="11">
        <f t="shared" si="200"/>
        <v>0</v>
      </c>
      <c r="K1800" s="6">
        <f t="shared" si="201"/>
        <v>7927.75</v>
      </c>
      <c r="L1800" s="4">
        <f t="shared" ref="L1800:L1863" si="202">IF(J1800="BUY",(K1799-K1800)/K1799,IF(J1800="SELL",(K1801-K1799)/K1799,0))</f>
        <v>0</v>
      </c>
    </row>
    <row r="1801" spans="1:12" x14ac:dyDescent="0.25">
      <c r="A1801" s="1">
        <v>43686</v>
      </c>
      <c r="B1801">
        <v>8605.0996090000008</v>
      </c>
      <c r="C1801">
        <v>8623</v>
      </c>
      <c r="D1801">
        <v>8545.1503909999992</v>
      </c>
      <c r="E1801">
        <v>8555.9003909999992</v>
      </c>
      <c r="F1801" s="4">
        <f t="shared" si="197"/>
        <v>8463.0996090000008</v>
      </c>
      <c r="G1801" s="4">
        <f t="shared" si="198"/>
        <v>8588.25</v>
      </c>
      <c r="H1801" s="4">
        <f t="shared" si="199"/>
        <v>0</v>
      </c>
      <c r="I1801" s="4">
        <f t="shared" si="196"/>
        <v>1</v>
      </c>
      <c r="J1801" s="11">
        <f t="shared" si="200"/>
        <v>0</v>
      </c>
      <c r="K1801" s="6">
        <f t="shared" si="201"/>
        <v>7927.75</v>
      </c>
      <c r="L1801" s="4">
        <f t="shared" si="202"/>
        <v>0</v>
      </c>
    </row>
    <row r="1802" spans="1:12" x14ac:dyDescent="0.25">
      <c r="A1802" s="1">
        <v>43689</v>
      </c>
      <c r="B1802">
        <v>8535.4501949999994</v>
      </c>
      <c r="C1802">
        <v>8560.2001949999994</v>
      </c>
      <c r="D1802">
        <v>8504.6503909999992</v>
      </c>
      <c r="E1802">
        <v>8524.7001949999994</v>
      </c>
      <c r="F1802" s="4">
        <f t="shared" si="197"/>
        <v>8475.75</v>
      </c>
      <c r="G1802" s="4">
        <f t="shared" si="198"/>
        <v>8588.25</v>
      </c>
      <c r="H1802" s="4">
        <f t="shared" si="199"/>
        <v>0</v>
      </c>
      <c r="I1802" s="4">
        <f t="shared" si="196"/>
        <v>1</v>
      </c>
      <c r="J1802" s="11">
        <f t="shared" si="200"/>
        <v>0</v>
      </c>
      <c r="K1802" s="6">
        <f t="shared" si="201"/>
        <v>7927.75</v>
      </c>
      <c r="L1802" s="4">
        <f t="shared" si="202"/>
        <v>0</v>
      </c>
    </row>
    <row r="1803" spans="1:12" x14ac:dyDescent="0.25">
      <c r="A1803" s="1">
        <v>43690</v>
      </c>
      <c r="B1803">
        <v>8528.7001949999994</v>
      </c>
      <c r="C1803">
        <v>8546.9501949999994</v>
      </c>
      <c r="D1803">
        <v>8508.3496090000008</v>
      </c>
      <c r="E1803">
        <v>8537.6503909999992</v>
      </c>
      <c r="F1803" s="4">
        <f t="shared" si="197"/>
        <v>8494.2001949999994</v>
      </c>
      <c r="G1803" s="4">
        <f t="shared" si="198"/>
        <v>8588.25</v>
      </c>
      <c r="H1803" s="4">
        <f t="shared" si="199"/>
        <v>0</v>
      </c>
      <c r="I1803" s="4">
        <f t="shared" si="196"/>
        <v>1</v>
      </c>
      <c r="J1803" s="11">
        <f t="shared" si="200"/>
        <v>0</v>
      </c>
      <c r="K1803" s="6">
        <f t="shared" si="201"/>
        <v>7927.75</v>
      </c>
      <c r="L1803" s="4">
        <f t="shared" si="202"/>
        <v>0</v>
      </c>
    </row>
    <row r="1804" spans="1:12" x14ac:dyDescent="0.25">
      <c r="A1804" s="1">
        <v>43691</v>
      </c>
      <c r="B1804">
        <v>8582.4003909999992</v>
      </c>
      <c r="C1804">
        <v>8626.9501949999994</v>
      </c>
      <c r="D1804">
        <v>8526.4003909999992</v>
      </c>
      <c r="E1804">
        <v>8564.4003909999992</v>
      </c>
      <c r="F1804" s="4">
        <f t="shared" si="197"/>
        <v>8524.7001949999994</v>
      </c>
      <c r="G1804" s="4">
        <f t="shared" si="198"/>
        <v>8588.25</v>
      </c>
      <c r="H1804" s="4">
        <f t="shared" si="199"/>
        <v>0</v>
      </c>
      <c r="I1804" s="4">
        <f t="shared" si="196"/>
        <v>1</v>
      </c>
      <c r="J1804" s="11">
        <f t="shared" si="200"/>
        <v>0</v>
      </c>
      <c r="K1804" s="6">
        <f t="shared" si="201"/>
        <v>7927.75</v>
      </c>
      <c r="L1804" s="4">
        <f t="shared" si="202"/>
        <v>0</v>
      </c>
    </row>
    <row r="1805" spans="1:12" x14ac:dyDescent="0.25">
      <c r="A1805" s="1">
        <v>43692</v>
      </c>
      <c r="B1805">
        <v>8584.25</v>
      </c>
      <c r="C1805">
        <v>8588.3496090000008</v>
      </c>
      <c r="D1805">
        <v>8523.9003909999992</v>
      </c>
      <c r="E1805">
        <v>8538.2998050000006</v>
      </c>
      <c r="F1805" s="4">
        <f t="shared" si="197"/>
        <v>8524.7001949999994</v>
      </c>
      <c r="G1805" s="4">
        <f t="shared" si="198"/>
        <v>8564.4003909999992</v>
      </c>
      <c r="H1805" s="4">
        <f t="shared" si="199"/>
        <v>0</v>
      </c>
      <c r="I1805" s="4">
        <f t="shared" si="196"/>
        <v>1</v>
      </c>
      <c r="J1805" s="11">
        <f t="shared" si="200"/>
        <v>0</v>
      </c>
      <c r="K1805" s="6">
        <f t="shared" si="201"/>
        <v>7927.75</v>
      </c>
      <c r="L1805" s="4">
        <f t="shared" si="202"/>
        <v>0</v>
      </c>
    </row>
    <row r="1806" spans="1:12" x14ac:dyDescent="0.25">
      <c r="A1806" s="1">
        <v>43693</v>
      </c>
      <c r="B1806">
        <v>8538.6503909999992</v>
      </c>
      <c r="C1806">
        <v>8546.3496090000008</v>
      </c>
      <c r="D1806">
        <v>8432.25</v>
      </c>
      <c r="E1806">
        <v>8438.25</v>
      </c>
      <c r="F1806" s="4">
        <f t="shared" si="197"/>
        <v>8438.25</v>
      </c>
      <c r="G1806" s="4">
        <f t="shared" si="198"/>
        <v>8564.4003909999992</v>
      </c>
      <c r="H1806" s="4" t="str">
        <f t="shared" si="199"/>
        <v>SELL</v>
      </c>
      <c r="I1806" s="4">
        <f t="shared" si="196"/>
        <v>-1</v>
      </c>
      <c r="J1806" s="11" t="str">
        <f t="shared" si="200"/>
        <v>SELL</v>
      </c>
      <c r="K1806" s="6">
        <f t="shared" si="201"/>
        <v>8438.25</v>
      </c>
      <c r="L1806" s="4">
        <f t="shared" si="202"/>
        <v>6.4394058843934288E-2</v>
      </c>
    </row>
    <row r="1807" spans="1:12" x14ac:dyDescent="0.25">
      <c r="A1807" s="1">
        <v>43696</v>
      </c>
      <c r="B1807">
        <v>8439.2998050000006</v>
      </c>
      <c r="C1807">
        <v>8444.5</v>
      </c>
      <c r="D1807">
        <v>8330.5</v>
      </c>
      <c r="E1807">
        <v>8340.7001949999994</v>
      </c>
      <c r="F1807" s="4">
        <f t="shared" si="197"/>
        <v>8340.7001949999994</v>
      </c>
      <c r="G1807" s="4">
        <f t="shared" si="198"/>
        <v>8564.4003909999992</v>
      </c>
      <c r="H1807" s="4" t="str">
        <f t="shared" si="199"/>
        <v>SELL</v>
      </c>
      <c r="I1807" s="4">
        <f t="shared" si="196"/>
        <v>-1</v>
      </c>
      <c r="J1807" s="11">
        <f t="shared" si="200"/>
        <v>0</v>
      </c>
      <c r="K1807" s="6">
        <f t="shared" si="201"/>
        <v>8438.25</v>
      </c>
      <c r="L1807" s="4">
        <f t="shared" si="202"/>
        <v>0</v>
      </c>
    </row>
    <row r="1808" spans="1:12" x14ac:dyDescent="0.25">
      <c r="A1808" s="1">
        <v>43697</v>
      </c>
      <c r="B1808">
        <v>8318.0498050000006</v>
      </c>
      <c r="C1808">
        <v>8376.7998050000006</v>
      </c>
      <c r="D1808">
        <v>8317</v>
      </c>
      <c r="E1808">
        <v>8355.6503909999992</v>
      </c>
      <c r="F1808" s="4">
        <f t="shared" si="197"/>
        <v>8340.7001949999994</v>
      </c>
      <c r="G1808" s="4">
        <f t="shared" si="198"/>
        <v>8564.4003909999992</v>
      </c>
      <c r="H1808" s="4">
        <f t="shared" si="199"/>
        <v>0</v>
      </c>
      <c r="I1808" s="4">
        <f t="shared" si="196"/>
        <v>-1</v>
      </c>
      <c r="J1808" s="11">
        <f t="shared" si="200"/>
        <v>0</v>
      </c>
      <c r="K1808" s="6">
        <f t="shared" si="201"/>
        <v>8438.25</v>
      </c>
      <c r="L1808" s="4">
        <f t="shared" si="202"/>
        <v>0</v>
      </c>
    </row>
    <row r="1809" spans="1:12" x14ac:dyDescent="0.25">
      <c r="A1809" s="1">
        <v>43698</v>
      </c>
      <c r="B1809">
        <v>8338.8496090000008</v>
      </c>
      <c r="C1809">
        <v>8348.2998050000006</v>
      </c>
      <c r="D1809">
        <v>8272.4003909999992</v>
      </c>
      <c r="E1809">
        <v>8292.9003909999992</v>
      </c>
      <c r="F1809" s="4">
        <f t="shared" si="197"/>
        <v>8292.9003909999992</v>
      </c>
      <c r="G1809" s="4">
        <f t="shared" si="198"/>
        <v>8538.2998050000006</v>
      </c>
      <c r="H1809" s="4" t="str">
        <f t="shared" si="199"/>
        <v>SELL</v>
      </c>
      <c r="I1809" s="4">
        <f t="shared" si="196"/>
        <v>-1</v>
      </c>
      <c r="J1809" s="11">
        <f t="shared" si="200"/>
        <v>0</v>
      </c>
      <c r="K1809" s="6">
        <f t="shared" si="201"/>
        <v>8438.25</v>
      </c>
      <c r="L1809" s="4">
        <f t="shared" si="202"/>
        <v>0</v>
      </c>
    </row>
    <row r="1810" spans="1:12" x14ac:dyDescent="0.25">
      <c r="A1810" s="1">
        <v>43699</v>
      </c>
      <c r="B1810">
        <v>8302</v>
      </c>
      <c r="C1810">
        <v>8321.9003909999992</v>
      </c>
      <c r="D1810">
        <v>8216.2998050000006</v>
      </c>
      <c r="E1810">
        <v>8224.0996090000008</v>
      </c>
      <c r="F1810" s="4">
        <f t="shared" si="197"/>
        <v>8224.0996090000008</v>
      </c>
      <c r="G1810" s="4">
        <f t="shared" si="198"/>
        <v>8438.25</v>
      </c>
      <c r="H1810" s="4" t="str">
        <f t="shared" si="199"/>
        <v>SELL</v>
      </c>
      <c r="I1810" s="4">
        <f t="shared" si="196"/>
        <v>-1</v>
      </c>
      <c r="J1810" s="11">
        <f t="shared" si="200"/>
        <v>0</v>
      </c>
      <c r="K1810" s="6">
        <f t="shared" si="201"/>
        <v>8438.25</v>
      </c>
      <c r="L1810" s="4">
        <f t="shared" si="202"/>
        <v>0</v>
      </c>
    </row>
    <row r="1811" spans="1:12" x14ac:dyDescent="0.25">
      <c r="A1811" s="1">
        <v>43700</v>
      </c>
      <c r="B1811">
        <v>8160.75</v>
      </c>
      <c r="C1811">
        <v>8242.4003909999992</v>
      </c>
      <c r="D1811">
        <v>8152.5</v>
      </c>
      <c r="E1811">
        <v>8219.5996090000008</v>
      </c>
      <c r="F1811" s="4">
        <f t="shared" si="197"/>
        <v>8219.5996090000008</v>
      </c>
      <c r="G1811" s="4">
        <f t="shared" si="198"/>
        <v>8355.6503909999992</v>
      </c>
      <c r="H1811" s="4" t="str">
        <f t="shared" si="199"/>
        <v>SELL</v>
      </c>
      <c r="I1811" s="4">
        <f t="shared" si="196"/>
        <v>-1</v>
      </c>
      <c r="J1811" s="11">
        <f t="shared" si="200"/>
        <v>0</v>
      </c>
      <c r="K1811" s="6">
        <f t="shared" si="201"/>
        <v>8438.25</v>
      </c>
      <c r="L1811" s="4">
        <f t="shared" si="202"/>
        <v>0</v>
      </c>
    </row>
    <row r="1812" spans="1:12" x14ac:dyDescent="0.25">
      <c r="A1812" s="1">
        <v>43703</v>
      </c>
      <c r="B1812">
        <v>8172.6000979999999</v>
      </c>
      <c r="C1812">
        <v>8189.3500979999999</v>
      </c>
      <c r="D1812">
        <v>8052.6000979999999</v>
      </c>
      <c r="E1812">
        <v>8067.6000979999999</v>
      </c>
      <c r="F1812" s="4">
        <f t="shared" si="197"/>
        <v>8067.6000979999999</v>
      </c>
      <c r="G1812" s="4">
        <f t="shared" si="198"/>
        <v>8355.6503909999992</v>
      </c>
      <c r="H1812" s="4" t="str">
        <f t="shared" si="199"/>
        <v>SELL</v>
      </c>
      <c r="I1812" s="4">
        <f t="shared" si="196"/>
        <v>-1</v>
      </c>
      <c r="J1812" s="11">
        <f t="shared" si="200"/>
        <v>0</v>
      </c>
      <c r="K1812" s="6">
        <f t="shared" si="201"/>
        <v>8438.25</v>
      </c>
      <c r="L1812" s="4">
        <f t="shared" si="202"/>
        <v>0</v>
      </c>
    </row>
    <row r="1813" spans="1:12" x14ac:dyDescent="0.25">
      <c r="A1813" s="1">
        <v>43704</v>
      </c>
      <c r="B1813">
        <v>8041.2001950000003</v>
      </c>
      <c r="C1813">
        <v>8082</v>
      </c>
      <c r="D1813">
        <v>7961.3500979999999</v>
      </c>
      <c r="E1813">
        <v>8029.7998049999997</v>
      </c>
      <c r="F1813" s="4">
        <f t="shared" si="197"/>
        <v>8029.7998049999997</v>
      </c>
      <c r="G1813" s="4">
        <f t="shared" si="198"/>
        <v>8292.9003909999992</v>
      </c>
      <c r="H1813" s="4" t="str">
        <f t="shared" si="199"/>
        <v>SELL</v>
      </c>
      <c r="I1813" s="4">
        <f t="shared" si="196"/>
        <v>-1</v>
      </c>
      <c r="J1813" s="11">
        <f t="shared" si="200"/>
        <v>0</v>
      </c>
      <c r="K1813" s="6">
        <f t="shared" si="201"/>
        <v>8438.25</v>
      </c>
      <c r="L1813" s="4">
        <f t="shared" si="202"/>
        <v>0</v>
      </c>
    </row>
    <row r="1814" spans="1:12" x14ac:dyDescent="0.25">
      <c r="A1814" s="1">
        <v>43705</v>
      </c>
      <c r="B1814">
        <v>8138.8999020000001</v>
      </c>
      <c r="C1814">
        <v>8174.2998049999997</v>
      </c>
      <c r="D1814">
        <v>8084.8999020000001</v>
      </c>
      <c r="E1814">
        <v>8159.2998049999997</v>
      </c>
      <c r="F1814" s="4">
        <f t="shared" si="197"/>
        <v>8029.7998049999997</v>
      </c>
      <c r="G1814" s="4">
        <f t="shared" si="198"/>
        <v>8224.0996090000008</v>
      </c>
      <c r="H1814" s="4">
        <f t="shared" si="199"/>
        <v>0</v>
      </c>
      <c r="I1814" s="4">
        <f t="shared" si="196"/>
        <v>-1</v>
      </c>
      <c r="J1814" s="11">
        <f t="shared" si="200"/>
        <v>0</v>
      </c>
      <c r="K1814" s="6">
        <f t="shared" si="201"/>
        <v>8438.25</v>
      </c>
      <c r="L1814" s="4">
        <f t="shared" si="202"/>
        <v>0</v>
      </c>
    </row>
    <row r="1815" spans="1:12" x14ac:dyDescent="0.25">
      <c r="A1815" s="1">
        <v>43706</v>
      </c>
      <c r="B1815">
        <v>8230.4501949999994</v>
      </c>
      <c r="C1815">
        <v>8263.4501949999994</v>
      </c>
      <c r="D1815">
        <v>8208.5996090000008</v>
      </c>
      <c r="E1815">
        <v>8225.2001949999994</v>
      </c>
      <c r="F1815" s="4">
        <f t="shared" si="197"/>
        <v>8029.7998049999997</v>
      </c>
      <c r="G1815" s="4">
        <f t="shared" si="198"/>
        <v>8225.2001949999994</v>
      </c>
      <c r="H1815" s="4" t="str">
        <f t="shared" si="199"/>
        <v>BUY</v>
      </c>
      <c r="I1815" s="4">
        <f t="shared" si="196"/>
        <v>1</v>
      </c>
      <c r="J1815" s="11" t="str">
        <f t="shared" si="200"/>
        <v>BUY</v>
      </c>
      <c r="K1815" s="6">
        <f t="shared" si="201"/>
        <v>8225.2001949999994</v>
      </c>
      <c r="L1815" s="4">
        <f t="shared" si="202"/>
        <v>2.5248102983438575E-2</v>
      </c>
    </row>
    <row r="1816" spans="1:12" x14ac:dyDescent="0.25">
      <c r="A1816" s="1">
        <v>43707</v>
      </c>
      <c r="B1816">
        <v>8255</v>
      </c>
      <c r="C1816">
        <v>8330.9501949999994</v>
      </c>
      <c r="D1816">
        <v>8228.2001949999994</v>
      </c>
      <c r="E1816">
        <v>8324</v>
      </c>
      <c r="F1816" s="4">
        <f t="shared" si="197"/>
        <v>8029.7998049999997</v>
      </c>
      <c r="G1816" s="4">
        <f t="shared" si="198"/>
        <v>8324</v>
      </c>
      <c r="H1816" s="4" t="str">
        <f t="shared" si="199"/>
        <v>BUY</v>
      </c>
      <c r="I1816" s="4">
        <f t="shared" si="196"/>
        <v>1</v>
      </c>
      <c r="J1816" s="11">
        <f t="shared" si="200"/>
        <v>0</v>
      </c>
      <c r="K1816" s="6">
        <f t="shared" si="201"/>
        <v>8225.2001949999994</v>
      </c>
      <c r="L1816" s="4">
        <f t="shared" si="202"/>
        <v>0</v>
      </c>
    </row>
    <row r="1817" spans="1:12" x14ac:dyDescent="0.25">
      <c r="A1817" s="1">
        <v>43710</v>
      </c>
      <c r="B1817">
        <v>8324.5996090000008</v>
      </c>
      <c r="C1817">
        <v>8364.75</v>
      </c>
      <c r="D1817">
        <v>8252.8496090000008</v>
      </c>
      <c r="E1817">
        <v>8267</v>
      </c>
      <c r="F1817" s="4">
        <f t="shared" si="197"/>
        <v>8029.7998049999997</v>
      </c>
      <c r="G1817" s="4">
        <f t="shared" si="198"/>
        <v>8324</v>
      </c>
      <c r="H1817" s="4">
        <f t="shared" si="199"/>
        <v>0</v>
      </c>
      <c r="I1817" s="4">
        <f t="shared" si="196"/>
        <v>1</v>
      </c>
      <c r="J1817" s="11">
        <f t="shared" si="200"/>
        <v>0</v>
      </c>
      <c r="K1817" s="6">
        <f t="shared" si="201"/>
        <v>8225.2001949999994</v>
      </c>
      <c r="L1817" s="4">
        <f t="shared" si="202"/>
        <v>0</v>
      </c>
    </row>
    <row r="1818" spans="1:12" x14ac:dyDescent="0.25">
      <c r="A1818" s="1">
        <v>43711</v>
      </c>
      <c r="B1818">
        <v>8272.0498050000006</v>
      </c>
      <c r="C1818">
        <v>8286.4003909999992</v>
      </c>
      <c r="D1818">
        <v>8155.25</v>
      </c>
      <c r="E1818">
        <v>8174.1000979999999</v>
      </c>
      <c r="F1818" s="4">
        <f t="shared" si="197"/>
        <v>8159.2998049999997</v>
      </c>
      <c r="G1818" s="4">
        <f t="shared" si="198"/>
        <v>8324</v>
      </c>
      <c r="H1818" s="4">
        <f t="shared" si="199"/>
        <v>0</v>
      </c>
      <c r="I1818" s="4">
        <f t="shared" si="196"/>
        <v>1</v>
      </c>
      <c r="J1818" s="11">
        <f t="shared" si="200"/>
        <v>0</v>
      </c>
      <c r="K1818" s="6">
        <f t="shared" si="201"/>
        <v>8225.2001949999994</v>
      </c>
      <c r="L1818" s="4">
        <f t="shared" si="202"/>
        <v>0</v>
      </c>
    </row>
    <row r="1819" spans="1:12" x14ac:dyDescent="0.25">
      <c r="A1819" s="1">
        <v>43712</v>
      </c>
      <c r="B1819">
        <v>8204.7998050000006</v>
      </c>
      <c r="C1819">
        <v>8234.5498050000006</v>
      </c>
      <c r="D1819">
        <v>8147.9501950000003</v>
      </c>
      <c r="E1819">
        <v>8200.7001949999994</v>
      </c>
      <c r="F1819" s="4">
        <f t="shared" si="197"/>
        <v>8174.1000979999999</v>
      </c>
      <c r="G1819" s="4">
        <f t="shared" si="198"/>
        <v>8324</v>
      </c>
      <c r="H1819" s="4">
        <f t="shared" si="199"/>
        <v>0</v>
      </c>
      <c r="I1819" s="4">
        <f t="shared" si="196"/>
        <v>1</v>
      </c>
      <c r="J1819" s="11">
        <f t="shared" si="200"/>
        <v>0</v>
      </c>
      <c r="K1819" s="6">
        <f t="shared" si="201"/>
        <v>8225.2001949999994</v>
      </c>
      <c r="L1819" s="4">
        <f t="shared" si="202"/>
        <v>0</v>
      </c>
    </row>
    <row r="1820" spans="1:12" x14ac:dyDescent="0.25">
      <c r="A1820" s="1">
        <v>43713</v>
      </c>
      <c r="B1820">
        <v>8214.7001949999994</v>
      </c>
      <c r="C1820">
        <v>8279.1503909999992</v>
      </c>
      <c r="D1820">
        <v>8214.7001949999994</v>
      </c>
      <c r="E1820">
        <v>8246.2998050000006</v>
      </c>
      <c r="F1820" s="4">
        <f t="shared" si="197"/>
        <v>8174.1000979999999</v>
      </c>
      <c r="G1820" s="4">
        <f t="shared" si="198"/>
        <v>8324</v>
      </c>
      <c r="H1820" s="4">
        <f t="shared" si="199"/>
        <v>0</v>
      </c>
      <c r="I1820" s="4">
        <f t="shared" si="196"/>
        <v>1</v>
      </c>
      <c r="J1820" s="11">
        <f t="shared" si="200"/>
        <v>0</v>
      </c>
      <c r="K1820" s="6">
        <f t="shared" si="201"/>
        <v>8225.2001949999994</v>
      </c>
      <c r="L1820" s="4">
        <f t="shared" si="202"/>
        <v>0</v>
      </c>
    </row>
    <row r="1821" spans="1:12" x14ac:dyDescent="0.25">
      <c r="A1821" s="1">
        <v>43714</v>
      </c>
      <c r="B1821">
        <v>8260.2998050000006</v>
      </c>
      <c r="C1821">
        <v>8268.25</v>
      </c>
      <c r="D1821">
        <v>8220.5498050000006</v>
      </c>
      <c r="E1821">
        <v>8248.25</v>
      </c>
      <c r="F1821" s="4">
        <f t="shared" si="197"/>
        <v>8174.1000979999999</v>
      </c>
      <c r="G1821" s="4">
        <f t="shared" si="198"/>
        <v>8267</v>
      </c>
      <c r="H1821" s="4">
        <f t="shared" si="199"/>
        <v>0</v>
      </c>
      <c r="I1821" s="4">
        <f t="shared" si="196"/>
        <v>1</v>
      </c>
      <c r="J1821" s="11">
        <f t="shared" si="200"/>
        <v>0</v>
      </c>
      <c r="K1821" s="6">
        <f t="shared" si="201"/>
        <v>8225.2001949999994</v>
      </c>
      <c r="L1821" s="4">
        <f t="shared" si="202"/>
        <v>0</v>
      </c>
    </row>
    <row r="1822" spans="1:12" x14ac:dyDescent="0.25">
      <c r="A1822" s="1">
        <v>43717</v>
      </c>
      <c r="B1822">
        <v>8243.9003909999992</v>
      </c>
      <c r="C1822">
        <v>8291</v>
      </c>
      <c r="D1822">
        <v>8243.75</v>
      </c>
      <c r="E1822">
        <v>8282.7001949999994</v>
      </c>
      <c r="F1822" s="4">
        <f t="shared" si="197"/>
        <v>8174.1000979999999</v>
      </c>
      <c r="G1822" s="4">
        <f t="shared" si="198"/>
        <v>8282.7001949999994</v>
      </c>
      <c r="H1822" s="4" t="str">
        <f t="shared" si="199"/>
        <v>BUY</v>
      </c>
      <c r="I1822" s="4">
        <f t="shared" si="196"/>
        <v>1</v>
      </c>
      <c r="J1822" s="11">
        <f t="shared" si="200"/>
        <v>0</v>
      </c>
      <c r="K1822" s="6">
        <f t="shared" si="201"/>
        <v>8225.2001949999994</v>
      </c>
      <c r="L1822" s="4">
        <f t="shared" si="202"/>
        <v>0</v>
      </c>
    </row>
    <row r="1823" spans="1:12" x14ac:dyDescent="0.25">
      <c r="A1823" s="1">
        <v>43718</v>
      </c>
      <c r="B1823">
        <v>8288.7001949999994</v>
      </c>
      <c r="C1823">
        <v>8410.5996090000008</v>
      </c>
      <c r="D1823">
        <v>8288.7001949999994</v>
      </c>
      <c r="E1823">
        <v>8395.4501949999994</v>
      </c>
      <c r="F1823" s="4">
        <f t="shared" si="197"/>
        <v>8200.7001949999994</v>
      </c>
      <c r="G1823" s="4">
        <f t="shared" si="198"/>
        <v>8395.4501949999994</v>
      </c>
      <c r="H1823" s="4" t="str">
        <f t="shared" si="199"/>
        <v>BUY</v>
      </c>
      <c r="I1823" s="4">
        <f t="shared" si="196"/>
        <v>1</v>
      </c>
      <c r="J1823" s="11">
        <f t="shared" si="200"/>
        <v>0</v>
      </c>
      <c r="K1823" s="6">
        <f t="shared" si="201"/>
        <v>8225.2001949999994</v>
      </c>
      <c r="L1823" s="4">
        <f t="shared" si="202"/>
        <v>0</v>
      </c>
    </row>
    <row r="1824" spans="1:12" x14ac:dyDescent="0.25">
      <c r="A1824" s="1">
        <v>43719</v>
      </c>
      <c r="B1824">
        <v>8407.9501949999994</v>
      </c>
      <c r="C1824">
        <v>8445.5996090000008</v>
      </c>
      <c r="D1824">
        <v>8363.9003909999992</v>
      </c>
      <c r="E1824">
        <v>8378.4003909999992</v>
      </c>
      <c r="F1824" s="4">
        <f t="shared" si="197"/>
        <v>8246.2998050000006</v>
      </c>
      <c r="G1824" s="4">
        <f t="shared" si="198"/>
        <v>8395.4501949999994</v>
      </c>
      <c r="H1824" s="4">
        <f t="shared" si="199"/>
        <v>0</v>
      </c>
      <c r="I1824" s="4">
        <f t="shared" si="196"/>
        <v>1</v>
      </c>
      <c r="J1824" s="11">
        <f t="shared" si="200"/>
        <v>0</v>
      </c>
      <c r="K1824" s="6">
        <f t="shared" si="201"/>
        <v>8225.2001949999994</v>
      </c>
      <c r="L1824" s="4">
        <f t="shared" si="202"/>
        <v>0</v>
      </c>
    </row>
    <row r="1825" spans="1:12" x14ac:dyDescent="0.25">
      <c r="A1825" s="1">
        <v>43720</v>
      </c>
      <c r="B1825">
        <v>8325.2998050000006</v>
      </c>
      <c r="C1825">
        <v>8327.8496090000008</v>
      </c>
      <c r="D1825">
        <v>8111.3500979999999</v>
      </c>
      <c r="E1825">
        <v>8127.3500979999999</v>
      </c>
      <c r="F1825" s="4">
        <f t="shared" si="197"/>
        <v>8127.3500979999999</v>
      </c>
      <c r="G1825" s="4">
        <f t="shared" si="198"/>
        <v>8395.4501949999994</v>
      </c>
      <c r="H1825" s="4" t="str">
        <f t="shared" si="199"/>
        <v>SELL</v>
      </c>
      <c r="I1825" s="4">
        <f t="shared" si="196"/>
        <v>-1</v>
      </c>
      <c r="J1825" s="11" t="str">
        <f t="shared" si="200"/>
        <v>SELL</v>
      </c>
      <c r="K1825" s="6">
        <f t="shared" si="201"/>
        <v>8127.3500979999999</v>
      </c>
      <c r="L1825" s="4">
        <f t="shared" si="202"/>
        <v>-1.1896378772577652E-2</v>
      </c>
    </row>
    <row r="1826" spans="1:12" x14ac:dyDescent="0.25">
      <c r="A1826" s="1">
        <v>43721</v>
      </c>
      <c r="B1826">
        <v>8118.6499020000001</v>
      </c>
      <c r="C1826">
        <v>8151.2001950000003</v>
      </c>
      <c r="D1826">
        <v>8065.4501950000003</v>
      </c>
      <c r="E1826">
        <v>8102.1000979999999</v>
      </c>
      <c r="F1826" s="4">
        <f t="shared" si="197"/>
        <v>8102.1000979999999</v>
      </c>
      <c r="G1826" s="4">
        <f t="shared" si="198"/>
        <v>8395.4501949999994</v>
      </c>
      <c r="H1826" s="4" t="str">
        <f t="shared" si="199"/>
        <v>SELL</v>
      </c>
      <c r="I1826" s="4">
        <f t="shared" si="196"/>
        <v>-1</v>
      </c>
      <c r="J1826" s="11">
        <f t="shared" si="200"/>
        <v>0</v>
      </c>
      <c r="K1826" s="6">
        <f t="shared" si="201"/>
        <v>8127.3500979999999</v>
      </c>
      <c r="L1826" s="4">
        <f t="shared" si="202"/>
        <v>0</v>
      </c>
    </row>
    <row r="1827" spans="1:12" x14ac:dyDescent="0.25">
      <c r="A1827" s="1">
        <v>43724</v>
      </c>
      <c r="B1827">
        <v>8191.3999020000001</v>
      </c>
      <c r="C1827">
        <v>8243.5</v>
      </c>
      <c r="D1827">
        <v>8167.2998049999997</v>
      </c>
      <c r="E1827">
        <v>8234.5996090000008</v>
      </c>
      <c r="F1827" s="4">
        <f t="shared" si="197"/>
        <v>8102.1000979999999</v>
      </c>
      <c r="G1827" s="4">
        <f t="shared" si="198"/>
        <v>8395.4501949999994</v>
      </c>
      <c r="H1827" s="4">
        <f t="shared" si="199"/>
        <v>0</v>
      </c>
      <c r="I1827" s="4">
        <f t="shared" si="196"/>
        <v>-1</v>
      </c>
      <c r="J1827" s="11">
        <f t="shared" si="200"/>
        <v>0</v>
      </c>
      <c r="K1827" s="6">
        <f t="shared" si="201"/>
        <v>8127.3500979999999</v>
      </c>
      <c r="L1827" s="4">
        <f t="shared" si="202"/>
        <v>0</v>
      </c>
    </row>
    <row r="1828" spans="1:12" x14ac:dyDescent="0.25">
      <c r="A1828" s="1">
        <v>43725</v>
      </c>
      <c r="B1828">
        <v>8285.4501949999994</v>
      </c>
      <c r="C1828">
        <v>8303.2998050000006</v>
      </c>
      <c r="D1828">
        <v>8190.7998049999997</v>
      </c>
      <c r="E1828">
        <v>8284.5</v>
      </c>
      <c r="F1828" s="4">
        <f t="shared" si="197"/>
        <v>8102.1000979999999</v>
      </c>
      <c r="G1828" s="4">
        <f t="shared" si="198"/>
        <v>8378.4003909999992</v>
      </c>
      <c r="H1828" s="4">
        <f t="shared" si="199"/>
        <v>0</v>
      </c>
      <c r="I1828" s="4">
        <f t="shared" si="196"/>
        <v>-1</v>
      </c>
      <c r="J1828" s="11">
        <f t="shared" si="200"/>
        <v>0</v>
      </c>
      <c r="K1828" s="6">
        <f t="shared" si="201"/>
        <v>8127.3500979999999</v>
      </c>
      <c r="L1828" s="4">
        <f t="shared" si="202"/>
        <v>0</v>
      </c>
    </row>
    <row r="1829" spans="1:12" x14ac:dyDescent="0.25">
      <c r="A1829" s="1">
        <v>43726</v>
      </c>
      <c r="B1829">
        <v>8291.3496090000008</v>
      </c>
      <c r="C1829">
        <v>8332.5996090000008</v>
      </c>
      <c r="D1829">
        <v>8245.5996090000008</v>
      </c>
      <c r="E1829">
        <v>8323</v>
      </c>
      <c r="F1829" s="4">
        <f t="shared" si="197"/>
        <v>8102.1000979999999</v>
      </c>
      <c r="G1829" s="4">
        <f t="shared" si="198"/>
        <v>8323</v>
      </c>
      <c r="H1829" s="4">
        <f t="shared" si="199"/>
        <v>0</v>
      </c>
      <c r="I1829" s="4">
        <f t="shared" si="196"/>
        <v>-1</v>
      </c>
      <c r="J1829" s="11">
        <f t="shared" si="200"/>
        <v>0</v>
      </c>
      <c r="K1829" s="6">
        <f t="shared" si="201"/>
        <v>8127.3500979999999</v>
      </c>
      <c r="L1829" s="4">
        <f t="shared" si="202"/>
        <v>0</v>
      </c>
    </row>
    <row r="1830" spans="1:12" x14ac:dyDescent="0.25">
      <c r="A1830" s="1">
        <v>43727</v>
      </c>
      <c r="B1830">
        <v>8346.1503909999992</v>
      </c>
      <c r="C1830">
        <v>8356.6503909999992</v>
      </c>
      <c r="D1830">
        <v>8267.9003909999992</v>
      </c>
      <c r="E1830">
        <v>8299.4003909999992</v>
      </c>
      <c r="F1830" s="4">
        <f t="shared" si="197"/>
        <v>8102.1000979999999</v>
      </c>
      <c r="G1830" s="4">
        <f t="shared" si="198"/>
        <v>8323</v>
      </c>
      <c r="H1830" s="4">
        <f t="shared" si="199"/>
        <v>0</v>
      </c>
      <c r="I1830" s="4">
        <f t="shared" si="196"/>
        <v>-1</v>
      </c>
      <c r="J1830" s="11">
        <f t="shared" si="200"/>
        <v>0</v>
      </c>
      <c r="K1830" s="6">
        <f t="shared" si="201"/>
        <v>8127.3500979999999</v>
      </c>
      <c r="L1830" s="4">
        <f t="shared" si="202"/>
        <v>0</v>
      </c>
    </row>
    <row r="1831" spans="1:12" x14ac:dyDescent="0.25">
      <c r="A1831" s="1">
        <v>43728</v>
      </c>
      <c r="B1831">
        <v>8307.25</v>
      </c>
      <c r="C1831">
        <v>8326.4501949999994</v>
      </c>
      <c r="D1831">
        <v>8236.6503909999992</v>
      </c>
      <c r="E1831">
        <v>8277.5498050000006</v>
      </c>
      <c r="F1831" s="4">
        <f t="shared" si="197"/>
        <v>8234.5996090000008</v>
      </c>
      <c r="G1831" s="4">
        <f t="shared" si="198"/>
        <v>8323</v>
      </c>
      <c r="H1831" s="4">
        <f t="shared" si="199"/>
        <v>0</v>
      </c>
      <c r="I1831" s="4">
        <f t="shared" si="196"/>
        <v>-1</v>
      </c>
      <c r="J1831" s="11">
        <f t="shared" si="200"/>
        <v>0</v>
      </c>
      <c r="K1831" s="6">
        <f t="shared" si="201"/>
        <v>8127.3500979999999</v>
      </c>
      <c r="L1831" s="4">
        <f t="shared" si="202"/>
        <v>0</v>
      </c>
    </row>
    <row r="1832" spans="1:12" x14ac:dyDescent="0.25">
      <c r="A1832" s="1">
        <v>43731</v>
      </c>
      <c r="B1832">
        <v>8424.5</v>
      </c>
      <c r="C1832">
        <v>8527.0996090000008</v>
      </c>
      <c r="D1832">
        <v>8380.5498050000006</v>
      </c>
      <c r="E1832">
        <v>8494.1503909999992</v>
      </c>
      <c r="F1832" s="4">
        <f t="shared" si="197"/>
        <v>8277.5498050000006</v>
      </c>
      <c r="G1832" s="4">
        <f t="shared" si="198"/>
        <v>8494.1503909999992</v>
      </c>
      <c r="H1832" s="4" t="str">
        <f t="shared" si="199"/>
        <v>BUY</v>
      </c>
      <c r="I1832" s="4">
        <f t="shared" si="196"/>
        <v>1</v>
      </c>
      <c r="J1832" s="11" t="str">
        <f t="shared" si="200"/>
        <v>BUY</v>
      </c>
      <c r="K1832" s="6">
        <f t="shared" si="201"/>
        <v>8494.1503909999992</v>
      </c>
      <c r="L1832" s="4">
        <f t="shared" si="202"/>
        <v>-4.5131597455148699E-2</v>
      </c>
    </row>
    <row r="1833" spans="1:12" x14ac:dyDescent="0.25">
      <c r="A1833" s="1">
        <v>43732</v>
      </c>
      <c r="B1833">
        <v>8504.0498050000006</v>
      </c>
      <c r="C1833">
        <v>8530.75</v>
      </c>
      <c r="D1833">
        <v>8452.25</v>
      </c>
      <c r="E1833">
        <v>8513.7998050000006</v>
      </c>
      <c r="F1833" s="4">
        <f t="shared" si="197"/>
        <v>8277.5498050000006</v>
      </c>
      <c r="G1833" s="4">
        <f t="shared" si="198"/>
        <v>8513.7998050000006</v>
      </c>
      <c r="H1833" s="4" t="str">
        <f t="shared" si="199"/>
        <v>BUY</v>
      </c>
      <c r="I1833" s="4">
        <f t="shared" si="196"/>
        <v>1</v>
      </c>
      <c r="J1833" s="11">
        <f t="shared" si="200"/>
        <v>0</v>
      </c>
      <c r="K1833" s="6">
        <f t="shared" si="201"/>
        <v>8494.1503909999992</v>
      </c>
      <c r="L1833" s="4">
        <f t="shared" si="202"/>
        <v>0</v>
      </c>
    </row>
    <row r="1834" spans="1:12" x14ac:dyDescent="0.25">
      <c r="A1834" s="1">
        <v>43733</v>
      </c>
      <c r="B1834">
        <v>8550.0498050000006</v>
      </c>
      <c r="C1834">
        <v>8570.9501949999994</v>
      </c>
      <c r="D1834">
        <v>8531.5</v>
      </c>
      <c r="E1834">
        <v>8550.7001949999994</v>
      </c>
      <c r="F1834" s="4">
        <f t="shared" si="197"/>
        <v>8277.5498050000006</v>
      </c>
      <c r="G1834" s="4">
        <f t="shared" si="198"/>
        <v>8550.7001949999994</v>
      </c>
      <c r="H1834" s="4" t="str">
        <f t="shared" si="199"/>
        <v>BUY</v>
      </c>
      <c r="I1834" s="4">
        <f t="shared" si="196"/>
        <v>1</v>
      </c>
      <c r="J1834" s="11">
        <f t="shared" si="200"/>
        <v>0</v>
      </c>
      <c r="K1834" s="6">
        <f t="shared" si="201"/>
        <v>8494.1503909999992</v>
      </c>
      <c r="L1834" s="4">
        <f t="shared" si="202"/>
        <v>0</v>
      </c>
    </row>
    <row r="1835" spans="1:12" x14ac:dyDescent="0.25">
      <c r="A1835" s="1">
        <v>43734</v>
      </c>
      <c r="B1835">
        <v>8575.0996090000008</v>
      </c>
      <c r="C1835">
        <v>8707.9003909999992</v>
      </c>
      <c r="D1835">
        <v>8574.5</v>
      </c>
      <c r="E1835">
        <v>8695.5996090000008</v>
      </c>
      <c r="F1835" s="4">
        <f t="shared" si="197"/>
        <v>8277.5498050000006</v>
      </c>
      <c r="G1835" s="4">
        <f t="shared" si="198"/>
        <v>8695.5996090000008</v>
      </c>
      <c r="H1835" s="4" t="str">
        <f t="shared" si="199"/>
        <v>BUY</v>
      </c>
      <c r="I1835" s="4">
        <f t="shared" si="196"/>
        <v>1</v>
      </c>
      <c r="J1835" s="11">
        <f t="shared" si="200"/>
        <v>0</v>
      </c>
      <c r="K1835" s="6">
        <f t="shared" si="201"/>
        <v>8494.1503909999992</v>
      </c>
      <c r="L1835" s="4">
        <f t="shared" si="202"/>
        <v>0</v>
      </c>
    </row>
    <row r="1836" spans="1:12" x14ac:dyDescent="0.25">
      <c r="A1836" s="1">
        <v>43735</v>
      </c>
      <c r="B1836">
        <v>8719.6503909999992</v>
      </c>
      <c r="C1836">
        <v>8741.8496090000008</v>
      </c>
      <c r="D1836">
        <v>8689.5996090000008</v>
      </c>
      <c r="E1836">
        <v>8729.5</v>
      </c>
      <c r="F1836" s="4">
        <f t="shared" si="197"/>
        <v>8494.1503909999992</v>
      </c>
      <c r="G1836" s="4">
        <f t="shared" si="198"/>
        <v>8729.5</v>
      </c>
      <c r="H1836" s="4" t="str">
        <f t="shared" si="199"/>
        <v>BUY</v>
      </c>
      <c r="I1836" s="4">
        <f t="shared" si="196"/>
        <v>1</v>
      </c>
      <c r="J1836" s="11">
        <f t="shared" si="200"/>
        <v>0</v>
      </c>
      <c r="K1836" s="6">
        <f t="shared" si="201"/>
        <v>8494.1503909999992</v>
      </c>
      <c r="L1836" s="4">
        <f t="shared" si="202"/>
        <v>0</v>
      </c>
    </row>
    <row r="1837" spans="1:12" x14ac:dyDescent="0.25">
      <c r="A1837" s="1">
        <v>43738</v>
      </c>
      <c r="B1837">
        <v>8745.8496090000008</v>
      </c>
      <c r="C1837">
        <v>8774.1503909999992</v>
      </c>
      <c r="D1837">
        <v>8727</v>
      </c>
      <c r="E1837">
        <v>8761.4003909999992</v>
      </c>
      <c r="F1837" s="4">
        <f t="shared" si="197"/>
        <v>8513.7998050000006</v>
      </c>
      <c r="G1837" s="4">
        <f t="shared" si="198"/>
        <v>8761.4003909999992</v>
      </c>
      <c r="H1837" s="4" t="str">
        <f t="shared" si="199"/>
        <v>BUY</v>
      </c>
      <c r="I1837" s="4">
        <f t="shared" si="196"/>
        <v>1</v>
      </c>
      <c r="J1837" s="11">
        <f t="shared" si="200"/>
        <v>0</v>
      </c>
      <c r="K1837" s="6">
        <f t="shared" si="201"/>
        <v>8494.1503909999992</v>
      </c>
      <c r="L1837" s="4">
        <f t="shared" si="202"/>
        <v>0</v>
      </c>
    </row>
    <row r="1838" spans="1:12" x14ac:dyDescent="0.25">
      <c r="A1838" s="1">
        <v>43739</v>
      </c>
      <c r="B1838">
        <v>8827.9501949999994</v>
      </c>
      <c r="C1838">
        <v>8866.4003909999992</v>
      </c>
      <c r="D1838">
        <v>8795.4003909999992</v>
      </c>
      <c r="E1838">
        <v>8835.5996090000008</v>
      </c>
      <c r="F1838" s="4">
        <f t="shared" si="197"/>
        <v>8550.7001949999994</v>
      </c>
      <c r="G1838" s="4">
        <f t="shared" si="198"/>
        <v>8835.5996090000008</v>
      </c>
      <c r="H1838" s="4" t="str">
        <f t="shared" si="199"/>
        <v>BUY</v>
      </c>
      <c r="I1838" s="4">
        <f t="shared" si="196"/>
        <v>1</v>
      </c>
      <c r="J1838" s="11">
        <f t="shared" si="200"/>
        <v>0</v>
      </c>
      <c r="K1838" s="6">
        <f t="shared" si="201"/>
        <v>8494.1503909999992</v>
      </c>
      <c r="L1838" s="4">
        <f t="shared" si="202"/>
        <v>0</v>
      </c>
    </row>
    <row r="1839" spans="1:12" x14ac:dyDescent="0.25">
      <c r="A1839" s="1">
        <v>43740</v>
      </c>
      <c r="B1839">
        <v>8871.3496090000008</v>
      </c>
      <c r="C1839">
        <v>8925.0498050000006</v>
      </c>
      <c r="D1839">
        <v>8825.4501949999994</v>
      </c>
      <c r="E1839">
        <v>8910.5</v>
      </c>
      <c r="F1839" s="4">
        <f t="shared" si="197"/>
        <v>8695.5996090000008</v>
      </c>
      <c r="G1839" s="4">
        <f t="shared" si="198"/>
        <v>8910.5</v>
      </c>
      <c r="H1839" s="4" t="str">
        <f t="shared" si="199"/>
        <v>BUY</v>
      </c>
      <c r="I1839" s="4">
        <f t="shared" si="196"/>
        <v>1</v>
      </c>
      <c r="J1839" s="11">
        <f t="shared" si="200"/>
        <v>0</v>
      </c>
      <c r="K1839" s="6">
        <f t="shared" si="201"/>
        <v>8494.1503909999992</v>
      </c>
      <c r="L1839" s="4">
        <f t="shared" si="202"/>
        <v>0</v>
      </c>
    </row>
    <row r="1840" spans="1:12" x14ac:dyDescent="0.25">
      <c r="A1840" s="1">
        <v>43741</v>
      </c>
      <c r="B1840">
        <v>8902.75</v>
      </c>
      <c r="C1840">
        <v>8985.0498050000006</v>
      </c>
      <c r="D1840">
        <v>8874.0498050000006</v>
      </c>
      <c r="E1840">
        <v>8914.2998050000006</v>
      </c>
      <c r="F1840" s="4">
        <f t="shared" si="197"/>
        <v>8729.5</v>
      </c>
      <c r="G1840" s="4">
        <f t="shared" si="198"/>
        <v>8914.2998050000006</v>
      </c>
      <c r="H1840" s="4" t="str">
        <f t="shared" si="199"/>
        <v>BUY</v>
      </c>
      <c r="I1840" s="4">
        <f t="shared" si="196"/>
        <v>1</v>
      </c>
      <c r="J1840" s="11">
        <f t="shared" si="200"/>
        <v>0</v>
      </c>
      <c r="K1840" s="6">
        <f t="shared" si="201"/>
        <v>8494.1503909999992</v>
      </c>
      <c r="L1840" s="4">
        <f t="shared" si="202"/>
        <v>0</v>
      </c>
    </row>
    <row r="1841" spans="1:12" x14ac:dyDescent="0.25">
      <c r="A1841" s="1">
        <v>43742</v>
      </c>
      <c r="B1841">
        <v>8901.5</v>
      </c>
      <c r="C1841">
        <v>8966.6503909999992</v>
      </c>
      <c r="D1841">
        <v>8861.25</v>
      </c>
      <c r="E1841">
        <v>8952.3496090000008</v>
      </c>
      <c r="F1841" s="4">
        <f t="shared" si="197"/>
        <v>8761.4003909999992</v>
      </c>
      <c r="G1841" s="4">
        <f t="shared" si="198"/>
        <v>8952.3496090000008</v>
      </c>
      <c r="H1841" s="4" t="str">
        <f t="shared" si="199"/>
        <v>BUY</v>
      </c>
      <c r="I1841" s="4">
        <f t="shared" si="196"/>
        <v>1</v>
      </c>
      <c r="J1841" s="11">
        <f t="shared" si="200"/>
        <v>0</v>
      </c>
      <c r="K1841" s="6">
        <f t="shared" si="201"/>
        <v>8494.1503909999992</v>
      </c>
      <c r="L1841" s="4">
        <f t="shared" si="202"/>
        <v>0</v>
      </c>
    </row>
    <row r="1842" spans="1:12" x14ac:dyDescent="0.25">
      <c r="A1842" s="1">
        <v>43745</v>
      </c>
      <c r="B1842">
        <v>8996.5996090000008</v>
      </c>
      <c r="C1842">
        <v>8996.5996090000008</v>
      </c>
      <c r="D1842">
        <v>8775.0996090000008</v>
      </c>
      <c r="E1842">
        <v>8808.9003909999992</v>
      </c>
      <c r="F1842" s="4">
        <f t="shared" si="197"/>
        <v>8808.9003909999992</v>
      </c>
      <c r="G1842" s="4">
        <f t="shared" si="198"/>
        <v>8952.3496090000008</v>
      </c>
      <c r="H1842" s="4">
        <f t="shared" si="199"/>
        <v>0</v>
      </c>
      <c r="I1842" s="4">
        <f t="shared" si="196"/>
        <v>1</v>
      </c>
      <c r="J1842" s="11">
        <f t="shared" si="200"/>
        <v>0</v>
      </c>
      <c r="K1842" s="6">
        <f t="shared" si="201"/>
        <v>8494.1503909999992</v>
      </c>
      <c r="L1842" s="4">
        <f t="shared" si="202"/>
        <v>0</v>
      </c>
    </row>
    <row r="1843" spans="1:12" x14ac:dyDescent="0.25">
      <c r="A1843" s="1">
        <v>43746</v>
      </c>
      <c r="B1843">
        <v>8802.5</v>
      </c>
      <c r="C1843">
        <v>8840.7998050000006</v>
      </c>
      <c r="D1843">
        <v>8751.0996090000008</v>
      </c>
      <c r="E1843">
        <v>8797.4003909999992</v>
      </c>
      <c r="F1843" s="4">
        <f t="shared" si="197"/>
        <v>8797.4003909999992</v>
      </c>
      <c r="G1843" s="4">
        <f t="shared" si="198"/>
        <v>8952.3496090000008</v>
      </c>
      <c r="H1843" s="4" t="str">
        <f t="shared" si="199"/>
        <v>SELL</v>
      </c>
      <c r="I1843" s="4">
        <f t="shared" si="196"/>
        <v>-1</v>
      </c>
      <c r="J1843" s="11" t="str">
        <f t="shared" si="200"/>
        <v>SELL</v>
      </c>
      <c r="K1843" s="6">
        <f t="shared" si="201"/>
        <v>8797.4003909999992</v>
      </c>
      <c r="L1843" s="4">
        <f t="shared" si="202"/>
        <v>3.5701039661519225E-2</v>
      </c>
    </row>
    <row r="1844" spans="1:12" x14ac:dyDescent="0.25">
      <c r="A1844" s="1">
        <v>43747</v>
      </c>
      <c r="B1844">
        <v>8823.1503909999992</v>
      </c>
      <c r="C1844">
        <v>8837.2998050000006</v>
      </c>
      <c r="D1844">
        <v>8726.6503909999992</v>
      </c>
      <c r="E1844">
        <v>8756.5498050000006</v>
      </c>
      <c r="F1844" s="4">
        <f t="shared" si="197"/>
        <v>8756.5498050000006</v>
      </c>
      <c r="G1844" s="4">
        <f t="shared" si="198"/>
        <v>8952.3496090000008</v>
      </c>
      <c r="H1844" s="4" t="str">
        <f t="shared" si="199"/>
        <v>SELL</v>
      </c>
      <c r="I1844" s="4">
        <f t="shared" si="196"/>
        <v>-1</v>
      </c>
      <c r="J1844" s="11">
        <f t="shared" si="200"/>
        <v>0</v>
      </c>
      <c r="K1844" s="6">
        <f t="shared" si="201"/>
        <v>8797.4003909999992</v>
      </c>
      <c r="L1844" s="4">
        <f t="shared" si="202"/>
        <v>0</v>
      </c>
    </row>
    <row r="1845" spans="1:12" x14ac:dyDescent="0.25">
      <c r="A1845" s="1">
        <v>43748</v>
      </c>
      <c r="B1845">
        <v>8789.1503909999992</v>
      </c>
      <c r="C1845">
        <v>8792.8496090000008</v>
      </c>
      <c r="D1845">
        <v>8704.4003909999992</v>
      </c>
      <c r="E1845">
        <v>8723.7001949999994</v>
      </c>
      <c r="F1845" s="4">
        <f t="shared" si="197"/>
        <v>8723.7001949999994</v>
      </c>
      <c r="G1845" s="4">
        <f t="shared" si="198"/>
        <v>8952.3496090000008</v>
      </c>
      <c r="H1845" s="4" t="str">
        <f t="shared" si="199"/>
        <v>SELL</v>
      </c>
      <c r="I1845" s="4">
        <f t="shared" si="196"/>
        <v>-1</v>
      </c>
      <c r="J1845" s="11">
        <f t="shared" si="200"/>
        <v>0</v>
      </c>
      <c r="K1845" s="6">
        <f t="shared" si="201"/>
        <v>8797.4003909999992</v>
      </c>
      <c r="L1845" s="4">
        <f t="shared" si="202"/>
        <v>0</v>
      </c>
    </row>
    <row r="1846" spans="1:12" x14ac:dyDescent="0.25">
      <c r="A1846" s="1">
        <v>43749</v>
      </c>
      <c r="B1846">
        <v>8733.0996090000008</v>
      </c>
      <c r="C1846">
        <v>8838.4501949999994</v>
      </c>
      <c r="D1846">
        <v>8683.6503909999992</v>
      </c>
      <c r="E1846">
        <v>8711.7001949999994</v>
      </c>
      <c r="F1846" s="4">
        <f t="shared" si="197"/>
        <v>8711.7001949999994</v>
      </c>
      <c r="G1846" s="4">
        <f t="shared" si="198"/>
        <v>8808.9003909999992</v>
      </c>
      <c r="H1846" s="4" t="str">
        <f t="shared" si="199"/>
        <v>SELL</v>
      </c>
      <c r="I1846" s="4">
        <f t="shared" si="196"/>
        <v>-1</v>
      </c>
      <c r="J1846" s="11">
        <f t="shared" si="200"/>
        <v>0</v>
      </c>
      <c r="K1846" s="6">
        <f t="shared" si="201"/>
        <v>8797.4003909999992</v>
      </c>
      <c r="L1846" s="4">
        <f t="shared" si="202"/>
        <v>0</v>
      </c>
    </row>
    <row r="1847" spans="1:12" x14ac:dyDescent="0.25">
      <c r="A1847" s="1">
        <v>43752</v>
      </c>
      <c r="B1847">
        <v>8696.8496090000008</v>
      </c>
      <c r="C1847">
        <v>8726.2001949999994</v>
      </c>
      <c r="D1847">
        <v>8645.5498050000006</v>
      </c>
      <c r="E1847">
        <v>8661.0498050000006</v>
      </c>
      <c r="F1847" s="4">
        <f t="shared" si="197"/>
        <v>8661.0498050000006</v>
      </c>
      <c r="G1847" s="4">
        <f t="shared" si="198"/>
        <v>8797.4003909999992</v>
      </c>
      <c r="H1847" s="4" t="str">
        <f t="shared" si="199"/>
        <v>SELL</v>
      </c>
      <c r="I1847" s="4">
        <f t="shared" si="196"/>
        <v>-1</v>
      </c>
      <c r="J1847" s="11">
        <f t="shared" si="200"/>
        <v>0</v>
      </c>
      <c r="K1847" s="6">
        <f t="shared" si="201"/>
        <v>8797.4003909999992</v>
      </c>
      <c r="L1847" s="4">
        <f t="shared" si="202"/>
        <v>0</v>
      </c>
    </row>
    <row r="1848" spans="1:12" x14ac:dyDescent="0.25">
      <c r="A1848" s="1">
        <v>43753</v>
      </c>
      <c r="B1848">
        <v>8584.4003909999992</v>
      </c>
      <c r="C1848">
        <v>8605.5498050000006</v>
      </c>
      <c r="D1848">
        <v>8516.3496090000008</v>
      </c>
      <c r="E1848">
        <v>8526.3496090000008</v>
      </c>
      <c r="F1848" s="4">
        <f t="shared" si="197"/>
        <v>8526.3496090000008</v>
      </c>
      <c r="G1848" s="4">
        <f t="shared" si="198"/>
        <v>8756.5498050000006</v>
      </c>
      <c r="H1848" s="4" t="str">
        <f t="shared" si="199"/>
        <v>SELL</v>
      </c>
      <c r="I1848" s="4">
        <f t="shared" si="196"/>
        <v>-1</v>
      </c>
      <c r="J1848" s="11">
        <f t="shared" si="200"/>
        <v>0</v>
      </c>
      <c r="K1848" s="6">
        <f t="shared" si="201"/>
        <v>8797.4003909999992</v>
      </c>
      <c r="L1848" s="4">
        <f t="shared" si="202"/>
        <v>0</v>
      </c>
    </row>
    <row r="1849" spans="1:12" x14ac:dyDescent="0.25">
      <c r="A1849" s="1">
        <v>43754</v>
      </c>
      <c r="B1849">
        <v>8478.0996090000008</v>
      </c>
      <c r="C1849">
        <v>8646.25</v>
      </c>
      <c r="D1849">
        <v>8470.5</v>
      </c>
      <c r="E1849">
        <v>8565.5498050000006</v>
      </c>
      <c r="F1849" s="4">
        <f t="shared" si="197"/>
        <v>8526.3496090000008</v>
      </c>
      <c r="G1849" s="4">
        <f t="shared" si="198"/>
        <v>8723.7001949999994</v>
      </c>
      <c r="H1849" s="4">
        <f t="shared" si="199"/>
        <v>0</v>
      </c>
      <c r="I1849" s="4">
        <f t="shared" si="196"/>
        <v>-1</v>
      </c>
      <c r="J1849" s="11">
        <f t="shared" si="200"/>
        <v>0</v>
      </c>
      <c r="K1849" s="6">
        <f t="shared" si="201"/>
        <v>8797.4003909999992</v>
      </c>
      <c r="L1849" s="4">
        <f t="shared" si="202"/>
        <v>0</v>
      </c>
    </row>
    <row r="1850" spans="1:12" x14ac:dyDescent="0.25">
      <c r="A1850" s="1">
        <v>43755</v>
      </c>
      <c r="B1850">
        <v>8603.2998050000006</v>
      </c>
      <c r="C1850">
        <v>8651.9501949999994</v>
      </c>
      <c r="D1850">
        <v>8593.6503909999992</v>
      </c>
      <c r="E1850">
        <v>8627.4003909999992</v>
      </c>
      <c r="F1850" s="4">
        <f t="shared" si="197"/>
        <v>8526.3496090000008</v>
      </c>
      <c r="G1850" s="4">
        <f t="shared" si="198"/>
        <v>8711.7001949999994</v>
      </c>
      <c r="H1850" s="4">
        <f t="shared" si="199"/>
        <v>0</v>
      </c>
      <c r="I1850" s="4">
        <f t="shared" si="196"/>
        <v>-1</v>
      </c>
      <c r="J1850" s="11">
        <f t="shared" si="200"/>
        <v>0</v>
      </c>
      <c r="K1850" s="6">
        <f t="shared" si="201"/>
        <v>8797.4003909999992</v>
      </c>
      <c r="L1850" s="4">
        <f t="shared" si="202"/>
        <v>0</v>
      </c>
    </row>
    <row r="1851" spans="1:12" x14ac:dyDescent="0.25">
      <c r="A1851" s="1">
        <v>43756</v>
      </c>
      <c r="B1851">
        <v>8676.9501949999994</v>
      </c>
      <c r="C1851">
        <v>8732.5498050000006</v>
      </c>
      <c r="D1851">
        <v>8599.25</v>
      </c>
      <c r="E1851">
        <v>8711.5498050000006</v>
      </c>
      <c r="F1851" s="4">
        <f t="shared" si="197"/>
        <v>8526.3496090000008</v>
      </c>
      <c r="G1851" s="4">
        <f t="shared" si="198"/>
        <v>8711.5498050000006</v>
      </c>
      <c r="H1851" s="4">
        <f t="shared" si="199"/>
        <v>0</v>
      </c>
      <c r="I1851" s="4">
        <f t="shared" si="196"/>
        <v>-1</v>
      </c>
      <c r="J1851" s="11">
        <f t="shared" si="200"/>
        <v>0</v>
      </c>
      <c r="K1851" s="6">
        <f t="shared" si="201"/>
        <v>8797.4003909999992</v>
      </c>
      <c r="L1851" s="4">
        <f t="shared" si="202"/>
        <v>0</v>
      </c>
    </row>
    <row r="1852" spans="1:12" x14ac:dyDescent="0.25">
      <c r="A1852" s="1">
        <v>43759</v>
      </c>
      <c r="B1852">
        <v>8741.5</v>
      </c>
      <c r="C1852">
        <v>8822.0996090000008</v>
      </c>
      <c r="D1852">
        <v>8729.6503909999992</v>
      </c>
      <c r="E1852">
        <v>8805.5</v>
      </c>
      <c r="F1852" s="4">
        <f t="shared" si="197"/>
        <v>8526.3496090000008</v>
      </c>
      <c r="G1852" s="4">
        <f t="shared" si="198"/>
        <v>8805.5</v>
      </c>
      <c r="H1852" s="4" t="str">
        <f t="shared" si="199"/>
        <v>BUY</v>
      </c>
      <c r="I1852" s="4">
        <f t="shared" si="196"/>
        <v>1</v>
      </c>
      <c r="J1852" s="11" t="str">
        <f t="shared" si="200"/>
        <v>BUY</v>
      </c>
      <c r="K1852" s="6">
        <f t="shared" si="201"/>
        <v>8805.5</v>
      </c>
      <c r="L1852" s="4">
        <f t="shared" si="202"/>
        <v>-9.2068209243800271E-4</v>
      </c>
    </row>
    <row r="1853" spans="1:12" x14ac:dyDescent="0.25">
      <c r="A1853" s="1">
        <v>43760</v>
      </c>
      <c r="B1853">
        <v>8831.4003909999992</v>
      </c>
      <c r="C1853">
        <v>8870.0996090000008</v>
      </c>
      <c r="D1853">
        <v>8793.4003909999992</v>
      </c>
      <c r="E1853">
        <v>8809.3496090000008</v>
      </c>
      <c r="F1853" s="4">
        <f t="shared" si="197"/>
        <v>8565.5498050000006</v>
      </c>
      <c r="G1853" s="4">
        <f t="shared" si="198"/>
        <v>8809.3496090000008</v>
      </c>
      <c r="H1853" s="4" t="str">
        <f t="shared" si="199"/>
        <v>BUY</v>
      </c>
      <c r="I1853" s="4">
        <f t="shared" si="196"/>
        <v>1</v>
      </c>
      <c r="J1853" s="11">
        <f t="shared" si="200"/>
        <v>0</v>
      </c>
      <c r="K1853" s="6">
        <f t="shared" si="201"/>
        <v>8805.5</v>
      </c>
      <c r="L1853" s="4">
        <f t="shared" si="202"/>
        <v>0</v>
      </c>
    </row>
    <row r="1854" spans="1:12" x14ac:dyDescent="0.25">
      <c r="A1854" s="1">
        <v>43761</v>
      </c>
      <c r="B1854">
        <v>8811.5498050000006</v>
      </c>
      <c r="C1854">
        <v>8894.2998050000006</v>
      </c>
      <c r="D1854">
        <v>8808.9003909999992</v>
      </c>
      <c r="E1854">
        <v>8869.0996090000008</v>
      </c>
      <c r="F1854" s="4">
        <f t="shared" si="197"/>
        <v>8627.4003909999992</v>
      </c>
      <c r="G1854" s="4">
        <f t="shared" si="198"/>
        <v>8869.0996090000008</v>
      </c>
      <c r="H1854" s="4" t="str">
        <f t="shared" si="199"/>
        <v>BUY</v>
      </c>
      <c r="I1854" s="4">
        <f t="shared" si="196"/>
        <v>1</v>
      </c>
      <c r="J1854" s="11">
        <f t="shared" si="200"/>
        <v>0</v>
      </c>
      <c r="K1854" s="6">
        <f t="shared" si="201"/>
        <v>8805.5</v>
      </c>
      <c r="L1854" s="4">
        <f t="shared" si="202"/>
        <v>0</v>
      </c>
    </row>
    <row r="1855" spans="1:12" x14ac:dyDescent="0.25">
      <c r="A1855" s="1">
        <v>43762</v>
      </c>
      <c r="B1855">
        <v>8883.0498050000006</v>
      </c>
      <c r="C1855">
        <v>8913.4501949999994</v>
      </c>
      <c r="D1855">
        <v>8794.4501949999994</v>
      </c>
      <c r="E1855">
        <v>8895.2998050000006</v>
      </c>
      <c r="F1855" s="4">
        <f t="shared" si="197"/>
        <v>8711.5498050000006</v>
      </c>
      <c r="G1855" s="4">
        <f t="shared" si="198"/>
        <v>8895.2998050000006</v>
      </c>
      <c r="H1855" s="4" t="str">
        <f t="shared" si="199"/>
        <v>BUY</v>
      </c>
      <c r="I1855" s="4">
        <f t="shared" si="196"/>
        <v>1</v>
      </c>
      <c r="J1855" s="11">
        <f t="shared" si="200"/>
        <v>0</v>
      </c>
      <c r="K1855" s="6">
        <f t="shared" si="201"/>
        <v>8805.5</v>
      </c>
      <c r="L1855" s="4">
        <f t="shared" si="202"/>
        <v>0</v>
      </c>
    </row>
    <row r="1856" spans="1:12" x14ac:dyDescent="0.25">
      <c r="A1856" s="1">
        <v>43763</v>
      </c>
      <c r="B1856">
        <v>8895.5</v>
      </c>
      <c r="C1856">
        <v>8899.9501949999994</v>
      </c>
      <c r="D1856">
        <v>8816.2998050000006</v>
      </c>
      <c r="E1856">
        <v>8833.5996090000008</v>
      </c>
      <c r="F1856" s="4">
        <f t="shared" si="197"/>
        <v>8805.5</v>
      </c>
      <c r="G1856" s="4">
        <f t="shared" si="198"/>
        <v>8895.2998050000006</v>
      </c>
      <c r="H1856" s="4">
        <f t="shared" si="199"/>
        <v>0</v>
      </c>
      <c r="I1856" s="4">
        <f t="shared" si="196"/>
        <v>1</v>
      </c>
      <c r="J1856" s="11">
        <f t="shared" si="200"/>
        <v>0</v>
      </c>
      <c r="K1856" s="6">
        <f t="shared" si="201"/>
        <v>8805.5</v>
      </c>
      <c r="L1856" s="4">
        <f t="shared" si="202"/>
        <v>0</v>
      </c>
    </row>
    <row r="1857" spans="1:12" x14ac:dyDescent="0.25">
      <c r="A1857" s="1">
        <v>43766</v>
      </c>
      <c r="B1857">
        <v>8856.8496090000008</v>
      </c>
      <c r="C1857">
        <v>8869</v>
      </c>
      <c r="D1857">
        <v>8736.0996090000008</v>
      </c>
      <c r="E1857">
        <v>8754.9501949999994</v>
      </c>
      <c r="F1857" s="4">
        <f t="shared" si="197"/>
        <v>8754.9501949999994</v>
      </c>
      <c r="G1857" s="4">
        <f t="shared" si="198"/>
        <v>8895.2998050000006</v>
      </c>
      <c r="H1857" s="4" t="str">
        <f t="shared" si="199"/>
        <v>SELL</v>
      </c>
      <c r="I1857" s="4">
        <f t="shared" si="196"/>
        <v>-1</v>
      </c>
      <c r="J1857" s="11" t="str">
        <f t="shared" si="200"/>
        <v>SELL</v>
      </c>
      <c r="K1857" s="6">
        <f t="shared" si="201"/>
        <v>8754.9501949999994</v>
      </c>
      <c r="L1857" s="4">
        <f t="shared" si="202"/>
        <v>-5.7407080801772257E-3</v>
      </c>
    </row>
    <row r="1858" spans="1:12" x14ac:dyDescent="0.25">
      <c r="A1858" s="1">
        <v>43767</v>
      </c>
      <c r="B1858">
        <v>8772.9003909999992</v>
      </c>
      <c r="C1858">
        <v>8800.5</v>
      </c>
      <c r="D1858">
        <v>8726.75</v>
      </c>
      <c r="E1858">
        <v>8762.0996090000008</v>
      </c>
      <c r="F1858" s="4">
        <f t="shared" si="197"/>
        <v>8754.9501949999994</v>
      </c>
      <c r="G1858" s="4">
        <f t="shared" si="198"/>
        <v>8895.2998050000006</v>
      </c>
      <c r="H1858" s="4">
        <f t="shared" si="199"/>
        <v>0</v>
      </c>
      <c r="I1858" s="4">
        <f t="shared" si="196"/>
        <v>-1</v>
      </c>
      <c r="J1858" s="11">
        <f t="shared" si="200"/>
        <v>0</v>
      </c>
      <c r="K1858" s="6">
        <f t="shared" si="201"/>
        <v>8754.9501949999994</v>
      </c>
      <c r="L1858" s="4">
        <f t="shared" si="202"/>
        <v>0</v>
      </c>
    </row>
    <row r="1859" spans="1:12" x14ac:dyDescent="0.25">
      <c r="A1859" s="1">
        <v>43768</v>
      </c>
      <c r="B1859">
        <v>8801.9003909999992</v>
      </c>
      <c r="C1859">
        <v>8840.6503909999992</v>
      </c>
      <c r="D1859">
        <v>8751.4003909999992</v>
      </c>
      <c r="E1859">
        <v>8767.25</v>
      </c>
      <c r="F1859" s="4">
        <f t="shared" si="197"/>
        <v>8754.9501949999994</v>
      </c>
      <c r="G1859" s="4">
        <f t="shared" si="198"/>
        <v>8895.2998050000006</v>
      </c>
      <c r="H1859" s="4">
        <f t="shared" si="199"/>
        <v>0</v>
      </c>
      <c r="I1859" s="4">
        <f t="shared" si="196"/>
        <v>-1</v>
      </c>
      <c r="J1859" s="11">
        <f t="shared" si="200"/>
        <v>0</v>
      </c>
      <c r="K1859" s="6">
        <f t="shared" si="201"/>
        <v>8754.9501949999994</v>
      </c>
      <c r="L1859" s="4">
        <f t="shared" si="202"/>
        <v>0</v>
      </c>
    </row>
    <row r="1860" spans="1:12" x14ac:dyDescent="0.25">
      <c r="A1860" s="1">
        <v>43769</v>
      </c>
      <c r="B1860">
        <v>8779</v>
      </c>
      <c r="C1860">
        <v>8786.0498050000006</v>
      </c>
      <c r="D1860">
        <v>8669.4501949999994</v>
      </c>
      <c r="E1860">
        <v>8683.8496090000008</v>
      </c>
      <c r="F1860" s="4">
        <f t="shared" si="197"/>
        <v>8683.8496090000008</v>
      </c>
      <c r="G1860" s="4">
        <f t="shared" si="198"/>
        <v>8833.5996090000008</v>
      </c>
      <c r="H1860" s="4" t="str">
        <f t="shared" si="199"/>
        <v>SELL</v>
      </c>
      <c r="I1860" s="4">
        <f t="shared" si="196"/>
        <v>-1</v>
      </c>
      <c r="J1860" s="11">
        <f t="shared" si="200"/>
        <v>0</v>
      </c>
      <c r="K1860" s="6">
        <f t="shared" si="201"/>
        <v>8754.9501949999994</v>
      </c>
      <c r="L1860" s="4">
        <f t="shared" si="202"/>
        <v>0</v>
      </c>
    </row>
    <row r="1861" spans="1:12" x14ac:dyDescent="0.25">
      <c r="A1861" s="1">
        <v>43770</v>
      </c>
      <c r="B1861">
        <v>8729.5</v>
      </c>
      <c r="C1861">
        <v>8856.9501949999994</v>
      </c>
      <c r="D1861">
        <v>8717.4501949999994</v>
      </c>
      <c r="E1861">
        <v>8844.5996090000008</v>
      </c>
      <c r="F1861" s="4">
        <f t="shared" si="197"/>
        <v>8683.8496090000008</v>
      </c>
      <c r="G1861" s="4">
        <f t="shared" si="198"/>
        <v>8844.5996090000008</v>
      </c>
      <c r="H1861" s="4" t="str">
        <f t="shared" si="199"/>
        <v>BUY</v>
      </c>
      <c r="I1861" s="4">
        <f t="shared" si="196"/>
        <v>1</v>
      </c>
      <c r="J1861" s="11" t="str">
        <f t="shared" si="200"/>
        <v>BUY</v>
      </c>
      <c r="K1861" s="6">
        <f t="shared" si="201"/>
        <v>8844.5996090000008</v>
      </c>
      <c r="L1861" s="4">
        <f t="shared" si="202"/>
        <v>-1.0239854254248141E-2</v>
      </c>
    </row>
    <row r="1862" spans="1:12" x14ac:dyDescent="0.25">
      <c r="A1862" s="1">
        <v>43773</v>
      </c>
      <c r="B1862">
        <v>8953.8496090000008</v>
      </c>
      <c r="C1862">
        <v>8972.3496090000008</v>
      </c>
      <c r="D1862">
        <v>8885.4501949999994</v>
      </c>
      <c r="E1862">
        <v>8956.75</v>
      </c>
      <c r="F1862" s="4">
        <f t="shared" si="197"/>
        <v>8683.8496090000008</v>
      </c>
      <c r="G1862" s="4">
        <f t="shared" si="198"/>
        <v>8956.75</v>
      </c>
      <c r="H1862" s="4" t="str">
        <f t="shared" si="199"/>
        <v>BUY</v>
      </c>
      <c r="I1862" s="4">
        <f t="shared" ref="I1862:I1925" si="203">IF(AND(H1862="BUY",I1861&lt;&gt;1),1,IF(AND(H1862="SELL",I1861&lt;&gt;-1),-1,I1861))</f>
        <v>1</v>
      </c>
      <c r="J1862" s="11">
        <f t="shared" si="200"/>
        <v>0</v>
      </c>
      <c r="K1862" s="6">
        <f t="shared" si="201"/>
        <v>8844.5996090000008</v>
      </c>
      <c r="L1862" s="4">
        <f t="shared" si="202"/>
        <v>0</v>
      </c>
    </row>
    <row r="1863" spans="1:12" x14ac:dyDescent="0.25">
      <c r="A1863" s="1">
        <v>43774</v>
      </c>
      <c r="B1863">
        <v>8962.8496090000008</v>
      </c>
      <c r="C1863">
        <v>9008.4003909999992</v>
      </c>
      <c r="D1863">
        <v>8925.5498050000006</v>
      </c>
      <c r="E1863">
        <v>8996.25</v>
      </c>
      <c r="F1863" s="4">
        <f t="shared" ref="F1863:F1926" si="204">MIN(E1859:E1863)</f>
        <v>8683.8496090000008</v>
      </c>
      <c r="G1863" s="4">
        <f t="shared" ref="G1863:G1926" si="205">MAX(E1859:E1863)</f>
        <v>8996.25</v>
      </c>
      <c r="H1863" s="4" t="str">
        <f t="shared" ref="H1863:H1926" si="206">IF(E1863&gt;G1862,"BUY",IF(E1863&lt;F1862,"SELL",0))</f>
        <v>BUY</v>
      </c>
      <c r="I1863" s="4">
        <f t="shared" si="203"/>
        <v>1</v>
      </c>
      <c r="J1863" s="11">
        <f t="shared" ref="J1863:J1926" si="207">IF(I1863&lt;&gt;I1862,H1863,0)</f>
        <v>0</v>
      </c>
      <c r="K1863" s="6">
        <f t="shared" ref="K1863:K1926" si="208">IF(J1863&lt;&gt;0,E1863,K1862)</f>
        <v>8844.5996090000008</v>
      </c>
      <c r="L1863" s="4">
        <f t="shared" si="202"/>
        <v>0</v>
      </c>
    </row>
    <row r="1864" spans="1:12" x14ac:dyDescent="0.25">
      <c r="A1864" s="1">
        <v>43775</v>
      </c>
      <c r="B1864">
        <v>9109.1503909999992</v>
      </c>
      <c r="C1864">
        <v>9119.2001949999994</v>
      </c>
      <c r="D1864">
        <v>8893.9501949999994</v>
      </c>
      <c r="E1864">
        <v>8922.6503909999992</v>
      </c>
      <c r="F1864" s="4">
        <f t="shared" si="204"/>
        <v>8683.8496090000008</v>
      </c>
      <c r="G1864" s="4">
        <f t="shared" si="205"/>
        <v>8996.25</v>
      </c>
      <c r="H1864" s="4">
        <f t="shared" si="206"/>
        <v>0</v>
      </c>
      <c r="I1864" s="4">
        <f t="shared" si="203"/>
        <v>1</v>
      </c>
      <c r="J1864" s="11">
        <f t="shared" si="207"/>
        <v>0</v>
      </c>
      <c r="K1864" s="6">
        <f t="shared" si="208"/>
        <v>8844.5996090000008</v>
      </c>
      <c r="L1864" s="4">
        <f t="shared" ref="L1864:L1927" si="209">IF(J1864="BUY",(K1863-K1864)/K1863,IF(J1864="SELL",(K1865-K1863)/K1863,0))</f>
        <v>0</v>
      </c>
    </row>
    <row r="1865" spans="1:12" x14ac:dyDescent="0.25">
      <c r="A1865" s="1">
        <v>43776</v>
      </c>
      <c r="B1865">
        <v>8929.4003909999992</v>
      </c>
      <c r="C1865">
        <v>8957.5498050000006</v>
      </c>
      <c r="D1865">
        <v>8849.3496090000008</v>
      </c>
      <c r="E1865">
        <v>8937.75</v>
      </c>
      <c r="F1865" s="4">
        <f t="shared" si="204"/>
        <v>8844.5996090000008</v>
      </c>
      <c r="G1865" s="4">
        <f t="shared" si="205"/>
        <v>8996.25</v>
      </c>
      <c r="H1865" s="4">
        <f t="shared" si="206"/>
        <v>0</v>
      </c>
      <c r="I1865" s="4">
        <f t="shared" si="203"/>
        <v>1</v>
      </c>
      <c r="J1865" s="11">
        <f t="shared" si="207"/>
        <v>0</v>
      </c>
      <c r="K1865" s="6">
        <f t="shared" si="208"/>
        <v>8844.5996090000008</v>
      </c>
      <c r="L1865" s="4">
        <f t="shared" si="209"/>
        <v>0</v>
      </c>
    </row>
    <row r="1866" spans="1:12" x14ac:dyDescent="0.25">
      <c r="A1866" s="1">
        <v>43777</v>
      </c>
      <c r="B1866">
        <v>8891.1503909999992</v>
      </c>
      <c r="C1866">
        <v>8891.2998050000006</v>
      </c>
      <c r="D1866">
        <v>8740.4501949999994</v>
      </c>
      <c r="E1866">
        <v>8756.75</v>
      </c>
      <c r="F1866" s="4">
        <f t="shared" si="204"/>
        <v>8756.75</v>
      </c>
      <c r="G1866" s="4">
        <f t="shared" si="205"/>
        <v>8996.25</v>
      </c>
      <c r="H1866" s="4" t="str">
        <f t="shared" si="206"/>
        <v>SELL</v>
      </c>
      <c r="I1866" s="4">
        <f t="shared" si="203"/>
        <v>-1</v>
      </c>
      <c r="J1866" s="11" t="str">
        <f t="shared" si="207"/>
        <v>SELL</v>
      </c>
      <c r="K1866" s="6">
        <f t="shared" si="208"/>
        <v>8756.75</v>
      </c>
      <c r="L1866" s="4">
        <f t="shared" si="209"/>
        <v>-9.9325704818347734E-3</v>
      </c>
    </row>
    <row r="1867" spans="1:12" x14ac:dyDescent="0.25">
      <c r="A1867" s="1">
        <v>43780</v>
      </c>
      <c r="B1867">
        <v>8769.75</v>
      </c>
      <c r="C1867">
        <v>8778</v>
      </c>
      <c r="D1867">
        <v>8677.3496090000008</v>
      </c>
      <c r="E1867">
        <v>8712.0498050000006</v>
      </c>
      <c r="F1867" s="4">
        <f t="shared" si="204"/>
        <v>8712.0498050000006</v>
      </c>
      <c r="G1867" s="4">
        <f t="shared" si="205"/>
        <v>8996.25</v>
      </c>
      <c r="H1867" s="4" t="str">
        <f t="shared" si="206"/>
        <v>SELL</v>
      </c>
      <c r="I1867" s="4">
        <f t="shared" si="203"/>
        <v>-1</v>
      </c>
      <c r="J1867" s="11">
        <f t="shared" si="207"/>
        <v>0</v>
      </c>
      <c r="K1867" s="6">
        <f t="shared" si="208"/>
        <v>8756.75</v>
      </c>
      <c r="L1867" s="4">
        <f t="shared" si="209"/>
        <v>0</v>
      </c>
    </row>
    <row r="1868" spans="1:12" x14ac:dyDescent="0.25">
      <c r="A1868" s="1">
        <v>43781</v>
      </c>
      <c r="B1868">
        <v>8728.75</v>
      </c>
      <c r="C1868">
        <v>8755.5996090000008</v>
      </c>
      <c r="D1868">
        <v>8682.3496090000008</v>
      </c>
      <c r="E1868">
        <v>8699.9501949999994</v>
      </c>
      <c r="F1868" s="4">
        <f t="shared" si="204"/>
        <v>8699.9501949999994</v>
      </c>
      <c r="G1868" s="4">
        <f t="shared" si="205"/>
        <v>8937.75</v>
      </c>
      <c r="H1868" s="4" t="str">
        <f t="shared" si="206"/>
        <v>SELL</v>
      </c>
      <c r="I1868" s="4">
        <f t="shared" si="203"/>
        <v>-1</v>
      </c>
      <c r="J1868" s="11">
        <f t="shared" si="207"/>
        <v>0</v>
      </c>
      <c r="K1868" s="6">
        <f t="shared" si="208"/>
        <v>8756.75</v>
      </c>
      <c r="L1868" s="4">
        <f t="shared" si="209"/>
        <v>0</v>
      </c>
    </row>
    <row r="1869" spans="1:12" x14ac:dyDescent="0.25">
      <c r="A1869" s="1">
        <v>43782</v>
      </c>
      <c r="B1869">
        <v>8740.6503909999992</v>
      </c>
      <c r="C1869">
        <v>8787.2001949999994</v>
      </c>
      <c r="D1869">
        <v>8732.9003909999992</v>
      </c>
      <c r="E1869">
        <v>8776</v>
      </c>
      <c r="F1869" s="4">
        <f t="shared" si="204"/>
        <v>8699.9501949999994</v>
      </c>
      <c r="G1869" s="4">
        <f t="shared" si="205"/>
        <v>8937.75</v>
      </c>
      <c r="H1869" s="4">
        <f t="shared" si="206"/>
        <v>0</v>
      </c>
      <c r="I1869" s="4">
        <f t="shared" si="203"/>
        <v>-1</v>
      </c>
      <c r="J1869" s="11">
        <f t="shared" si="207"/>
        <v>0</v>
      </c>
      <c r="K1869" s="6">
        <f t="shared" si="208"/>
        <v>8756.75</v>
      </c>
      <c r="L1869" s="4">
        <f t="shared" si="209"/>
        <v>0</v>
      </c>
    </row>
    <row r="1870" spans="1:12" x14ac:dyDescent="0.25">
      <c r="A1870" s="1">
        <v>43783</v>
      </c>
      <c r="B1870">
        <v>8844.0498050000006</v>
      </c>
      <c r="C1870">
        <v>8849.75</v>
      </c>
      <c r="D1870">
        <v>8631.75</v>
      </c>
      <c r="E1870">
        <v>8647.75</v>
      </c>
      <c r="F1870" s="4">
        <f t="shared" si="204"/>
        <v>8647.75</v>
      </c>
      <c r="G1870" s="4">
        <f t="shared" si="205"/>
        <v>8776</v>
      </c>
      <c r="H1870" s="4" t="str">
        <f t="shared" si="206"/>
        <v>SELL</v>
      </c>
      <c r="I1870" s="4">
        <f t="shared" si="203"/>
        <v>-1</v>
      </c>
      <c r="J1870" s="11">
        <f t="shared" si="207"/>
        <v>0</v>
      </c>
      <c r="K1870" s="6">
        <f t="shared" si="208"/>
        <v>8756.75</v>
      </c>
      <c r="L1870" s="4">
        <f t="shared" si="209"/>
        <v>0</v>
      </c>
    </row>
    <row r="1871" spans="1:12" x14ac:dyDescent="0.25">
      <c r="A1871" s="1">
        <v>43784</v>
      </c>
      <c r="B1871">
        <v>8656.75</v>
      </c>
      <c r="C1871">
        <v>8663.5498050000006</v>
      </c>
      <c r="D1871">
        <v>8612</v>
      </c>
      <c r="E1871">
        <v>8633.1503909999992</v>
      </c>
      <c r="F1871" s="4">
        <f t="shared" si="204"/>
        <v>8633.1503909999992</v>
      </c>
      <c r="G1871" s="4">
        <f t="shared" si="205"/>
        <v>8776</v>
      </c>
      <c r="H1871" s="4" t="str">
        <f t="shared" si="206"/>
        <v>SELL</v>
      </c>
      <c r="I1871" s="4">
        <f t="shared" si="203"/>
        <v>-1</v>
      </c>
      <c r="J1871" s="11">
        <f t="shared" si="207"/>
        <v>0</v>
      </c>
      <c r="K1871" s="6">
        <f t="shared" si="208"/>
        <v>8756.75</v>
      </c>
      <c r="L1871" s="4">
        <f t="shared" si="209"/>
        <v>0</v>
      </c>
    </row>
    <row r="1872" spans="1:12" x14ac:dyDescent="0.25">
      <c r="A1872" s="1">
        <v>43787</v>
      </c>
      <c r="B1872">
        <v>8689.0996090000008</v>
      </c>
      <c r="C1872">
        <v>8742.5498050000006</v>
      </c>
      <c r="D1872">
        <v>8630.7998050000006</v>
      </c>
      <c r="E1872">
        <v>8723.2998050000006</v>
      </c>
      <c r="F1872" s="4">
        <f t="shared" si="204"/>
        <v>8633.1503909999992</v>
      </c>
      <c r="G1872" s="4">
        <f t="shared" si="205"/>
        <v>8776</v>
      </c>
      <c r="H1872" s="4">
        <f t="shared" si="206"/>
        <v>0</v>
      </c>
      <c r="I1872" s="4">
        <f t="shared" si="203"/>
        <v>-1</v>
      </c>
      <c r="J1872" s="11">
        <f t="shared" si="207"/>
        <v>0</v>
      </c>
      <c r="K1872" s="6">
        <f t="shared" si="208"/>
        <v>8756.75</v>
      </c>
      <c r="L1872" s="4">
        <f t="shared" si="209"/>
        <v>0</v>
      </c>
    </row>
    <row r="1873" spans="1:12" x14ac:dyDescent="0.25">
      <c r="A1873" s="1">
        <v>43788</v>
      </c>
      <c r="B1873">
        <v>8742.9003909999992</v>
      </c>
      <c r="C1873">
        <v>8747.25</v>
      </c>
      <c r="D1873">
        <v>8664</v>
      </c>
      <c r="E1873">
        <v>8685.9003909999992</v>
      </c>
      <c r="F1873" s="4">
        <f t="shared" si="204"/>
        <v>8633.1503909999992</v>
      </c>
      <c r="G1873" s="4">
        <f t="shared" si="205"/>
        <v>8776</v>
      </c>
      <c r="H1873" s="4">
        <f t="shared" si="206"/>
        <v>0</v>
      </c>
      <c r="I1873" s="4">
        <f t="shared" si="203"/>
        <v>-1</v>
      </c>
      <c r="J1873" s="11">
        <f t="shared" si="207"/>
        <v>0</v>
      </c>
      <c r="K1873" s="6">
        <f t="shared" si="208"/>
        <v>8756.75</v>
      </c>
      <c r="L1873" s="4">
        <f t="shared" si="209"/>
        <v>0</v>
      </c>
    </row>
    <row r="1874" spans="1:12" x14ac:dyDescent="0.25">
      <c r="A1874" s="1">
        <v>43789</v>
      </c>
      <c r="B1874">
        <v>8749.4501949999994</v>
      </c>
      <c r="C1874">
        <v>8788.2001949999994</v>
      </c>
      <c r="D1874">
        <v>8614.6503909999992</v>
      </c>
      <c r="E1874">
        <v>8634.6503909999992</v>
      </c>
      <c r="F1874" s="4">
        <f t="shared" si="204"/>
        <v>8633.1503909999992</v>
      </c>
      <c r="G1874" s="4">
        <f t="shared" si="205"/>
        <v>8723.2998050000006</v>
      </c>
      <c r="H1874" s="4">
        <f t="shared" si="206"/>
        <v>0</v>
      </c>
      <c r="I1874" s="4">
        <f t="shared" si="203"/>
        <v>-1</v>
      </c>
      <c r="J1874" s="11">
        <f t="shared" si="207"/>
        <v>0</v>
      </c>
      <c r="K1874" s="6">
        <f t="shared" si="208"/>
        <v>8756.75</v>
      </c>
      <c r="L1874" s="4">
        <f t="shared" si="209"/>
        <v>0</v>
      </c>
    </row>
    <row r="1875" spans="1:12" x14ac:dyDescent="0.25">
      <c r="A1875" s="1">
        <v>43790</v>
      </c>
      <c r="B1875">
        <v>8627.9003909999992</v>
      </c>
      <c r="C1875">
        <v>8627.9003909999992</v>
      </c>
      <c r="D1875">
        <v>8553</v>
      </c>
      <c r="E1875">
        <v>8570.9003909999992</v>
      </c>
      <c r="F1875" s="4">
        <f t="shared" si="204"/>
        <v>8570.9003909999992</v>
      </c>
      <c r="G1875" s="4">
        <f t="shared" si="205"/>
        <v>8723.2998050000006</v>
      </c>
      <c r="H1875" s="4" t="str">
        <f t="shared" si="206"/>
        <v>SELL</v>
      </c>
      <c r="I1875" s="4">
        <f t="shared" si="203"/>
        <v>-1</v>
      </c>
      <c r="J1875" s="11">
        <f t="shared" si="207"/>
        <v>0</v>
      </c>
      <c r="K1875" s="6">
        <f t="shared" si="208"/>
        <v>8756.75</v>
      </c>
      <c r="L1875" s="4">
        <f t="shared" si="209"/>
        <v>0</v>
      </c>
    </row>
    <row r="1876" spans="1:12" x14ac:dyDescent="0.25">
      <c r="A1876" s="1">
        <v>43791</v>
      </c>
      <c r="B1876">
        <v>8591.5498050000006</v>
      </c>
      <c r="C1876">
        <v>8608.3496090000008</v>
      </c>
      <c r="D1876">
        <v>8540.5498050000006</v>
      </c>
      <c r="E1876">
        <v>8550.9003909999992</v>
      </c>
      <c r="F1876" s="4">
        <f t="shared" si="204"/>
        <v>8550.9003909999992</v>
      </c>
      <c r="G1876" s="4">
        <f t="shared" si="205"/>
        <v>8723.2998050000006</v>
      </c>
      <c r="H1876" s="4" t="str">
        <f t="shared" si="206"/>
        <v>SELL</v>
      </c>
      <c r="I1876" s="4">
        <f t="shared" si="203"/>
        <v>-1</v>
      </c>
      <c r="J1876" s="11">
        <f t="shared" si="207"/>
        <v>0</v>
      </c>
      <c r="K1876" s="6">
        <f t="shared" si="208"/>
        <v>8756.75</v>
      </c>
      <c r="L1876" s="4">
        <f t="shared" si="209"/>
        <v>0</v>
      </c>
    </row>
    <row r="1877" spans="1:12" x14ac:dyDescent="0.25">
      <c r="A1877" s="1">
        <v>43794</v>
      </c>
      <c r="B1877">
        <v>8537.0498050000006</v>
      </c>
      <c r="C1877">
        <v>8627.75</v>
      </c>
      <c r="D1877">
        <v>8535.8496090000008</v>
      </c>
      <c r="E1877">
        <v>8542.9501949999994</v>
      </c>
      <c r="F1877" s="4">
        <f t="shared" si="204"/>
        <v>8542.9501949999994</v>
      </c>
      <c r="G1877" s="4">
        <f t="shared" si="205"/>
        <v>8685.9003909999992</v>
      </c>
      <c r="H1877" s="4" t="str">
        <f t="shared" si="206"/>
        <v>SELL</v>
      </c>
      <c r="I1877" s="4">
        <f t="shared" si="203"/>
        <v>-1</v>
      </c>
      <c r="J1877" s="11">
        <f t="shared" si="207"/>
        <v>0</v>
      </c>
      <c r="K1877" s="6">
        <f t="shared" si="208"/>
        <v>8756.75</v>
      </c>
      <c r="L1877" s="4">
        <f t="shared" si="209"/>
        <v>0</v>
      </c>
    </row>
    <row r="1878" spans="1:12" x14ac:dyDescent="0.25">
      <c r="A1878" s="1">
        <v>43795</v>
      </c>
      <c r="B1878">
        <v>8568.9003909999992</v>
      </c>
      <c r="C1878">
        <v>8573.75</v>
      </c>
      <c r="D1878">
        <v>8516.5498050000006</v>
      </c>
      <c r="E1878">
        <v>8530.7998050000006</v>
      </c>
      <c r="F1878" s="4">
        <f t="shared" si="204"/>
        <v>8530.7998050000006</v>
      </c>
      <c r="G1878" s="4">
        <f t="shared" si="205"/>
        <v>8634.6503909999992</v>
      </c>
      <c r="H1878" s="4" t="str">
        <f t="shared" si="206"/>
        <v>SELL</v>
      </c>
      <c r="I1878" s="4">
        <f t="shared" si="203"/>
        <v>-1</v>
      </c>
      <c r="J1878" s="11">
        <f t="shared" si="207"/>
        <v>0</v>
      </c>
      <c r="K1878" s="6">
        <f t="shared" si="208"/>
        <v>8756.75</v>
      </c>
      <c r="L1878" s="4">
        <f t="shared" si="209"/>
        <v>0</v>
      </c>
    </row>
    <row r="1879" spans="1:12" x14ac:dyDescent="0.25">
      <c r="A1879" s="1">
        <v>43796</v>
      </c>
      <c r="B1879">
        <v>8474.9501949999994</v>
      </c>
      <c r="C1879">
        <v>8499.4501949999994</v>
      </c>
      <c r="D1879">
        <v>8325.3496090000008</v>
      </c>
      <c r="E1879">
        <v>8342.1503909999992</v>
      </c>
      <c r="F1879" s="4">
        <f t="shared" si="204"/>
        <v>8342.1503909999992</v>
      </c>
      <c r="G1879" s="4">
        <f t="shared" si="205"/>
        <v>8570.9003909999992</v>
      </c>
      <c r="H1879" s="4" t="str">
        <f t="shared" si="206"/>
        <v>SELL</v>
      </c>
      <c r="I1879" s="4">
        <f t="shared" si="203"/>
        <v>-1</v>
      </c>
      <c r="J1879" s="11">
        <f t="shared" si="207"/>
        <v>0</v>
      </c>
      <c r="K1879" s="6">
        <f t="shared" si="208"/>
        <v>8756.75</v>
      </c>
      <c r="L1879" s="4">
        <f t="shared" si="209"/>
        <v>0</v>
      </c>
    </row>
    <row r="1880" spans="1:12" x14ac:dyDescent="0.25">
      <c r="A1880" s="1">
        <v>43797</v>
      </c>
      <c r="B1880">
        <v>8396</v>
      </c>
      <c r="C1880">
        <v>8413.2001949999994</v>
      </c>
      <c r="D1880">
        <v>8269.1503909999992</v>
      </c>
      <c r="E1880">
        <v>8341.4003909999992</v>
      </c>
      <c r="F1880" s="4">
        <f t="shared" si="204"/>
        <v>8341.4003909999992</v>
      </c>
      <c r="G1880" s="4">
        <f t="shared" si="205"/>
        <v>8550.9003909999992</v>
      </c>
      <c r="H1880" s="4" t="str">
        <f t="shared" si="206"/>
        <v>SELL</v>
      </c>
      <c r="I1880" s="4">
        <f t="shared" si="203"/>
        <v>-1</v>
      </c>
      <c r="J1880" s="11">
        <f t="shared" si="207"/>
        <v>0</v>
      </c>
      <c r="K1880" s="6">
        <f t="shared" si="208"/>
        <v>8756.75</v>
      </c>
      <c r="L1880" s="4">
        <f t="shared" si="209"/>
        <v>0</v>
      </c>
    </row>
    <row r="1881" spans="1:12" x14ac:dyDescent="0.25">
      <c r="A1881" s="1">
        <v>43798</v>
      </c>
      <c r="B1881">
        <v>8390.9501949999994</v>
      </c>
      <c r="C1881">
        <v>8492.2998050000006</v>
      </c>
      <c r="D1881">
        <v>8380.75</v>
      </c>
      <c r="E1881">
        <v>8492.2998050000006</v>
      </c>
      <c r="F1881" s="4">
        <f t="shared" si="204"/>
        <v>8341.4003909999992</v>
      </c>
      <c r="G1881" s="4">
        <f t="shared" si="205"/>
        <v>8542.9501949999994</v>
      </c>
      <c r="H1881" s="4">
        <f t="shared" si="206"/>
        <v>0</v>
      </c>
      <c r="I1881" s="4">
        <f t="shared" si="203"/>
        <v>-1</v>
      </c>
      <c r="J1881" s="11">
        <f t="shared" si="207"/>
        <v>0</v>
      </c>
      <c r="K1881" s="6">
        <f t="shared" si="208"/>
        <v>8756.75</v>
      </c>
      <c r="L1881" s="4">
        <f t="shared" si="209"/>
        <v>0</v>
      </c>
    </row>
    <row r="1882" spans="1:12" x14ac:dyDescent="0.25">
      <c r="A1882" s="1">
        <v>43801</v>
      </c>
      <c r="B1882">
        <v>8527.5996090000008</v>
      </c>
      <c r="C1882">
        <v>8550.4501949999994</v>
      </c>
      <c r="D1882">
        <v>8454.1503909999992</v>
      </c>
      <c r="E1882">
        <v>8491</v>
      </c>
      <c r="F1882" s="4">
        <f t="shared" si="204"/>
        <v>8341.4003909999992</v>
      </c>
      <c r="G1882" s="4">
        <f t="shared" si="205"/>
        <v>8530.7998050000006</v>
      </c>
      <c r="H1882" s="4">
        <f t="shared" si="206"/>
        <v>0</v>
      </c>
      <c r="I1882" s="4">
        <f t="shared" si="203"/>
        <v>-1</v>
      </c>
      <c r="J1882" s="11">
        <f t="shared" si="207"/>
        <v>0</v>
      </c>
      <c r="K1882" s="6">
        <f t="shared" si="208"/>
        <v>8756.75</v>
      </c>
      <c r="L1882" s="4">
        <f t="shared" si="209"/>
        <v>0</v>
      </c>
    </row>
    <row r="1883" spans="1:12" x14ac:dyDescent="0.25">
      <c r="A1883" s="1">
        <v>43802</v>
      </c>
      <c r="B1883">
        <v>8483.7001949999994</v>
      </c>
      <c r="C1883">
        <v>8603.4003909999992</v>
      </c>
      <c r="D1883">
        <v>8464.75</v>
      </c>
      <c r="E1883">
        <v>8586.25</v>
      </c>
      <c r="F1883" s="4">
        <f t="shared" si="204"/>
        <v>8341.4003909999992</v>
      </c>
      <c r="G1883" s="4">
        <f t="shared" si="205"/>
        <v>8586.25</v>
      </c>
      <c r="H1883" s="4" t="str">
        <f t="shared" si="206"/>
        <v>BUY</v>
      </c>
      <c r="I1883" s="4">
        <f t="shared" si="203"/>
        <v>1</v>
      </c>
      <c r="J1883" s="11" t="str">
        <f t="shared" si="207"/>
        <v>BUY</v>
      </c>
      <c r="K1883" s="6">
        <f t="shared" si="208"/>
        <v>8586.25</v>
      </c>
      <c r="L1883" s="4">
        <f t="shared" si="209"/>
        <v>1.947069403602935E-2</v>
      </c>
    </row>
    <row r="1884" spans="1:12" x14ac:dyDescent="0.25">
      <c r="A1884" s="1">
        <v>43803</v>
      </c>
      <c r="B1884">
        <v>8615.7998050000006</v>
      </c>
      <c r="C1884">
        <v>8667.5498050000006</v>
      </c>
      <c r="D1884">
        <v>8573.75</v>
      </c>
      <c r="E1884">
        <v>8659.9003909999992</v>
      </c>
      <c r="F1884" s="4">
        <f t="shared" si="204"/>
        <v>8341.4003909999992</v>
      </c>
      <c r="G1884" s="4">
        <f t="shared" si="205"/>
        <v>8659.9003909999992</v>
      </c>
      <c r="H1884" s="4" t="str">
        <f t="shared" si="206"/>
        <v>BUY</v>
      </c>
      <c r="I1884" s="4">
        <f t="shared" si="203"/>
        <v>1</v>
      </c>
      <c r="J1884" s="11">
        <f t="shared" si="207"/>
        <v>0</v>
      </c>
      <c r="K1884" s="6">
        <f t="shared" si="208"/>
        <v>8586.25</v>
      </c>
      <c r="L1884" s="4">
        <f t="shared" si="209"/>
        <v>0</v>
      </c>
    </row>
    <row r="1885" spans="1:12" x14ac:dyDescent="0.25">
      <c r="A1885" s="1">
        <v>43804</v>
      </c>
      <c r="B1885">
        <v>8684.4501949999994</v>
      </c>
      <c r="C1885">
        <v>8693.5996090000008</v>
      </c>
      <c r="D1885">
        <v>8586.8496090000008</v>
      </c>
      <c r="E1885">
        <v>8660.2998050000006</v>
      </c>
      <c r="F1885" s="4">
        <f t="shared" si="204"/>
        <v>8491</v>
      </c>
      <c r="G1885" s="4">
        <f t="shared" si="205"/>
        <v>8660.2998050000006</v>
      </c>
      <c r="H1885" s="4" t="str">
        <f t="shared" si="206"/>
        <v>BUY</v>
      </c>
      <c r="I1885" s="4">
        <f t="shared" si="203"/>
        <v>1</v>
      </c>
      <c r="J1885" s="11">
        <f t="shared" si="207"/>
        <v>0</v>
      </c>
      <c r="K1885" s="6">
        <f t="shared" si="208"/>
        <v>8586.25</v>
      </c>
      <c r="L1885" s="4">
        <f t="shared" si="209"/>
        <v>0</v>
      </c>
    </row>
    <row r="1886" spans="1:12" x14ac:dyDescent="0.25">
      <c r="A1886" s="1">
        <v>43805</v>
      </c>
      <c r="B1886">
        <v>8698.9501949999994</v>
      </c>
      <c r="C1886">
        <v>8730.5</v>
      </c>
      <c r="D1886">
        <v>8679.7998050000006</v>
      </c>
      <c r="E1886">
        <v>8714.4003909999992</v>
      </c>
      <c r="F1886" s="4">
        <f t="shared" si="204"/>
        <v>8491</v>
      </c>
      <c r="G1886" s="4">
        <f t="shared" si="205"/>
        <v>8714.4003909999992</v>
      </c>
      <c r="H1886" s="4" t="str">
        <f t="shared" si="206"/>
        <v>BUY</v>
      </c>
      <c r="I1886" s="4">
        <f t="shared" si="203"/>
        <v>1</v>
      </c>
      <c r="J1886" s="11">
        <f t="shared" si="207"/>
        <v>0</v>
      </c>
      <c r="K1886" s="6">
        <f t="shared" si="208"/>
        <v>8586.25</v>
      </c>
      <c r="L1886" s="4">
        <f t="shared" si="209"/>
        <v>0</v>
      </c>
    </row>
    <row r="1887" spans="1:12" x14ac:dyDescent="0.25">
      <c r="A1887" s="1">
        <v>43808</v>
      </c>
      <c r="B1887">
        <v>8756.2001949999994</v>
      </c>
      <c r="C1887">
        <v>8785.5</v>
      </c>
      <c r="D1887">
        <v>8682.4501949999994</v>
      </c>
      <c r="E1887">
        <v>8778.2998050000006</v>
      </c>
      <c r="F1887" s="4">
        <f t="shared" si="204"/>
        <v>8586.25</v>
      </c>
      <c r="G1887" s="4">
        <f t="shared" si="205"/>
        <v>8778.2998050000006</v>
      </c>
      <c r="H1887" s="4" t="str">
        <f t="shared" si="206"/>
        <v>BUY</v>
      </c>
      <c r="I1887" s="4">
        <f t="shared" si="203"/>
        <v>1</v>
      </c>
      <c r="J1887" s="11">
        <f t="shared" si="207"/>
        <v>0</v>
      </c>
      <c r="K1887" s="6">
        <f t="shared" si="208"/>
        <v>8586.25</v>
      </c>
      <c r="L1887" s="4">
        <f t="shared" si="209"/>
        <v>0</v>
      </c>
    </row>
    <row r="1888" spans="1:12" x14ac:dyDescent="0.25">
      <c r="A1888" s="1">
        <v>43809</v>
      </c>
      <c r="B1888">
        <v>8774.3496090000008</v>
      </c>
      <c r="C1888">
        <v>8787.4003909999992</v>
      </c>
      <c r="D1888">
        <v>8733.5996090000008</v>
      </c>
      <c r="E1888">
        <v>8780.3496090000008</v>
      </c>
      <c r="F1888" s="4">
        <f t="shared" si="204"/>
        <v>8659.9003909999992</v>
      </c>
      <c r="G1888" s="4">
        <f t="shared" si="205"/>
        <v>8780.3496090000008</v>
      </c>
      <c r="H1888" s="4" t="str">
        <f t="shared" si="206"/>
        <v>BUY</v>
      </c>
      <c r="I1888" s="4">
        <f t="shared" si="203"/>
        <v>1</v>
      </c>
      <c r="J1888" s="11">
        <f t="shared" si="207"/>
        <v>0</v>
      </c>
      <c r="K1888" s="6">
        <f t="shared" si="208"/>
        <v>8586.25</v>
      </c>
      <c r="L1888" s="4">
        <f t="shared" si="209"/>
        <v>0</v>
      </c>
    </row>
    <row r="1889" spans="1:12" x14ac:dyDescent="0.25">
      <c r="A1889" s="1">
        <v>43810</v>
      </c>
      <c r="B1889">
        <v>8801.75</v>
      </c>
      <c r="C1889">
        <v>8841.6503909999992</v>
      </c>
      <c r="D1889">
        <v>8762.0996090000008</v>
      </c>
      <c r="E1889">
        <v>8834</v>
      </c>
      <c r="F1889" s="4">
        <f t="shared" si="204"/>
        <v>8660.2998050000006</v>
      </c>
      <c r="G1889" s="4">
        <f t="shared" si="205"/>
        <v>8834</v>
      </c>
      <c r="H1889" s="4" t="str">
        <f t="shared" si="206"/>
        <v>BUY</v>
      </c>
      <c r="I1889" s="4">
        <f t="shared" si="203"/>
        <v>1</v>
      </c>
      <c r="J1889" s="11">
        <f t="shared" si="207"/>
        <v>0</v>
      </c>
      <c r="K1889" s="6">
        <f t="shared" si="208"/>
        <v>8586.25</v>
      </c>
      <c r="L1889" s="4">
        <f t="shared" si="209"/>
        <v>0</v>
      </c>
    </row>
    <row r="1890" spans="1:12" x14ac:dyDescent="0.25">
      <c r="A1890" s="1">
        <v>43811</v>
      </c>
      <c r="B1890">
        <v>8757.0498050000006</v>
      </c>
      <c r="C1890">
        <v>8760</v>
      </c>
      <c r="D1890">
        <v>8645.6503909999992</v>
      </c>
      <c r="E1890">
        <v>8706.7001949999994</v>
      </c>
      <c r="F1890" s="4">
        <f t="shared" si="204"/>
        <v>8706.7001949999994</v>
      </c>
      <c r="G1890" s="4">
        <f t="shared" si="205"/>
        <v>8834</v>
      </c>
      <c r="H1890" s="4">
        <f t="shared" si="206"/>
        <v>0</v>
      </c>
      <c r="I1890" s="4">
        <f t="shared" si="203"/>
        <v>1</v>
      </c>
      <c r="J1890" s="11">
        <f t="shared" si="207"/>
        <v>0</v>
      </c>
      <c r="K1890" s="6">
        <f t="shared" si="208"/>
        <v>8586.25</v>
      </c>
      <c r="L1890" s="4">
        <f t="shared" si="209"/>
        <v>0</v>
      </c>
    </row>
    <row r="1891" spans="1:12" x14ac:dyDescent="0.25">
      <c r="A1891" s="1">
        <v>43812</v>
      </c>
      <c r="B1891">
        <v>8698.0498050000006</v>
      </c>
      <c r="C1891">
        <v>8699.8496090000008</v>
      </c>
      <c r="D1891">
        <v>8596.7001949999994</v>
      </c>
      <c r="E1891">
        <v>8606</v>
      </c>
      <c r="F1891" s="4">
        <f t="shared" si="204"/>
        <v>8606</v>
      </c>
      <c r="G1891" s="4">
        <f t="shared" si="205"/>
        <v>8834</v>
      </c>
      <c r="H1891" s="4" t="str">
        <f t="shared" si="206"/>
        <v>SELL</v>
      </c>
      <c r="I1891" s="4">
        <f t="shared" si="203"/>
        <v>-1</v>
      </c>
      <c r="J1891" s="11" t="str">
        <f t="shared" si="207"/>
        <v>SELL</v>
      </c>
      <c r="K1891" s="6">
        <f t="shared" si="208"/>
        <v>8606</v>
      </c>
      <c r="L1891" s="4">
        <f t="shared" si="209"/>
        <v>2.3001892560780318E-3</v>
      </c>
    </row>
    <row r="1892" spans="1:12" x14ac:dyDescent="0.25">
      <c r="A1892" s="1">
        <v>43815</v>
      </c>
      <c r="B1892">
        <v>8618.7998050000006</v>
      </c>
      <c r="C1892">
        <v>8619.9501949999994</v>
      </c>
      <c r="D1892">
        <v>8422.75</v>
      </c>
      <c r="E1892">
        <v>8448.0996090000008</v>
      </c>
      <c r="F1892" s="4">
        <f t="shared" si="204"/>
        <v>8448.0996090000008</v>
      </c>
      <c r="G1892" s="4">
        <f t="shared" si="205"/>
        <v>8834</v>
      </c>
      <c r="H1892" s="4" t="str">
        <f t="shared" si="206"/>
        <v>SELL</v>
      </c>
      <c r="I1892" s="4">
        <f t="shared" si="203"/>
        <v>-1</v>
      </c>
      <c r="J1892" s="11">
        <f t="shared" si="207"/>
        <v>0</v>
      </c>
      <c r="K1892" s="6">
        <f t="shared" si="208"/>
        <v>8606</v>
      </c>
      <c r="L1892" s="4">
        <f t="shared" si="209"/>
        <v>0</v>
      </c>
    </row>
    <row r="1893" spans="1:12" x14ac:dyDescent="0.25">
      <c r="A1893" s="1">
        <v>43816</v>
      </c>
      <c r="B1893">
        <v>8416.0996090000008</v>
      </c>
      <c r="C1893">
        <v>8469.3496090000008</v>
      </c>
      <c r="D1893">
        <v>8352.7001949999994</v>
      </c>
      <c r="E1893">
        <v>8377.75</v>
      </c>
      <c r="F1893" s="4">
        <f t="shared" si="204"/>
        <v>8377.75</v>
      </c>
      <c r="G1893" s="4">
        <f t="shared" si="205"/>
        <v>8834</v>
      </c>
      <c r="H1893" s="4" t="str">
        <f t="shared" si="206"/>
        <v>SELL</v>
      </c>
      <c r="I1893" s="4">
        <f t="shared" si="203"/>
        <v>-1</v>
      </c>
      <c r="J1893" s="11">
        <f t="shared" si="207"/>
        <v>0</v>
      </c>
      <c r="K1893" s="6">
        <f t="shared" si="208"/>
        <v>8606</v>
      </c>
      <c r="L1893" s="4">
        <f t="shared" si="209"/>
        <v>0</v>
      </c>
    </row>
    <row r="1894" spans="1:12" x14ac:dyDescent="0.25">
      <c r="A1894" s="1">
        <v>43817</v>
      </c>
      <c r="B1894">
        <v>8400.4003909999992</v>
      </c>
      <c r="C1894">
        <v>8449.9501949999994</v>
      </c>
      <c r="D1894">
        <v>8284.7001949999994</v>
      </c>
      <c r="E1894">
        <v>8429.7001949999994</v>
      </c>
      <c r="F1894" s="4">
        <f t="shared" si="204"/>
        <v>8377.75</v>
      </c>
      <c r="G1894" s="4">
        <f t="shared" si="205"/>
        <v>8706.7001949999994</v>
      </c>
      <c r="H1894" s="4">
        <f t="shared" si="206"/>
        <v>0</v>
      </c>
      <c r="I1894" s="4">
        <f t="shared" si="203"/>
        <v>-1</v>
      </c>
      <c r="J1894" s="11">
        <f t="shared" si="207"/>
        <v>0</v>
      </c>
      <c r="K1894" s="6">
        <f t="shared" si="208"/>
        <v>8606</v>
      </c>
      <c r="L1894" s="4">
        <f t="shared" si="209"/>
        <v>0</v>
      </c>
    </row>
    <row r="1895" spans="1:12" x14ac:dyDescent="0.25">
      <c r="A1895" s="1">
        <v>43818</v>
      </c>
      <c r="B1895">
        <v>8478.2001949999994</v>
      </c>
      <c r="C1895">
        <v>8504.9501949999994</v>
      </c>
      <c r="D1895">
        <v>8361.8496090000008</v>
      </c>
      <c r="E1895">
        <v>8398.2998050000006</v>
      </c>
      <c r="F1895" s="4">
        <f t="shared" si="204"/>
        <v>8377.75</v>
      </c>
      <c r="G1895" s="4">
        <f t="shared" si="205"/>
        <v>8606</v>
      </c>
      <c r="H1895" s="4">
        <f t="shared" si="206"/>
        <v>0</v>
      </c>
      <c r="I1895" s="4">
        <f t="shared" si="203"/>
        <v>-1</v>
      </c>
      <c r="J1895" s="11">
        <f t="shared" si="207"/>
        <v>0</v>
      </c>
      <c r="K1895" s="6">
        <f t="shared" si="208"/>
        <v>8606</v>
      </c>
      <c r="L1895" s="4">
        <f t="shared" si="209"/>
        <v>0</v>
      </c>
    </row>
    <row r="1896" spans="1:12" x14ac:dyDescent="0.25">
      <c r="A1896" s="1">
        <v>43819</v>
      </c>
      <c r="B1896">
        <v>8405.7001949999994</v>
      </c>
      <c r="C1896">
        <v>8413.2998050000006</v>
      </c>
      <c r="D1896">
        <v>8273.3496090000008</v>
      </c>
      <c r="E1896">
        <v>8305.25</v>
      </c>
      <c r="F1896" s="4">
        <f t="shared" si="204"/>
        <v>8305.25</v>
      </c>
      <c r="G1896" s="4">
        <f t="shared" si="205"/>
        <v>8448.0996090000008</v>
      </c>
      <c r="H1896" s="4" t="str">
        <f t="shared" si="206"/>
        <v>SELL</v>
      </c>
      <c r="I1896" s="4">
        <f t="shared" si="203"/>
        <v>-1</v>
      </c>
      <c r="J1896" s="11">
        <f t="shared" si="207"/>
        <v>0</v>
      </c>
      <c r="K1896" s="6">
        <f t="shared" si="208"/>
        <v>8606</v>
      </c>
      <c r="L1896" s="4">
        <f t="shared" si="209"/>
        <v>0</v>
      </c>
    </row>
    <row r="1897" spans="1:12" x14ac:dyDescent="0.25">
      <c r="A1897" s="1">
        <v>43822</v>
      </c>
      <c r="B1897">
        <v>8330.5498050000006</v>
      </c>
      <c r="C1897">
        <v>8334.4501949999994</v>
      </c>
      <c r="D1897">
        <v>8202.3496090000008</v>
      </c>
      <c r="E1897">
        <v>8213.7998050000006</v>
      </c>
      <c r="F1897" s="4">
        <f t="shared" si="204"/>
        <v>8213.7998050000006</v>
      </c>
      <c r="G1897" s="4">
        <f t="shared" si="205"/>
        <v>8429.7001949999994</v>
      </c>
      <c r="H1897" s="4" t="str">
        <f t="shared" si="206"/>
        <v>SELL</v>
      </c>
      <c r="I1897" s="4">
        <f t="shared" si="203"/>
        <v>-1</v>
      </c>
      <c r="J1897" s="11">
        <f t="shared" si="207"/>
        <v>0</v>
      </c>
      <c r="K1897" s="6">
        <f t="shared" si="208"/>
        <v>8606</v>
      </c>
      <c r="L1897" s="4">
        <f t="shared" si="209"/>
        <v>0</v>
      </c>
    </row>
    <row r="1898" spans="1:12" x14ac:dyDescent="0.25">
      <c r="A1898" s="1">
        <v>43823</v>
      </c>
      <c r="B1898">
        <v>8215.5498050000006</v>
      </c>
      <c r="C1898">
        <v>8308</v>
      </c>
      <c r="D1898">
        <v>8185.1499020000001</v>
      </c>
      <c r="E1898">
        <v>8285.5996090000008</v>
      </c>
      <c r="F1898" s="4">
        <f t="shared" si="204"/>
        <v>8213.7998050000006</v>
      </c>
      <c r="G1898" s="4">
        <f t="shared" si="205"/>
        <v>8429.7001949999994</v>
      </c>
      <c r="H1898" s="4">
        <f t="shared" si="206"/>
        <v>0</v>
      </c>
      <c r="I1898" s="4">
        <f t="shared" si="203"/>
        <v>-1</v>
      </c>
      <c r="J1898" s="11">
        <f t="shared" si="207"/>
        <v>0</v>
      </c>
      <c r="K1898" s="6">
        <f t="shared" si="208"/>
        <v>8606</v>
      </c>
      <c r="L1898" s="4">
        <f t="shared" si="209"/>
        <v>0</v>
      </c>
    </row>
    <row r="1899" spans="1:12" x14ac:dyDescent="0.25">
      <c r="A1899" s="1">
        <v>43824</v>
      </c>
      <c r="B1899">
        <v>8274.7998050000006</v>
      </c>
      <c r="C1899">
        <v>8308.2001949999994</v>
      </c>
      <c r="D1899">
        <v>8219.2001949999994</v>
      </c>
      <c r="E1899">
        <v>8239.75</v>
      </c>
      <c r="F1899" s="4">
        <f t="shared" si="204"/>
        <v>8213.7998050000006</v>
      </c>
      <c r="G1899" s="4">
        <f t="shared" si="205"/>
        <v>8398.2998050000006</v>
      </c>
      <c r="H1899" s="4">
        <f t="shared" si="206"/>
        <v>0</v>
      </c>
      <c r="I1899" s="4">
        <f t="shared" si="203"/>
        <v>-1</v>
      </c>
      <c r="J1899" s="11">
        <f t="shared" si="207"/>
        <v>0</v>
      </c>
      <c r="K1899" s="6">
        <f t="shared" si="208"/>
        <v>8606</v>
      </c>
      <c r="L1899" s="4">
        <f t="shared" si="209"/>
        <v>0</v>
      </c>
    </row>
    <row r="1900" spans="1:12" x14ac:dyDescent="0.25">
      <c r="A1900" s="1">
        <v>43825</v>
      </c>
      <c r="B1900">
        <v>8224.5</v>
      </c>
      <c r="C1900">
        <v>8229.4003909999992</v>
      </c>
      <c r="D1900">
        <v>8144.75</v>
      </c>
      <c r="E1900">
        <v>8181.5</v>
      </c>
      <c r="F1900" s="4">
        <f t="shared" si="204"/>
        <v>8181.5</v>
      </c>
      <c r="G1900" s="4">
        <f t="shared" si="205"/>
        <v>8305.25</v>
      </c>
      <c r="H1900" s="4" t="str">
        <f t="shared" si="206"/>
        <v>SELL</v>
      </c>
      <c r="I1900" s="4">
        <f t="shared" si="203"/>
        <v>-1</v>
      </c>
      <c r="J1900" s="11">
        <f t="shared" si="207"/>
        <v>0</v>
      </c>
      <c r="K1900" s="6">
        <f t="shared" si="208"/>
        <v>8606</v>
      </c>
      <c r="L1900" s="4">
        <f t="shared" si="209"/>
        <v>0</v>
      </c>
    </row>
    <row r="1901" spans="1:12" x14ac:dyDescent="0.25">
      <c r="A1901" s="1">
        <v>43826</v>
      </c>
      <c r="B1901">
        <v>8230.0498050000006</v>
      </c>
      <c r="C1901">
        <v>8346</v>
      </c>
      <c r="D1901">
        <v>8220.4501949999994</v>
      </c>
      <c r="E1901">
        <v>8331.9501949999994</v>
      </c>
      <c r="F1901" s="4">
        <f t="shared" si="204"/>
        <v>8181.5</v>
      </c>
      <c r="G1901" s="4">
        <f t="shared" si="205"/>
        <v>8331.9501949999994</v>
      </c>
      <c r="H1901" s="4" t="str">
        <f t="shared" si="206"/>
        <v>BUY</v>
      </c>
      <c r="I1901" s="4">
        <f t="shared" si="203"/>
        <v>1</v>
      </c>
      <c r="J1901" s="11" t="str">
        <f t="shared" si="207"/>
        <v>BUY</v>
      </c>
      <c r="K1901" s="6">
        <f t="shared" si="208"/>
        <v>8331.9501949999994</v>
      </c>
      <c r="L1901" s="4">
        <f t="shared" si="209"/>
        <v>3.184403962351854E-2</v>
      </c>
    </row>
    <row r="1902" spans="1:12" x14ac:dyDescent="0.25">
      <c r="A1902" s="1">
        <v>43829</v>
      </c>
      <c r="B1902">
        <v>8338.4003909999992</v>
      </c>
      <c r="C1902">
        <v>8355.6503909999992</v>
      </c>
      <c r="D1902">
        <v>8280.5996090000008</v>
      </c>
      <c r="E1902">
        <v>8324.7998050000006</v>
      </c>
      <c r="F1902" s="4">
        <f t="shared" si="204"/>
        <v>8181.5</v>
      </c>
      <c r="G1902" s="4">
        <f t="shared" si="205"/>
        <v>8331.9501949999994</v>
      </c>
      <c r="H1902" s="4">
        <f t="shared" si="206"/>
        <v>0</v>
      </c>
      <c r="I1902" s="4">
        <f t="shared" si="203"/>
        <v>1</v>
      </c>
      <c r="J1902" s="11">
        <f t="shared" si="207"/>
        <v>0</v>
      </c>
      <c r="K1902" s="6">
        <f t="shared" si="208"/>
        <v>8331.9501949999994</v>
      </c>
      <c r="L1902" s="4">
        <f t="shared" si="209"/>
        <v>0</v>
      </c>
    </row>
    <row r="1903" spans="1:12" x14ac:dyDescent="0.25">
      <c r="A1903" s="1">
        <v>43830</v>
      </c>
      <c r="B1903">
        <v>8316.5996090000008</v>
      </c>
      <c r="C1903">
        <v>8331.9501949999994</v>
      </c>
      <c r="D1903">
        <v>8083</v>
      </c>
      <c r="E1903">
        <v>8097</v>
      </c>
      <c r="F1903" s="4">
        <f t="shared" si="204"/>
        <v>8097</v>
      </c>
      <c r="G1903" s="4">
        <f t="shared" si="205"/>
        <v>8331.9501949999994</v>
      </c>
      <c r="H1903" s="4" t="str">
        <f t="shared" si="206"/>
        <v>SELL</v>
      </c>
      <c r="I1903" s="4">
        <f t="shared" si="203"/>
        <v>-1</v>
      </c>
      <c r="J1903" s="11" t="str">
        <f t="shared" si="207"/>
        <v>SELL</v>
      </c>
      <c r="K1903" s="6">
        <f t="shared" si="208"/>
        <v>8097</v>
      </c>
      <c r="L1903" s="4">
        <f t="shared" si="209"/>
        <v>-2.8198703724968611E-2</v>
      </c>
    </row>
    <row r="1904" spans="1:12" x14ac:dyDescent="0.25">
      <c r="A1904" s="1">
        <v>43831</v>
      </c>
      <c r="B1904">
        <v>8077</v>
      </c>
      <c r="C1904">
        <v>8122.6000979999999</v>
      </c>
      <c r="D1904">
        <v>7997.1499020000001</v>
      </c>
      <c r="E1904">
        <v>8057.2998049999997</v>
      </c>
      <c r="F1904" s="4">
        <f t="shared" si="204"/>
        <v>8057.2998049999997</v>
      </c>
      <c r="G1904" s="4">
        <f t="shared" si="205"/>
        <v>8331.9501949999994</v>
      </c>
      <c r="H1904" s="4" t="str">
        <f t="shared" si="206"/>
        <v>SELL</v>
      </c>
      <c r="I1904" s="4">
        <f t="shared" si="203"/>
        <v>-1</v>
      </c>
      <c r="J1904" s="11">
        <f t="shared" si="207"/>
        <v>0</v>
      </c>
      <c r="K1904" s="6">
        <f t="shared" si="208"/>
        <v>8097</v>
      </c>
      <c r="L1904" s="4">
        <f t="shared" si="209"/>
        <v>0</v>
      </c>
    </row>
    <row r="1905" spans="1:12" x14ac:dyDescent="0.25">
      <c r="A1905" s="1">
        <v>43832</v>
      </c>
      <c r="B1905">
        <v>8131.5</v>
      </c>
      <c r="C1905">
        <v>8224.9501949999994</v>
      </c>
      <c r="D1905">
        <v>8123.4501950000003</v>
      </c>
      <c r="E1905">
        <v>8191.5</v>
      </c>
      <c r="F1905" s="4">
        <f t="shared" si="204"/>
        <v>8057.2998049999997</v>
      </c>
      <c r="G1905" s="4">
        <f t="shared" si="205"/>
        <v>8331.9501949999994</v>
      </c>
      <c r="H1905" s="4">
        <f t="shared" si="206"/>
        <v>0</v>
      </c>
      <c r="I1905" s="4">
        <f t="shared" si="203"/>
        <v>-1</v>
      </c>
      <c r="J1905" s="11">
        <f t="shared" si="207"/>
        <v>0</v>
      </c>
      <c r="K1905" s="6">
        <f t="shared" si="208"/>
        <v>8097</v>
      </c>
      <c r="L1905" s="4">
        <f t="shared" si="209"/>
        <v>0</v>
      </c>
    </row>
    <row r="1906" spans="1:12" x14ac:dyDescent="0.25">
      <c r="A1906" s="1">
        <v>43833</v>
      </c>
      <c r="B1906">
        <v>8243.2001949999994</v>
      </c>
      <c r="C1906">
        <v>8332.75</v>
      </c>
      <c r="D1906">
        <v>8224.6503909999992</v>
      </c>
      <c r="E1906">
        <v>8325.25</v>
      </c>
      <c r="F1906" s="4">
        <f t="shared" si="204"/>
        <v>8057.2998049999997</v>
      </c>
      <c r="G1906" s="4">
        <f t="shared" si="205"/>
        <v>8325.25</v>
      </c>
      <c r="H1906" s="4">
        <f t="shared" si="206"/>
        <v>0</v>
      </c>
      <c r="I1906" s="4">
        <f t="shared" si="203"/>
        <v>-1</v>
      </c>
      <c r="J1906" s="11">
        <f t="shared" si="207"/>
        <v>0</v>
      </c>
      <c r="K1906" s="6">
        <f t="shared" si="208"/>
        <v>8097</v>
      </c>
      <c r="L1906" s="4">
        <f t="shared" si="209"/>
        <v>0</v>
      </c>
    </row>
    <row r="1907" spans="1:12" x14ac:dyDescent="0.25">
      <c r="A1907" s="1">
        <v>43836</v>
      </c>
      <c r="B1907">
        <v>8326.1503909999992</v>
      </c>
      <c r="C1907">
        <v>8326.6503909999992</v>
      </c>
      <c r="D1907">
        <v>8115.2998049999997</v>
      </c>
      <c r="E1907">
        <v>8126.9501950000003</v>
      </c>
      <c r="F1907" s="4">
        <f t="shared" si="204"/>
        <v>8057.2998049999997</v>
      </c>
      <c r="G1907" s="4">
        <f t="shared" si="205"/>
        <v>8325.25</v>
      </c>
      <c r="H1907" s="4">
        <f t="shared" si="206"/>
        <v>0</v>
      </c>
      <c r="I1907" s="4">
        <f t="shared" si="203"/>
        <v>-1</v>
      </c>
      <c r="J1907" s="11">
        <f t="shared" si="207"/>
        <v>0</v>
      </c>
      <c r="K1907" s="6">
        <f t="shared" si="208"/>
        <v>8097</v>
      </c>
      <c r="L1907" s="4">
        <f t="shared" si="209"/>
        <v>0</v>
      </c>
    </row>
    <row r="1908" spans="1:12" x14ac:dyDescent="0.25">
      <c r="A1908" s="1">
        <v>43837</v>
      </c>
      <c r="B1908">
        <v>8181.5498049999997</v>
      </c>
      <c r="C1908">
        <v>8254.9501949999994</v>
      </c>
      <c r="D1908">
        <v>8089.7998049999997</v>
      </c>
      <c r="E1908">
        <v>8235.4501949999994</v>
      </c>
      <c r="F1908" s="4">
        <f t="shared" si="204"/>
        <v>8057.2998049999997</v>
      </c>
      <c r="G1908" s="4">
        <f t="shared" si="205"/>
        <v>8325.25</v>
      </c>
      <c r="H1908" s="4">
        <f t="shared" si="206"/>
        <v>0</v>
      </c>
      <c r="I1908" s="4">
        <f t="shared" si="203"/>
        <v>-1</v>
      </c>
      <c r="J1908" s="11">
        <f t="shared" si="207"/>
        <v>0</v>
      </c>
      <c r="K1908" s="6">
        <f t="shared" si="208"/>
        <v>8097</v>
      </c>
      <c r="L1908" s="4">
        <f t="shared" si="209"/>
        <v>0</v>
      </c>
    </row>
    <row r="1909" spans="1:12" x14ac:dyDescent="0.25">
      <c r="A1909" s="1">
        <v>43838</v>
      </c>
      <c r="B1909">
        <v>8232.4501949999994</v>
      </c>
      <c r="C1909">
        <v>8236.25</v>
      </c>
      <c r="D1909">
        <v>8137.2998049999997</v>
      </c>
      <c r="E1909">
        <v>8224.2001949999994</v>
      </c>
      <c r="F1909" s="4">
        <f t="shared" si="204"/>
        <v>8126.9501950000003</v>
      </c>
      <c r="G1909" s="4">
        <f t="shared" si="205"/>
        <v>8325.25</v>
      </c>
      <c r="H1909" s="4">
        <f t="shared" si="206"/>
        <v>0</v>
      </c>
      <c r="I1909" s="4">
        <f t="shared" si="203"/>
        <v>-1</v>
      </c>
      <c r="J1909" s="11">
        <f t="shared" si="207"/>
        <v>0</v>
      </c>
      <c r="K1909" s="6">
        <f t="shared" si="208"/>
        <v>8097</v>
      </c>
      <c r="L1909" s="4">
        <f t="shared" si="209"/>
        <v>0</v>
      </c>
    </row>
    <row r="1910" spans="1:12" x14ac:dyDescent="0.25">
      <c r="A1910" s="1">
        <v>43839</v>
      </c>
      <c r="B1910">
        <v>8240.2998050000006</v>
      </c>
      <c r="C1910">
        <v>8279.2001949999994</v>
      </c>
      <c r="D1910">
        <v>8212.2001949999994</v>
      </c>
      <c r="E1910">
        <v>8262.3496090000008</v>
      </c>
      <c r="F1910" s="4">
        <f t="shared" si="204"/>
        <v>8126.9501950000003</v>
      </c>
      <c r="G1910" s="4">
        <f t="shared" si="205"/>
        <v>8325.25</v>
      </c>
      <c r="H1910" s="4">
        <f t="shared" si="206"/>
        <v>0</v>
      </c>
      <c r="I1910" s="4">
        <f t="shared" si="203"/>
        <v>-1</v>
      </c>
      <c r="J1910" s="11">
        <f t="shared" si="207"/>
        <v>0</v>
      </c>
      <c r="K1910" s="6">
        <f t="shared" si="208"/>
        <v>8097</v>
      </c>
      <c r="L1910" s="4">
        <f t="shared" si="209"/>
        <v>0</v>
      </c>
    </row>
    <row r="1911" spans="1:12" x14ac:dyDescent="0.25">
      <c r="A1911" s="1">
        <v>43840</v>
      </c>
      <c r="B1911">
        <v>8284.9501949999994</v>
      </c>
      <c r="C1911">
        <v>8384.5996090000008</v>
      </c>
      <c r="D1911">
        <v>8271.9501949999994</v>
      </c>
      <c r="E1911">
        <v>8373.6503909999992</v>
      </c>
      <c r="F1911" s="4">
        <f t="shared" si="204"/>
        <v>8126.9501950000003</v>
      </c>
      <c r="G1911" s="4">
        <f t="shared" si="205"/>
        <v>8373.6503909999992</v>
      </c>
      <c r="H1911" s="4" t="str">
        <f t="shared" si="206"/>
        <v>BUY</v>
      </c>
      <c r="I1911" s="4">
        <f t="shared" si="203"/>
        <v>1</v>
      </c>
      <c r="J1911" s="11" t="str">
        <f t="shared" si="207"/>
        <v>BUY</v>
      </c>
      <c r="K1911" s="6">
        <f t="shared" si="208"/>
        <v>8373.6503909999992</v>
      </c>
      <c r="L1911" s="4">
        <f t="shared" si="209"/>
        <v>-3.4167023712486012E-2</v>
      </c>
    </row>
    <row r="1912" spans="1:12" x14ac:dyDescent="0.25">
      <c r="A1912" s="1">
        <v>43843</v>
      </c>
      <c r="B1912">
        <v>8356.2001949999994</v>
      </c>
      <c r="C1912">
        <v>8427.7998050000006</v>
      </c>
      <c r="D1912">
        <v>8335</v>
      </c>
      <c r="E1912">
        <v>8365.6503909999992</v>
      </c>
      <c r="F1912" s="4">
        <f t="shared" si="204"/>
        <v>8224.2001949999994</v>
      </c>
      <c r="G1912" s="4">
        <f t="shared" si="205"/>
        <v>8373.6503909999992</v>
      </c>
      <c r="H1912" s="4">
        <f t="shared" si="206"/>
        <v>0</v>
      </c>
      <c r="I1912" s="4">
        <f t="shared" si="203"/>
        <v>1</v>
      </c>
      <c r="J1912" s="11">
        <f t="shared" si="207"/>
        <v>0</v>
      </c>
      <c r="K1912" s="6">
        <f t="shared" si="208"/>
        <v>8373.6503909999992</v>
      </c>
      <c r="L1912" s="4">
        <f t="shared" si="209"/>
        <v>0</v>
      </c>
    </row>
    <row r="1913" spans="1:12" x14ac:dyDescent="0.25">
      <c r="A1913" s="1">
        <v>43844</v>
      </c>
      <c r="B1913">
        <v>8392.6503909999992</v>
      </c>
      <c r="C1913">
        <v>8440.3496090000008</v>
      </c>
      <c r="D1913">
        <v>8391.4501949999994</v>
      </c>
      <c r="E1913">
        <v>8423.25</v>
      </c>
      <c r="F1913" s="4">
        <f t="shared" si="204"/>
        <v>8224.2001949999994</v>
      </c>
      <c r="G1913" s="4">
        <f t="shared" si="205"/>
        <v>8423.25</v>
      </c>
      <c r="H1913" s="4" t="str">
        <f t="shared" si="206"/>
        <v>BUY</v>
      </c>
      <c r="I1913" s="4">
        <f t="shared" si="203"/>
        <v>1</v>
      </c>
      <c r="J1913" s="11">
        <f t="shared" si="207"/>
        <v>0</v>
      </c>
      <c r="K1913" s="6">
        <f t="shared" si="208"/>
        <v>8373.6503909999992</v>
      </c>
      <c r="L1913" s="4">
        <f t="shared" si="209"/>
        <v>0</v>
      </c>
    </row>
    <row r="1914" spans="1:12" x14ac:dyDescent="0.25">
      <c r="A1914" s="1">
        <v>43845</v>
      </c>
      <c r="B1914">
        <v>8434.5</v>
      </c>
      <c r="C1914">
        <v>8446.3496090000008</v>
      </c>
      <c r="D1914">
        <v>8382.5</v>
      </c>
      <c r="E1914">
        <v>8421</v>
      </c>
      <c r="F1914" s="4">
        <f t="shared" si="204"/>
        <v>8262.3496090000008</v>
      </c>
      <c r="G1914" s="4">
        <f t="shared" si="205"/>
        <v>8423.25</v>
      </c>
      <c r="H1914" s="4">
        <f t="shared" si="206"/>
        <v>0</v>
      </c>
      <c r="I1914" s="4">
        <f t="shared" si="203"/>
        <v>1</v>
      </c>
      <c r="J1914" s="11">
        <f t="shared" si="207"/>
        <v>0</v>
      </c>
      <c r="K1914" s="6">
        <f t="shared" si="208"/>
        <v>8373.6503909999992</v>
      </c>
      <c r="L1914" s="4">
        <f t="shared" si="209"/>
        <v>0</v>
      </c>
    </row>
    <row r="1915" spans="1:12" x14ac:dyDescent="0.25">
      <c r="A1915" s="1">
        <v>43846</v>
      </c>
      <c r="B1915">
        <v>8432.5</v>
      </c>
      <c r="C1915">
        <v>8489.5498050000006</v>
      </c>
      <c r="D1915">
        <v>8420.5996090000008</v>
      </c>
      <c r="E1915">
        <v>8458.9501949999994</v>
      </c>
      <c r="F1915" s="4">
        <f t="shared" si="204"/>
        <v>8365.6503909999992</v>
      </c>
      <c r="G1915" s="4">
        <f t="shared" si="205"/>
        <v>8458.9501949999994</v>
      </c>
      <c r="H1915" s="4" t="str">
        <f t="shared" si="206"/>
        <v>BUY</v>
      </c>
      <c r="I1915" s="4">
        <f t="shared" si="203"/>
        <v>1</v>
      </c>
      <c r="J1915" s="11">
        <f t="shared" si="207"/>
        <v>0</v>
      </c>
      <c r="K1915" s="6">
        <f t="shared" si="208"/>
        <v>8373.6503909999992</v>
      </c>
      <c r="L1915" s="4">
        <f t="shared" si="209"/>
        <v>0</v>
      </c>
    </row>
    <row r="1916" spans="1:12" x14ac:dyDescent="0.25">
      <c r="A1916" s="1">
        <v>43847</v>
      </c>
      <c r="B1916">
        <v>8438.1503909999992</v>
      </c>
      <c r="C1916">
        <v>8441.9501949999994</v>
      </c>
      <c r="D1916">
        <v>8364.1503909999992</v>
      </c>
      <c r="E1916">
        <v>8370.25</v>
      </c>
      <c r="F1916" s="4">
        <f t="shared" si="204"/>
        <v>8365.6503909999992</v>
      </c>
      <c r="G1916" s="4">
        <f t="shared" si="205"/>
        <v>8458.9501949999994</v>
      </c>
      <c r="H1916" s="4">
        <f t="shared" si="206"/>
        <v>0</v>
      </c>
      <c r="I1916" s="4">
        <f t="shared" si="203"/>
        <v>1</v>
      </c>
      <c r="J1916" s="11">
        <f t="shared" si="207"/>
        <v>0</v>
      </c>
      <c r="K1916" s="6">
        <f t="shared" si="208"/>
        <v>8373.6503909999992</v>
      </c>
      <c r="L1916" s="4">
        <f t="shared" si="209"/>
        <v>0</v>
      </c>
    </row>
    <row r="1917" spans="1:12" x14ac:dyDescent="0.25">
      <c r="A1917" s="1">
        <v>43850</v>
      </c>
      <c r="B1917">
        <v>8377.0996090000008</v>
      </c>
      <c r="C1917">
        <v>8378.9003909999992</v>
      </c>
      <c r="D1917">
        <v>8320.0498050000006</v>
      </c>
      <c r="E1917">
        <v>8339.3496090000008</v>
      </c>
      <c r="F1917" s="4">
        <f t="shared" si="204"/>
        <v>8339.3496090000008</v>
      </c>
      <c r="G1917" s="4">
        <f t="shared" si="205"/>
        <v>8458.9501949999994</v>
      </c>
      <c r="H1917" s="4" t="str">
        <f t="shared" si="206"/>
        <v>SELL</v>
      </c>
      <c r="I1917" s="4">
        <f t="shared" si="203"/>
        <v>-1</v>
      </c>
      <c r="J1917" s="11" t="str">
        <f t="shared" si="207"/>
        <v>SELL</v>
      </c>
      <c r="K1917" s="6">
        <f t="shared" si="208"/>
        <v>8339.3496090000008</v>
      </c>
      <c r="L1917" s="4">
        <f t="shared" si="209"/>
        <v>-4.0962758651668721E-3</v>
      </c>
    </row>
    <row r="1918" spans="1:12" x14ac:dyDescent="0.25">
      <c r="A1918" s="1">
        <v>43851</v>
      </c>
      <c r="B1918">
        <v>8302.75</v>
      </c>
      <c r="C1918">
        <v>8342.8496090000008</v>
      </c>
      <c r="D1918">
        <v>8277.9501949999994</v>
      </c>
      <c r="E1918">
        <v>8334.5996090000008</v>
      </c>
      <c r="F1918" s="4">
        <f t="shared" si="204"/>
        <v>8334.5996090000008</v>
      </c>
      <c r="G1918" s="4">
        <f t="shared" si="205"/>
        <v>8458.9501949999994</v>
      </c>
      <c r="H1918" s="4" t="str">
        <f t="shared" si="206"/>
        <v>SELL</v>
      </c>
      <c r="I1918" s="4">
        <f t="shared" si="203"/>
        <v>-1</v>
      </c>
      <c r="J1918" s="11">
        <f t="shared" si="207"/>
        <v>0</v>
      </c>
      <c r="K1918" s="6">
        <f t="shared" si="208"/>
        <v>8339.3496090000008</v>
      </c>
      <c r="L1918" s="4">
        <f t="shared" si="209"/>
        <v>0</v>
      </c>
    </row>
    <row r="1919" spans="1:12" x14ac:dyDescent="0.25">
      <c r="A1919" s="1">
        <v>43852</v>
      </c>
      <c r="B1919">
        <v>8345.7001949999994</v>
      </c>
      <c r="C1919">
        <v>8364.5</v>
      </c>
      <c r="D1919">
        <v>8270.1503909999992</v>
      </c>
      <c r="E1919">
        <v>8319</v>
      </c>
      <c r="F1919" s="4">
        <f t="shared" si="204"/>
        <v>8319</v>
      </c>
      <c r="G1919" s="4">
        <f t="shared" si="205"/>
        <v>8458.9501949999994</v>
      </c>
      <c r="H1919" s="4" t="str">
        <f t="shared" si="206"/>
        <v>SELL</v>
      </c>
      <c r="I1919" s="4">
        <f t="shared" si="203"/>
        <v>-1</v>
      </c>
      <c r="J1919" s="11">
        <f t="shared" si="207"/>
        <v>0</v>
      </c>
      <c r="K1919" s="6">
        <f t="shared" si="208"/>
        <v>8339.3496090000008</v>
      </c>
      <c r="L1919" s="4">
        <f t="shared" si="209"/>
        <v>0</v>
      </c>
    </row>
    <row r="1920" spans="1:12" x14ac:dyDescent="0.25">
      <c r="A1920" s="1">
        <v>43853</v>
      </c>
      <c r="B1920">
        <v>8327.0996090000008</v>
      </c>
      <c r="C1920">
        <v>8443.9003909999992</v>
      </c>
      <c r="D1920">
        <v>8305.7001949999994</v>
      </c>
      <c r="E1920">
        <v>8433.6503909999992</v>
      </c>
      <c r="F1920" s="4">
        <f t="shared" si="204"/>
        <v>8319</v>
      </c>
      <c r="G1920" s="4">
        <f t="shared" si="205"/>
        <v>8433.6503909999992</v>
      </c>
      <c r="H1920" s="4">
        <f t="shared" si="206"/>
        <v>0</v>
      </c>
      <c r="I1920" s="4">
        <f t="shared" si="203"/>
        <v>-1</v>
      </c>
      <c r="J1920" s="11">
        <f t="shared" si="207"/>
        <v>0</v>
      </c>
      <c r="K1920" s="6">
        <f t="shared" si="208"/>
        <v>8339.3496090000008</v>
      </c>
      <c r="L1920" s="4">
        <f t="shared" si="209"/>
        <v>0</v>
      </c>
    </row>
    <row r="1921" spans="1:12" x14ac:dyDescent="0.25">
      <c r="A1921" s="1">
        <v>43854</v>
      </c>
      <c r="B1921">
        <v>8417.25</v>
      </c>
      <c r="C1921">
        <v>8467.1503909999992</v>
      </c>
      <c r="D1921">
        <v>8405.4003909999992</v>
      </c>
      <c r="E1921">
        <v>8433.4003909999992</v>
      </c>
      <c r="F1921" s="4">
        <f t="shared" si="204"/>
        <v>8319</v>
      </c>
      <c r="G1921" s="4">
        <f t="shared" si="205"/>
        <v>8433.6503909999992</v>
      </c>
      <c r="H1921" s="4">
        <f t="shared" si="206"/>
        <v>0</v>
      </c>
      <c r="I1921" s="4">
        <f t="shared" si="203"/>
        <v>-1</v>
      </c>
      <c r="J1921" s="11">
        <f t="shared" si="207"/>
        <v>0</v>
      </c>
      <c r="K1921" s="6">
        <f t="shared" si="208"/>
        <v>8339.3496090000008</v>
      </c>
      <c r="L1921" s="4">
        <f t="shared" si="209"/>
        <v>0</v>
      </c>
    </row>
    <row r="1922" spans="1:12" x14ac:dyDescent="0.25">
      <c r="A1922" s="1">
        <v>43857</v>
      </c>
      <c r="B1922">
        <v>8442.7998050000006</v>
      </c>
      <c r="C1922">
        <v>8445.3496090000008</v>
      </c>
      <c r="D1922">
        <v>8226.0498050000006</v>
      </c>
      <c r="E1922">
        <v>8236.4501949999994</v>
      </c>
      <c r="F1922" s="4">
        <f t="shared" si="204"/>
        <v>8236.4501949999994</v>
      </c>
      <c r="G1922" s="4">
        <f t="shared" si="205"/>
        <v>8433.6503909999992</v>
      </c>
      <c r="H1922" s="4" t="str">
        <f t="shared" si="206"/>
        <v>SELL</v>
      </c>
      <c r="I1922" s="4">
        <f t="shared" si="203"/>
        <v>-1</v>
      </c>
      <c r="J1922" s="11">
        <f t="shared" si="207"/>
        <v>0</v>
      </c>
      <c r="K1922" s="6">
        <f t="shared" si="208"/>
        <v>8339.3496090000008</v>
      </c>
      <c r="L1922" s="4">
        <f t="shared" si="209"/>
        <v>0</v>
      </c>
    </row>
    <row r="1923" spans="1:12" x14ac:dyDescent="0.25">
      <c r="A1923" s="1">
        <v>43858</v>
      </c>
      <c r="B1923">
        <v>8232.4501949999994</v>
      </c>
      <c r="C1923">
        <v>8236.7001949999994</v>
      </c>
      <c r="D1923">
        <v>8094.1499020000001</v>
      </c>
      <c r="E1923">
        <v>8135.1000979999999</v>
      </c>
      <c r="F1923" s="4">
        <f t="shared" si="204"/>
        <v>8135.1000979999999</v>
      </c>
      <c r="G1923" s="4">
        <f t="shared" si="205"/>
        <v>8433.6503909999992</v>
      </c>
      <c r="H1923" s="4" t="str">
        <f t="shared" si="206"/>
        <v>SELL</v>
      </c>
      <c r="I1923" s="4">
        <f t="shared" si="203"/>
        <v>-1</v>
      </c>
      <c r="J1923" s="11">
        <f t="shared" si="207"/>
        <v>0</v>
      </c>
      <c r="K1923" s="6">
        <f t="shared" si="208"/>
        <v>8339.3496090000008</v>
      </c>
      <c r="L1923" s="4">
        <f t="shared" si="209"/>
        <v>0</v>
      </c>
    </row>
    <row r="1924" spans="1:12" x14ac:dyDescent="0.25">
      <c r="A1924" s="1">
        <v>43859</v>
      </c>
      <c r="B1924">
        <v>8155.1499020000001</v>
      </c>
      <c r="C1924">
        <v>8160.0498049999997</v>
      </c>
      <c r="D1924">
        <v>8056.75</v>
      </c>
      <c r="E1924">
        <v>8130.6499020000001</v>
      </c>
      <c r="F1924" s="4">
        <f t="shared" si="204"/>
        <v>8130.6499020000001</v>
      </c>
      <c r="G1924" s="4">
        <f t="shared" si="205"/>
        <v>8433.6503909999992</v>
      </c>
      <c r="H1924" s="4" t="str">
        <f t="shared" si="206"/>
        <v>SELL</v>
      </c>
      <c r="I1924" s="4">
        <f t="shared" si="203"/>
        <v>-1</v>
      </c>
      <c r="J1924" s="11">
        <f t="shared" si="207"/>
        <v>0</v>
      </c>
      <c r="K1924" s="6">
        <f t="shared" si="208"/>
        <v>8339.3496090000008</v>
      </c>
      <c r="L1924" s="4">
        <f t="shared" si="209"/>
        <v>0</v>
      </c>
    </row>
    <row r="1925" spans="1:12" x14ac:dyDescent="0.25">
      <c r="A1925" s="1">
        <v>43860</v>
      </c>
      <c r="B1925">
        <v>8119.1499020000001</v>
      </c>
      <c r="C1925">
        <v>8191</v>
      </c>
      <c r="D1925">
        <v>8100.1499020000001</v>
      </c>
      <c r="E1925">
        <v>8114.7001950000003</v>
      </c>
      <c r="F1925" s="4">
        <f t="shared" si="204"/>
        <v>8114.7001950000003</v>
      </c>
      <c r="G1925" s="4">
        <f t="shared" si="205"/>
        <v>8433.4003909999992</v>
      </c>
      <c r="H1925" s="4" t="str">
        <f t="shared" si="206"/>
        <v>SELL</v>
      </c>
      <c r="I1925" s="4">
        <f t="shared" si="203"/>
        <v>-1</v>
      </c>
      <c r="J1925" s="11">
        <f t="shared" si="207"/>
        <v>0</v>
      </c>
      <c r="K1925" s="6">
        <f t="shared" si="208"/>
        <v>8339.3496090000008</v>
      </c>
      <c r="L1925" s="4">
        <f t="shared" si="209"/>
        <v>0</v>
      </c>
    </row>
    <row r="1926" spans="1:12" x14ac:dyDescent="0.25">
      <c r="A1926" s="1">
        <v>43861</v>
      </c>
      <c r="B1926">
        <v>8124.3500979999999</v>
      </c>
      <c r="C1926">
        <v>8131</v>
      </c>
      <c r="D1926">
        <v>8030.5498049999997</v>
      </c>
      <c r="E1926">
        <v>8044.1499020000001</v>
      </c>
      <c r="F1926" s="4">
        <f t="shared" si="204"/>
        <v>8044.1499020000001</v>
      </c>
      <c r="G1926" s="4">
        <f t="shared" si="205"/>
        <v>8236.4501949999994</v>
      </c>
      <c r="H1926" s="4" t="str">
        <f t="shared" si="206"/>
        <v>SELL</v>
      </c>
      <c r="I1926" s="4">
        <f t="shared" ref="I1926:I1937" si="210">IF(AND(H1926="BUY",I1925&lt;&gt;1),1,IF(AND(H1926="SELL",I1925&lt;&gt;-1),-1,I1925))</f>
        <v>-1</v>
      </c>
      <c r="J1926" s="11">
        <f t="shared" si="207"/>
        <v>0</v>
      </c>
      <c r="K1926" s="6">
        <f t="shared" si="208"/>
        <v>8339.3496090000008</v>
      </c>
      <c r="L1926" s="4">
        <f t="shared" si="209"/>
        <v>0</v>
      </c>
    </row>
    <row r="1927" spans="1:12" x14ac:dyDescent="0.25">
      <c r="A1927" s="1">
        <v>43864</v>
      </c>
      <c r="B1927">
        <v>8026.5</v>
      </c>
      <c r="C1927">
        <v>8057.1499020000001</v>
      </c>
      <c r="D1927">
        <v>8005.1499020000001</v>
      </c>
      <c r="E1927">
        <v>8022.3999020000001</v>
      </c>
      <c r="F1927" s="4">
        <f t="shared" ref="F1927:F1938" si="211">MIN(E1923:E1927)</f>
        <v>8022.3999020000001</v>
      </c>
      <c r="G1927" s="4">
        <f t="shared" ref="G1927:G1938" si="212">MAX(E1923:E1927)</f>
        <v>8135.1000979999999</v>
      </c>
      <c r="H1927" s="4" t="str">
        <f t="shared" ref="H1927:H1938" si="213">IF(E1927&gt;G1926,"BUY",IF(E1927&lt;F1926,"SELL",0))</f>
        <v>SELL</v>
      </c>
      <c r="I1927" s="4">
        <f t="shared" si="210"/>
        <v>-1</v>
      </c>
      <c r="J1927" s="11">
        <f t="shared" ref="J1927:J1937" si="214">IF(I1927&lt;&gt;I1926,H1927,0)</f>
        <v>0</v>
      </c>
      <c r="K1927" s="6">
        <f t="shared" ref="K1927:K1937" si="215">IF(J1927&lt;&gt;0,E1927,K1926)</f>
        <v>8339.3496090000008</v>
      </c>
      <c r="L1927" s="4">
        <f t="shared" si="209"/>
        <v>0</v>
      </c>
    </row>
    <row r="1928" spans="1:12" x14ac:dyDescent="0.25">
      <c r="A1928" s="1">
        <v>43865</v>
      </c>
      <c r="B1928">
        <v>8024.1499020000001</v>
      </c>
      <c r="C1928">
        <v>8152.25</v>
      </c>
      <c r="D1928">
        <v>8023.7998049999997</v>
      </c>
      <c r="E1928">
        <v>8124.4501950000003</v>
      </c>
      <c r="F1928" s="4">
        <f t="shared" si="211"/>
        <v>8022.3999020000001</v>
      </c>
      <c r="G1928" s="4">
        <f t="shared" si="212"/>
        <v>8130.6499020000001</v>
      </c>
      <c r="H1928" s="4">
        <f t="shared" si="213"/>
        <v>0</v>
      </c>
      <c r="I1928" s="4">
        <f t="shared" si="210"/>
        <v>-1</v>
      </c>
      <c r="J1928" s="11">
        <f t="shared" si="214"/>
        <v>0</v>
      </c>
      <c r="K1928" s="6">
        <f t="shared" si="215"/>
        <v>8339.3496090000008</v>
      </c>
      <c r="L1928" s="4">
        <f t="shared" ref="L1928:L1938" si="216">IF(J1928="BUY",(K1927-K1928)/K1927,IF(J1928="SELL",(K1929-K1927)/K1927,0))</f>
        <v>0</v>
      </c>
    </row>
    <row r="1929" spans="1:12" x14ac:dyDescent="0.25">
      <c r="A1929" s="1">
        <v>43866</v>
      </c>
      <c r="B1929">
        <v>8157.2998049999997</v>
      </c>
      <c r="C1929">
        <v>8163.0498049999997</v>
      </c>
      <c r="D1929">
        <v>7958.25</v>
      </c>
      <c r="E1929">
        <v>7965.3500979999999</v>
      </c>
      <c r="F1929" s="4">
        <f t="shared" si="211"/>
        <v>7965.3500979999999</v>
      </c>
      <c r="G1929" s="4">
        <f t="shared" si="212"/>
        <v>8124.4501950000003</v>
      </c>
      <c r="H1929" s="4" t="str">
        <f t="shared" si="213"/>
        <v>SELL</v>
      </c>
      <c r="I1929" s="4">
        <f t="shared" si="210"/>
        <v>-1</v>
      </c>
      <c r="J1929" s="11">
        <f t="shared" si="214"/>
        <v>0</v>
      </c>
      <c r="K1929" s="6">
        <f t="shared" si="215"/>
        <v>8339.3496090000008</v>
      </c>
      <c r="L1929" s="4">
        <f t="shared" si="216"/>
        <v>0</v>
      </c>
    </row>
    <row r="1930" spans="1:12" x14ac:dyDescent="0.25">
      <c r="A1930" s="1">
        <v>43867</v>
      </c>
      <c r="B1930">
        <v>7959.8500979999999</v>
      </c>
      <c r="C1930">
        <v>7995.6000979999999</v>
      </c>
      <c r="D1930">
        <v>7940.2998049999997</v>
      </c>
      <c r="E1930">
        <v>7982.8999020000001</v>
      </c>
      <c r="F1930" s="4">
        <f t="shared" si="211"/>
        <v>7965.3500979999999</v>
      </c>
      <c r="G1930" s="4">
        <f t="shared" si="212"/>
        <v>8124.4501950000003</v>
      </c>
      <c r="H1930" s="4">
        <f t="shared" si="213"/>
        <v>0</v>
      </c>
      <c r="I1930" s="4">
        <f t="shared" si="210"/>
        <v>-1</v>
      </c>
      <c r="J1930" s="11">
        <f t="shared" si="214"/>
        <v>0</v>
      </c>
      <c r="K1930" s="6">
        <f t="shared" si="215"/>
        <v>8339.3496090000008</v>
      </c>
      <c r="L1930" s="4">
        <f t="shared" si="216"/>
        <v>0</v>
      </c>
    </row>
    <row r="1931" spans="1:12" x14ac:dyDescent="0.25">
      <c r="A1931" s="1">
        <v>43868</v>
      </c>
      <c r="B1931">
        <v>7986.6000979999999</v>
      </c>
      <c r="C1931">
        <v>8057.7001950000003</v>
      </c>
      <c r="D1931">
        <v>7944.8500979999999</v>
      </c>
      <c r="E1931">
        <v>8013.8999020000001</v>
      </c>
      <c r="F1931" s="4">
        <f t="shared" si="211"/>
        <v>7965.3500979999999</v>
      </c>
      <c r="G1931" s="4">
        <f t="shared" si="212"/>
        <v>8124.4501950000003</v>
      </c>
      <c r="H1931" s="4">
        <f t="shared" si="213"/>
        <v>0</v>
      </c>
      <c r="I1931" s="4">
        <f t="shared" si="210"/>
        <v>-1</v>
      </c>
      <c r="J1931" s="11">
        <f t="shared" si="214"/>
        <v>0</v>
      </c>
      <c r="K1931" s="6">
        <f t="shared" si="215"/>
        <v>8339.3496090000008</v>
      </c>
      <c r="L1931" s="4">
        <f t="shared" si="216"/>
        <v>0</v>
      </c>
    </row>
    <row r="1932" spans="1:12" x14ac:dyDescent="0.25">
      <c r="A1932" s="1">
        <v>43871</v>
      </c>
      <c r="B1932">
        <v>8004.2001950000003</v>
      </c>
      <c r="C1932">
        <v>8061.8500979999999</v>
      </c>
      <c r="D1932">
        <v>7952.3500979999999</v>
      </c>
      <c r="E1932">
        <v>8047.2998049999997</v>
      </c>
      <c r="F1932" s="4">
        <f t="shared" si="211"/>
        <v>7965.3500979999999</v>
      </c>
      <c r="G1932" s="4">
        <f t="shared" si="212"/>
        <v>8124.4501950000003</v>
      </c>
      <c r="H1932" s="4">
        <f t="shared" si="213"/>
        <v>0</v>
      </c>
      <c r="I1932" s="4">
        <f t="shared" si="210"/>
        <v>-1</v>
      </c>
      <c r="J1932" s="11">
        <f t="shared" si="214"/>
        <v>0</v>
      </c>
      <c r="K1932" s="6">
        <f t="shared" si="215"/>
        <v>8339.3496090000008</v>
      </c>
      <c r="L1932" s="4">
        <f t="shared" si="216"/>
        <v>0</v>
      </c>
    </row>
    <row r="1933" spans="1:12" x14ac:dyDescent="0.25">
      <c r="A1933" s="1">
        <v>43872</v>
      </c>
      <c r="B1933">
        <v>8084.2001950000003</v>
      </c>
      <c r="C1933">
        <v>8136.8500979999999</v>
      </c>
      <c r="D1933">
        <v>8048.9501950000003</v>
      </c>
      <c r="E1933">
        <v>8091.5498049999997</v>
      </c>
      <c r="F1933" s="4">
        <f t="shared" si="211"/>
        <v>7965.3500979999999</v>
      </c>
      <c r="G1933" s="4">
        <f t="shared" si="212"/>
        <v>8091.5498049999997</v>
      </c>
      <c r="H1933" s="4">
        <f t="shared" si="213"/>
        <v>0</v>
      </c>
      <c r="I1933" s="4">
        <f t="shared" si="210"/>
        <v>-1</v>
      </c>
      <c r="J1933" s="11">
        <f t="shared" si="214"/>
        <v>0</v>
      </c>
      <c r="K1933" s="6">
        <f t="shared" si="215"/>
        <v>8339.3496090000008</v>
      </c>
      <c r="L1933" s="4">
        <f t="shared" si="216"/>
        <v>0</v>
      </c>
    </row>
    <row r="1934" spans="1:12" x14ac:dyDescent="0.25">
      <c r="A1934" s="1">
        <v>43873</v>
      </c>
      <c r="B1934">
        <v>8113.7001950000003</v>
      </c>
      <c r="C1934">
        <v>8186.8999020000001</v>
      </c>
      <c r="D1934">
        <v>8101.7998049999997</v>
      </c>
      <c r="E1934">
        <v>8174.6000979999999</v>
      </c>
      <c r="F1934" s="4">
        <f t="shared" si="211"/>
        <v>7982.8999020000001</v>
      </c>
      <c r="G1934" s="4">
        <f t="shared" si="212"/>
        <v>8174.6000979999999</v>
      </c>
      <c r="H1934" s="4" t="str">
        <f t="shared" si="213"/>
        <v>BUY</v>
      </c>
      <c r="I1934" s="4">
        <f t="shared" si="210"/>
        <v>1</v>
      </c>
      <c r="J1934" s="11" t="str">
        <f t="shared" si="214"/>
        <v>BUY</v>
      </c>
      <c r="K1934" s="6">
        <f t="shared" si="215"/>
        <v>8174.6000979999999</v>
      </c>
      <c r="L1934" s="4">
        <f t="shared" si="216"/>
        <v>1.9755678646953448E-2</v>
      </c>
    </row>
    <row r="1935" spans="1:12" x14ac:dyDescent="0.25">
      <c r="A1935" s="1">
        <v>43874</v>
      </c>
      <c r="B1935">
        <v>8201.1503909999992</v>
      </c>
      <c r="C1935">
        <v>8250.7998050000006</v>
      </c>
      <c r="D1935">
        <v>8195.6503909999992</v>
      </c>
      <c r="E1935">
        <v>8224.9501949999994</v>
      </c>
      <c r="F1935" s="4">
        <f t="shared" si="211"/>
        <v>8013.8999020000001</v>
      </c>
      <c r="G1935" s="4">
        <f t="shared" si="212"/>
        <v>8224.9501949999994</v>
      </c>
      <c r="H1935" s="4" t="str">
        <f t="shared" si="213"/>
        <v>BUY</v>
      </c>
      <c r="I1935" s="4">
        <f t="shared" si="210"/>
        <v>1</v>
      </c>
      <c r="J1935" s="11">
        <f t="shared" si="214"/>
        <v>0</v>
      </c>
      <c r="K1935" s="6">
        <f t="shared" si="215"/>
        <v>8174.6000979999999</v>
      </c>
      <c r="L1935" s="4">
        <f t="shared" si="216"/>
        <v>0</v>
      </c>
    </row>
    <row r="1936" spans="1:12" x14ac:dyDescent="0.25">
      <c r="A1936" s="1">
        <v>43875</v>
      </c>
      <c r="B1936">
        <v>8259.2998050000006</v>
      </c>
      <c r="C1936">
        <v>8369.4501949999994</v>
      </c>
      <c r="D1936">
        <v>8257.4003909999992</v>
      </c>
      <c r="E1936">
        <v>8353.0996090000008</v>
      </c>
      <c r="F1936" s="4">
        <f t="shared" si="211"/>
        <v>8047.2998049999997</v>
      </c>
      <c r="G1936" s="4">
        <f t="shared" si="212"/>
        <v>8353.0996090000008</v>
      </c>
      <c r="H1936" s="4" t="str">
        <f t="shared" si="213"/>
        <v>BUY</v>
      </c>
      <c r="I1936" s="4">
        <f t="shared" si="210"/>
        <v>1</v>
      </c>
      <c r="J1936" s="11">
        <f t="shared" si="214"/>
        <v>0</v>
      </c>
      <c r="K1936" s="6">
        <f t="shared" si="215"/>
        <v>8174.6000979999999</v>
      </c>
      <c r="L1936" s="4">
        <f t="shared" si="216"/>
        <v>0</v>
      </c>
    </row>
    <row r="1937" spans="1:13" x14ac:dyDescent="0.25">
      <c r="A1937" s="1">
        <v>43878</v>
      </c>
      <c r="B1937">
        <v>8377.4501949999994</v>
      </c>
      <c r="C1937">
        <v>8398.4501949999994</v>
      </c>
      <c r="D1937">
        <v>8334.9501949999994</v>
      </c>
      <c r="E1937">
        <v>8381.5498050000006</v>
      </c>
      <c r="F1937" s="4">
        <f t="shared" si="211"/>
        <v>8091.5498049999997</v>
      </c>
      <c r="G1937" s="4">
        <f t="shared" si="212"/>
        <v>8381.5498050000006</v>
      </c>
      <c r="H1937" s="4" t="str">
        <f t="shared" si="213"/>
        <v>BUY</v>
      </c>
      <c r="I1937" s="4">
        <f t="shared" si="210"/>
        <v>1</v>
      </c>
      <c r="J1937" s="11">
        <f t="shared" si="214"/>
        <v>0</v>
      </c>
      <c r="K1937" s="6">
        <f t="shared" si="215"/>
        <v>8174.6000979999999</v>
      </c>
      <c r="L1937" s="4">
        <f t="shared" si="216"/>
        <v>0</v>
      </c>
    </row>
    <row r="1938" spans="1:13" x14ac:dyDescent="0.25">
      <c r="A1938" s="1">
        <v>43879</v>
      </c>
      <c r="B1938">
        <v>8399.4003909999992</v>
      </c>
      <c r="C1938">
        <v>8421.3496090000008</v>
      </c>
      <c r="D1938">
        <v>8338.9003909999992</v>
      </c>
      <c r="E1938">
        <v>8360.8496090000008</v>
      </c>
      <c r="F1938" s="4">
        <f t="shared" si="211"/>
        <v>8174.6000979999999</v>
      </c>
      <c r="G1938" s="4">
        <f t="shared" si="212"/>
        <v>8381.5498050000006</v>
      </c>
      <c r="H1938" s="4">
        <f t="shared" si="213"/>
        <v>0</v>
      </c>
      <c r="I1938" s="16">
        <v>0</v>
      </c>
      <c r="J1938" s="16" t="str">
        <f>IF(I1937=1,"SELL",IF(I1937=-1,"BUY",0))</f>
        <v>SELL</v>
      </c>
      <c r="K1938" s="17">
        <f>IF(J1938&lt;&gt;0,E1938,K1937)</f>
        <v>8360.8496090000008</v>
      </c>
      <c r="L1938" s="18">
        <f t="shared" si="216"/>
        <v>-1</v>
      </c>
      <c r="M1938" s="9" t="s">
        <v>22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LOOKBACK Strategy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Nicholas Burgess</cp:lastModifiedBy>
  <cp:revision/>
  <dcterms:created xsi:type="dcterms:W3CDTF">2015-02-25T06:13:26Z</dcterms:created>
  <dcterms:modified xsi:type="dcterms:W3CDTF">2023-08-14T10:24:48Z</dcterms:modified>
  <cp:category>Version 10.0.1</cp:category>
  <cp:contentStatus/>
</cp:coreProperties>
</file>